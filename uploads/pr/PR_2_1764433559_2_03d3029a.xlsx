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55" activeTab="1"/>
  </bookViews>
  <sheets>
    <sheet name="Fiduciary" sheetId="1" r:id="rId1"/>
    <sheet name="Non-Fiduciary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<sst xmlns="http://schemas.openxmlformats.org/spreadsheetml/2006/main" count="846" uniqueCount="235">
  <si>
    <t>COMPARATIVE APPROVED BUDGET and ACTUAL COLLECTION</t>
  </si>
  <si>
    <t>INTERNALLY GENERATED FUNDS (IGF) - Fiduciary Fees</t>
  </si>
  <si>
    <t>CY 2025</t>
  </si>
  <si>
    <t>EVSU ORMOC CAMPUS</t>
  </si>
  <si>
    <t>Page 1 of 7</t>
  </si>
  <si>
    <t>Approved</t>
  </si>
  <si>
    <t xml:space="preserve">A L L O T M E N T </t>
  </si>
  <si>
    <t>Budget</t>
  </si>
  <si>
    <t>Total</t>
  </si>
  <si>
    <t>(ACTUAL COLLECTION)</t>
  </si>
  <si>
    <t>PROGRAM / ACTIVITY</t>
  </si>
  <si>
    <t>Fiduciary</t>
  </si>
  <si>
    <t>(Based on</t>
  </si>
  <si>
    <t>Available</t>
  </si>
  <si>
    <t>FHE</t>
  </si>
  <si>
    <t>Fees</t>
  </si>
  <si>
    <t>Estimated</t>
  </si>
  <si>
    <t>Allotment</t>
  </si>
  <si>
    <t>Jan</t>
  </si>
  <si>
    <t>Feb</t>
  </si>
  <si>
    <t>March</t>
  </si>
  <si>
    <t>Apr</t>
  </si>
  <si>
    <t>May</t>
  </si>
  <si>
    <t>June</t>
  </si>
  <si>
    <t>July</t>
  </si>
  <si>
    <t>August</t>
  </si>
  <si>
    <t>Sept</t>
  </si>
  <si>
    <t>Oct</t>
  </si>
  <si>
    <t>Nov</t>
  </si>
  <si>
    <t>Dec</t>
  </si>
  <si>
    <t>Balance</t>
  </si>
  <si>
    <t xml:space="preserve"> Collection)</t>
  </si>
  <si>
    <t>2025</t>
  </si>
  <si>
    <t>SS 2024-2025</t>
  </si>
  <si>
    <t>I.</t>
  </si>
  <si>
    <t>Personnel Services (PS)</t>
  </si>
  <si>
    <t>Honoraria - Overload</t>
  </si>
  <si>
    <t>Laboratory</t>
  </si>
  <si>
    <t>Honoraria - Part-time</t>
  </si>
  <si>
    <t>Development Fee</t>
  </si>
  <si>
    <t>Computer Fee</t>
  </si>
  <si>
    <t>Honoraria</t>
  </si>
  <si>
    <t>NSTP</t>
  </si>
  <si>
    <t>Athletic</t>
  </si>
  <si>
    <t>Cultural</t>
  </si>
  <si>
    <t>Computer/ Internet</t>
  </si>
  <si>
    <t>Dev Fee</t>
  </si>
  <si>
    <t>Grad School</t>
  </si>
  <si>
    <t>SLD</t>
  </si>
  <si>
    <t>Senior High</t>
  </si>
  <si>
    <t>School Organ Fee</t>
  </si>
  <si>
    <t>Guidance</t>
  </si>
  <si>
    <t>Compre Exam</t>
  </si>
  <si>
    <t>GS/Defense fee</t>
  </si>
  <si>
    <t>Petition</t>
  </si>
  <si>
    <t>OJT/Practicum</t>
  </si>
  <si>
    <t>II.</t>
  </si>
  <si>
    <t>Maintenance and Other</t>
  </si>
  <si>
    <t>Operating Expenses</t>
  </si>
  <si>
    <t>(MOOE)</t>
  </si>
  <si>
    <t>Traveling Expenses</t>
  </si>
  <si>
    <t>Athletics</t>
  </si>
  <si>
    <t>SCUAA</t>
  </si>
  <si>
    <t>Comp Fee</t>
  </si>
  <si>
    <t>Sec Lab Schl</t>
  </si>
  <si>
    <t>SAF</t>
  </si>
  <si>
    <t>SCF</t>
  </si>
  <si>
    <t>SCF -SLD</t>
  </si>
  <si>
    <t>SOF</t>
  </si>
  <si>
    <t>Library</t>
  </si>
  <si>
    <t>Medical</t>
  </si>
  <si>
    <t>Dental</t>
  </si>
  <si>
    <t>OJT fee</t>
  </si>
  <si>
    <t>Traveling Expenses - Foreign</t>
  </si>
  <si>
    <t>.</t>
  </si>
  <si>
    <t>EVSU ORMOC  CAMPUS</t>
  </si>
  <si>
    <t>SS 2023-2024</t>
  </si>
  <si>
    <t>Training Expenses</t>
  </si>
  <si>
    <t>Cultural Fee</t>
  </si>
  <si>
    <t>Grad Schl</t>
  </si>
  <si>
    <t>Journal Fee</t>
  </si>
  <si>
    <t>Office Supplies</t>
  </si>
  <si>
    <t>Comp Fee/Int</t>
  </si>
  <si>
    <t>Cultural Fees</t>
  </si>
  <si>
    <t>Registrar</t>
  </si>
  <si>
    <t>School ID</t>
  </si>
  <si>
    <t>Handbook</t>
  </si>
  <si>
    <t>OJT Fee</t>
  </si>
  <si>
    <t>Textbooks and Intructional Materials</t>
  </si>
  <si>
    <t>Laboratory Supplies Expenses</t>
  </si>
  <si>
    <t>Lab</t>
  </si>
  <si>
    <t>INTERNALLY GENERATED FUNDS (IGF)</t>
  </si>
  <si>
    <t>Page 3 of 7</t>
  </si>
  <si>
    <t>Aug</t>
  </si>
  <si>
    <t>Rewards and Incentives</t>
  </si>
  <si>
    <t>Medical, Dental Laboratory Exp</t>
  </si>
  <si>
    <t>Drugs and Medicines Exp</t>
  </si>
  <si>
    <t>Other Supplies Expenses</t>
  </si>
  <si>
    <t>Comp Fee/Internet</t>
  </si>
  <si>
    <t>Internet</t>
  </si>
  <si>
    <t>SCF-SLD</t>
  </si>
  <si>
    <t>ID Fee</t>
  </si>
  <si>
    <t>Grad Fee</t>
  </si>
  <si>
    <t>Cable, Satellite, Tel and Radio Exp</t>
  </si>
  <si>
    <t>Computer/Int</t>
  </si>
  <si>
    <t>Page 5 of 7</t>
  </si>
  <si>
    <t>Telephone - Mobile</t>
  </si>
  <si>
    <t>Comp Fees</t>
  </si>
  <si>
    <t>Dev Fees</t>
  </si>
  <si>
    <t xml:space="preserve">Medical </t>
  </si>
  <si>
    <t>Internet Subscription</t>
  </si>
  <si>
    <t>Internet Fee</t>
  </si>
  <si>
    <t xml:space="preserve">Electricity </t>
  </si>
  <si>
    <t>Medical Dental</t>
  </si>
  <si>
    <t>Fuel Oil and Lubricants</t>
  </si>
  <si>
    <t>Water Expenses</t>
  </si>
  <si>
    <t>Rep and Maint-School Building</t>
  </si>
  <si>
    <t>Rep and Maint-Other Mach &amp; Equip</t>
  </si>
  <si>
    <t>Rep and Maint-ICT Equipment</t>
  </si>
  <si>
    <t>Rep and Maint- Water System</t>
  </si>
  <si>
    <t>Rep and Maint - Other Land Improvements</t>
  </si>
  <si>
    <t>Rep and Maint- Power Supply system</t>
  </si>
  <si>
    <t>Rep and Maint- Office Equipment</t>
  </si>
  <si>
    <t>Rep and Main- Motor Vehicles</t>
  </si>
  <si>
    <t>Rep and Maint Other Structures</t>
  </si>
  <si>
    <t>Rep and Maint-Medical Equipment</t>
  </si>
  <si>
    <t>Insurance Expenses</t>
  </si>
  <si>
    <t xml:space="preserve">Insurance </t>
  </si>
  <si>
    <t>Labor and Wages</t>
  </si>
  <si>
    <t>Janitorial Services</t>
  </si>
  <si>
    <t xml:space="preserve">Laboratory </t>
  </si>
  <si>
    <t>Membership Dues to Org</t>
  </si>
  <si>
    <t>Athletic/SCUAA</t>
  </si>
  <si>
    <t>Subscription Exp</t>
  </si>
  <si>
    <t>Comp Fees/Internet</t>
  </si>
  <si>
    <t>Printing and Binding Expenses</t>
  </si>
  <si>
    <t>Journal</t>
  </si>
  <si>
    <t>Handbook Fee</t>
  </si>
  <si>
    <t>Other MOOE</t>
  </si>
  <si>
    <t>BRF</t>
  </si>
  <si>
    <t>ID FEE</t>
  </si>
  <si>
    <t>Yearbook</t>
  </si>
  <si>
    <t>Total MOOE</t>
  </si>
  <si>
    <t>Page 6 of 7</t>
  </si>
  <si>
    <t xml:space="preserve">July </t>
  </si>
  <si>
    <t>III.</t>
  </si>
  <si>
    <t>CAPITAL OUTLAY (CO)</t>
  </si>
  <si>
    <t>School Building</t>
  </si>
  <si>
    <r>
      <rPr>
        <sz val="11"/>
        <rFont val="Arial"/>
        <charset val="134"/>
      </rPr>
      <t xml:space="preserve">Buildings &amp; </t>
    </r>
    <r>
      <rPr>
        <u/>
        <sz val="11"/>
        <rFont val="Arial"/>
        <charset val="134"/>
      </rPr>
      <t>Other Structures</t>
    </r>
  </si>
  <si>
    <t>Power Supply</t>
  </si>
  <si>
    <t>Machinery</t>
  </si>
  <si>
    <t>Office Equipment</t>
  </si>
  <si>
    <t>GS</t>
  </si>
  <si>
    <t>Medical Equipment</t>
  </si>
  <si>
    <t>ICT Equipment</t>
  </si>
  <si>
    <t>Page 7 of 7</t>
  </si>
  <si>
    <t>Technical and Scientific Eqpt</t>
  </si>
  <si>
    <t>Other Machinery and Equipment</t>
  </si>
  <si>
    <t>Books</t>
  </si>
  <si>
    <t>Furniture and Fixtures</t>
  </si>
  <si>
    <t xml:space="preserve">Cultural </t>
  </si>
  <si>
    <t>Other Property</t>
  </si>
  <si>
    <t>Other Property, Plant &amp; Equipment</t>
  </si>
  <si>
    <t>Computer Software</t>
  </si>
  <si>
    <t>Total CO</t>
  </si>
  <si>
    <t>GRAND TOTAL</t>
  </si>
  <si>
    <t>Non-Fiduciary</t>
  </si>
  <si>
    <t>Page 1 of 3</t>
  </si>
  <si>
    <t>Particulars</t>
  </si>
  <si>
    <t>Programs</t>
  </si>
  <si>
    <t>FHE March 13,2025</t>
  </si>
  <si>
    <t>Mar</t>
  </si>
  <si>
    <t>Sep</t>
  </si>
  <si>
    <t>I.  Personnel Services (PS)</t>
  </si>
  <si>
    <t>Fac &amp; Staff Dev</t>
  </si>
  <si>
    <t>Curr Devt</t>
  </si>
  <si>
    <t>TEST</t>
  </si>
  <si>
    <t>Student Dev</t>
  </si>
  <si>
    <t>Research</t>
  </si>
  <si>
    <t>Extension</t>
  </si>
  <si>
    <t>Admin</t>
  </si>
  <si>
    <t>II. Maintenance and Other Operating</t>
  </si>
  <si>
    <t xml:space="preserve">    Expenses (MOOE)</t>
  </si>
  <si>
    <t>Traveling Expenses - Local</t>
  </si>
  <si>
    <t>Production</t>
  </si>
  <si>
    <t>Scholarship Expenses</t>
  </si>
  <si>
    <t>Office Supplies Expenses</t>
  </si>
  <si>
    <t>Student Devt</t>
  </si>
  <si>
    <t>Curr. Dev.</t>
  </si>
  <si>
    <t>Fuel, Oil and Lubricants Expenses</t>
  </si>
  <si>
    <t>Facilities Dev</t>
  </si>
  <si>
    <t>Other Supplies and Materials</t>
  </si>
  <si>
    <t>Electricity Expenses</t>
  </si>
  <si>
    <t>Postage and Courier Services</t>
  </si>
  <si>
    <t>Telephone Expenses - Mobile</t>
  </si>
  <si>
    <t>Cable, Sattelite Radio, Telegraph</t>
  </si>
  <si>
    <t>Page 2 of 3</t>
  </si>
  <si>
    <t>Jul</t>
  </si>
  <si>
    <t>Insurance Expense</t>
  </si>
  <si>
    <t>Fac and Staff Dev</t>
  </si>
  <si>
    <t>Consultancy Services</t>
  </si>
  <si>
    <t>Other Professional Services</t>
  </si>
  <si>
    <t>Security Services</t>
  </si>
  <si>
    <t>Repairs and Maintenance - Printing Equipment</t>
  </si>
  <si>
    <t>Repairs and Maintenance - SB</t>
  </si>
  <si>
    <t>Repairs &amp; Main. - Bldgs &amp; Other Structures</t>
  </si>
  <si>
    <t>Repairs and Maintenance - Office Equipment</t>
  </si>
  <si>
    <t>Repairs and Maintenance - Other Machinery</t>
  </si>
  <si>
    <t>Repairs and Maintenance-MV</t>
  </si>
  <si>
    <t>Repairs and Maintenance-ICT</t>
  </si>
  <si>
    <t>Facilities</t>
  </si>
  <si>
    <t>Printing and Publication Expenses</t>
  </si>
  <si>
    <t>Textbooks &amp; Instructional Materials</t>
  </si>
  <si>
    <t>Accountabel Forms</t>
  </si>
  <si>
    <t>Taxes, Duties and Licenses</t>
  </si>
  <si>
    <t xml:space="preserve">Fuel Oil &amp; Lubricants </t>
  </si>
  <si>
    <t>Subscription Expenses</t>
  </si>
  <si>
    <t>Membership Dues</t>
  </si>
  <si>
    <t>Fedility Bond Prem.</t>
  </si>
  <si>
    <t>Faculty &amp; Staff Dev.</t>
  </si>
  <si>
    <t>Curr. Dev</t>
  </si>
  <si>
    <t>Mandatory Reserve</t>
  </si>
  <si>
    <t>Page 3 of 3</t>
  </si>
  <si>
    <t>III.  Capital Outlay (CO)</t>
  </si>
  <si>
    <t>Building</t>
  </si>
  <si>
    <t>School Buildings</t>
  </si>
  <si>
    <t>Stud Dev't</t>
  </si>
  <si>
    <t>ICT Software</t>
  </si>
  <si>
    <t>Motor Vehicle</t>
  </si>
  <si>
    <t>Furnitures and Fixtures</t>
  </si>
  <si>
    <t>Disaster Response and Rescue Equipment</t>
  </si>
  <si>
    <t>TOTAL. Fiduciary &amp; Non-Fiduciary</t>
  </si>
  <si>
    <t xml:space="preserve"> </t>
  </si>
  <si>
    <t>Unalloted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</si>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</sst>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176" formatCode="_ * #,##0.00_ ;_ * \-#,##0.00_ ;_ * &quot;-&quot;??_ ;_ @_ "/>
    <numFmt numFmtId="177" formatCode="_-&quot;₱&quot;* #,##0.00_-;\-&quot;₱&quot;* #,##0.00_-;_-&quot;₱&quot;* &quot;-&quot;??_-;_-@_-"/>
    <numFmt numFmtId="178" formatCode="_ * #,##0_ ;_ * \-#,##0_ ;_ * &quot;-&quot;_ ;_ @_ "/>
    <numFmt numFmtId="179" formatCode="_-* #,##0.00_-;\-* #,##0.00_-;_-* &quot;-&quot;??_-;_-@_-"/>
  </numFmts>
  <fonts count="43">
    <font>
      <sz val="11"/>
      <color theme="1"/>
      <name val="Calibri"/>
      <charset val="134"/>
      <scheme val="minor"/>
    </font>
    <font>
      <sz val="11"/>
      <name val="Arial"/>
      <charset val="134"/>
    </font>
    <font>
      <b/>
      <i/>
      <sz val="11"/>
      <name val="Arial"/>
      <charset val="134"/>
    </font>
    <font>
      <b/>
      <sz val="10"/>
      <name val="Arial"/>
      <charset val="134"/>
    </font>
    <font>
      <sz val="11"/>
      <color rgb="FFFF0000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b/>
      <sz val="11"/>
      <color theme="3"/>
      <name val="Arial"/>
      <charset val="134"/>
    </font>
    <font>
      <b/>
      <i/>
      <sz val="10"/>
      <name val="Arial"/>
      <charset val="134"/>
    </font>
    <font>
      <sz val="8"/>
      <name val="Arial"/>
      <charset val="134"/>
    </font>
    <font>
      <sz val="10"/>
      <color rgb="FFFF0000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b/>
      <sz val="10"/>
      <color theme="3"/>
      <name val="Arial"/>
      <charset val="134"/>
    </font>
    <font>
      <b/>
      <sz val="10"/>
      <color rgb="FFFF0000"/>
      <name val="Arial"/>
      <charset val="134"/>
    </font>
    <font>
      <sz val="10"/>
      <color indexed="9"/>
      <name val="Arial"/>
      <charset val="134"/>
    </font>
    <font>
      <sz val="9"/>
      <color rgb="FFFF0000"/>
      <name val="Arial"/>
      <charset val="134"/>
    </font>
    <font>
      <sz val="12"/>
      <name val="Arial"/>
      <charset val="134"/>
    </font>
    <font>
      <b/>
      <i/>
      <sz val="10"/>
      <color rgb="FFFF0000"/>
      <name val="Arial"/>
      <charset val="134"/>
    </font>
    <font>
      <i/>
      <sz val="10"/>
      <name val="Arial"/>
      <charset val="134"/>
    </font>
    <font>
      <i/>
      <sz val="11"/>
      <name val="Arial"/>
      <charset val="134"/>
    </font>
    <font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6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double">
        <color auto="1"/>
      </right>
      <top style="hair">
        <color auto="1"/>
      </top>
      <bottom/>
      <diagonal/>
    </border>
    <border>
      <left style="double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/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 style="double">
        <color auto="1"/>
      </left>
      <right/>
      <top style="hair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2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178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8" borderId="118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19" applyNumberFormat="0" applyFill="0" applyAlignment="0" applyProtection="0">
      <alignment vertical="center"/>
    </xf>
    <xf numFmtId="0" fontId="29" fillId="0" borderId="119" applyNumberFormat="0" applyFill="0" applyAlignment="0" applyProtection="0">
      <alignment vertical="center"/>
    </xf>
    <xf numFmtId="0" fontId="30" fillId="0" borderId="12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9" borderId="121" applyNumberFormat="0" applyAlignment="0" applyProtection="0">
      <alignment vertical="center"/>
    </xf>
    <xf numFmtId="0" fontId="32" fillId="10" borderId="122" applyNumberFormat="0" applyAlignment="0" applyProtection="0">
      <alignment vertical="center"/>
    </xf>
    <xf numFmtId="0" fontId="33" fillId="10" borderId="121" applyNumberFormat="0" applyAlignment="0" applyProtection="0">
      <alignment vertical="center"/>
    </xf>
    <xf numFmtId="0" fontId="34" fillId="11" borderId="123" applyNumberFormat="0" applyAlignment="0" applyProtection="0">
      <alignment vertical="center"/>
    </xf>
    <xf numFmtId="0" fontId="35" fillId="0" borderId="124" applyNumberFormat="0" applyFill="0" applyAlignment="0" applyProtection="0">
      <alignment vertical="center"/>
    </xf>
    <xf numFmtId="0" fontId="36" fillId="0" borderId="125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</cellStyleXfs>
  <cellXfs count="107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3" fillId="2" borderId="0" xfId="0" applyFont="1" applyFill="1"/>
    <xf numFmtId="0" fontId="5" fillId="2" borderId="0" xfId="0" applyFont="1" applyFill="1"/>
    <xf numFmtId="0" fontId="7" fillId="0" borderId="0" xfId="0" applyFont="1"/>
    <xf numFmtId="0" fontId="2" fillId="2" borderId="0" xfId="0" applyFont="1" applyFill="1"/>
    <xf numFmtId="0" fontId="0" fillId="2" borderId="0" xfId="0" applyFill="1"/>
    <xf numFmtId="0" fontId="8" fillId="0" borderId="0" xfId="0" applyFont="1"/>
    <xf numFmtId="0" fontId="0" fillId="3" borderId="0" xfId="0" applyFill="1"/>
    <xf numFmtId="43" fontId="0" fillId="0" borderId="0" xfId="49" applyFont="1" applyAlignment="1">
      <alignment shrinkToFit="1"/>
    </xf>
    <xf numFmtId="43" fontId="0" fillId="0" borderId="0" xfId="49" applyFont="1"/>
    <xf numFmtId="0" fontId="5" fillId="0" borderId="0" xfId="0" applyFont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9" fillId="2" borderId="10" xfId="0" applyFont="1" applyFill="1" applyBorder="1" applyAlignment="1">
      <alignment horizontal="center" shrinkToFit="1"/>
    </xf>
    <xf numFmtId="0" fontId="1" fillId="0" borderId="7" xfId="0" applyFont="1" applyBorder="1"/>
    <xf numFmtId="0" fontId="1" fillId="0" borderId="8" xfId="0" applyFont="1" applyBorder="1"/>
    <xf numFmtId="0" fontId="1" fillId="2" borderId="10" xfId="0" applyFont="1" applyFill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43" fontId="1" fillId="0" borderId="15" xfId="49" applyFont="1" applyBorder="1" applyAlignment="1">
      <alignment horizontal="center" shrinkToFit="1"/>
    </xf>
    <xf numFmtId="43" fontId="1" fillId="0" borderId="16" xfId="49" applyFont="1" applyBorder="1" applyAlignment="1">
      <alignment horizontal="center" shrinkToFit="1"/>
    </xf>
    <xf numFmtId="43" fontId="1" fillId="0" borderId="16" xfId="49" applyFont="1" applyBorder="1"/>
    <xf numFmtId="43" fontId="1" fillId="2" borderId="16" xfId="49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43" fontId="2" fillId="3" borderId="17" xfId="49" applyFont="1" applyFill="1" applyBorder="1" applyAlignment="1">
      <alignment horizontal="center" shrinkToFit="1"/>
    </xf>
    <xf numFmtId="43" fontId="2" fillId="3" borderId="18" xfId="49" applyFont="1" applyFill="1" applyBorder="1" applyAlignment="1">
      <alignment horizontal="center" shrinkToFit="1"/>
    </xf>
    <xf numFmtId="0" fontId="1" fillId="2" borderId="19" xfId="0" applyFont="1" applyFill="1" applyBorder="1" applyAlignment="1">
      <alignment horizontal="left" indent="3"/>
    </xf>
    <xf numFmtId="0" fontId="1" fillId="2" borderId="20" xfId="0" applyFont="1" applyFill="1" applyBorder="1"/>
    <xf numFmtId="0" fontId="1" fillId="2" borderId="21" xfId="0" applyFont="1" applyFill="1" applyBorder="1"/>
    <xf numFmtId="43" fontId="1" fillId="2" borderId="22" xfId="49" applyFont="1" applyFill="1" applyBorder="1" applyAlignment="1">
      <alignment horizontal="center" shrinkToFit="1"/>
    </xf>
    <xf numFmtId="43" fontId="1" fillId="2" borderId="10" xfId="49" applyFont="1" applyFill="1" applyBorder="1" applyAlignment="1">
      <alignment horizontal="left" shrinkToFit="1"/>
    </xf>
    <xf numFmtId="43" fontId="1" fillId="2" borderId="23" xfId="49" applyFont="1" applyFill="1" applyBorder="1"/>
    <xf numFmtId="43" fontId="1" fillId="2" borderId="24" xfId="49" applyFont="1" applyFill="1" applyBorder="1"/>
    <xf numFmtId="0" fontId="1" fillId="2" borderId="7" xfId="0" applyFont="1" applyFill="1" applyBorder="1" applyAlignment="1">
      <alignment horizontal="left" indent="2"/>
    </xf>
    <xf numFmtId="43" fontId="1" fillId="2" borderId="0" xfId="49" applyFont="1" applyFill="1" applyBorder="1"/>
    <xf numFmtId="0" fontId="1" fillId="2" borderId="8" xfId="0" applyFont="1" applyFill="1" applyBorder="1"/>
    <xf numFmtId="43" fontId="1" fillId="2" borderId="25" xfId="49" applyFont="1" applyFill="1" applyBorder="1" applyAlignment="1">
      <alignment horizontal="center" shrinkToFit="1"/>
    </xf>
    <xf numFmtId="43" fontId="1" fillId="2" borderId="26" xfId="49" applyFont="1" applyFill="1" applyBorder="1" applyAlignment="1">
      <alignment horizontal="left" shrinkToFit="1"/>
    </xf>
    <xf numFmtId="43" fontId="1" fillId="2" borderId="26" xfId="49" applyFont="1" applyFill="1" applyBorder="1"/>
    <xf numFmtId="43" fontId="1" fillId="2" borderId="27" xfId="49" applyFont="1" applyFill="1" applyBorder="1"/>
    <xf numFmtId="43" fontId="1" fillId="2" borderId="28" xfId="49" applyFont="1" applyFill="1" applyBorder="1"/>
    <xf numFmtId="43" fontId="1" fillId="2" borderId="9" xfId="49" applyFont="1" applyFill="1" applyBorder="1" applyAlignment="1">
      <alignment horizontal="center" shrinkToFit="1"/>
    </xf>
    <xf numFmtId="43" fontId="1" fillId="2" borderId="29" xfId="49" applyFont="1" applyFill="1" applyBorder="1"/>
    <xf numFmtId="43" fontId="1" fillId="2" borderId="30" xfId="49" applyFont="1" applyFill="1" applyBorder="1"/>
    <xf numFmtId="0" fontId="3" fillId="0" borderId="7" xfId="0" applyFont="1" applyBorder="1" applyAlignment="1">
      <alignment horizontal="left" indent="4"/>
    </xf>
    <xf numFmtId="43" fontId="3" fillId="0" borderId="0" xfId="49" applyFont="1" applyBorder="1"/>
    <xf numFmtId="0" fontId="3" fillId="0" borderId="8" xfId="0" applyFont="1" applyBorder="1"/>
    <xf numFmtId="43" fontId="3" fillId="4" borderId="17" xfId="49" applyFont="1" applyFill="1" applyBorder="1" applyAlignment="1">
      <alignment horizontal="center" shrinkToFit="1"/>
    </xf>
    <xf numFmtId="43" fontId="3" fillId="4" borderId="18" xfId="49" applyFont="1" applyFill="1" applyBorder="1" applyAlignment="1">
      <alignment horizontal="center" shrinkToFit="1"/>
    </xf>
    <xf numFmtId="43" fontId="3" fillId="4" borderId="29" xfId="49" applyFont="1" applyFill="1" applyBorder="1" applyAlignment="1">
      <alignment horizontal="center" shrinkToFit="1"/>
    </xf>
    <xf numFmtId="43" fontId="2" fillId="0" borderId="9" xfId="49" applyFont="1" applyBorder="1"/>
    <xf numFmtId="43" fontId="2" fillId="0" borderId="10" xfId="49" applyFont="1" applyBorder="1"/>
    <xf numFmtId="43" fontId="2" fillId="3" borderId="17" xfId="49" applyFont="1" applyFill="1" applyBorder="1"/>
    <xf numFmtId="43" fontId="2" fillId="3" borderId="18" xfId="49" applyFont="1" applyFill="1" applyBorder="1"/>
    <xf numFmtId="43" fontId="1" fillId="0" borderId="9" xfId="49" applyFont="1" applyBorder="1"/>
    <xf numFmtId="43" fontId="1" fillId="0" borderId="10" xfId="49" applyFont="1" applyBorder="1"/>
    <xf numFmtId="0" fontId="1" fillId="0" borderId="19" xfId="0" applyFont="1" applyBorder="1" applyAlignment="1">
      <alignment horizontal="left" indent="3"/>
    </xf>
    <xf numFmtId="0" fontId="1" fillId="0" borderId="20" xfId="0" applyFont="1" applyBorder="1" applyAlignment="1">
      <alignment horizontal="left" indent="1"/>
    </xf>
    <xf numFmtId="0" fontId="1" fillId="0" borderId="20" xfId="0" applyFont="1" applyBorder="1"/>
    <xf numFmtId="0" fontId="1" fillId="0" borderId="21" xfId="0" applyFont="1" applyBorder="1"/>
    <xf numFmtId="43" fontId="6" fillId="0" borderId="28" xfId="49" applyFont="1" applyBorder="1"/>
    <xf numFmtId="43" fontId="1" fillId="0" borderId="26" xfId="49" applyFont="1" applyBorder="1" applyAlignment="1">
      <alignment horizontal="center" shrinkToFit="1"/>
    </xf>
    <xf numFmtId="43" fontId="6" fillId="0" borderId="26" xfId="49" applyFont="1" applyBorder="1"/>
    <xf numFmtId="0" fontId="4" fillId="2" borderId="7" xfId="0" applyFont="1" applyFill="1" applyBorder="1" applyAlignment="1">
      <alignment horizontal="left" indent="3"/>
    </xf>
    <xf numFmtId="0" fontId="4" fillId="2" borderId="0" xfId="0" applyFont="1" applyFill="1" applyAlignment="1">
      <alignment horizontal="left" indent="1"/>
    </xf>
    <xf numFmtId="0" fontId="4" fillId="2" borderId="8" xfId="0" applyFont="1" applyFill="1" applyBorder="1"/>
    <xf numFmtId="43" fontId="6" fillId="2" borderId="28" xfId="49" applyFont="1" applyFill="1" applyBorder="1"/>
    <xf numFmtId="43" fontId="6" fillId="2" borderId="26" xfId="49" applyFont="1" applyFill="1" applyBorder="1"/>
    <xf numFmtId="0" fontId="1" fillId="2" borderId="7" xfId="0" applyFont="1" applyFill="1" applyBorder="1" applyAlignment="1">
      <alignment horizontal="left" indent="3"/>
    </xf>
    <xf numFmtId="0" fontId="1" fillId="2" borderId="0" xfId="0" applyFont="1" applyFill="1" applyAlignment="1">
      <alignment horizontal="left" indent="1"/>
    </xf>
    <xf numFmtId="43" fontId="1" fillId="2" borderId="26" xfId="49" applyFont="1" applyFill="1" applyBorder="1" applyAlignment="1">
      <alignment horizontal="left"/>
    </xf>
    <xf numFmtId="43" fontId="6" fillId="2" borderId="31" xfId="49" applyFont="1" applyFill="1" applyBorder="1"/>
    <xf numFmtId="43" fontId="6" fillId="2" borderId="0" xfId="49" applyFont="1" applyFill="1" applyBorder="1"/>
    <xf numFmtId="43" fontId="6" fillId="2" borderId="9" xfId="49" applyFont="1" applyFill="1" applyBorder="1"/>
    <xf numFmtId="43" fontId="1" fillId="2" borderId="10" xfId="49" applyFont="1" applyFill="1" applyBorder="1" applyAlignment="1">
      <alignment horizontal="left"/>
    </xf>
    <xf numFmtId="43" fontId="6" fillId="2" borderId="10" xfId="49" applyFont="1" applyFill="1" applyBorder="1"/>
    <xf numFmtId="0" fontId="5" fillId="0" borderId="7" xfId="0" applyFont="1" applyBorder="1" applyAlignment="1">
      <alignment horizontal="left" indent="3"/>
    </xf>
    <xf numFmtId="0" fontId="5" fillId="0" borderId="0" xfId="0" applyFont="1" applyAlignment="1">
      <alignment horizontal="left" indent="1"/>
    </xf>
    <xf numFmtId="43" fontId="3" fillId="4" borderId="17" xfId="49" applyFont="1" applyFill="1" applyBorder="1"/>
    <xf numFmtId="43" fontId="5" fillId="4" borderId="18" xfId="49" applyFont="1" applyFill="1" applyBorder="1"/>
    <xf numFmtId="43" fontId="3" fillId="4" borderId="18" xfId="49" applyFont="1" applyFill="1" applyBorder="1"/>
    <xf numFmtId="0" fontId="1" fillId="0" borderId="7" xfId="0" applyFont="1" applyBorder="1" applyAlignment="1">
      <alignment horizontal="left" indent="3"/>
    </xf>
    <xf numFmtId="0" fontId="1" fillId="0" borderId="0" xfId="0" applyFont="1" applyAlignment="1">
      <alignment horizontal="left" indent="1"/>
    </xf>
    <xf numFmtId="43" fontId="1" fillId="0" borderId="32" xfId="49" applyFont="1" applyFill="1" applyBorder="1"/>
    <xf numFmtId="43" fontId="1" fillId="0" borderId="33" xfId="49" applyFont="1" applyFill="1" applyBorder="1"/>
    <xf numFmtId="43" fontId="1" fillId="0" borderId="26" xfId="49" applyFont="1" applyBorder="1"/>
    <xf numFmtId="43" fontId="0" fillId="0" borderId="26" xfId="49" applyFont="1" applyBorder="1"/>
    <xf numFmtId="43" fontId="1" fillId="2" borderId="9" xfId="49" applyFont="1" applyFill="1" applyBorder="1"/>
    <xf numFmtId="43" fontId="1" fillId="0" borderId="10" xfId="49" applyFont="1" applyBorder="1" applyAlignment="1">
      <alignment horizontal="left" shrinkToFit="1"/>
    </xf>
    <xf numFmtId="43" fontId="0" fillId="0" borderId="10" xfId="49" applyFont="1" applyBorder="1"/>
    <xf numFmtId="0" fontId="6" fillId="0" borderId="19" xfId="0" applyFont="1" applyBorder="1" applyAlignment="1">
      <alignment horizontal="left" indent="3"/>
    </xf>
    <xf numFmtId="0" fontId="6" fillId="0" borderId="20" xfId="0" applyFont="1" applyBorder="1" applyAlignment="1">
      <alignment horizontal="left" indent="1"/>
    </xf>
    <xf numFmtId="0" fontId="6" fillId="0" borderId="20" xfId="0" applyFont="1" applyBorder="1"/>
    <xf numFmtId="0" fontId="6" fillId="0" borderId="21" xfId="0" applyFont="1" applyBorder="1"/>
    <xf numFmtId="43" fontId="6" fillId="0" borderId="26" xfId="49" applyFont="1" applyBorder="1" applyAlignment="1">
      <alignment horizontal="left" shrinkToFit="1"/>
    </xf>
    <xf numFmtId="43" fontId="1" fillId="0" borderId="31" xfId="49" applyFont="1" applyBorder="1"/>
    <xf numFmtId="0" fontId="3" fillId="0" borderId="19" xfId="0" applyFont="1" applyBorder="1" applyAlignment="1">
      <alignment horizontal="left" indent="3"/>
    </xf>
    <xf numFmtId="0" fontId="3" fillId="0" borderId="20" xfId="0" applyFont="1" applyBorder="1" applyAlignment="1">
      <alignment horizontal="left" indent="1"/>
    </xf>
    <xf numFmtId="0" fontId="3" fillId="0" borderId="20" xfId="0" applyFont="1" applyBorder="1"/>
    <xf numFmtId="0" fontId="3" fillId="0" borderId="21" xfId="0" applyFont="1" applyBorder="1"/>
    <xf numFmtId="43" fontId="3" fillId="4" borderId="17" xfId="0" applyNumberFormat="1" applyFont="1" applyFill="1" applyBorder="1"/>
    <xf numFmtId="43" fontId="3" fillId="4" borderId="18" xfId="0" applyNumberFormat="1" applyFont="1" applyFill="1" applyBorder="1"/>
    <xf numFmtId="43" fontId="1" fillId="0" borderId="22" xfId="0" applyNumberFormat="1" applyFont="1" applyBorder="1"/>
    <xf numFmtId="43" fontId="1" fillId="0" borderId="23" xfId="0" applyNumberFormat="1" applyFont="1" applyBorder="1"/>
    <xf numFmtId="43" fontId="0" fillId="0" borderId="9" xfId="49" applyFont="1" applyBorder="1"/>
    <xf numFmtId="43" fontId="1" fillId="0" borderId="10" xfId="49" applyFont="1" applyBorder="1" applyAlignment="1">
      <alignment horizontal="center" shrinkToFit="1"/>
    </xf>
    <xf numFmtId="43" fontId="6" fillId="0" borderId="31" xfId="49" applyFont="1" applyBorder="1"/>
    <xf numFmtId="0" fontId="1" fillId="2" borderId="34" xfId="0" applyFont="1" applyFill="1" applyBorder="1" applyAlignment="1">
      <alignment horizontal="left" indent="3"/>
    </xf>
    <xf numFmtId="0" fontId="1" fillId="2" borderId="35" xfId="0" applyFont="1" applyFill="1" applyBorder="1" applyAlignment="1">
      <alignment horizontal="left" indent="1"/>
    </xf>
    <xf numFmtId="0" fontId="1" fillId="2" borderId="35" xfId="0" applyFont="1" applyFill="1" applyBorder="1"/>
    <xf numFmtId="0" fontId="1" fillId="2" borderId="36" xfId="0" applyFont="1" applyFill="1" applyBorder="1"/>
    <xf numFmtId="43" fontId="0" fillId="2" borderId="28" xfId="49" applyFont="1" applyFill="1" applyBorder="1"/>
    <xf numFmtId="43" fontId="0" fillId="2" borderId="26" xfId="49" applyFont="1" applyFill="1" applyBorder="1"/>
    <xf numFmtId="43" fontId="0" fillId="2" borderId="9" xfId="49" applyFont="1" applyFill="1" applyBorder="1"/>
    <xf numFmtId="43" fontId="0" fillId="2" borderId="10" xfId="49" applyFont="1" applyFill="1" applyBorder="1"/>
    <xf numFmtId="0" fontId="5" fillId="0" borderId="37" xfId="0" applyFont="1" applyBorder="1" applyAlignment="1">
      <alignment horizontal="left" indent="3"/>
    </xf>
    <xf numFmtId="0" fontId="5" fillId="0" borderId="38" xfId="0" applyFont="1" applyBorder="1" applyAlignment="1">
      <alignment horizontal="left" indent="1"/>
    </xf>
    <xf numFmtId="0" fontId="5" fillId="0" borderId="38" xfId="0" applyFont="1" applyBorder="1"/>
    <xf numFmtId="0" fontId="5" fillId="0" borderId="39" xfId="0" applyFont="1" applyBorder="1"/>
    <xf numFmtId="0" fontId="1" fillId="0" borderId="37" xfId="0" applyFont="1" applyBorder="1" applyAlignment="1">
      <alignment horizontal="left" indent="3"/>
    </xf>
    <xf numFmtId="0" fontId="1" fillId="0" borderId="38" xfId="0" applyFont="1" applyBorder="1" applyAlignment="1">
      <alignment horizontal="left" indent="1"/>
    </xf>
    <xf numFmtId="0" fontId="1" fillId="0" borderId="38" xfId="0" applyFont="1" applyBorder="1"/>
    <xf numFmtId="0" fontId="1" fillId="0" borderId="39" xfId="0" applyFont="1" applyBorder="1"/>
    <xf numFmtId="43" fontId="0" fillId="0" borderId="32" xfId="49" applyFont="1" applyFill="1" applyBorder="1"/>
    <xf numFmtId="43" fontId="0" fillId="0" borderId="33" xfId="49" applyFont="1" applyFill="1" applyBorder="1"/>
    <xf numFmtId="43" fontId="0" fillId="0" borderId="28" xfId="49" applyFont="1" applyFill="1" applyBorder="1"/>
    <xf numFmtId="43" fontId="0" fillId="0" borderId="26" xfId="49" applyFont="1" applyFill="1" applyBorder="1"/>
    <xf numFmtId="43" fontId="1" fillId="0" borderId="26" xfId="49" applyFont="1" applyFill="1" applyBorder="1"/>
    <xf numFmtId="0" fontId="1" fillId="2" borderId="20" xfId="0" applyFont="1" applyFill="1" applyBorder="1" applyAlignment="1">
      <alignment horizontal="left" indent="1"/>
    </xf>
    <xf numFmtId="43" fontId="1" fillId="2" borderId="10" xfId="49" applyFont="1" applyFill="1" applyBorder="1" applyAlignment="1">
      <alignment horizontal="center" shrinkToFit="1"/>
    </xf>
    <xf numFmtId="43" fontId="1" fillId="2" borderId="40" xfId="49" applyFont="1" applyFill="1" applyBorder="1"/>
    <xf numFmtId="43" fontId="0" fillId="2" borderId="40" xfId="49" applyFont="1" applyFill="1" applyBorder="1"/>
    <xf numFmtId="43" fontId="5" fillId="4" borderId="18" xfId="49" applyFont="1" applyFill="1" applyBorder="1" applyAlignment="1">
      <alignment horizontal="center" shrinkToFit="1"/>
    </xf>
    <xf numFmtId="43" fontId="3" fillId="4" borderId="41" xfId="49" applyFont="1" applyFill="1" applyBorder="1"/>
    <xf numFmtId="43" fontId="3" fillId="2" borderId="42" xfId="49" applyFont="1" applyFill="1" applyBorder="1"/>
    <xf numFmtId="43" fontId="5" fillId="2" borderId="31" xfId="49" applyFont="1" applyFill="1" applyBorder="1" applyAlignment="1">
      <alignment horizontal="center" shrinkToFit="1"/>
    </xf>
    <xf numFmtId="43" fontId="5" fillId="2" borderId="31" xfId="49" applyFont="1" applyFill="1" applyBorder="1"/>
    <xf numFmtId="43" fontId="3" fillId="2" borderId="31" xfId="49" applyFont="1" applyFill="1" applyBorder="1"/>
    <xf numFmtId="43" fontId="1" fillId="2" borderId="26" xfId="49" applyFont="1" applyFill="1" applyBorder="1" applyAlignment="1">
      <alignment horizontal="center" shrinkToFit="1"/>
    </xf>
    <xf numFmtId="0" fontId="1" fillId="0" borderId="34" xfId="0" applyFont="1" applyBorder="1" applyAlignment="1">
      <alignment horizontal="left" indent="3"/>
    </xf>
    <xf numFmtId="43" fontId="0" fillId="2" borderId="27" xfId="49" applyFont="1" applyFill="1" applyBorder="1"/>
    <xf numFmtId="43" fontId="0" fillId="0" borderId="40" xfId="49" applyFont="1" applyBorder="1"/>
    <xf numFmtId="43" fontId="1" fillId="0" borderId="40" xfId="49" applyFont="1" applyBorder="1"/>
    <xf numFmtId="0" fontId="1" fillId="0" borderId="2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43" fontId="1" fillId="0" borderId="33" xfId="49" applyFont="1" applyFill="1" applyBorder="1" applyAlignment="1">
      <alignment horizontal="center"/>
    </xf>
    <xf numFmtId="43" fontId="1" fillId="0" borderId="10" xfId="49" applyFont="1" applyFill="1" applyBorder="1" applyAlignment="1">
      <alignment horizontal="center"/>
    </xf>
    <xf numFmtId="0" fontId="1" fillId="0" borderId="10" xfId="0" applyFont="1" applyBorder="1" applyAlignment="1">
      <alignment horizontal="center" shrinkToFit="1"/>
    </xf>
    <xf numFmtId="43" fontId="3" fillId="2" borderId="10" xfId="49" applyFont="1" applyFill="1" applyBorder="1" applyAlignment="1">
      <alignment horizontal="center" shrinkToFit="1"/>
    </xf>
    <xf numFmtId="43" fontId="10" fillId="0" borderId="15" xfId="49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43" fontId="11" fillId="2" borderId="16" xfId="49" applyFont="1" applyFill="1" applyBorder="1" applyAlignment="1">
      <alignment horizontal="center"/>
    </xf>
    <xf numFmtId="0" fontId="1" fillId="0" borderId="16" xfId="0" applyFont="1" applyBorder="1" applyAlignment="1">
      <alignment shrinkToFit="1"/>
    </xf>
    <xf numFmtId="0" fontId="0" fillId="2" borderId="16" xfId="0" applyFill="1" applyBorder="1" applyAlignment="1">
      <alignment horizontal="center" shrinkToFit="1"/>
    </xf>
    <xf numFmtId="43" fontId="1" fillId="2" borderId="24" xfId="49" applyFont="1" applyFill="1" applyBorder="1" applyAlignment="1">
      <alignment horizontal="center"/>
    </xf>
    <xf numFmtId="43" fontId="1" fillId="2" borderId="32" xfId="49" applyFont="1" applyFill="1" applyBorder="1"/>
    <xf numFmtId="43" fontId="1" fillId="2" borderId="24" xfId="49" applyFont="1" applyFill="1" applyBorder="1" applyAlignment="1">
      <alignment shrinkToFit="1"/>
    </xf>
    <xf numFmtId="43" fontId="1" fillId="2" borderId="28" xfId="49" applyFont="1" applyFill="1" applyBorder="1" applyAlignment="1">
      <alignment horizontal="center"/>
    </xf>
    <xf numFmtId="43" fontId="1" fillId="2" borderId="28" xfId="49" applyFont="1" applyFill="1" applyBorder="1" applyAlignment="1">
      <alignment shrinkToFit="1"/>
    </xf>
    <xf numFmtId="43" fontId="1" fillId="2" borderId="44" xfId="49" applyFont="1" applyFill="1" applyBorder="1"/>
    <xf numFmtId="43" fontId="1" fillId="2" borderId="44" xfId="49" applyFont="1" applyFill="1" applyBorder="1" applyAlignment="1">
      <alignment horizontal="center"/>
    </xf>
    <xf numFmtId="43" fontId="1" fillId="2" borderId="30" xfId="49" applyFont="1" applyFill="1" applyBorder="1" applyAlignment="1">
      <alignment horizontal="center"/>
    </xf>
    <xf numFmtId="43" fontId="1" fillId="2" borderId="44" xfId="49" applyFont="1" applyFill="1" applyBorder="1" applyAlignment="1">
      <alignment shrinkToFit="1"/>
    </xf>
    <xf numFmtId="43" fontId="3" fillId="4" borderId="45" xfId="49" applyFont="1" applyFill="1" applyBorder="1" applyAlignment="1">
      <alignment horizontal="center" shrinkToFit="1"/>
    </xf>
    <xf numFmtId="0" fontId="2" fillId="0" borderId="10" xfId="0" applyFont="1" applyBorder="1" applyAlignment="1">
      <alignment shrinkToFit="1"/>
    </xf>
    <xf numFmtId="0" fontId="1" fillId="0" borderId="10" xfId="0" applyFont="1" applyBorder="1" applyAlignment="1">
      <alignment shrinkToFit="1"/>
    </xf>
    <xf numFmtId="43" fontId="1" fillId="0" borderId="28" xfId="49" applyFont="1" applyBorder="1"/>
    <xf numFmtId="0" fontId="1" fillId="0" borderId="26" xfId="0" applyFont="1" applyBorder="1" applyAlignment="1">
      <alignment shrinkToFit="1"/>
    </xf>
    <xf numFmtId="43" fontId="1" fillId="0" borderId="26" xfId="49" applyFont="1" applyBorder="1" applyAlignment="1">
      <alignment shrinkToFit="1"/>
    </xf>
    <xf numFmtId="43" fontId="4" fillId="2" borderId="26" xfId="49" applyFont="1" applyFill="1" applyBorder="1"/>
    <xf numFmtId="0" fontId="4" fillId="2" borderId="26" xfId="0" applyFont="1" applyFill="1" applyBorder="1" applyAlignment="1">
      <alignment shrinkToFit="1"/>
    </xf>
    <xf numFmtId="43" fontId="4" fillId="2" borderId="26" xfId="49" applyFont="1" applyFill="1" applyBorder="1" applyAlignment="1">
      <alignment shrinkToFit="1"/>
    </xf>
    <xf numFmtId="43" fontId="1" fillId="2" borderId="26" xfId="49" applyFont="1" applyFill="1" applyBorder="1" applyAlignment="1">
      <alignment shrinkToFit="1"/>
    </xf>
    <xf numFmtId="43" fontId="1" fillId="2" borderId="10" xfId="49" applyFont="1" applyFill="1" applyBorder="1"/>
    <xf numFmtId="43" fontId="1" fillId="2" borderId="10" xfId="49" applyFont="1" applyFill="1" applyBorder="1" applyAlignment="1">
      <alignment shrinkToFit="1"/>
    </xf>
    <xf numFmtId="43" fontId="0" fillId="0" borderId="28" xfId="49" applyFont="1" applyBorder="1"/>
    <xf numFmtId="43" fontId="0" fillId="0" borderId="26" xfId="49" applyFont="1" applyBorder="1" applyAlignment="1">
      <alignment shrinkToFit="1"/>
    </xf>
    <xf numFmtId="43" fontId="0" fillId="0" borderId="10" xfId="49" applyFont="1" applyBorder="1" applyAlignment="1">
      <alignment shrinkToFit="1"/>
    </xf>
    <xf numFmtId="43" fontId="6" fillId="0" borderId="26" xfId="49" applyFont="1" applyBorder="1" applyAlignment="1">
      <alignment shrinkToFit="1"/>
    </xf>
    <xf numFmtId="43" fontId="1" fillId="0" borderId="24" xfId="0" applyNumberFormat="1" applyFont="1" applyBorder="1"/>
    <xf numFmtId="43" fontId="0" fillId="2" borderId="26" xfId="49" applyFont="1" applyFill="1" applyBorder="1" applyAlignment="1">
      <alignment shrinkToFit="1"/>
    </xf>
    <xf numFmtId="43" fontId="0" fillId="2" borderId="9" xfId="49" applyFont="1" applyFill="1" applyBorder="1" applyAlignment="1">
      <alignment shrinkToFit="1"/>
    </xf>
    <xf numFmtId="43" fontId="3" fillId="2" borderId="31" xfId="49" applyFont="1" applyFill="1" applyBorder="1" applyAlignment="1">
      <alignment shrinkToFit="1"/>
    </xf>
    <xf numFmtId="43" fontId="0" fillId="2" borderId="20" xfId="49" applyFont="1" applyFill="1" applyBorder="1"/>
    <xf numFmtId="43" fontId="1" fillId="2" borderId="20" xfId="49" applyFont="1" applyFill="1" applyBorder="1"/>
    <xf numFmtId="43" fontId="0" fillId="2" borderId="46" xfId="49" applyFont="1" applyFill="1" applyBorder="1"/>
    <xf numFmtId="43" fontId="1" fillId="2" borderId="46" xfId="49" applyFont="1" applyFill="1" applyBorder="1"/>
    <xf numFmtId="43" fontId="10" fillId="2" borderId="47" xfId="49" applyFont="1" applyFill="1" applyBorder="1"/>
    <xf numFmtId="43" fontId="4" fillId="2" borderId="47" xfId="49" applyFont="1" applyFill="1" applyBorder="1"/>
    <xf numFmtId="43" fontId="4" fillId="2" borderId="10" xfId="49" applyFont="1" applyFill="1" applyBorder="1" applyAlignment="1">
      <alignment shrinkToFit="1"/>
    </xf>
    <xf numFmtId="43" fontId="1" fillId="2" borderId="47" xfId="49" applyFont="1" applyFill="1" applyBorder="1"/>
    <xf numFmtId="43" fontId="0" fillId="2" borderId="47" xfId="49" applyFont="1" applyFill="1" applyBorder="1"/>
    <xf numFmtId="43" fontId="0" fillId="0" borderId="48" xfId="49" applyFont="1" applyFill="1" applyBorder="1"/>
    <xf numFmtId="43" fontId="0" fillId="0" borderId="49" xfId="49" applyFont="1" applyFill="1" applyBorder="1"/>
    <xf numFmtId="43" fontId="1" fillId="0" borderId="27" xfId="49" applyFont="1" applyBorder="1"/>
    <xf numFmtId="43" fontId="1" fillId="0" borderId="35" xfId="49" applyFont="1" applyBorder="1"/>
    <xf numFmtId="43" fontId="1" fillId="0" borderId="50" xfId="49" applyFont="1" applyBorder="1"/>
    <xf numFmtId="43" fontId="1" fillId="0" borderId="20" xfId="49" applyFont="1" applyBorder="1"/>
    <xf numFmtId="43" fontId="1" fillId="0" borderId="46" xfId="49" applyFont="1" applyBorder="1"/>
    <xf numFmtId="0" fontId="1" fillId="0" borderId="0" xfId="0" applyFont="1" applyAlignment="1">
      <alignment shrinkToFit="1"/>
    </xf>
    <xf numFmtId="0" fontId="1" fillId="0" borderId="0" xfId="0" applyFont="1" applyAlignment="1">
      <alignment horizontal="right"/>
    </xf>
    <xf numFmtId="0" fontId="1" fillId="0" borderId="51" xfId="0" applyFont="1" applyBorder="1"/>
    <xf numFmtId="43" fontId="1" fillId="0" borderId="0" xfId="49" applyFont="1"/>
    <xf numFmtId="0" fontId="1" fillId="0" borderId="52" xfId="0" applyFont="1" applyBorder="1"/>
    <xf numFmtId="0" fontId="4" fillId="0" borderId="33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43" fontId="3" fillId="2" borderId="10" xfId="49" applyFont="1" applyFill="1" applyBorder="1" applyAlignment="1">
      <alignment horizontal="center"/>
    </xf>
    <xf numFmtId="0" fontId="1" fillId="0" borderId="16" xfId="0" applyFont="1" applyBorder="1"/>
    <xf numFmtId="0" fontId="4" fillId="0" borderId="16" xfId="0" applyFont="1" applyBorder="1"/>
    <xf numFmtId="0" fontId="9" fillId="2" borderId="16" xfId="0" applyFont="1" applyFill="1" applyBorder="1"/>
    <xf numFmtId="0" fontId="1" fillId="0" borderId="53" xfId="0" applyFont="1" applyBorder="1"/>
    <xf numFmtId="43" fontId="2" fillId="3" borderId="54" xfId="49" applyFont="1" applyFill="1" applyBorder="1" applyAlignment="1">
      <alignment horizontal="center" shrinkToFit="1"/>
    </xf>
    <xf numFmtId="43" fontId="2" fillId="3" borderId="55" xfId="49" applyFont="1" applyFill="1" applyBorder="1" applyAlignment="1">
      <alignment horizontal="center" shrinkToFit="1"/>
    </xf>
    <xf numFmtId="43" fontId="0" fillId="2" borderId="24" xfId="49" applyFont="1" applyFill="1" applyBorder="1"/>
    <xf numFmtId="43" fontId="1" fillId="2" borderId="56" xfId="0" applyNumberFormat="1" applyFont="1" applyFill="1" applyBorder="1"/>
    <xf numFmtId="43" fontId="1" fillId="2" borderId="0" xfId="49" applyFont="1" applyFill="1"/>
    <xf numFmtId="43" fontId="1" fillId="2" borderId="39" xfId="0" applyNumberFormat="1" applyFont="1" applyFill="1" applyBorder="1"/>
    <xf numFmtId="43" fontId="1" fillId="2" borderId="20" xfId="0" applyNumberFormat="1" applyFont="1" applyFill="1" applyBorder="1"/>
    <xf numFmtId="0" fontId="1" fillId="2" borderId="7" xfId="0" applyFont="1" applyFill="1" applyBorder="1"/>
    <xf numFmtId="0" fontId="1" fillId="2" borderId="44" xfId="0" applyFont="1" applyFill="1" applyBorder="1"/>
    <xf numFmtId="43" fontId="1" fillId="2" borderId="57" xfId="0" applyNumberFormat="1" applyFont="1" applyFill="1" applyBorder="1"/>
    <xf numFmtId="43" fontId="3" fillId="4" borderId="58" xfId="49" applyFont="1" applyFill="1" applyBorder="1" applyAlignment="1">
      <alignment horizontal="center" shrinkToFit="1"/>
    </xf>
    <xf numFmtId="43" fontId="3" fillId="0" borderId="0" xfId="49" applyFont="1"/>
    <xf numFmtId="0" fontId="2" fillId="0" borderId="10" xfId="0" applyFont="1" applyBorder="1"/>
    <xf numFmtId="0" fontId="2" fillId="0" borderId="52" xfId="0" applyFont="1" applyBorder="1"/>
    <xf numFmtId="43" fontId="2" fillId="3" borderId="59" xfId="49" applyFont="1" applyFill="1" applyBorder="1"/>
    <xf numFmtId="0" fontId="1" fillId="0" borderId="10" xfId="0" applyFont="1" applyBorder="1"/>
    <xf numFmtId="43" fontId="1" fillId="0" borderId="60" xfId="0" applyNumberFormat="1" applyFont="1" applyBorder="1"/>
    <xf numFmtId="0" fontId="1" fillId="0" borderId="26" xfId="0" applyFont="1" applyBorder="1"/>
    <xf numFmtId="0" fontId="4" fillId="2" borderId="26" xfId="0" applyFont="1" applyFill="1" applyBorder="1"/>
    <xf numFmtId="43" fontId="4" fillId="2" borderId="0" xfId="49" applyFont="1" applyFill="1"/>
    <xf numFmtId="0" fontId="1" fillId="2" borderId="26" xfId="0" applyFont="1" applyFill="1" applyBorder="1"/>
    <xf numFmtId="43" fontId="1" fillId="2" borderId="60" xfId="0" applyNumberFormat="1" applyFont="1" applyFill="1" applyBorder="1"/>
    <xf numFmtId="43" fontId="1" fillId="2" borderId="26" xfId="0" applyNumberFormat="1" applyFont="1" applyFill="1" applyBorder="1"/>
    <xf numFmtId="0" fontId="1" fillId="2" borderId="10" xfId="0" applyFont="1" applyFill="1" applyBorder="1"/>
    <xf numFmtId="43" fontId="5" fillId="4" borderId="59" xfId="49" applyFont="1" applyFill="1" applyBorder="1"/>
    <xf numFmtId="43" fontId="5" fillId="0" borderId="0" xfId="49" applyFont="1"/>
    <xf numFmtId="43" fontId="1" fillId="0" borderId="49" xfId="49" applyFont="1" applyFill="1" applyBorder="1"/>
    <xf numFmtId="43" fontId="1" fillId="0" borderId="0" xfId="49" applyFont="1" applyFill="1"/>
    <xf numFmtId="43" fontId="1" fillId="0" borderId="52" xfId="0" applyNumberFormat="1" applyFont="1" applyBorder="1"/>
    <xf numFmtId="43" fontId="6" fillId="0" borderId="0" xfId="49" applyFont="1"/>
    <xf numFmtId="43" fontId="1" fillId="0" borderId="61" xfId="0" applyNumberFormat="1" applyFont="1" applyBorder="1"/>
    <xf numFmtId="43" fontId="3" fillId="4" borderId="62" xfId="0" applyNumberFormat="1" applyFont="1" applyFill="1" applyBorder="1"/>
    <xf numFmtId="43" fontId="3" fillId="4" borderId="62" xfId="49" applyFont="1" applyFill="1" applyBorder="1"/>
    <xf numFmtId="43" fontId="0" fillId="0" borderId="63" xfId="49" applyFont="1" applyFill="1" applyBorder="1"/>
    <xf numFmtId="43" fontId="0" fillId="0" borderId="20" xfId="49" applyFont="1" applyFill="1" applyBorder="1"/>
    <xf numFmtId="43" fontId="0" fillId="0" borderId="60" xfId="49" applyFont="1" applyFill="1" applyBorder="1"/>
    <xf numFmtId="43" fontId="0" fillId="2" borderId="0" xfId="49" applyFont="1" applyFill="1" applyBorder="1"/>
    <xf numFmtId="43" fontId="0" fillId="2" borderId="52" xfId="0" applyNumberFormat="1" applyFill="1" applyBorder="1"/>
    <xf numFmtId="43" fontId="5" fillId="4" borderId="64" xfId="49" applyFont="1" applyFill="1" applyBorder="1"/>
    <xf numFmtId="43" fontId="5" fillId="4" borderId="58" xfId="49" applyFont="1" applyFill="1" applyBorder="1"/>
    <xf numFmtId="43" fontId="3" fillId="2" borderId="65" xfId="0" applyNumberFormat="1" applyFont="1" applyFill="1" applyBorder="1"/>
    <xf numFmtId="43" fontId="0" fillId="2" borderId="21" xfId="0" applyNumberFormat="1" applyFill="1" applyBorder="1"/>
    <xf numFmtId="43" fontId="4" fillId="2" borderId="10" xfId="49" applyFont="1" applyFill="1" applyBorder="1"/>
    <xf numFmtId="43" fontId="1" fillId="2" borderId="52" xfId="0" applyNumberFormat="1" applyFont="1" applyFill="1" applyBorder="1"/>
    <xf numFmtId="43" fontId="1" fillId="2" borderId="61" xfId="0" applyNumberFormat="1" applyFont="1" applyFill="1" applyBorder="1"/>
    <xf numFmtId="43" fontId="0" fillId="0" borderId="52" xfId="49" applyFont="1" applyFill="1" applyBorder="1"/>
    <xf numFmtId="43" fontId="2" fillId="2" borderId="0" xfId="49" applyFont="1" applyFill="1"/>
    <xf numFmtId="43" fontId="3" fillId="2" borderId="0" xfId="49" applyFont="1" applyFill="1"/>
    <xf numFmtId="43" fontId="5" fillId="2" borderId="0" xfId="49" applyFont="1" applyFill="1"/>
    <xf numFmtId="43" fontId="6" fillId="2" borderId="0" xfId="49" applyFont="1" applyFill="1"/>
    <xf numFmtId="43" fontId="0" fillId="2" borderId="44" xfId="49" applyFont="1" applyFill="1" applyBorder="1"/>
    <xf numFmtId="43" fontId="0" fillId="2" borderId="30" xfId="49" applyFont="1" applyFill="1" applyBorder="1"/>
    <xf numFmtId="43" fontId="6" fillId="2" borderId="30" xfId="49" applyFont="1" applyFill="1" applyBorder="1"/>
    <xf numFmtId="0" fontId="5" fillId="0" borderId="35" xfId="0" applyFont="1" applyBorder="1" applyAlignment="1">
      <alignment horizontal="left" indent="1"/>
    </xf>
    <xf numFmtId="0" fontId="5" fillId="0" borderId="35" xfId="0" applyFont="1" applyBorder="1"/>
    <xf numFmtId="0" fontId="5" fillId="0" borderId="36" xfId="0" applyFont="1" applyBorder="1"/>
    <xf numFmtId="43" fontId="3" fillId="4" borderId="9" xfId="49" applyFont="1" applyFill="1" applyBorder="1"/>
    <xf numFmtId="43" fontId="3" fillId="4" borderId="10" xfId="49" applyFont="1" applyFill="1" applyBorder="1"/>
    <xf numFmtId="0" fontId="1" fillId="0" borderId="35" xfId="0" applyFont="1" applyBorder="1" applyAlignment="1">
      <alignment horizontal="left" indent="1"/>
    </xf>
    <xf numFmtId="0" fontId="1" fillId="0" borderId="35" xfId="0" applyFont="1" applyBorder="1"/>
    <xf numFmtId="0" fontId="1" fillId="0" borderId="36" xfId="0" applyFont="1" applyBorder="1"/>
    <xf numFmtId="43" fontId="0" fillId="0" borderId="66" xfId="49" applyFont="1" applyFill="1" applyBorder="1"/>
    <xf numFmtId="43" fontId="0" fillId="2" borderId="25" xfId="49" applyFont="1" applyFill="1" applyBorder="1"/>
    <xf numFmtId="43" fontId="0" fillId="2" borderId="28" xfId="49" applyFont="1" applyFill="1" applyBorder="1" applyAlignment="1">
      <alignment horizontal="left" shrinkToFit="1"/>
    </xf>
    <xf numFmtId="43" fontId="0" fillId="2" borderId="67" xfId="49" applyFont="1" applyFill="1" applyBorder="1"/>
    <xf numFmtId="0" fontId="0" fillId="2" borderId="28" xfId="0" applyFill="1" applyBorder="1"/>
    <xf numFmtId="43" fontId="6" fillId="2" borderId="46" xfId="49" applyFont="1" applyFill="1" applyBorder="1"/>
    <xf numFmtId="43" fontId="0" fillId="2" borderId="42" xfId="49" applyFont="1" applyFill="1" applyBorder="1"/>
    <xf numFmtId="43" fontId="11" fillId="4" borderId="17" xfId="49" applyFont="1" applyFill="1" applyBorder="1"/>
    <xf numFmtId="43" fontId="0" fillId="0" borderId="24" xfId="49" applyFont="1" applyFill="1" applyBorder="1"/>
    <xf numFmtId="43" fontId="0" fillId="0" borderId="23" xfId="49" applyFont="1" applyFill="1" applyBorder="1"/>
    <xf numFmtId="43" fontId="0" fillId="2" borderId="45" xfId="49" applyFont="1" applyFill="1" applyBorder="1"/>
    <xf numFmtId="43" fontId="0" fillId="2" borderId="29" xfId="49" applyFont="1" applyFill="1" applyBorder="1"/>
    <xf numFmtId="43" fontId="6" fillId="2" borderId="29" xfId="49" applyFont="1" applyFill="1" applyBorder="1"/>
    <xf numFmtId="0" fontId="3" fillId="2" borderId="19" xfId="0" applyFont="1" applyFill="1" applyBorder="1" applyAlignment="1">
      <alignment horizontal="left" indent="3"/>
    </xf>
    <xf numFmtId="0" fontId="3" fillId="2" borderId="20" xfId="0" applyFont="1" applyFill="1" applyBorder="1"/>
    <xf numFmtId="0" fontId="3" fillId="2" borderId="21" xfId="0" applyFont="1" applyFill="1" applyBorder="1"/>
    <xf numFmtId="43" fontId="3" fillId="0" borderId="32" xfId="49" applyFont="1" applyFill="1" applyBorder="1"/>
    <xf numFmtId="43" fontId="6" fillId="0" borderId="10" xfId="49" applyFont="1" applyFill="1" applyBorder="1"/>
    <xf numFmtId="43" fontId="6" fillId="2" borderId="40" xfId="49" applyFont="1" applyFill="1" applyBorder="1"/>
    <xf numFmtId="43" fontId="0" fillId="2" borderId="31" xfId="49" applyFont="1" applyFill="1" applyBorder="1"/>
    <xf numFmtId="0" fontId="1" fillId="2" borderId="38" xfId="0" applyFont="1" applyFill="1" applyBorder="1"/>
    <xf numFmtId="0" fontId="1" fillId="2" borderId="39" xfId="0" applyFont="1" applyFill="1" applyBorder="1"/>
    <xf numFmtId="0" fontId="1" fillId="2" borderId="28" xfId="0" applyFont="1" applyFill="1" applyBorder="1"/>
    <xf numFmtId="0" fontId="1" fillId="0" borderId="0" xfId="0" applyFont="1" applyAlignment="1">
      <alignment horizontal="left" indent="3"/>
    </xf>
    <xf numFmtId="0" fontId="5" fillId="0" borderId="8" xfId="0" applyFont="1" applyBorder="1" applyAlignment="1">
      <alignment horizontal="left"/>
    </xf>
    <xf numFmtId="0" fontId="1" fillId="0" borderId="68" xfId="0" applyFont="1" applyBorder="1" applyAlignment="1">
      <alignment horizontal="center"/>
    </xf>
    <xf numFmtId="0" fontId="1" fillId="0" borderId="40" xfId="0" applyFont="1" applyBorder="1"/>
    <xf numFmtId="43" fontId="1" fillId="4" borderId="32" xfId="0" applyNumberFormat="1" applyFont="1" applyFill="1" applyBorder="1"/>
    <xf numFmtId="43" fontId="1" fillId="4" borderId="18" xfId="0" applyNumberFormat="1" applyFont="1" applyFill="1" applyBorder="1"/>
    <xf numFmtId="43" fontId="1" fillId="0" borderId="9" xfId="0" applyNumberFormat="1" applyFont="1" applyBorder="1"/>
    <xf numFmtId="43" fontId="1" fillId="0" borderId="33" xfId="0" applyNumberFormat="1" applyFont="1" applyBorder="1"/>
    <xf numFmtId="43" fontId="12" fillId="2" borderId="68" xfId="49" applyFont="1" applyFill="1" applyBorder="1"/>
    <xf numFmtId="43" fontId="12" fillId="2" borderId="25" xfId="49" applyFont="1" applyFill="1" applyBorder="1"/>
    <xf numFmtId="43" fontId="12" fillId="2" borderId="28" xfId="49" applyFont="1" applyFill="1" applyBorder="1"/>
    <xf numFmtId="43" fontId="12" fillId="0" borderId="27" xfId="49" applyFont="1" applyBorder="1"/>
    <xf numFmtId="0" fontId="1" fillId="0" borderId="44" xfId="0" applyFont="1" applyBorder="1"/>
    <xf numFmtId="43" fontId="6" fillId="0" borderId="30" xfId="49" applyFont="1" applyBorder="1"/>
    <xf numFmtId="43" fontId="1" fillId="0" borderId="30" xfId="49" applyFont="1" applyBorder="1"/>
    <xf numFmtId="0" fontId="5" fillId="0" borderId="19" xfId="0" applyFont="1" applyBorder="1" applyAlignment="1">
      <alignment horizontal="left" indent="3"/>
    </xf>
    <xf numFmtId="0" fontId="5" fillId="0" borderId="20" xfId="0" applyFont="1" applyBorder="1"/>
    <xf numFmtId="0" fontId="5" fillId="0" borderId="21" xfId="0" applyFont="1" applyBorder="1"/>
    <xf numFmtId="43" fontId="3" fillId="4" borderId="29" xfId="49" applyFont="1" applyFill="1" applyBorder="1"/>
    <xf numFmtId="43" fontId="1" fillId="0" borderId="24" xfId="49" applyFont="1" applyFill="1" applyBorder="1"/>
    <xf numFmtId="43" fontId="1" fillId="0" borderId="23" xfId="49" applyFont="1" applyFill="1" applyBorder="1"/>
    <xf numFmtId="43" fontId="1" fillId="0" borderId="9" xfId="49" applyFont="1" applyFill="1" applyBorder="1"/>
    <xf numFmtId="43" fontId="1" fillId="0" borderId="10" xfId="49" applyFont="1" applyFill="1" applyBorder="1"/>
    <xf numFmtId="43" fontId="1" fillId="0" borderId="28" xfId="49" applyFont="1" applyFill="1" applyBorder="1"/>
    <xf numFmtId="0" fontId="1" fillId="0" borderId="28" xfId="0" applyFont="1" applyBorder="1"/>
    <xf numFmtId="43" fontId="1" fillId="2" borderId="45" xfId="49" applyFont="1" applyFill="1" applyBorder="1"/>
    <xf numFmtId="0" fontId="1" fillId="0" borderId="9" xfId="0" applyFont="1" applyBorder="1"/>
    <xf numFmtId="43" fontId="1" fillId="4" borderId="17" xfId="49" applyFont="1" applyFill="1" applyBorder="1"/>
    <xf numFmtId="43" fontId="1" fillId="4" borderId="18" xfId="49" applyFont="1" applyFill="1" applyBorder="1"/>
    <xf numFmtId="43" fontId="1" fillId="0" borderId="20" xfId="49" applyFont="1" applyFill="1" applyBorder="1"/>
    <xf numFmtId="43" fontId="6" fillId="2" borderId="44" xfId="49" applyFont="1" applyFill="1" applyBorder="1"/>
    <xf numFmtId="43" fontId="6" fillId="2" borderId="69" xfId="49" applyFont="1" applyFill="1" applyBorder="1"/>
    <xf numFmtId="43" fontId="1" fillId="2" borderId="70" xfId="49" applyFont="1" applyFill="1" applyBorder="1"/>
    <xf numFmtId="43" fontId="3" fillId="4" borderId="47" xfId="49" applyFont="1" applyFill="1" applyBorder="1"/>
    <xf numFmtId="43" fontId="1" fillId="2" borderId="35" xfId="49" applyFont="1" applyFill="1" applyBorder="1"/>
    <xf numFmtId="43" fontId="1" fillId="2" borderId="50" xfId="49" applyFont="1" applyFill="1" applyBorder="1"/>
    <xf numFmtId="43" fontId="0" fillId="2" borderId="28" xfId="49" applyFont="1" applyFill="1" applyBorder="1" applyAlignment="1">
      <alignment shrinkToFit="1"/>
    </xf>
    <xf numFmtId="43" fontId="0" fillId="2" borderId="40" xfId="49" applyFont="1" applyFill="1" applyBorder="1" applyAlignment="1">
      <alignment shrinkToFit="1"/>
    </xf>
    <xf numFmtId="43" fontId="3" fillId="4" borderId="59" xfId="49" applyFont="1" applyFill="1" applyBorder="1"/>
    <xf numFmtId="43" fontId="0" fillId="0" borderId="71" xfId="49" applyFont="1" applyFill="1" applyBorder="1"/>
    <xf numFmtId="43" fontId="0" fillId="0" borderId="72" xfId="49" applyFont="1" applyFill="1" applyBorder="1"/>
    <xf numFmtId="43" fontId="0" fillId="2" borderId="10" xfId="49" applyFont="1" applyFill="1" applyBorder="1" applyAlignment="1">
      <alignment shrinkToFit="1"/>
    </xf>
    <xf numFmtId="43" fontId="0" fillId="2" borderId="43" xfId="49" applyFont="1" applyFill="1" applyBorder="1"/>
    <xf numFmtId="43" fontId="0" fillId="2" borderId="11" xfId="49" applyFont="1" applyFill="1" applyBorder="1"/>
    <xf numFmtId="43" fontId="0" fillId="2" borderId="29" xfId="49" applyFont="1" applyFill="1" applyBorder="1" applyAlignment="1">
      <alignment shrinkToFit="1"/>
    </xf>
    <xf numFmtId="43" fontId="1" fillId="2" borderId="29" xfId="49" applyFont="1" applyFill="1" applyBorder="1" applyAlignment="1">
      <alignment shrinkToFit="1"/>
    </xf>
    <xf numFmtId="43" fontId="0" fillId="0" borderId="33" xfId="49" applyFont="1" applyFill="1" applyBorder="1" applyAlignment="1">
      <alignment shrinkToFit="1"/>
    </xf>
    <xf numFmtId="43" fontId="1" fillId="0" borderId="33" xfId="49" applyFont="1" applyFill="1" applyBorder="1" applyAlignment="1">
      <alignment shrinkToFit="1"/>
    </xf>
    <xf numFmtId="43" fontId="0" fillId="2" borderId="30" xfId="49" applyFont="1" applyFill="1" applyBorder="1" applyAlignment="1">
      <alignment shrinkToFit="1"/>
    </xf>
    <xf numFmtId="43" fontId="0" fillId="2" borderId="10" xfId="49" applyFont="1" applyFill="1" applyBorder="1" applyAlignment="1">
      <alignment horizontal="center"/>
    </xf>
    <xf numFmtId="43" fontId="1" fillId="0" borderId="15" xfId="49" applyFont="1" applyBorder="1" applyAlignment="1">
      <alignment horizontal="center"/>
    </xf>
    <xf numFmtId="43" fontId="0" fillId="2" borderId="38" xfId="49" applyFont="1" applyFill="1" applyBorder="1"/>
    <xf numFmtId="43" fontId="0" fillId="2" borderId="73" xfId="49" applyFont="1" applyFill="1" applyBorder="1"/>
    <xf numFmtId="43" fontId="0" fillId="2" borderId="74" xfId="49" applyFont="1" applyFill="1" applyBorder="1"/>
    <xf numFmtId="43" fontId="1" fillId="2" borderId="74" xfId="49" applyFont="1" applyFill="1" applyBorder="1"/>
    <xf numFmtId="43" fontId="0" fillId="2" borderId="31" xfId="49" applyFont="1" applyFill="1" applyBorder="1" applyAlignment="1">
      <alignment shrinkToFit="1"/>
    </xf>
    <xf numFmtId="43" fontId="1" fillId="0" borderId="71" xfId="0" applyNumberFormat="1" applyFont="1" applyBorder="1"/>
    <xf numFmtId="43" fontId="0" fillId="0" borderId="0" xfId="49" applyFont="1" applyBorder="1"/>
    <xf numFmtId="43" fontId="6" fillId="2" borderId="20" xfId="49" applyFont="1" applyFill="1" applyBorder="1"/>
    <xf numFmtId="43" fontId="6" fillId="0" borderId="35" xfId="49" applyFont="1" applyBorder="1"/>
    <xf numFmtId="0" fontId="1" fillId="0" borderId="27" xfId="0" applyFont="1" applyBorder="1"/>
    <xf numFmtId="43" fontId="1" fillId="0" borderId="71" xfId="49" applyFont="1" applyFill="1" applyBorder="1"/>
    <xf numFmtId="43" fontId="1" fillId="0" borderId="72" xfId="49" applyFont="1" applyFill="1" applyBorder="1"/>
    <xf numFmtId="43" fontId="1" fillId="0" borderId="0" xfId="49" applyFont="1" applyFill="1" applyBorder="1"/>
    <xf numFmtId="43" fontId="1" fillId="0" borderId="47" xfId="49" applyFont="1" applyFill="1" applyBorder="1"/>
    <xf numFmtId="43" fontId="0" fillId="0" borderId="46" xfId="49" applyFont="1" applyFill="1" applyBorder="1"/>
    <xf numFmtId="43" fontId="1" fillId="0" borderId="46" xfId="49" applyFont="1" applyFill="1" applyBorder="1"/>
    <xf numFmtId="43" fontId="1" fillId="0" borderId="26" xfId="49" applyFont="1" applyFill="1" applyBorder="1" applyAlignment="1">
      <alignment shrinkToFit="1"/>
    </xf>
    <xf numFmtId="43" fontId="1" fillId="2" borderId="11" xfId="49" applyFont="1" applyFill="1" applyBorder="1"/>
    <xf numFmtId="43" fontId="1" fillId="0" borderId="48" xfId="49" applyFont="1" applyFill="1" applyBorder="1"/>
    <xf numFmtId="43" fontId="1" fillId="2" borderId="75" xfId="0" applyNumberFormat="1" applyFont="1" applyFill="1" applyBorder="1"/>
    <xf numFmtId="43" fontId="3" fillId="4" borderId="76" xfId="49" applyFont="1" applyFill="1" applyBorder="1"/>
    <xf numFmtId="43" fontId="0" fillId="0" borderId="61" xfId="49" applyFont="1" applyFill="1" applyBorder="1"/>
    <xf numFmtId="43" fontId="5" fillId="4" borderId="62" xfId="0" applyNumberFormat="1" applyFont="1" applyFill="1" applyBorder="1"/>
    <xf numFmtId="43" fontId="1" fillId="0" borderId="65" xfId="0" applyNumberFormat="1" applyFont="1" applyBorder="1"/>
    <xf numFmtId="43" fontId="1" fillId="0" borderId="63" xfId="0" applyNumberFormat="1" applyFont="1" applyBorder="1"/>
    <xf numFmtId="43" fontId="1" fillId="2" borderId="21" xfId="0" applyNumberFormat="1" applyFont="1" applyFill="1" applyBorder="1"/>
    <xf numFmtId="43" fontId="1" fillId="2" borderId="0" xfId="0" applyNumberFormat="1" applyFont="1" applyFill="1"/>
    <xf numFmtId="0" fontId="0" fillId="2" borderId="16" xfId="0" applyFill="1" applyBorder="1" applyAlignment="1">
      <alignment horizontal="center"/>
    </xf>
    <xf numFmtId="43" fontId="1" fillId="4" borderId="62" xfId="0" applyNumberFormat="1" applyFont="1" applyFill="1" applyBorder="1"/>
    <xf numFmtId="43" fontId="1" fillId="2" borderId="43" xfId="49" applyFont="1" applyFill="1" applyBorder="1"/>
    <xf numFmtId="43" fontId="1" fillId="2" borderId="31" xfId="49" applyFont="1" applyFill="1" applyBorder="1"/>
    <xf numFmtId="0" fontId="5" fillId="2" borderId="19" xfId="0" applyFont="1" applyFill="1" applyBorder="1" applyAlignment="1">
      <alignment horizontal="left" indent="3"/>
    </xf>
    <xf numFmtId="0" fontId="5" fillId="2" borderId="20" xfId="0" applyFont="1" applyFill="1" applyBorder="1"/>
    <xf numFmtId="0" fontId="5" fillId="2" borderId="21" xfId="0" applyFont="1" applyFill="1" applyBorder="1"/>
    <xf numFmtId="43" fontId="3" fillId="4" borderId="64" xfId="49" applyFont="1" applyFill="1" applyBorder="1"/>
    <xf numFmtId="43" fontId="3" fillId="4" borderId="77" xfId="49" applyFont="1" applyFill="1" applyBorder="1"/>
    <xf numFmtId="43" fontId="3" fillId="4" borderId="78" xfId="49" applyFont="1" applyFill="1" applyBorder="1"/>
    <xf numFmtId="0" fontId="1" fillId="2" borderId="19" xfId="0" applyFont="1" applyFill="1" applyBorder="1" applyAlignment="1">
      <alignment horizontal="left" indent="3" shrinkToFit="1"/>
    </xf>
    <xf numFmtId="0" fontId="1" fillId="2" borderId="20" xfId="0" applyFont="1" applyFill="1" applyBorder="1" applyAlignment="1">
      <alignment horizontal="left" indent="3" shrinkToFit="1"/>
    </xf>
    <xf numFmtId="0" fontId="1" fillId="2" borderId="21" xfId="0" applyFont="1" applyFill="1" applyBorder="1" applyAlignment="1">
      <alignment horizontal="left" indent="3" shrinkToFit="1"/>
    </xf>
    <xf numFmtId="43" fontId="1" fillId="2" borderId="25" xfId="49" applyFont="1" applyFill="1" applyBorder="1"/>
    <xf numFmtId="43" fontId="1" fillId="2" borderId="42" xfId="49" applyFont="1" applyFill="1" applyBorder="1"/>
    <xf numFmtId="0" fontId="5" fillId="0" borderId="19" xfId="0" applyFont="1" applyBorder="1" applyAlignment="1">
      <alignment horizontal="left" indent="3" shrinkToFit="1"/>
    </xf>
    <xf numFmtId="0" fontId="5" fillId="0" borderId="20" xfId="0" applyFont="1" applyBorder="1" applyAlignment="1">
      <alignment horizontal="left" indent="3" shrinkToFit="1"/>
    </xf>
    <xf numFmtId="0" fontId="5" fillId="0" borderId="21" xfId="0" applyFont="1" applyBorder="1" applyAlignment="1">
      <alignment horizontal="left" indent="3" shrinkToFit="1"/>
    </xf>
    <xf numFmtId="43" fontId="5" fillId="4" borderId="17" xfId="49" applyFont="1" applyFill="1" applyBorder="1"/>
    <xf numFmtId="0" fontId="1" fillId="0" borderId="19" xfId="0" applyFont="1" applyBorder="1" applyAlignment="1">
      <alignment horizontal="left" indent="3" shrinkToFit="1"/>
    </xf>
    <xf numFmtId="0" fontId="1" fillId="0" borderId="20" xfId="0" applyFont="1" applyBorder="1" applyAlignment="1">
      <alignment horizontal="left" indent="3" shrinkToFit="1"/>
    </xf>
    <xf numFmtId="0" fontId="1" fillId="0" borderId="21" xfId="0" applyFont="1" applyBorder="1" applyAlignment="1">
      <alignment horizontal="left" indent="3" shrinkToFit="1"/>
    </xf>
    <xf numFmtId="43" fontId="1" fillId="0" borderId="42" xfId="49" applyFont="1" applyFill="1" applyBorder="1"/>
    <xf numFmtId="43" fontId="1" fillId="0" borderId="31" xfId="49" applyFont="1" applyFill="1" applyBorder="1"/>
    <xf numFmtId="0" fontId="12" fillId="2" borderId="19" xfId="0" applyFont="1" applyFill="1" applyBorder="1" applyAlignment="1">
      <alignment horizontal="center" shrinkToFit="1"/>
    </xf>
    <xf numFmtId="0" fontId="12" fillId="2" borderId="20" xfId="0" applyFont="1" applyFill="1" applyBorder="1" applyAlignment="1">
      <alignment horizontal="center" shrinkToFit="1"/>
    </xf>
    <xf numFmtId="0" fontId="12" fillId="2" borderId="21" xfId="0" applyFont="1" applyFill="1" applyBorder="1" applyAlignment="1">
      <alignment horizontal="center" shrinkToFit="1"/>
    </xf>
    <xf numFmtId="43" fontId="6" fillId="2" borderId="42" xfId="49" applyFont="1" applyFill="1" applyBorder="1"/>
    <xf numFmtId="43" fontId="6" fillId="2" borderId="45" xfId="49" applyFont="1" applyFill="1" applyBorder="1"/>
    <xf numFmtId="0" fontId="5" fillId="2" borderId="19" xfId="0" applyFont="1" applyFill="1" applyBorder="1" applyAlignment="1">
      <alignment horizontal="left" indent="3" shrinkToFit="1"/>
    </xf>
    <xf numFmtId="0" fontId="5" fillId="2" borderId="20" xfId="0" applyFont="1" applyFill="1" applyBorder="1" applyAlignment="1">
      <alignment horizontal="left" indent="3" shrinkToFit="1"/>
    </xf>
    <xf numFmtId="0" fontId="5" fillId="2" borderId="21" xfId="0" applyFont="1" applyFill="1" applyBorder="1" applyAlignment="1">
      <alignment horizontal="left" indent="3" shrinkToFit="1"/>
    </xf>
    <xf numFmtId="43" fontId="3" fillId="4" borderId="45" xfId="49" applyFont="1" applyFill="1" applyBorder="1"/>
    <xf numFmtId="43" fontId="0" fillId="2" borderId="33" xfId="49" applyFont="1" applyFill="1" applyBorder="1"/>
    <xf numFmtId="43" fontId="1" fillId="2" borderId="33" xfId="49" applyFont="1" applyFill="1" applyBorder="1"/>
    <xf numFmtId="0" fontId="1" fillId="2" borderId="35" xfId="0" applyFont="1" applyFill="1" applyBorder="1" applyAlignment="1">
      <alignment horizontal="left" indent="3" shrinkToFit="1"/>
    </xf>
    <xf numFmtId="0" fontId="1" fillId="0" borderId="35" xfId="0" applyFont="1" applyBorder="1" applyAlignment="1">
      <alignment horizontal="left" indent="3" shrinkToFit="1"/>
    </xf>
    <xf numFmtId="0" fontId="1" fillId="0" borderId="36" xfId="0" applyFont="1" applyBorder="1" applyAlignment="1">
      <alignment horizontal="left" indent="3" shrinkToFit="1"/>
    </xf>
    <xf numFmtId="0" fontId="1" fillId="0" borderId="7" xfId="0" applyFont="1" applyBorder="1" applyAlignment="1">
      <alignment horizontal="left" indent="2"/>
    </xf>
    <xf numFmtId="0" fontId="5" fillId="0" borderId="37" xfId="0" applyFont="1" applyBorder="1" applyAlignment="1">
      <alignment horizontal="left" indent="2"/>
    </xf>
    <xf numFmtId="0" fontId="1" fillId="0" borderId="37" xfId="0" applyFont="1" applyBorder="1" applyAlignment="1">
      <alignment horizontal="left" indent="2"/>
    </xf>
    <xf numFmtId="0" fontId="1" fillId="0" borderId="21" xfId="0" applyFont="1" applyBorder="1" applyAlignment="1">
      <alignment horizontal="left" indent="1"/>
    </xf>
    <xf numFmtId="0" fontId="1" fillId="0" borderId="36" xfId="0" applyFont="1" applyBorder="1" applyAlignment="1">
      <alignment horizontal="left" indent="1"/>
    </xf>
    <xf numFmtId="0" fontId="1" fillId="0" borderId="39" xfId="0" applyFont="1" applyBorder="1" applyAlignment="1">
      <alignment horizontal="left" indent="1"/>
    </xf>
    <xf numFmtId="43" fontId="0" fillId="4" borderId="17" xfId="49" applyFont="1" applyFill="1" applyBorder="1"/>
    <xf numFmtId="43" fontId="0" fillId="4" borderId="18" xfId="49" applyFont="1" applyFill="1" applyBorder="1"/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43" fontId="0" fillId="2" borderId="23" xfId="49" applyFont="1" applyFill="1" applyBorder="1"/>
    <xf numFmtId="43" fontId="0" fillId="2" borderId="32" xfId="49" applyFont="1" applyFill="1" applyBorder="1"/>
    <xf numFmtId="43" fontId="1" fillId="2" borderId="31" xfId="49" applyFont="1" applyFill="1" applyBorder="1" applyAlignment="1">
      <alignment shrinkToFit="1"/>
    </xf>
    <xf numFmtId="43" fontId="3" fillId="4" borderId="79" xfId="49" applyFont="1" applyFill="1" applyBorder="1"/>
    <xf numFmtId="43" fontId="3" fillId="4" borderId="80" xfId="49" applyFont="1" applyFill="1" applyBorder="1"/>
    <xf numFmtId="43" fontId="1" fillId="2" borderId="38" xfId="49" applyFont="1" applyFill="1" applyBorder="1"/>
    <xf numFmtId="43" fontId="1" fillId="0" borderId="38" xfId="49" applyFont="1" applyFill="1" applyBorder="1"/>
    <xf numFmtId="43" fontId="1" fillId="0" borderId="74" xfId="49" applyFont="1" applyFill="1" applyBorder="1"/>
    <xf numFmtId="43" fontId="6" fillId="2" borderId="38" xfId="49" applyFont="1" applyFill="1" applyBorder="1"/>
    <xf numFmtId="43" fontId="6" fillId="2" borderId="43" xfId="49" applyFont="1" applyFill="1" applyBorder="1"/>
    <xf numFmtId="43" fontId="1" fillId="2" borderId="48" xfId="49" applyFont="1" applyFill="1" applyBorder="1"/>
    <xf numFmtId="43" fontId="1" fillId="2" borderId="49" xfId="49" applyFont="1" applyFill="1" applyBorder="1"/>
    <xf numFmtId="43" fontId="3" fillId="2" borderId="10" xfId="49" applyFont="1" applyFill="1" applyBorder="1"/>
    <xf numFmtId="43" fontId="3" fillId="2" borderId="26" xfId="49" applyFont="1" applyFill="1" applyBorder="1"/>
    <xf numFmtId="43" fontId="3" fillId="2" borderId="29" xfId="49" applyFont="1" applyFill="1" applyBorder="1"/>
    <xf numFmtId="43" fontId="0" fillId="0" borderId="28" xfId="49" applyFont="1" applyBorder="1" applyAlignment="1">
      <alignment shrinkToFit="1"/>
    </xf>
    <xf numFmtId="43" fontId="1" fillId="0" borderId="28" xfId="49" applyFont="1" applyBorder="1" applyAlignment="1">
      <alignment shrinkToFit="1"/>
    </xf>
    <xf numFmtId="43" fontId="0" fillId="0" borderId="27" xfId="49" applyFont="1" applyBorder="1"/>
    <xf numFmtId="43" fontId="0" fillId="0" borderId="45" xfId="49" applyFont="1" applyBorder="1"/>
    <xf numFmtId="43" fontId="0" fillId="0" borderId="27" xfId="49" applyFont="1" applyBorder="1" applyAlignment="1">
      <alignment shrinkToFit="1"/>
    </xf>
    <xf numFmtId="43" fontId="1" fillId="0" borderId="27" xfId="49" applyFont="1" applyBorder="1" applyAlignment="1">
      <alignment shrinkToFit="1"/>
    </xf>
    <xf numFmtId="43" fontId="1" fillId="0" borderId="10" xfId="49" applyFont="1" applyBorder="1" applyAlignment="1">
      <alignment shrinkToFit="1"/>
    </xf>
    <xf numFmtId="43" fontId="0" fillId="0" borderId="29" xfId="49" applyFont="1" applyBorder="1"/>
    <xf numFmtId="43" fontId="1" fillId="0" borderId="29" xfId="49" applyFont="1" applyBorder="1"/>
    <xf numFmtId="43" fontId="0" fillId="0" borderId="29" xfId="49" applyFont="1" applyBorder="1" applyAlignment="1">
      <alignment shrinkToFit="1"/>
    </xf>
    <xf numFmtId="43" fontId="1" fillId="0" borderId="29" xfId="49" applyFont="1" applyBorder="1" applyAlignment="1">
      <alignment shrinkToFit="1"/>
    </xf>
    <xf numFmtId="43" fontId="0" fillId="2" borderId="35" xfId="49" applyFont="1" applyFill="1" applyBorder="1"/>
    <xf numFmtId="43" fontId="0" fillId="2" borderId="71" xfId="49" applyFont="1" applyFill="1" applyBorder="1"/>
    <xf numFmtId="43" fontId="0" fillId="2" borderId="48" xfId="49" applyFont="1" applyFill="1" applyBorder="1"/>
    <xf numFmtId="43" fontId="0" fillId="2" borderId="49" xfId="49" applyFont="1" applyFill="1" applyBorder="1"/>
    <xf numFmtId="43" fontId="3" fillId="4" borderId="81" xfId="49" applyFont="1" applyFill="1" applyBorder="1"/>
    <xf numFmtId="43" fontId="3" fillId="4" borderId="55" xfId="49" applyFont="1" applyFill="1" applyBorder="1"/>
    <xf numFmtId="43" fontId="1" fillId="2" borderId="8" xfId="0" applyNumberFormat="1" applyFont="1" applyFill="1" applyBorder="1"/>
    <xf numFmtId="43" fontId="5" fillId="4" borderId="55" xfId="49" applyFont="1" applyFill="1" applyBorder="1"/>
    <xf numFmtId="43" fontId="1" fillId="0" borderId="82" xfId="49" applyFont="1" applyFill="1" applyBorder="1"/>
    <xf numFmtId="43" fontId="1" fillId="2" borderId="21" xfId="49" applyFont="1" applyFill="1" applyBorder="1"/>
    <xf numFmtId="43" fontId="1" fillId="2" borderId="31" xfId="49" applyFont="1" applyFill="1" applyBorder="1" applyAlignment="1">
      <alignment horizontal="center" shrinkToFit="1"/>
    </xf>
    <xf numFmtId="43" fontId="5" fillId="4" borderId="62" xfId="49" applyFont="1" applyFill="1" applyBorder="1"/>
    <xf numFmtId="43" fontId="1" fillId="0" borderId="52" xfId="49" applyFont="1" applyFill="1" applyBorder="1"/>
    <xf numFmtId="43" fontId="1" fillId="2" borderId="76" xfId="0" applyNumberFormat="1" applyFont="1" applyFill="1" applyBorder="1"/>
    <xf numFmtId="43" fontId="1" fillId="2" borderId="33" xfId="49" applyFont="1" applyFill="1" applyBorder="1" applyAlignment="1">
      <alignment shrinkToFit="1"/>
    </xf>
    <xf numFmtId="43" fontId="1" fillId="2" borderId="83" xfId="0" applyNumberFormat="1" applyFont="1" applyFill="1" applyBorder="1"/>
    <xf numFmtId="43" fontId="1" fillId="4" borderId="62" xfId="49" applyFont="1" applyFill="1" applyBorder="1"/>
    <xf numFmtId="43" fontId="1" fillId="0" borderId="61" xfId="49" applyFont="1" applyFill="1" applyBorder="1"/>
    <xf numFmtId="43" fontId="1" fillId="0" borderId="39" xfId="49" applyFont="1" applyFill="1" applyBorder="1"/>
    <xf numFmtId="43" fontId="1" fillId="0" borderId="21" xfId="0" applyNumberFormat="1" applyFont="1" applyBorder="1"/>
    <xf numFmtId="43" fontId="1" fillId="0" borderId="44" xfId="49" applyFont="1" applyBorder="1"/>
    <xf numFmtId="43" fontId="1" fillId="0" borderId="36" xfId="0" applyNumberFormat="1" applyFont="1" applyBorder="1"/>
    <xf numFmtId="43" fontId="1" fillId="0" borderId="76" xfId="0" applyNumberFormat="1" applyFont="1" applyBorder="1"/>
    <xf numFmtId="43" fontId="0" fillId="4" borderId="62" xfId="49" applyFont="1" applyFill="1" applyBorder="1"/>
    <xf numFmtId="43" fontId="0" fillId="0" borderId="65" xfId="49" applyFont="1" applyFill="1" applyBorder="1"/>
    <xf numFmtId="43" fontId="0" fillId="2" borderId="50" xfId="49" applyFont="1" applyFill="1" applyBorder="1"/>
    <xf numFmtId="43" fontId="0" fillId="2" borderId="75" xfId="49" applyFont="1" applyFill="1" applyBorder="1"/>
    <xf numFmtId="43" fontId="0" fillId="2" borderId="65" xfId="49" applyFont="1" applyFill="1" applyBorder="1"/>
    <xf numFmtId="43" fontId="0" fillId="4" borderId="59" xfId="49" applyFont="1" applyFill="1" applyBorder="1"/>
    <xf numFmtId="43" fontId="0" fillId="4" borderId="84" xfId="49" applyFont="1" applyFill="1" applyBorder="1"/>
    <xf numFmtId="43" fontId="0" fillId="2" borderId="52" xfId="49" applyFont="1" applyFill="1" applyBorder="1"/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5" fillId="0" borderId="20" xfId="0" applyFont="1" applyBorder="1" applyAlignment="1">
      <alignment horizontal="left" indent="1"/>
    </xf>
    <xf numFmtId="0" fontId="5" fillId="0" borderId="21" xfId="0" applyFont="1" applyBorder="1" applyAlignment="1">
      <alignment horizontal="left" indent="1"/>
    </xf>
    <xf numFmtId="0" fontId="1" fillId="2" borderId="21" xfId="0" applyFont="1" applyFill="1" applyBorder="1" applyAlignment="1">
      <alignment horizontal="left" indent="1"/>
    </xf>
    <xf numFmtId="43" fontId="0" fillId="0" borderId="38" xfId="49" applyFont="1" applyFill="1" applyBorder="1"/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8" xfId="0" applyFont="1" applyBorder="1" applyAlignment="1">
      <alignment horizontal="left" indent="1"/>
    </xf>
    <xf numFmtId="0" fontId="1" fillId="2" borderId="0" xfId="0" applyFont="1" applyFill="1" applyAlignment="1">
      <alignment horizontal="left" indent="2"/>
    </xf>
    <xf numFmtId="0" fontId="1" fillId="2" borderId="8" xfId="0" applyFont="1" applyFill="1" applyBorder="1" applyAlignment="1">
      <alignment horizontal="left" indent="2"/>
    </xf>
    <xf numFmtId="0" fontId="4" fillId="2" borderId="0" xfId="0" applyFont="1" applyFill="1" applyAlignment="1">
      <alignment horizontal="left" indent="2"/>
    </xf>
    <xf numFmtId="0" fontId="4" fillId="2" borderId="8" xfId="0" applyFont="1" applyFill="1" applyBorder="1" applyAlignment="1">
      <alignment horizontal="left" indent="2"/>
    </xf>
    <xf numFmtId="43" fontId="1" fillId="2" borderId="31" xfId="49" applyFont="1" applyFill="1" applyBorder="1" applyAlignment="1">
      <alignment horizontal="left" shrinkToFit="1"/>
    </xf>
    <xf numFmtId="43" fontId="9" fillId="2" borderId="10" xfId="49" applyFont="1" applyFill="1" applyBorder="1"/>
    <xf numFmtId="0" fontId="7" fillId="0" borderId="85" xfId="0" applyFont="1" applyBorder="1"/>
    <xf numFmtId="0" fontId="7" fillId="0" borderId="43" xfId="0" applyFont="1" applyBorder="1"/>
    <xf numFmtId="0" fontId="7" fillId="0" borderId="58" xfId="0" applyFont="1" applyBorder="1"/>
    <xf numFmtId="43" fontId="13" fillId="0" borderId="45" xfId="49" applyFont="1" applyBorder="1"/>
    <xf numFmtId="43" fontId="13" fillId="0" borderId="29" xfId="49" applyFont="1" applyBorder="1"/>
    <xf numFmtId="43" fontId="14" fillId="0" borderId="29" xfId="49" applyFont="1" applyBorder="1"/>
    <xf numFmtId="43" fontId="0" fillId="0" borderId="7" xfId="49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43" fontId="8" fillId="3" borderId="17" xfId="49" applyFont="1" applyFill="1" applyBorder="1"/>
    <xf numFmtId="43" fontId="8" fillId="3" borderId="18" xfId="49" applyFont="1" applyFill="1" applyBorder="1"/>
    <xf numFmtId="0" fontId="2" fillId="2" borderId="20" xfId="0" applyFont="1" applyFill="1" applyBorder="1"/>
    <xf numFmtId="0" fontId="2" fillId="2" borderId="21" xfId="0" applyFont="1" applyFill="1" applyBorder="1"/>
    <xf numFmtId="43" fontId="8" fillId="2" borderId="23" xfId="49" applyFont="1" applyFill="1" applyBorder="1"/>
    <xf numFmtId="43" fontId="8" fillId="2" borderId="31" xfId="49" applyFont="1" applyFill="1" applyBorder="1"/>
    <xf numFmtId="43" fontId="0" fillId="4" borderId="18" xfId="49" applyFont="1" applyFill="1" applyBorder="1" applyAlignment="1">
      <alignment shrinkToFit="1"/>
    </xf>
    <xf numFmtId="0" fontId="1" fillId="0" borderId="34" xfId="0" applyFont="1" applyBorder="1"/>
    <xf numFmtId="0" fontId="1" fillId="0" borderId="37" xfId="0" applyFont="1" applyBorder="1"/>
    <xf numFmtId="0" fontId="0" fillId="0" borderId="7" xfId="0" applyBorder="1"/>
    <xf numFmtId="0" fontId="0" fillId="0" borderId="8" xfId="0" applyBorder="1"/>
    <xf numFmtId="43" fontId="15" fillId="0" borderId="48" xfId="49" applyFont="1" applyBorder="1" applyAlignment="1">
      <alignment shrinkToFit="1"/>
    </xf>
    <xf numFmtId="43" fontId="15" fillId="0" borderId="49" xfId="49" applyFont="1" applyBorder="1" applyAlignment="1">
      <alignment shrinkToFit="1"/>
    </xf>
    <xf numFmtId="43" fontId="0" fillId="0" borderId="33" xfId="49" applyFont="1" applyBorder="1" applyAlignment="1">
      <alignment shrinkToFit="1"/>
    </xf>
    <xf numFmtId="43" fontId="0" fillId="0" borderId="47" xfId="49" applyFont="1" applyBorder="1"/>
    <xf numFmtId="43" fontId="0" fillId="0" borderId="30" xfId="49" applyFont="1" applyBorder="1" applyAlignment="1">
      <alignment shrinkToFit="1"/>
    </xf>
    <xf numFmtId="43" fontId="16" fillId="2" borderId="26" xfId="49" applyFont="1" applyFill="1" applyBorder="1"/>
    <xf numFmtId="43" fontId="10" fillId="2" borderId="26" xfId="49" applyFont="1" applyFill="1" applyBorder="1" applyAlignment="1">
      <alignment shrinkToFit="1"/>
    </xf>
    <xf numFmtId="43" fontId="12" fillId="2" borderId="10" xfId="49" applyFont="1" applyFill="1" applyBorder="1"/>
    <xf numFmtId="43" fontId="12" fillId="2" borderId="26" xfId="49" applyFont="1" applyFill="1" applyBorder="1"/>
    <xf numFmtId="43" fontId="12" fillId="2" borderId="31" xfId="49" applyFont="1" applyFill="1" applyBorder="1"/>
    <xf numFmtId="43" fontId="13" fillId="0" borderId="11" xfId="49" applyFont="1" applyBorder="1"/>
    <xf numFmtId="43" fontId="13" fillId="0" borderId="29" xfId="49" applyFont="1" applyBorder="1" applyAlignment="1">
      <alignment shrinkToFit="1"/>
    </xf>
    <xf numFmtId="43" fontId="14" fillId="0" borderId="0" xfId="49" applyFont="1" applyBorder="1"/>
    <xf numFmtId="43" fontId="0" fillId="0" borderId="0" xfId="49" applyFont="1" applyBorder="1" applyAlignment="1">
      <alignment shrinkToFit="1"/>
    </xf>
    <xf numFmtId="43" fontId="1" fillId="0" borderId="13" xfId="49" applyFont="1" applyBorder="1" applyAlignment="1">
      <alignment horizontal="center"/>
    </xf>
    <xf numFmtId="43" fontId="8" fillId="2" borderId="24" xfId="49" applyFont="1" applyFill="1" applyBorder="1"/>
    <xf numFmtId="43" fontId="8" fillId="2" borderId="71" xfId="49" applyFont="1" applyFill="1" applyBorder="1"/>
    <xf numFmtId="43" fontId="8" fillId="2" borderId="72" xfId="49" applyFont="1" applyFill="1" applyBorder="1"/>
    <xf numFmtId="43" fontId="0" fillId="2" borderId="42" xfId="49" applyFont="1" applyFill="1" applyBorder="1" applyAlignment="1">
      <alignment shrinkToFit="1"/>
    </xf>
    <xf numFmtId="43" fontId="0" fillId="2" borderId="38" xfId="49" applyFont="1" applyFill="1" applyBorder="1" applyAlignment="1">
      <alignment shrinkToFit="1"/>
    </xf>
    <xf numFmtId="43" fontId="0" fillId="0" borderId="20" xfId="49" applyFont="1" applyBorder="1" applyAlignment="1">
      <alignment shrinkToFit="1"/>
    </xf>
    <xf numFmtId="43" fontId="0" fillId="0" borderId="46" xfId="49" applyFont="1" applyBorder="1"/>
    <xf numFmtId="43" fontId="0" fillId="0" borderId="9" xfId="49" applyFont="1" applyBorder="1" applyAlignment="1">
      <alignment shrinkToFit="1"/>
    </xf>
    <xf numFmtId="43" fontId="0" fillId="2" borderId="20" xfId="49" applyFont="1" applyFill="1" applyBorder="1" applyAlignment="1">
      <alignment shrinkToFit="1"/>
    </xf>
    <xf numFmtId="43" fontId="0" fillId="2" borderId="0" xfId="49" applyFont="1" applyFill="1" applyBorder="1" applyAlignment="1">
      <alignment shrinkToFit="1"/>
    </xf>
    <xf numFmtId="43" fontId="15" fillId="0" borderId="33" xfId="49" applyFont="1" applyBorder="1" applyAlignment="1">
      <alignment shrinkToFit="1"/>
    </xf>
    <xf numFmtId="43" fontId="0" fillId="0" borderId="8" xfId="49" applyFont="1" applyFill="1" applyBorder="1"/>
    <xf numFmtId="43" fontId="0" fillId="4" borderId="55" xfId="49" applyFont="1" applyFill="1" applyBorder="1"/>
    <xf numFmtId="43" fontId="0" fillId="0" borderId="86" xfId="49" applyFont="1" applyFill="1" applyBorder="1"/>
    <xf numFmtId="43" fontId="0" fillId="0" borderId="87" xfId="49" applyFont="1" applyFill="1" applyBorder="1"/>
    <xf numFmtId="43" fontId="0" fillId="0" borderId="39" xfId="49" applyFont="1" applyFill="1" applyBorder="1"/>
    <xf numFmtId="43" fontId="12" fillId="2" borderId="60" xfId="0" applyNumberFormat="1" applyFont="1" applyFill="1" applyBorder="1"/>
    <xf numFmtId="43" fontId="12" fillId="2" borderId="61" xfId="0" applyNumberFormat="1" applyFont="1" applyFill="1" applyBorder="1"/>
    <xf numFmtId="43" fontId="12" fillId="2" borderId="52" xfId="0" applyNumberFormat="1" applyFont="1" applyFill="1" applyBorder="1"/>
    <xf numFmtId="43" fontId="13" fillId="0" borderId="76" xfId="0" applyNumberFormat="1" applyFont="1" applyBorder="1"/>
    <xf numFmtId="43" fontId="0" fillId="0" borderId="0" xfId="0" applyNumberForma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3" fontId="4" fillId="0" borderId="10" xfId="49" applyFont="1" applyFill="1" applyBorder="1" applyAlignment="1">
      <alignment horizontal="center"/>
    </xf>
    <xf numFmtId="43" fontId="9" fillId="2" borderId="0" xfId="49" applyFont="1" applyFill="1" applyBorder="1" applyAlignment="1">
      <alignment horizontal="center"/>
    </xf>
    <xf numFmtId="0" fontId="0" fillId="2" borderId="16" xfId="0" applyFill="1" applyBorder="1"/>
    <xf numFmtId="0" fontId="4" fillId="0" borderId="13" xfId="0" applyFont="1" applyBorder="1"/>
    <xf numFmtId="0" fontId="9" fillId="2" borderId="0" xfId="0" applyFont="1" applyFill="1"/>
    <xf numFmtId="43" fontId="8" fillId="3" borderId="88" xfId="49" applyFont="1" applyFill="1" applyBorder="1"/>
    <xf numFmtId="43" fontId="3" fillId="2" borderId="65" xfId="49" applyFont="1" applyFill="1" applyBorder="1"/>
    <xf numFmtId="43" fontId="0" fillId="0" borderId="20" xfId="49" applyFont="1" applyBorder="1"/>
    <xf numFmtId="43" fontId="15" fillId="0" borderId="63" xfId="49" applyFont="1" applyBorder="1" applyAlignment="1">
      <alignment shrinkToFit="1"/>
    </xf>
    <xf numFmtId="43" fontId="7" fillId="2" borderId="0" xfId="49" applyFont="1" applyFill="1"/>
    <xf numFmtId="43" fontId="0" fillId="2" borderId="0" xfId="49" applyFont="1" applyFill="1"/>
    <xf numFmtId="43" fontId="0" fillId="0" borderId="44" xfId="49" applyFont="1" applyBorder="1"/>
    <xf numFmtId="43" fontId="0" fillId="0" borderId="30" xfId="49" applyFont="1" applyBorder="1"/>
    <xf numFmtId="0" fontId="0" fillId="0" borderId="19" xfId="0" applyBorder="1" applyAlignment="1">
      <alignment horizontal="left" indent="3"/>
    </xf>
    <xf numFmtId="43" fontId="0" fillId="2" borderId="48" xfId="49" applyFont="1" applyFill="1" applyBorder="1" applyAlignment="1">
      <alignment shrinkToFit="1"/>
    </xf>
    <xf numFmtId="43" fontId="0" fillId="0" borderId="49" xfId="49" applyFont="1" applyBorder="1" applyAlignment="1">
      <alignment shrinkToFit="1"/>
    </xf>
    <xf numFmtId="43" fontId="1" fillId="0" borderId="33" xfId="49" applyFont="1" applyBorder="1"/>
    <xf numFmtId="43" fontId="0" fillId="0" borderId="46" xfId="49" applyFont="1" applyBorder="1" applyAlignment="1">
      <alignment shrinkToFit="1"/>
    </xf>
    <xf numFmtId="43" fontId="0" fillId="2" borderId="43" xfId="49" applyFont="1" applyFill="1" applyBorder="1" applyAlignment="1">
      <alignment shrinkToFit="1"/>
    </xf>
    <xf numFmtId="43" fontId="0" fillId="0" borderId="11" xfId="49" applyFont="1" applyBorder="1" applyAlignment="1">
      <alignment shrinkToFit="1"/>
    </xf>
    <xf numFmtId="0" fontId="0" fillId="0" borderId="20" xfId="0" applyBorder="1"/>
    <xf numFmtId="0" fontId="0" fillId="0" borderId="21" xfId="0" applyBorder="1"/>
    <xf numFmtId="43" fontId="0" fillId="4" borderId="64" xfId="49" applyFont="1" applyFill="1" applyBorder="1" applyAlignment="1">
      <alignment shrinkToFit="1"/>
    </xf>
    <xf numFmtId="43" fontId="0" fillId="4" borderId="59" xfId="49" applyFont="1" applyFill="1" applyBorder="1" applyAlignment="1">
      <alignment shrinkToFit="1"/>
    </xf>
    <xf numFmtId="43" fontId="1" fillId="4" borderId="59" xfId="49" applyFont="1" applyFill="1" applyBorder="1" applyAlignment="1">
      <alignment shrinkToFit="1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43" fontId="0" fillId="2" borderId="22" xfId="49" applyFont="1" applyFill="1" applyBorder="1" applyAlignment="1">
      <alignment shrinkToFit="1"/>
    </xf>
    <xf numFmtId="43" fontId="0" fillId="0" borderId="72" xfId="49" applyFont="1" applyBorder="1" applyAlignment="1">
      <alignment shrinkToFit="1"/>
    </xf>
    <xf numFmtId="43" fontId="1" fillId="2" borderId="71" xfId="49" applyFont="1" applyFill="1" applyBorder="1" applyAlignment="1">
      <alignment shrinkToFit="1"/>
    </xf>
    <xf numFmtId="43" fontId="0" fillId="2" borderId="47" xfId="49" applyFont="1" applyFill="1" applyBorder="1" applyAlignment="1">
      <alignment shrinkToFit="1"/>
    </xf>
    <xf numFmtId="43" fontId="0" fillId="2" borderId="35" xfId="49" applyFont="1" applyFill="1" applyBorder="1" applyAlignment="1">
      <alignment shrinkToFit="1"/>
    </xf>
    <xf numFmtId="43" fontId="0" fillId="2" borderId="50" xfId="49" applyFont="1" applyFill="1" applyBorder="1" applyAlignment="1">
      <alignment shrinkToFit="1"/>
    </xf>
    <xf numFmtId="43" fontId="0" fillId="0" borderId="38" xfId="49" applyFont="1" applyBorder="1" applyAlignment="1">
      <alignment shrinkToFit="1"/>
    </xf>
    <xf numFmtId="43" fontId="0" fillId="0" borderId="74" xfId="49" applyFont="1" applyBorder="1" applyAlignment="1">
      <alignment shrinkToFit="1"/>
    </xf>
    <xf numFmtId="43" fontId="0" fillId="0" borderId="31" xfId="49" applyFont="1" applyBorder="1" applyAlignment="1">
      <alignment shrinkToFit="1"/>
    </xf>
    <xf numFmtId="0" fontId="0" fillId="0" borderId="7" xfId="0" applyBorder="1" applyAlignment="1">
      <alignment horizontal="left" indent="3"/>
    </xf>
    <xf numFmtId="43" fontId="0" fillId="0" borderId="43" xfId="49" applyFont="1" applyBorder="1" applyAlignment="1">
      <alignment shrinkToFit="1"/>
    </xf>
    <xf numFmtId="0" fontId="6" fillId="2" borderId="7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43" fontId="0" fillId="2" borderId="71" xfId="49" applyFont="1" applyFill="1" applyBorder="1" applyAlignment="1">
      <alignment shrinkToFit="1"/>
    </xf>
    <xf numFmtId="43" fontId="6" fillId="2" borderId="72" xfId="49" applyFont="1" applyFill="1" applyBorder="1" applyAlignment="1">
      <alignment shrinkToFit="1"/>
    </xf>
    <xf numFmtId="43" fontId="1" fillId="2" borderId="23" xfId="49" applyFont="1" applyFill="1" applyBorder="1" applyAlignment="1">
      <alignment shrinkToFit="1"/>
    </xf>
    <xf numFmtId="43" fontId="0" fillId="0" borderId="47" xfId="49" applyFont="1" applyBorder="1" applyAlignment="1">
      <alignment shrinkToFit="1"/>
    </xf>
    <xf numFmtId="0" fontId="8" fillId="0" borderId="7" xfId="0" applyFont="1" applyBorder="1"/>
    <xf numFmtId="0" fontId="8" fillId="0" borderId="8" xfId="0" applyFont="1" applyBorder="1"/>
    <xf numFmtId="43" fontId="8" fillId="5" borderId="64" xfId="49" applyFont="1" applyFill="1" applyBorder="1" applyAlignment="1">
      <alignment shrinkToFit="1"/>
    </xf>
    <xf numFmtId="43" fontId="8" fillId="5" borderId="59" xfId="49" applyFont="1" applyFill="1" applyBorder="1" applyAlignment="1">
      <alignment shrinkToFi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43" fontId="0" fillId="0" borderId="13" xfId="49" applyFont="1" applyBorder="1" applyAlignment="1">
      <alignment shrinkToFit="1"/>
    </xf>
    <xf numFmtId="43" fontId="0" fillId="0" borderId="89" xfId="49" applyFont="1" applyBorder="1" applyAlignment="1">
      <alignment shrinkToFit="1"/>
    </xf>
    <xf numFmtId="43" fontId="0" fillId="0" borderId="16" xfId="49" applyFont="1" applyBorder="1" applyAlignment="1">
      <alignment shrinkToFit="1"/>
    </xf>
    <xf numFmtId="43" fontId="17" fillId="0" borderId="2" xfId="49" applyFont="1" applyBorder="1" applyAlignment="1">
      <alignment horizontal="center" shrinkToFit="1"/>
    </xf>
    <xf numFmtId="43" fontId="0" fillId="2" borderId="0" xfId="49" applyFont="1" applyFill="1" applyAlignment="1">
      <alignment shrinkToFit="1"/>
    </xf>
    <xf numFmtId="43" fontId="17" fillId="0" borderId="0" xfId="49" applyFont="1" applyBorder="1" applyAlignment="1">
      <alignment horizontal="center" shrinkToFit="1"/>
    </xf>
    <xf numFmtId="0" fontId="8" fillId="5" borderId="18" xfId="0" applyFont="1" applyFill="1" applyBorder="1"/>
    <xf numFmtId="43" fontId="8" fillId="5" borderId="18" xfId="49" applyFont="1" applyFill="1" applyBorder="1" applyAlignment="1">
      <alignment shrinkToFit="1"/>
    </xf>
    <xf numFmtId="43" fontId="3" fillId="5" borderId="18" xfId="49" applyFont="1" applyFill="1" applyBorder="1" applyAlignment="1">
      <alignment horizontal="center" shrinkToFit="1"/>
    </xf>
    <xf numFmtId="43" fontId="0" fillId="0" borderId="0" xfId="49" applyFont="1" applyAlignment="1">
      <alignment horizontal="center" shrinkToFit="1"/>
    </xf>
    <xf numFmtId="0" fontId="18" fillId="3" borderId="0" xfId="0" applyFont="1" applyFill="1"/>
    <xf numFmtId="0" fontId="10" fillId="3" borderId="0" xfId="0" applyFont="1" applyFill="1"/>
    <xf numFmtId="43" fontId="0" fillId="3" borderId="0" xfId="49" applyFont="1" applyFill="1" applyAlignment="1">
      <alignment shrinkToFit="1"/>
    </xf>
    <xf numFmtId="0" fontId="0" fillId="5" borderId="13" xfId="0" applyFill="1" applyBorder="1"/>
    <xf numFmtId="43" fontId="0" fillId="5" borderId="13" xfId="49" applyFont="1" applyFill="1" applyBorder="1" applyAlignment="1">
      <alignment shrinkToFit="1"/>
    </xf>
    <xf numFmtId="43" fontId="0" fillId="0" borderId="69" xfId="49" applyFont="1" applyBorder="1"/>
    <xf numFmtId="43" fontId="0" fillId="0" borderId="70" xfId="49" applyFont="1" applyBorder="1"/>
    <xf numFmtId="43" fontId="1" fillId="0" borderId="70" xfId="49" applyFont="1" applyBorder="1"/>
    <xf numFmtId="43" fontId="1" fillId="0" borderId="49" xfId="49" applyFont="1" applyBorder="1" applyAlignment="1">
      <alignment shrinkToFit="1"/>
    </xf>
    <xf numFmtId="43" fontId="1" fillId="0" borderId="46" xfId="49" applyFont="1" applyBorder="1" applyAlignment="1">
      <alignment shrinkToFit="1"/>
    </xf>
    <xf numFmtId="43" fontId="1" fillId="0" borderId="11" xfId="49" applyFont="1" applyBorder="1" applyAlignment="1">
      <alignment shrinkToFit="1"/>
    </xf>
    <xf numFmtId="43" fontId="1" fillId="4" borderId="18" xfId="49" applyFont="1" applyFill="1" applyBorder="1" applyAlignment="1">
      <alignment shrinkToFit="1"/>
    </xf>
    <xf numFmtId="43" fontId="1" fillId="2" borderId="72" xfId="49" applyFont="1" applyFill="1" applyBorder="1" applyAlignment="1">
      <alignment shrinkToFit="1"/>
    </xf>
    <xf numFmtId="43" fontId="1" fillId="2" borderId="40" xfId="49" applyFont="1" applyFill="1" applyBorder="1" applyAlignment="1">
      <alignment shrinkToFit="1"/>
    </xf>
    <xf numFmtId="43" fontId="1" fillId="0" borderId="31" xfId="49" applyFont="1" applyBorder="1" applyAlignment="1">
      <alignment shrinkToFit="1"/>
    </xf>
    <xf numFmtId="43" fontId="0" fillId="0" borderId="6" xfId="49" applyFont="1" applyBorder="1" applyAlignment="1">
      <alignment shrinkToFit="1"/>
    </xf>
    <xf numFmtId="43" fontId="8" fillId="5" borderId="18" xfId="49" applyFont="1" applyFill="1" applyBorder="1" applyAlignment="1">
      <alignment horizontal="right" shrinkToFit="1"/>
    </xf>
    <xf numFmtId="43" fontId="0" fillId="0" borderId="0" xfId="49" applyFont="1" applyAlignment="1">
      <alignment horizontal="right" shrinkToFit="1"/>
    </xf>
    <xf numFmtId="43" fontId="19" fillId="3" borderId="0" xfId="49" applyFont="1" applyFill="1" applyAlignment="1">
      <alignment shrinkToFit="1"/>
    </xf>
    <xf numFmtId="43" fontId="0" fillId="3" borderId="0" xfId="49" applyFont="1" applyFill="1" applyAlignment="1">
      <alignment horizontal="right" shrinkToFit="1"/>
    </xf>
    <xf numFmtId="43" fontId="1" fillId="0" borderId="75" xfId="0" applyNumberFormat="1" applyFont="1" applyBorder="1"/>
    <xf numFmtId="43" fontId="1" fillId="2" borderId="65" xfId="0" applyNumberFormat="1" applyFont="1" applyFill="1" applyBorder="1"/>
    <xf numFmtId="43" fontId="0" fillId="4" borderId="62" xfId="49" applyFont="1" applyFill="1" applyBorder="1" applyAlignment="1">
      <alignment shrinkToFit="1"/>
    </xf>
    <xf numFmtId="43" fontId="0" fillId="2" borderId="65" xfId="49" applyFont="1" applyFill="1" applyBorder="1" applyAlignment="1">
      <alignment shrinkToFit="1"/>
    </xf>
    <xf numFmtId="43" fontId="0" fillId="0" borderId="52" xfId="49" applyFont="1" applyBorder="1" applyAlignment="1">
      <alignment shrinkToFit="1"/>
    </xf>
    <xf numFmtId="43" fontId="8" fillId="5" borderId="62" xfId="49" applyFont="1" applyFill="1" applyBorder="1" applyAlignment="1">
      <alignment shrinkToFit="1"/>
    </xf>
    <xf numFmtId="43" fontId="8" fillId="0" borderId="0" xfId="49" applyFont="1"/>
    <xf numFmtId="43" fontId="0" fillId="0" borderId="53" xfId="49" applyFont="1" applyBorder="1" applyAlignment="1">
      <alignment shrinkToFit="1"/>
    </xf>
    <xf numFmtId="43" fontId="0" fillId="0" borderId="8" xfId="49" applyFont="1" applyBorder="1" applyAlignment="1">
      <alignment shrinkToFit="1"/>
    </xf>
    <xf numFmtId="43" fontId="0" fillId="0" borderId="58" xfId="49" applyFont="1" applyBorder="1" applyAlignment="1">
      <alignment shrinkToFit="1"/>
    </xf>
    <xf numFmtId="43" fontId="8" fillId="5" borderId="62" xfId="0" applyNumberFormat="1" applyFont="1" applyFill="1" applyBorder="1" applyAlignment="1">
      <alignment horizontal="right"/>
    </xf>
    <xf numFmtId="43" fontId="0" fillId="2" borderId="0" xfId="49" applyFont="1" applyFill="1" applyAlignment="1">
      <alignment horizontal="right"/>
    </xf>
    <xf numFmtId="0" fontId="0" fillId="0" borderId="0" xfId="0" applyAlignment="1">
      <alignment horizontal="right"/>
    </xf>
    <xf numFmtId="179" fontId="0" fillId="0" borderId="8" xfId="0" applyNumberFormat="1" applyBorder="1" applyAlignment="1">
      <alignment horizontal="right"/>
    </xf>
    <xf numFmtId="0" fontId="0" fillId="0" borderId="8" xfId="0" applyBorder="1" applyAlignment="1">
      <alignment horizontal="right"/>
    </xf>
    <xf numFmtId="43" fontId="0" fillId="3" borderId="0" xfId="0" applyNumberFormat="1" applyFill="1" applyAlignment="1">
      <alignment horizontal="right"/>
    </xf>
    <xf numFmtId="43" fontId="0" fillId="3" borderId="0" xfId="49" applyFont="1" applyFill="1" applyAlignment="1">
      <alignment horizontal="right"/>
    </xf>
    <xf numFmtId="43" fontId="0" fillId="3" borderId="8" xfId="0" applyNumberFormat="1" applyFill="1" applyBorder="1" applyAlignment="1">
      <alignment horizontal="right"/>
    </xf>
    <xf numFmtId="0" fontId="0" fillId="3" borderId="0" xfId="0" applyFill="1" applyAlignment="1">
      <alignment horizontal="right"/>
    </xf>
    <xf numFmtId="43" fontId="0" fillId="0" borderId="0" xfId="49" applyFont="1" applyAlignment="1">
      <alignment horizontal="right"/>
    </xf>
    <xf numFmtId="43" fontId="3" fillId="5" borderId="14" xfId="0" applyNumberFormat="1" applyFont="1" applyFill="1" applyBorder="1" applyAlignment="1">
      <alignment horizontal="right"/>
    </xf>
    <xf numFmtId="179" fontId="0" fillId="0" borderId="0" xfId="0" applyNumberFormat="1"/>
    <xf numFmtId="43" fontId="0" fillId="0" borderId="0" xfId="49" applyFont="1" applyFill="1"/>
    <xf numFmtId="43" fontId="8" fillId="2" borderId="0" xfId="49" applyFont="1" applyFill="1"/>
    <xf numFmtId="43" fontId="0" fillId="3" borderId="0" xfId="49" applyFont="1" applyFill="1"/>
    <xf numFmtId="43" fontId="1" fillId="0" borderId="0" xfId="49" applyFont="1" applyAlignment="1">
      <alignment shrinkToFit="1"/>
    </xf>
    <xf numFmtId="177" fontId="1" fillId="0" borderId="0" xfId="2" applyFont="1"/>
    <xf numFmtId="177" fontId="1" fillId="0" borderId="0" xfId="2" applyFont="1" applyBorder="1"/>
    <xf numFmtId="177" fontId="1" fillId="2" borderId="0" xfId="2" applyFont="1" applyFill="1"/>
    <xf numFmtId="43" fontId="20" fillId="0" borderId="0" xfId="49" applyFont="1"/>
    <xf numFmtId="43" fontId="6" fillId="0" borderId="0" xfId="49"/>
    <xf numFmtId="0" fontId="0" fillId="0" borderId="0" xfId="0" applyAlignment="1">
      <alignment shrinkToFit="1"/>
    </xf>
    <xf numFmtId="0" fontId="5" fillId="0" borderId="9" xfId="0" applyFont="1" applyBorder="1" applyAlignment="1">
      <alignment horizontal="center"/>
    </xf>
    <xf numFmtId="43" fontId="9" fillId="2" borderId="16" xfId="49" applyFont="1" applyFill="1" applyBorder="1"/>
    <xf numFmtId="0" fontId="12" fillId="2" borderId="26" xfId="0" applyFont="1" applyFill="1" applyBorder="1"/>
    <xf numFmtId="0" fontId="12" fillId="0" borderId="10" xfId="0" applyFont="1" applyBorder="1"/>
    <xf numFmtId="0" fontId="1" fillId="2" borderId="19" xfId="0" applyFont="1" applyFill="1" applyBorder="1"/>
    <xf numFmtId="0" fontId="9" fillId="2" borderId="26" xfId="0" applyFont="1" applyFill="1" applyBorder="1"/>
    <xf numFmtId="0" fontId="1" fillId="0" borderId="19" xfId="0" applyFont="1" applyBorder="1"/>
    <xf numFmtId="0" fontId="9" fillId="0" borderId="26" xfId="0" applyFont="1" applyBorder="1"/>
    <xf numFmtId="43" fontId="1" fillId="0" borderId="26" xfId="49" applyFont="1" applyFill="1" applyBorder="1" applyAlignment="1">
      <alignment horizontal="center" shrinkToFit="1"/>
    </xf>
    <xf numFmtId="0" fontId="12" fillId="0" borderId="26" xfId="0" applyFont="1" applyBorder="1"/>
    <xf numFmtId="0" fontId="12" fillId="0" borderId="28" xfId="0" applyFont="1" applyBorder="1"/>
    <xf numFmtId="43" fontId="2" fillId="6" borderId="90" xfId="49" applyFont="1" applyFill="1" applyBorder="1" applyAlignment="1">
      <alignment horizontal="center" shrinkToFit="1"/>
    </xf>
    <xf numFmtId="43" fontId="2" fillId="6" borderId="9" xfId="49" applyFont="1" applyFill="1" applyBorder="1" applyAlignment="1">
      <alignment horizontal="center" shrinkToFit="1"/>
    </xf>
    <xf numFmtId="43" fontId="2" fillId="6" borderId="10" xfId="49" applyFont="1" applyFill="1" applyBorder="1" applyAlignment="1">
      <alignment horizontal="center" shrinkToFit="1"/>
    </xf>
    <xf numFmtId="0" fontId="5" fillId="0" borderId="1" xfId="0" applyFont="1" applyBorder="1"/>
    <xf numFmtId="0" fontId="5" fillId="0" borderId="2" xfId="0" applyFont="1" applyBorder="1"/>
    <xf numFmtId="0" fontId="5" fillId="0" borderId="4" xfId="0" applyFont="1" applyBorder="1"/>
    <xf numFmtId="0" fontId="1" fillId="0" borderId="91" xfId="0" applyFont="1" applyBorder="1" applyAlignment="1">
      <alignment horizontal="center"/>
    </xf>
    <xf numFmtId="43" fontId="1" fillId="0" borderId="74" xfId="49" applyFont="1" applyBorder="1"/>
    <xf numFmtId="43" fontId="1" fillId="0" borderId="73" xfId="49" applyFont="1" applyBorder="1"/>
    <xf numFmtId="0" fontId="5" fillId="0" borderId="37" xfId="0" applyFont="1" applyBorder="1"/>
    <xf numFmtId="0" fontId="5" fillId="0" borderId="42" xfId="0" applyFont="1" applyBorder="1"/>
    <xf numFmtId="0" fontId="1" fillId="0" borderId="31" xfId="0" applyFont="1" applyBorder="1" applyAlignment="1">
      <alignment horizontal="center"/>
    </xf>
    <xf numFmtId="0" fontId="6" fillId="2" borderId="26" xfId="0" applyFont="1" applyFill="1" applyBorder="1" applyAlignment="1">
      <alignment horizontal="left"/>
    </xf>
    <xf numFmtId="179" fontId="1" fillId="2" borderId="28" xfId="0" applyNumberFormat="1" applyFont="1" applyFill="1" applyBorder="1"/>
    <xf numFmtId="0" fontId="6" fillId="0" borderId="26" xfId="0" applyFont="1" applyBorder="1" applyAlignment="1">
      <alignment horizontal="left"/>
    </xf>
    <xf numFmtId="43" fontId="2" fillId="7" borderId="26" xfId="49" applyFont="1" applyFill="1" applyBorder="1" applyAlignment="1">
      <alignment shrinkToFit="1"/>
    </xf>
    <xf numFmtId="43" fontId="2" fillId="0" borderId="26" xfId="49" applyFont="1" applyFill="1" applyBorder="1" applyAlignment="1">
      <alignment shrinkToFit="1"/>
    </xf>
    <xf numFmtId="177" fontId="1" fillId="0" borderId="19" xfId="2" applyFont="1" applyBorder="1"/>
    <xf numFmtId="177" fontId="1" fillId="0" borderId="20" xfId="2" applyFont="1" applyBorder="1"/>
    <xf numFmtId="177" fontId="1" fillId="0" borderId="28" xfId="2" applyFont="1" applyBorder="1"/>
    <xf numFmtId="177" fontId="6" fillId="0" borderId="26" xfId="2" applyFont="1" applyBorder="1" applyAlignment="1">
      <alignment horizontal="left"/>
    </xf>
    <xf numFmtId="39" fontId="6" fillId="0" borderId="26" xfId="2" applyNumberFormat="1" applyFont="1" applyBorder="1"/>
    <xf numFmtId="0" fontId="1" fillId="0" borderId="92" xfId="0" applyFont="1" applyBorder="1"/>
    <xf numFmtId="0" fontId="1" fillId="0" borderId="93" xfId="0" applyFont="1" applyBorder="1"/>
    <xf numFmtId="0" fontId="1" fillId="0" borderId="94" xfId="0" applyFont="1" applyBorder="1"/>
    <xf numFmtId="0" fontId="6" fillId="0" borderId="95" xfId="0" applyFont="1" applyBorder="1" applyAlignment="1">
      <alignment horizontal="left"/>
    </xf>
    <xf numFmtId="43" fontId="2" fillId="7" borderId="95" xfId="49" applyFont="1" applyFill="1" applyBorder="1" applyAlignment="1">
      <alignment shrinkToFit="1"/>
    </xf>
    <xf numFmtId="177" fontId="6" fillId="0" borderId="0" xfId="2" applyFont="1" applyBorder="1" applyAlignment="1">
      <alignment horizontal="left"/>
    </xf>
    <xf numFmtId="39" fontId="6" fillId="0" borderId="0" xfId="2" applyNumberFormat="1" applyFont="1" applyBorder="1"/>
    <xf numFmtId="43" fontId="1" fillId="0" borderId="0" xfId="49" applyFont="1" applyBorder="1"/>
    <xf numFmtId="43" fontId="6" fillId="0" borderId="0" xfId="49" applyFont="1" applyBorder="1"/>
    <xf numFmtId="17" fontId="1" fillId="0" borderId="9" xfId="0" applyNumberFormat="1" applyFont="1" applyBorder="1" applyAlignment="1">
      <alignment horizontal="center"/>
    </xf>
    <xf numFmtId="43" fontId="6" fillId="2" borderId="10" xfId="49" applyFont="1" applyFill="1" applyBorder="1" applyAlignment="1">
      <alignment horizontal="center" shrinkToFit="1"/>
    </xf>
    <xf numFmtId="0" fontId="12" fillId="2" borderId="16" xfId="0" applyFont="1" applyFill="1" applyBorder="1" applyAlignment="1">
      <alignment shrinkToFit="1"/>
    </xf>
    <xf numFmtId="43" fontId="1" fillId="0" borderId="9" xfId="49" applyFont="1" applyBorder="1" applyAlignment="1">
      <alignment horizontal="center"/>
    </xf>
    <xf numFmtId="43" fontId="1" fillId="0" borderId="28" xfId="49" applyFont="1" applyBorder="1" applyAlignment="1">
      <alignment horizontal="center"/>
    </xf>
    <xf numFmtId="43" fontId="1" fillId="0" borderId="96" xfId="49" applyFont="1" applyBorder="1"/>
    <xf numFmtId="0" fontId="1" fillId="0" borderId="73" xfId="0" applyFont="1" applyBorder="1" applyAlignment="1">
      <alignment shrinkToFit="1"/>
    </xf>
    <xf numFmtId="43" fontId="1" fillId="0" borderId="73" xfId="49" applyFont="1" applyBorder="1" applyAlignment="1">
      <alignment shrinkToFit="1"/>
    </xf>
    <xf numFmtId="43" fontId="1" fillId="0" borderId="42" xfId="49" applyFont="1" applyBorder="1"/>
    <xf numFmtId="0" fontId="1" fillId="0" borderId="31" xfId="0" applyFont="1" applyBorder="1" applyAlignment="1">
      <alignment shrinkToFit="1"/>
    </xf>
    <xf numFmtId="43" fontId="2" fillId="0" borderId="28" xfId="49" applyFont="1" applyFill="1" applyBorder="1" applyAlignment="1">
      <alignment shrinkToFit="1"/>
    </xf>
    <xf numFmtId="2" fontId="6" fillId="0" borderId="28" xfId="2" applyNumberFormat="1" applyFont="1" applyBorder="1"/>
    <xf numFmtId="177" fontId="6" fillId="0" borderId="26" xfId="2" applyFont="1" applyBorder="1"/>
    <xf numFmtId="2" fontId="6" fillId="0" borderId="26" xfId="2" applyNumberFormat="1" applyFont="1" applyBorder="1" applyAlignment="1">
      <alignment shrinkToFit="1"/>
    </xf>
    <xf numFmtId="2" fontId="6" fillId="0" borderId="20" xfId="2" applyNumberFormat="1" applyFont="1" applyBorder="1"/>
    <xf numFmtId="177" fontId="6" fillId="0" borderId="46" xfId="2" applyFont="1" applyBorder="1"/>
    <xf numFmtId="2" fontId="6" fillId="0" borderId="0" xfId="2" applyNumberFormat="1" applyFont="1" applyBorder="1"/>
    <xf numFmtId="177" fontId="6" fillId="0" borderId="0" xfId="2" applyFont="1" applyBorder="1"/>
    <xf numFmtId="2" fontId="6" fillId="0" borderId="0" xfId="2" applyNumberFormat="1" applyFont="1" applyBorder="1" applyAlignment="1">
      <alignment shrinkToFit="1"/>
    </xf>
    <xf numFmtId="43" fontId="6" fillId="0" borderId="0" xfId="49" applyFont="1" applyBorder="1" applyAlignment="1">
      <alignment shrinkToFit="1"/>
    </xf>
    <xf numFmtId="0" fontId="1" fillId="0" borderId="45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" fillId="0" borderId="18" xfId="0" applyFont="1" applyBorder="1"/>
    <xf numFmtId="43" fontId="6" fillId="2" borderId="10" xfId="49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" borderId="16" xfId="0" applyFont="1" applyFill="1" applyBorder="1"/>
    <xf numFmtId="0" fontId="21" fillId="0" borderId="16" xfId="0" applyFont="1" applyBorder="1" applyAlignment="1">
      <alignment horizontal="center"/>
    </xf>
    <xf numFmtId="0" fontId="10" fillId="0" borderId="16" xfId="0" applyFont="1" applyBorder="1"/>
    <xf numFmtId="0" fontId="1" fillId="0" borderId="47" xfId="0" applyFont="1" applyBorder="1"/>
    <xf numFmtId="0" fontId="1" fillId="0" borderId="97" xfId="0" applyFont="1" applyBorder="1"/>
    <xf numFmtId="0" fontId="1" fillId="0" borderId="46" xfId="0" applyFont="1" applyBorder="1"/>
    <xf numFmtId="43" fontId="1" fillId="2" borderId="98" xfId="49" applyFont="1" applyFill="1" applyBorder="1"/>
    <xf numFmtId="43" fontId="1" fillId="2" borderId="99" xfId="49" applyFont="1" applyFill="1" applyBorder="1"/>
    <xf numFmtId="43" fontId="1" fillId="2" borderId="100" xfId="49" applyFont="1" applyFill="1" applyBorder="1"/>
    <xf numFmtId="43" fontId="1" fillId="0" borderId="98" xfId="49" applyFont="1" applyBorder="1"/>
    <xf numFmtId="43" fontId="1" fillId="0" borderId="98" xfId="49" applyFont="1" applyBorder="1" applyAlignment="1">
      <alignment shrinkToFit="1"/>
    </xf>
    <xf numFmtId="43" fontId="2" fillId="6" borderId="47" xfId="49" applyFont="1" applyFill="1" applyBorder="1" applyAlignment="1">
      <alignment horizontal="center" shrinkToFit="1"/>
    </xf>
    <xf numFmtId="43" fontId="2" fillId="6" borderId="99" xfId="49" applyFont="1" applyFill="1" applyBorder="1" applyAlignment="1">
      <alignment horizontal="center" shrinkToFit="1"/>
    </xf>
    <xf numFmtId="43" fontId="1" fillId="0" borderId="101" xfId="49" applyFont="1" applyBorder="1"/>
    <xf numFmtId="43" fontId="1" fillId="0" borderId="91" xfId="49" applyFont="1" applyBorder="1"/>
    <xf numFmtId="0" fontId="1" fillId="0" borderId="102" xfId="0" applyFont="1" applyBorder="1"/>
    <xf numFmtId="43" fontId="1" fillId="0" borderId="38" xfId="49" applyFont="1" applyBorder="1"/>
    <xf numFmtId="0" fontId="1" fillId="0" borderId="100" xfId="0" applyFont="1" applyBorder="1"/>
    <xf numFmtId="43" fontId="1" fillId="0" borderId="47" xfId="49" applyFont="1" applyBorder="1"/>
    <xf numFmtId="0" fontId="1" fillId="0" borderId="99" xfId="0" applyFont="1" applyBorder="1"/>
    <xf numFmtId="43" fontId="1" fillId="2" borderId="98" xfId="0" applyNumberFormat="1" applyFont="1" applyFill="1" applyBorder="1"/>
    <xf numFmtId="43" fontId="2" fillId="7" borderId="46" xfId="49" applyFont="1" applyFill="1" applyBorder="1" applyAlignment="1">
      <alignment shrinkToFit="1"/>
    </xf>
    <xf numFmtId="43" fontId="2" fillId="7" borderId="98" xfId="49" applyFont="1" applyFill="1" applyBorder="1" applyAlignment="1">
      <alignment shrinkToFit="1"/>
    </xf>
    <xf numFmtId="43" fontId="2" fillId="0" borderId="20" xfId="49" applyFont="1" applyFill="1" applyBorder="1" applyAlignment="1">
      <alignment shrinkToFit="1"/>
    </xf>
    <xf numFmtId="43" fontId="2" fillId="0" borderId="46" xfId="49" applyFont="1" applyFill="1" applyBorder="1" applyAlignment="1">
      <alignment shrinkToFit="1"/>
    </xf>
    <xf numFmtId="43" fontId="2" fillId="0" borderId="98" xfId="49" applyFont="1" applyFill="1" applyBorder="1" applyAlignment="1">
      <alignment shrinkToFit="1"/>
    </xf>
    <xf numFmtId="43" fontId="6" fillId="0" borderId="20" xfId="49" applyFont="1" applyBorder="1"/>
    <xf numFmtId="43" fontId="6" fillId="0" borderId="46" xfId="49" applyFont="1" applyBorder="1"/>
    <xf numFmtId="43" fontId="1" fillId="0" borderId="98" xfId="0" applyNumberFormat="1" applyFont="1" applyBorder="1"/>
    <xf numFmtId="43" fontId="2" fillId="7" borderId="103" xfId="49" applyFont="1" applyFill="1" applyBorder="1" applyAlignment="1">
      <alignment shrinkToFit="1"/>
    </xf>
    <xf numFmtId="43" fontId="2" fillId="7" borderId="104" xfId="49" applyFont="1" applyFill="1" applyBorder="1" applyAlignment="1">
      <alignment shrinkToFit="1"/>
    </xf>
    <xf numFmtId="43" fontId="1" fillId="0" borderId="99" xfId="0" applyNumberFormat="1" applyFont="1" applyBorder="1"/>
    <xf numFmtId="43" fontId="1" fillId="0" borderId="0" xfId="0" applyNumberFormat="1" applyFont="1"/>
    <xf numFmtId="179" fontId="1" fillId="0" borderId="0" xfId="0" applyNumberFormat="1" applyFont="1"/>
    <xf numFmtId="177" fontId="1" fillId="2" borderId="19" xfId="2" applyFont="1" applyFill="1" applyBorder="1"/>
    <xf numFmtId="177" fontId="1" fillId="2" borderId="20" xfId="2" applyFont="1" applyFill="1" applyBorder="1"/>
    <xf numFmtId="177" fontId="1" fillId="2" borderId="28" xfId="2" applyFont="1" applyFill="1" applyBorder="1"/>
    <xf numFmtId="177" fontId="1" fillId="2" borderId="26" xfId="2" applyFont="1" applyFill="1" applyBorder="1" applyAlignment="1">
      <alignment horizontal="left"/>
    </xf>
    <xf numFmtId="39" fontId="1" fillId="2" borderId="26" xfId="2" applyNumberFormat="1" applyFont="1" applyFill="1" applyBorder="1"/>
    <xf numFmtId="0" fontId="1" fillId="2" borderId="26" xfId="0" applyFont="1" applyFill="1" applyBorder="1" applyAlignment="1">
      <alignment horizontal="left"/>
    </xf>
    <xf numFmtId="43" fontId="2" fillId="7" borderId="95" xfId="49" applyFont="1" applyFill="1" applyBorder="1"/>
    <xf numFmtId="43" fontId="8" fillId="7" borderId="95" xfId="49" applyFont="1" applyFill="1" applyBorder="1"/>
    <xf numFmtId="0" fontId="1" fillId="2" borderId="37" xfId="0" applyFont="1" applyFill="1" applyBorder="1"/>
    <xf numFmtId="0" fontId="1" fillId="2" borderId="20" xfId="0" applyFont="1" applyFill="1" applyBorder="1" applyAlignment="1">
      <alignment horizontal="left"/>
    </xf>
    <xf numFmtId="0" fontId="1" fillId="0" borderId="20" xfId="0" applyFont="1" applyBorder="1" applyAlignment="1">
      <alignment horizontal="left"/>
    </xf>
    <xf numFmtId="43" fontId="8" fillId="7" borderId="26" xfId="49" applyFont="1" applyFill="1" applyBorder="1"/>
    <xf numFmtId="43" fontId="8" fillId="0" borderId="26" xfId="49" applyFont="1" applyBorder="1"/>
    <xf numFmtId="0" fontId="9" fillId="2" borderId="28" xfId="0" applyFont="1" applyFill="1" applyBorder="1" applyAlignment="1">
      <alignment horizontal="left"/>
    </xf>
    <xf numFmtId="0" fontId="6" fillId="2" borderId="26" xfId="0" applyFont="1" applyFill="1" applyBorder="1" applyAlignment="1">
      <alignment horizontal="left" shrinkToFit="1"/>
    </xf>
    <xf numFmtId="43" fontId="2" fillId="2" borderId="26" xfId="49" applyFont="1" applyFill="1" applyBorder="1"/>
    <xf numFmtId="43" fontId="8" fillId="2" borderId="26" xfId="49" applyFont="1" applyFill="1" applyBorder="1"/>
    <xf numFmtId="0" fontId="1" fillId="2" borderId="27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105" xfId="0" applyFont="1" applyBorder="1"/>
    <xf numFmtId="0" fontId="1" fillId="0" borderId="69" xfId="0" applyFont="1" applyBorder="1" applyAlignment="1">
      <alignment horizontal="left"/>
    </xf>
    <xf numFmtId="0" fontId="6" fillId="0" borderId="30" xfId="0" applyFont="1" applyBorder="1" applyAlignment="1">
      <alignment horizontal="left"/>
    </xf>
    <xf numFmtId="43" fontId="8" fillId="7" borderId="30" xfId="49" applyFont="1" applyFill="1" applyBorder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43" fontId="8" fillId="2" borderId="0" xfId="49" applyFont="1" applyFill="1" applyBorder="1"/>
    <xf numFmtId="2" fontId="6" fillId="2" borderId="28" xfId="2" applyNumberFormat="1" applyFont="1" applyFill="1" applyBorder="1"/>
    <xf numFmtId="177" fontId="6" fillId="2" borderId="26" xfId="2" applyFont="1" applyFill="1" applyBorder="1"/>
    <xf numFmtId="2" fontId="6" fillId="2" borderId="26" xfId="2" applyNumberFormat="1" applyFont="1" applyFill="1" applyBorder="1" applyAlignment="1">
      <alignment shrinkToFit="1"/>
    </xf>
    <xf numFmtId="43" fontId="6" fillId="2" borderId="26" xfId="49" applyFont="1" applyFill="1" applyBorder="1" applyAlignment="1">
      <alignment shrinkToFit="1"/>
    </xf>
    <xf numFmtId="43" fontId="8" fillId="0" borderId="28" xfId="49" applyFont="1" applyBorder="1"/>
    <xf numFmtId="43" fontId="8" fillId="0" borderId="20" xfId="49" applyFont="1" applyBorder="1"/>
    <xf numFmtId="43" fontId="8" fillId="0" borderId="46" xfId="49" applyFont="1" applyBorder="1"/>
    <xf numFmtId="43" fontId="8" fillId="2" borderId="28" xfId="49" applyFont="1" applyFill="1" applyBorder="1"/>
    <xf numFmtId="43" fontId="8" fillId="2" borderId="20" xfId="49" applyFont="1" applyFill="1" applyBorder="1"/>
    <xf numFmtId="43" fontId="8" fillId="2" borderId="46" xfId="49" applyFont="1" applyFill="1" applyBorder="1"/>
    <xf numFmtId="0" fontId="1" fillId="0" borderId="99" xfId="0" applyFont="1" applyBorder="1" applyAlignment="1">
      <alignment horizontal="right"/>
    </xf>
    <xf numFmtId="0" fontId="10" fillId="0" borderId="0" xfId="0" applyFont="1" applyAlignment="1">
      <alignment horizontal="center"/>
    </xf>
    <xf numFmtId="0" fontId="1" fillId="0" borderId="49" xfId="0" applyFont="1" applyBorder="1"/>
    <xf numFmtId="0" fontId="1" fillId="0" borderId="8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99" xfId="0" applyFont="1" applyBorder="1" applyAlignment="1">
      <alignment horizontal="center"/>
    </xf>
    <xf numFmtId="0" fontId="21" fillId="0" borderId="16" xfId="0" applyFont="1" applyBorder="1"/>
    <xf numFmtId="0" fontId="9" fillId="2" borderId="89" xfId="0" applyFont="1" applyFill="1" applyBorder="1"/>
    <xf numFmtId="0" fontId="1" fillId="0" borderId="106" xfId="0" applyFont="1" applyBorder="1"/>
    <xf numFmtId="43" fontId="8" fillId="7" borderId="95" xfId="49" applyFont="1" applyFill="1" applyBorder="1" applyAlignment="1">
      <alignment shrinkToFit="1"/>
    </xf>
    <xf numFmtId="43" fontId="8" fillId="7" borderId="103" xfId="49" applyFont="1" applyFill="1" applyBorder="1"/>
    <xf numFmtId="43" fontId="8" fillId="7" borderId="104" xfId="49" applyFont="1" applyFill="1" applyBorder="1"/>
    <xf numFmtId="43" fontId="8" fillId="7" borderId="26" xfId="49" applyFont="1" applyFill="1" applyBorder="1" applyAlignment="1">
      <alignment shrinkToFit="1"/>
    </xf>
    <xf numFmtId="43" fontId="8" fillId="7" borderId="46" xfId="49" applyFont="1" applyFill="1" applyBorder="1"/>
    <xf numFmtId="43" fontId="8" fillId="7" borderId="98" xfId="49" applyFont="1" applyFill="1" applyBorder="1"/>
    <xf numFmtId="43" fontId="8" fillId="0" borderId="98" xfId="49" applyFont="1" applyBorder="1"/>
    <xf numFmtId="43" fontId="6" fillId="2" borderId="20" xfId="49" applyFont="1" applyFill="1" applyBorder="1" applyAlignment="1">
      <alignment shrinkToFit="1"/>
    </xf>
    <xf numFmtId="43" fontId="1" fillId="2" borderId="99" xfId="0" applyNumberFormat="1" applyFont="1" applyFill="1" applyBorder="1"/>
    <xf numFmtId="43" fontId="2" fillId="2" borderId="98" xfId="49" applyFont="1" applyFill="1" applyBorder="1"/>
    <xf numFmtId="179" fontId="1" fillId="2" borderId="0" xfId="0" applyNumberFormat="1" applyFont="1" applyFill="1"/>
    <xf numFmtId="43" fontId="8" fillId="2" borderId="98" xfId="49" applyFont="1" applyFill="1" applyBorder="1"/>
    <xf numFmtId="43" fontId="8" fillId="7" borderId="70" xfId="49" applyFont="1" applyFill="1" applyBorder="1"/>
    <xf numFmtId="43" fontId="8" fillId="7" borderId="107" xfId="49" applyFont="1" applyFill="1" applyBorder="1"/>
    <xf numFmtId="43" fontId="8" fillId="2" borderId="99" xfId="49" applyFont="1" applyFill="1" applyBorder="1"/>
    <xf numFmtId="0" fontId="1" fillId="0" borderId="49" xfId="0" applyFont="1" applyBorder="1" applyAlignment="1">
      <alignment horizontal="center"/>
    </xf>
    <xf numFmtId="0" fontId="12" fillId="2" borderId="26" xfId="0" applyFont="1" applyFill="1" applyBorder="1" applyAlignment="1">
      <alignment horizontal="left"/>
    </xf>
    <xf numFmtId="0" fontId="1" fillId="0" borderId="28" xfId="0" applyFont="1" applyBorder="1" applyAlignment="1">
      <alignment horizontal="left"/>
    </xf>
    <xf numFmtId="43" fontId="6" fillId="0" borderId="26" xfId="49" applyFont="1" applyFill="1" applyBorder="1"/>
    <xf numFmtId="179" fontId="1" fillId="0" borderId="28" xfId="0" applyNumberFormat="1" applyFont="1" applyBorder="1"/>
    <xf numFmtId="0" fontId="1" fillId="2" borderId="20" xfId="0" applyFont="1" applyFill="1" applyBorder="1" applyAlignment="1">
      <alignment horizontal="left" wrapText="1"/>
    </xf>
    <xf numFmtId="0" fontId="1" fillId="2" borderId="28" xfId="0" applyFont="1" applyFill="1" applyBorder="1" applyAlignment="1">
      <alignment horizontal="left" wrapText="1"/>
    </xf>
    <xf numFmtId="43" fontId="3" fillId="7" borderId="26" xfId="49" applyFont="1" applyFill="1" applyBorder="1"/>
    <xf numFmtId="43" fontId="19" fillId="2" borderId="26" xfId="49" applyFont="1" applyFill="1" applyBorder="1"/>
    <xf numFmtId="43" fontId="5" fillId="2" borderId="98" xfId="0" applyNumberFormat="1" applyFont="1" applyFill="1" applyBorder="1"/>
    <xf numFmtId="43" fontId="1" fillId="0" borderId="98" xfId="0" applyNumberFormat="1" applyFont="1" applyBorder="1" applyAlignment="1">
      <alignment shrinkToFit="1"/>
    </xf>
    <xf numFmtId="43" fontId="1" fillId="2" borderId="108" xfId="0" applyNumberFormat="1" applyFont="1" applyFill="1" applyBorder="1"/>
    <xf numFmtId="43" fontId="1" fillId="0" borderId="99" xfId="0" applyNumberFormat="1" applyFont="1" applyBorder="1" applyAlignment="1">
      <alignment shrinkToFit="1"/>
    </xf>
    <xf numFmtId="43" fontId="1" fillId="0" borderId="108" xfId="0" applyNumberFormat="1" applyFont="1" applyBorder="1"/>
    <xf numFmtId="43" fontId="3" fillId="7" borderId="46" xfId="49" applyFont="1" applyFill="1" applyBorder="1"/>
    <xf numFmtId="43" fontId="5" fillId="7" borderId="98" xfId="0" applyNumberFormat="1" applyFont="1" applyFill="1" applyBorder="1"/>
    <xf numFmtId="0" fontId="9" fillId="0" borderId="20" xfId="0" applyFont="1" applyBorder="1" applyAlignment="1">
      <alignment horizontal="left"/>
    </xf>
    <xf numFmtId="0" fontId="9" fillId="2" borderId="20" xfId="0" applyFont="1" applyFill="1" applyBorder="1" applyAlignment="1">
      <alignment horizontal="left"/>
    </xf>
    <xf numFmtId="0" fontId="6" fillId="0" borderId="28" xfId="0" applyFont="1" applyBorder="1" applyAlignment="1">
      <alignment horizontal="left"/>
    </xf>
    <xf numFmtId="43" fontId="6" fillId="0" borderId="40" xfId="49" applyFont="1" applyFill="1" applyBorder="1"/>
    <xf numFmtId="43" fontId="1" fillId="0" borderId="40" xfId="49" applyFont="1" applyFill="1" applyBorder="1"/>
    <xf numFmtId="0" fontId="6" fillId="0" borderId="46" xfId="0" applyFont="1" applyBorder="1" applyAlignment="1">
      <alignment horizontal="left"/>
    </xf>
    <xf numFmtId="43" fontId="6" fillId="7" borderId="26" xfId="49" applyFont="1" applyFill="1" applyBorder="1"/>
    <xf numFmtId="43" fontId="2" fillId="7" borderId="26" xfId="49" applyFont="1" applyFill="1" applyBorder="1"/>
    <xf numFmtId="43" fontId="1" fillId="7" borderId="26" xfId="49" applyFont="1" applyFill="1" applyBorder="1"/>
    <xf numFmtId="43" fontId="1" fillId="7" borderId="109" xfId="49" applyFont="1" applyFill="1" applyBorder="1"/>
    <xf numFmtId="43" fontId="8" fillId="0" borderId="26" xfId="49" applyFont="1" applyFill="1" applyBorder="1"/>
    <xf numFmtId="0" fontId="12" fillId="0" borderId="26" xfId="0" applyFont="1" applyBorder="1" applyAlignment="1">
      <alignment horizontal="left"/>
    </xf>
    <xf numFmtId="43" fontId="8" fillId="7" borderId="28" xfId="49" applyFont="1" applyFill="1" applyBorder="1"/>
    <xf numFmtId="43" fontId="8" fillId="7" borderId="20" xfId="49" applyFont="1" applyFill="1" applyBorder="1"/>
    <xf numFmtId="43" fontId="3" fillId="2" borderId="28" xfId="49" applyFont="1" applyFill="1" applyBorder="1"/>
    <xf numFmtId="43" fontId="3" fillId="2" borderId="20" xfId="49" applyFont="1" applyFill="1" applyBorder="1"/>
    <xf numFmtId="43" fontId="3" fillId="2" borderId="46" xfId="49" applyFont="1" applyFill="1" applyBorder="1"/>
    <xf numFmtId="43" fontId="6" fillId="0" borderId="28" xfId="49" applyFont="1" applyFill="1" applyBorder="1"/>
    <xf numFmtId="43" fontId="6" fillId="0" borderId="20" xfId="49" applyFont="1" applyFill="1" applyBorder="1"/>
    <xf numFmtId="43" fontId="6" fillId="0" borderId="46" xfId="49" applyFont="1" applyFill="1" applyBorder="1"/>
    <xf numFmtId="43" fontId="6" fillId="0" borderId="26" xfId="49" applyFont="1" applyFill="1" applyBorder="1" applyAlignment="1">
      <alignment shrinkToFit="1"/>
    </xf>
    <xf numFmtId="43" fontId="3" fillId="0" borderId="26" xfId="49" applyFont="1" applyFill="1" applyBorder="1"/>
    <xf numFmtId="43" fontId="1" fillId="0" borderId="27" xfId="49" applyFont="1" applyFill="1" applyBorder="1"/>
    <xf numFmtId="43" fontId="1" fillId="0" borderId="35" xfId="49" applyFont="1" applyFill="1" applyBorder="1"/>
    <xf numFmtId="43" fontId="6" fillId="0" borderId="50" xfId="49" applyFont="1" applyFill="1" applyBorder="1"/>
    <xf numFmtId="43" fontId="6" fillId="0" borderId="40" xfId="49" applyFont="1" applyFill="1" applyBorder="1" applyAlignment="1">
      <alignment shrinkToFit="1"/>
    </xf>
    <xf numFmtId="43" fontId="3" fillId="0" borderId="40" xfId="49" applyFont="1" applyFill="1" applyBorder="1"/>
    <xf numFmtId="43" fontId="1" fillId="7" borderId="110" xfId="49" applyFont="1" applyFill="1" applyBorder="1"/>
    <xf numFmtId="43" fontId="1" fillId="7" borderId="46" xfId="49" applyFont="1" applyFill="1" applyBorder="1"/>
    <xf numFmtId="43" fontId="1" fillId="7" borderId="20" xfId="49" applyFont="1" applyFill="1" applyBorder="1"/>
    <xf numFmtId="43" fontId="6" fillId="2" borderId="74" xfId="49" applyFont="1" applyFill="1" applyBorder="1"/>
    <xf numFmtId="43" fontId="6" fillId="2" borderId="31" xfId="49" applyFont="1" applyFill="1" applyBorder="1" applyAlignment="1">
      <alignment shrinkToFit="1"/>
    </xf>
    <xf numFmtId="43" fontId="6" fillId="7" borderId="26" xfId="49" applyFont="1" applyFill="1" applyBorder="1" applyAlignment="1">
      <alignment shrinkToFit="1"/>
    </xf>
    <xf numFmtId="43" fontId="8" fillId="0" borderId="28" xfId="49" applyFont="1" applyFill="1" applyBorder="1"/>
    <xf numFmtId="43" fontId="2" fillId="0" borderId="20" xfId="49" applyFont="1" applyFill="1" applyBorder="1"/>
    <xf numFmtId="43" fontId="8" fillId="0" borderId="46" xfId="49" applyFont="1" applyFill="1" applyBorder="1"/>
    <xf numFmtId="43" fontId="8" fillId="0" borderId="20" xfId="49" applyFont="1" applyFill="1" applyBorder="1"/>
    <xf numFmtId="43" fontId="8" fillId="7" borderId="46" xfId="49" applyFont="1" applyFill="1" applyBorder="1" applyAlignment="1">
      <alignment shrinkToFit="1"/>
    </xf>
    <xf numFmtId="43" fontId="1" fillId="7" borderId="98" xfId="0" applyNumberFormat="1" applyFont="1" applyFill="1" applyBorder="1"/>
    <xf numFmtId="43" fontId="8" fillId="2" borderId="26" xfId="49" applyFont="1" applyFill="1" applyBorder="1" applyAlignment="1">
      <alignment shrinkToFit="1"/>
    </xf>
    <xf numFmtId="43" fontId="8" fillId="2" borderId="46" xfId="49" applyFont="1" applyFill="1" applyBorder="1" applyAlignment="1">
      <alignment shrinkToFit="1"/>
    </xf>
    <xf numFmtId="43" fontId="6" fillId="7" borderId="46" xfId="49" applyFont="1" applyFill="1" applyBorder="1"/>
    <xf numFmtId="43" fontId="3" fillId="7" borderId="98" xfId="49" applyFont="1" applyFill="1" applyBorder="1"/>
    <xf numFmtId="43" fontId="6" fillId="0" borderId="35" xfId="49" applyFont="1" applyFill="1" applyBorder="1"/>
    <xf numFmtId="43" fontId="8" fillId="0" borderId="98" xfId="49" applyFont="1" applyFill="1" applyBorder="1"/>
    <xf numFmtId="43" fontId="12" fillId="0" borderId="20" xfId="49" applyFont="1" applyBorder="1"/>
    <xf numFmtId="43" fontId="8" fillId="0" borderId="26" xfId="49" applyFont="1" applyFill="1" applyBorder="1" applyAlignment="1">
      <alignment shrinkToFit="1"/>
    </xf>
    <xf numFmtId="43" fontId="8" fillId="0" borderId="108" xfId="49" applyFont="1" applyFill="1" applyBorder="1"/>
    <xf numFmtId="0" fontId="1" fillId="0" borderId="42" xfId="0" applyFont="1" applyBorder="1"/>
    <xf numFmtId="0" fontId="6" fillId="0" borderId="31" xfId="0" applyFont="1" applyBorder="1" applyAlignment="1">
      <alignment horizontal="left"/>
    </xf>
    <xf numFmtId="43" fontId="6" fillId="0" borderId="31" xfId="49" applyFont="1" applyFill="1" applyBorder="1"/>
    <xf numFmtId="0" fontId="6" fillId="0" borderId="26" xfId="0" applyFont="1" applyBorder="1" applyAlignment="1">
      <alignment horizontal="left" shrinkToFit="1"/>
    </xf>
    <xf numFmtId="0" fontId="1" fillId="0" borderId="111" xfId="0" applyFont="1" applyBorder="1"/>
    <xf numFmtId="0" fontId="1" fillId="0" borderId="112" xfId="0" applyFont="1" applyBorder="1" applyAlignment="1">
      <alignment horizontal="left" indent="2"/>
    </xf>
    <xf numFmtId="0" fontId="1" fillId="0" borderId="112" xfId="0" applyFont="1" applyBorder="1"/>
    <xf numFmtId="0" fontId="6" fillId="0" borderId="16" xfId="0" applyFont="1" applyBorder="1" applyAlignment="1">
      <alignment horizontal="center"/>
    </xf>
    <xf numFmtId="43" fontId="8" fillId="6" borderId="113" xfId="49" applyFont="1" applyFill="1" applyBorder="1"/>
    <xf numFmtId="0" fontId="1" fillId="0" borderId="0" xfId="0" applyFont="1" applyAlignment="1">
      <alignment horizontal="left" indent="2"/>
    </xf>
    <xf numFmtId="0" fontId="6" fillId="0" borderId="0" xfId="0" applyFont="1" applyAlignment="1">
      <alignment horizontal="center"/>
    </xf>
    <xf numFmtId="0" fontId="5" fillId="0" borderId="9" xfId="0" applyFont="1" applyBorder="1"/>
    <xf numFmtId="0" fontId="6" fillId="0" borderId="26" xfId="0" applyFont="1" applyBorder="1" applyAlignment="1">
      <alignment horizontal="center"/>
    </xf>
    <xf numFmtId="0" fontId="5" fillId="2" borderId="7" xfId="0" applyFont="1" applyFill="1" applyBorder="1"/>
    <xf numFmtId="0" fontId="5" fillId="2" borderId="9" xfId="0" applyFont="1" applyFill="1" applyBorder="1"/>
    <xf numFmtId="0" fontId="6" fillId="2" borderId="26" xfId="0" applyFont="1" applyFill="1" applyBorder="1" applyAlignment="1">
      <alignment horizontal="center"/>
    </xf>
    <xf numFmtId="0" fontId="3" fillId="0" borderId="26" xfId="0" applyFont="1" applyBorder="1" applyAlignment="1">
      <alignment horizontal="center"/>
    </xf>
    <xf numFmtId="43" fontId="3" fillId="4" borderId="26" xfId="49" applyFont="1" applyFill="1" applyBorder="1"/>
    <xf numFmtId="43" fontId="6" fillId="4" borderId="26" xfId="49" applyFont="1" applyFill="1" applyBorder="1"/>
    <xf numFmtId="43" fontId="8" fillId="4" borderId="26" xfId="49" applyFont="1" applyFill="1" applyBorder="1"/>
    <xf numFmtId="43" fontId="6" fillId="0" borderId="42" xfId="49" applyFont="1" applyBorder="1" applyAlignment="1">
      <alignment shrinkToFit="1"/>
    </xf>
    <xf numFmtId="43" fontId="6" fillId="0" borderId="38" xfId="49" applyFont="1" applyBorder="1" applyAlignment="1">
      <alignment shrinkToFit="1"/>
    </xf>
    <xf numFmtId="43" fontId="6" fillId="0" borderId="74" xfId="49" applyFont="1" applyBorder="1"/>
    <xf numFmtId="43" fontId="6" fillId="0" borderId="31" xfId="49" applyFont="1" applyBorder="1" applyAlignment="1">
      <alignment shrinkToFit="1"/>
    </xf>
    <xf numFmtId="43" fontId="6" fillId="0" borderId="28" xfId="49" applyFont="1" applyBorder="1" applyAlignment="1">
      <alignment shrinkToFit="1"/>
    </xf>
    <xf numFmtId="43" fontId="1" fillId="0" borderId="20" xfId="49" applyFont="1" applyBorder="1" applyAlignment="1">
      <alignment shrinkToFit="1"/>
    </xf>
    <xf numFmtId="43" fontId="6" fillId="0" borderId="20" xfId="49" applyFont="1" applyBorder="1" applyAlignment="1">
      <alignment shrinkToFit="1"/>
    </xf>
    <xf numFmtId="43" fontId="6" fillId="2" borderId="5" xfId="49" applyFont="1" applyFill="1" applyBorder="1"/>
    <xf numFmtId="43" fontId="6" fillId="2" borderId="40" xfId="49" applyFont="1" applyFill="1" applyBorder="1" applyAlignment="1">
      <alignment shrinkToFit="1"/>
    </xf>
    <xf numFmtId="43" fontId="3" fillId="4" borderId="20" xfId="49" applyFont="1" applyFill="1" applyBorder="1"/>
    <xf numFmtId="43" fontId="6" fillId="4" borderId="28" xfId="49" applyFont="1" applyFill="1" applyBorder="1"/>
    <xf numFmtId="43" fontId="8" fillId="4" borderId="28" xfId="49" applyFont="1" applyFill="1" applyBorder="1"/>
    <xf numFmtId="43" fontId="6" fillId="0" borderId="38" xfId="49" applyFont="1" applyBorder="1"/>
    <xf numFmtId="43" fontId="1" fillId="0" borderId="100" xfId="0" applyNumberFormat="1" applyFont="1" applyBorder="1"/>
    <xf numFmtId="43" fontId="6" fillId="0" borderId="40" xfId="49" applyFont="1" applyBorder="1"/>
    <xf numFmtId="43" fontId="6" fillId="0" borderId="70" xfId="49" applyFont="1" applyBorder="1"/>
    <xf numFmtId="43" fontId="8" fillId="6" borderId="114" xfId="49" applyFont="1" applyFill="1" applyBorder="1"/>
    <xf numFmtId="43" fontId="8" fillId="6" borderId="115" xfId="49" applyFont="1" applyFill="1" applyBorder="1"/>
    <xf numFmtId="43" fontId="6" fillId="2" borderId="47" xfId="49" applyFont="1" applyFill="1" applyBorder="1"/>
    <xf numFmtId="43" fontId="6" fillId="2" borderId="91" xfId="49" applyFont="1" applyFill="1" applyBorder="1"/>
    <xf numFmtId="43" fontId="6" fillId="2" borderId="102" xfId="49" applyFont="1" applyFill="1" applyBorder="1" applyAlignment="1">
      <alignment shrinkToFit="1"/>
    </xf>
    <xf numFmtId="0" fontId="6" fillId="0" borderId="100" xfId="0" applyFont="1" applyBorder="1" applyAlignment="1">
      <alignment shrinkToFit="1"/>
    </xf>
    <xf numFmtId="179" fontId="6" fillId="2" borderId="99" xfId="0" applyNumberFormat="1" applyFont="1" applyFill="1" applyBorder="1" applyAlignment="1">
      <alignment shrinkToFit="1"/>
    </xf>
    <xf numFmtId="179" fontId="6" fillId="2" borderId="98" xfId="0" applyNumberFormat="1" applyFont="1" applyFill="1" applyBorder="1" applyAlignment="1">
      <alignment shrinkToFit="1"/>
    </xf>
    <xf numFmtId="43" fontId="3" fillId="4" borderId="46" xfId="49" applyFont="1" applyFill="1" applyBorder="1"/>
    <xf numFmtId="43" fontId="3" fillId="4" borderId="98" xfId="49" applyFont="1" applyFill="1" applyBorder="1"/>
    <xf numFmtId="43" fontId="6" fillId="4" borderId="46" xfId="49" applyFont="1" applyFill="1" applyBorder="1"/>
    <xf numFmtId="43" fontId="6" fillId="4" borderId="98" xfId="49" applyFont="1" applyFill="1" applyBorder="1"/>
    <xf numFmtId="43" fontId="8" fillId="4" borderId="46" xfId="49" applyFont="1" applyFill="1" applyBorder="1"/>
    <xf numFmtId="43" fontId="8" fillId="4" borderId="98" xfId="49" applyFont="1" applyFill="1" applyBorder="1"/>
    <xf numFmtId="0" fontId="6" fillId="2" borderId="26" xfId="0" applyFont="1" applyFill="1" applyBorder="1" applyAlignment="1">
      <alignment horizontal="center" shrinkToFit="1"/>
    </xf>
    <xf numFmtId="0" fontId="6" fillId="0" borderId="26" xfId="0" applyFont="1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6" xfId="0" applyBorder="1" applyAlignment="1">
      <alignment horizontal="left" shrinkToFit="1"/>
    </xf>
    <xf numFmtId="0" fontId="0" fillId="0" borderId="0" xfId="0" applyAlignment="1">
      <alignment horizontal="left" shrinkToFit="1"/>
    </xf>
    <xf numFmtId="0" fontId="1" fillId="0" borderId="3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0" borderId="95" xfId="0" applyFont="1" applyBorder="1" applyAlignment="1">
      <alignment horizontal="left" shrinkToFit="1"/>
    </xf>
    <xf numFmtId="43" fontId="6" fillId="0" borderId="95" xfId="49" applyFont="1" applyBorder="1"/>
    <xf numFmtId="43" fontId="6" fillId="0" borderId="95" xfId="49" applyFont="1" applyBorder="1" applyAlignment="1">
      <alignment shrinkToFit="1"/>
    </xf>
    <xf numFmtId="43" fontId="6" fillId="2" borderId="28" xfId="49" applyFont="1" applyFill="1" applyBorder="1" applyAlignment="1">
      <alignment shrinkToFit="1"/>
    </xf>
    <xf numFmtId="43" fontId="6" fillId="4" borderId="28" xfId="49" applyFont="1" applyFill="1" applyBorder="1" applyAlignment="1">
      <alignment shrinkToFit="1"/>
    </xf>
    <xf numFmtId="43" fontId="6" fillId="4" borderId="20" xfId="49" applyFont="1" applyFill="1" applyBorder="1" applyAlignment="1">
      <alignment shrinkToFit="1"/>
    </xf>
    <xf numFmtId="43" fontId="6" fillId="4" borderId="26" xfId="49" applyFont="1" applyFill="1" applyBorder="1" applyAlignment="1">
      <alignment shrinkToFit="1"/>
    </xf>
    <xf numFmtId="43" fontId="8" fillId="4" borderId="26" xfId="49" applyFont="1" applyFill="1" applyBorder="1" applyAlignment="1">
      <alignment shrinkToFit="1"/>
    </xf>
    <xf numFmtId="43" fontId="6" fillId="2" borderId="73" xfId="49" applyFont="1" applyFill="1" applyBorder="1" applyAlignment="1">
      <alignment shrinkToFit="1"/>
    </xf>
    <xf numFmtId="43" fontId="6" fillId="0" borderId="94" xfId="49" applyFont="1" applyBorder="1" applyAlignment="1">
      <alignment shrinkToFit="1"/>
    </xf>
    <xf numFmtId="43" fontId="6" fillId="0" borderId="93" xfId="49" applyFont="1" applyBorder="1" applyAlignment="1">
      <alignment shrinkToFit="1"/>
    </xf>
    <xf numFmtId="43" fontId="6" fillId="0" borderId="103" xfId="49" applyFont="1" applyBorder="1" applyAlignment="1">
      <alignment shrinkToFit="1"/>
    </xf>
    <xf numFmtId="43" fontId="6" fillId="2" borderId="46" xfId="49" applyFont="1" applyFill="1" applyBorder="1" applyAlignment="1">
      <alignment shrinkToFit="1"/>
    </xf>
    <xf numFmtId="43" fontId="1" fillId="4" borderId="98" xfId="0" applyNumberFormat="1" applyFont="1" applyFill="1" applyBorder="1" applyAlignment="1">
      <alignment shrinkToFit="1"/>
    </xf>
    <xf numFmtId="0" fontId="1" fillId="0" borderId="63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43" fontId="6" fillId="0" borderId="46" xfId="49" applyFont="1" applyBorder="1" applyAlignment="1">
      <alignment shrinkToFit="1"/>
    </xf>
    <xf numFmtId="43" fontId="2" fillId="4" borderId="98" xfId="49" applyFont="1" applyFill="1" applyBorder="1"/>
    <xf numFmtId="43" fontId="6" fillId="0" borderId="103" xfId="49" applyFont="1" applyBorder="1"/>
    <xf numFmtId="43" fontId="1" fillId="0" borderId="104" xfId="0" applyNumberFormat="1" applyFont="1" applyBorder="1"/>
    <xf numFmtId="0" fontId="6" fillId="0" borderId="31" xfId="0" applyFont="1" applyBorder="1" applyAlignment="1">
      <alignment horizontal="left" shrinkToFit="1"/>
    </xf>
    <xf numFmtId="43" fontId="8" fillId="4" borderId="10" xfId="49" applyFont="1" applyFill="1" applyBorder="1"/>
    <xf numFmtId="43" fontId="6" fillId="0" borderId="26" xfId="49" applyFont="1" applyFill="1" applyBorder="1" applyAlignment="1">
      <alignment horizontal="left" shrinkToFit="1"/>
    </xf>
    <xf numFmtId="43" fontId="6" fillId="0" borderId="31" xfId="0" applyNumberFormat="1" applyFont="1" applyBorder="1" applyAlignment="1">
      <alignment horizontal="left" shrinkToFit="1"/>
    </xf>
    <xf numFmtId="43" fontId="6" fillId="0" borderId="9" xfId="49" applyFont="1" applyBorder="1" applyAlignment="1">
      <alignment shrinkToFit="1"/>
    </xf>
    <xf numFmtId="43" fontId="6" fillId="0" borderId="10" xfId="49" applyFont="1" applyBorder="1" applyAlignment="1">
      <alignment shrinkToFit="1"/>
    </xf>
    <xf numFmtId="0" fontId="3" fillId="0" borderId="26" xfId="0" applyFont="1" applyBorder="1" applyAlignment="1">
      <alignment horizontal="left" shrinkToFit="1"/>
    </xf>
    <xf numFmtId="43" fontId="3" fillId="4" borderId="26" xfId="0" applyNumberFormat="1" applyFont="1" applyFill="1" applyBorder="1" applyAlignment="1">
      <alignment horizontal="left" shrinkToFit="1"/>
    </xf>
    <xf numFmtId="43" fontId="3" fillId="4" borderId="28" xfId="0" applyNumberFormat="1" applyFont="1" applyFill="1" applyBorder="1" applyAlignment="1">
      <alignment horizontal="left" shrinkToFit="1"/>
    </xf>
    <xf numFmtId="0" fontId="6" fillId="2" borderId="31" xfId="0" applyFont="1" applyFill="1" applyBorder="1" applyAlignment="1">
      <alignment horizontal="left" shrinkToFit="1"/>
    </xf>
    <xf numFmtId="43" fontId="6" fillId="2" borderId="10" xfId="49" applyFont="1" applyFill="1" applyBorder="1" applyAlignment="1">
      <alignment shrinkToFit="1"/>
    </xf>
    <xf numFmtId="0" fontId="5" fillId="2" borderId="37" xfId="0" applyFont="1" applyFill="1" applyBorder="1"/>
    <xf numFmtId="0" fontId="5" fillId="2" borderId="38" xfId="0" applyFont="1" applyFill="1" applyBorder="1"/>
    <xf numFmtId="0" fontId="5" fillId="2" borderId="42" xfId="0" applyFont="1" applyFill="1" applyBorder="1"/>
    <xf numFmtId="0" fontId="3" fillId="2" borderId="31" xfId="0" applyFont="1" applyFill="1" applyBorder="1" applyAlignment="1">
      <alignment horizontal="left" shrinkToFit="1"/>
    </xf>
    <xf numFmtId="43" fontId="3" fillId="2" borderId="26" xfId="0" applyNumberFormat="1" applyFont="1" applyFill="1" applyBorder="1" applyAlignment="1">
      <alignment horizontal="left" shrinkToFit="1"/>
    </xf>
    <xf numFmtId="43" fontId="3" fillId="2" borderId="28" xfId="49" applyFont="1" applyFill="1" applyBorder="1" applyAlignment="1">
      <alignment shrinkToFit="1"/>
    </xf>
    <xf numFmtId="43" fontId="3" fillId="2" borderId="26" xfId="49" applyFont="1" applyFill="1" applyBorder="1" applyAlignment="1">
      <alignment shrinkToFit="1"/>
    </xf>
    <xf numFmtId="0" fontId="1" fillId="2" borderId="42" xfId="0" applyFont="1" applyFill="1" applyBorder="1"/>
    <xf numFmtId="0" fontId="6" fillId="2" borderId="9" xfId="0" applyFont="1" applyFill="1" applyBorder="1" applyAlignment="1">
      <alignment horizontal="left" shrinkToFit="1"/>
    </xf>
    <xf numFmtId="0" fontId="6" fillId="2" borderId="10" xfId="0" applyFont="1" applyFill="1" applyBorder="1" applyAlignment="1">
      <alignment horizontal="left" shrinkToFit="1"/>
    </xf>
    <xf numFmtId="0" fontId="6" fillId="2" borderId="27" xfId="0" applyFont="1" applyFill="1" applyBorder="1" applyAlignment="1">
      <alignment horizontal="left" shrinkToFit="1"/>
    </xf>
    <xf numFmtId="0" fontId="6" fillId="2" borderId="40" xfId="0" applyFont="1" applyFill="1" applyBorder="1" applyAlignment="1">
      <alignment horizontal="left" shrinkToFit="1"/>
    </xf>
    <xf numFmtId="0" fontId="6" fillId="2" borderId="28" xfId="0" applyFont="1" applyFill="1" applyBorder="1" applyAlignment="1">
      <alignment horizontal="left" shrinkToFit="1"/>
    </xf>
    <xf numFmtId="0" fontId="6" fillId="2" borderId="42" xfId="0" applyFont="1" applyFill="1" applyBorder="1" applyAlignment="1">
      <alignment horizontal="left" shrinkToFit="1"/>
    </xf>
    <xf numFmtId="43" fontId="8" fillId="4" borderId="47" xfId="49" applyFont="1" applyFill="1" applyBorder="1"/>
    <xf numFmtId="0" fontId="0" fillId="0" borderId="31" xfId="0" applyBorder="1" applyAlignment="1">
      <alignment horizontal="left"/>
    </xf>
    <xf numFmtId="43" fontId="6" fillId="0" borderId="10" xfId="49" applyFont="1" applyBorder="1"/>
    <xf numFmtId="0" fontId="1" fillId="0" borderId="20" xfId="0" applyFont="1" applyBorder="1" applyAlignment="1">
      <alignment horizontal="left" indent="2"/>
    </xf>
    <xf numFmtId="43" fontId="8" fillId="6" borderId="18" xfId="49" applyFont="1" applyFill="1" applyBorder="1" applyAlignment="1">
      <alignment shrinkToFit="1"/>
    </xf>
    <xf numFmtId="43" fontId="6" fillId="0" borderId="10" xfId="49" applyFont="1" applyFill="1" applyBorder="1" applyAlignment="1">
      <alignment shrinkToFit="1"/>
    </xf>
    <xf numFmtId="0" fontId="1" fillId="0" borderId="116" xfId="0" applyFont="1" applyBorder="1"/>
    <xf numFmtId="0" fontId="6" fillId="0" borderId="90" xfId="0" applyFont="1" applyBorder="1" applyAlignment="1">
      <alignment horizontal="center"/>
    </xf>
    <xf numFmtId="43" fontId="8" fillId="5" borderId="113" xfId="49" applyFont="1" applyFill="1" applyBorder="1" applyAlignment="1">
      <alignment shrinkToFit="1"/>
    </xf>
    <xf numFmtId="43" fontId="1" fillId="0" borderId="2" xfId="49" applyFont="1" applyBorder="1" applyAlignment="1">
      <alignment horizontal="center" shrinkToFit="1"/>
    </xf>
    <xf numFmtId="43" fontId="9" fillId="0" borderId="2" xfId="49" applyFont="1" applyBorder="1" applyAlignment="1">
      <alignment horizontal="center" shrinkToFit="1"/>
    </xf>
    <xf numFmtId="43" fontId="1" fillId="0" borderId="0" xfId="49" applyFont="1" applyAlignment="1"/>
    <xf numFmtId="43" fontId="9" fillId="0" borderId="0" xfId="49" applyFont="1" applyAlignment="1">
      <alignment shrinkToFit="1"/>
    </xf>
    <xf numFmtId="43" fontId="1" fillId="0" borderId="0" xfId="49" applyFont="1" applyAlignment="1">
      <alignment horizontal="center" shrinkToFit="1"/>
    </xf>
    <xf numFmtId="43" fontId="20" fillId="0" borderId="0" xfId="49" applyFont="1" applyAlignment="1">
      <alignment shrinkToFit="1"/>
    </xf>
    <xf numFmtId="43" fontId="9" fillId="0" borderId="0" xfId="49" applyFont="1"/>
    <xf numFmtId="43" fontId="1" fillId="0" borderId="0" xfId="49" applyFont="1" applyAlignment="1">
      <alignment horizontal="right"/>
    </xf>
    <xf numFmtId="43" fontId="6" fillId="0" borderId="47" xfId="49" applyFont="1" applyBorder="1" applyAlignment="1">
      <alignment shrinkToFit="1"/>
    </xf>
    <xf numFmtId="43" fontId="6" fillId="2" borderId="9" xfId="49" applyFont="1" applyFill="1" applyBorder="1" applyAlignment="1">
      <alignment shrinkToFit="1"/>
    </xf>
    <xf numFmtId="43" fontId="6" fillId="2" borderId="0" xfId="49" applyFont="1" applyFill="1" applyBorder="1" applyAlignment="1">
      <alignment shrinkToFit="1"/>
    </xf>
    <xf numFmtId="43" fontId="6" fillId="2" borderId="47" xfId="49" applyFont="1" applyFill="1" applyBorder="1" applyAlignment="1">
      <alignment shrinkToFit="1"/>
    </xf>
    <xf numFmtId="43" fontId="3" fillId="2" borderId="20" xfId="49" applyFont="1" applyFill="1" applyBorder="1" applyAlignment="1">
      <alignment shrinkToFit="1"/>
    </xf>
    <xf numFmtId="43" fontId="3" fillId="2" borderId="46" xfId="49" applyFont="1" applyFill="1" applyBorder="1" applyAlignment="1">
      <alignment shrinkToFit="1"/>
    </xf>
    <xf numFmtId="43" fontId="6" fillId="2" borderId="27" xfId="49" applyFont="1" applyFill="1" applyBorder="1" applyAlignment="1">
      <alignment shrinkToFit="1"/>
    </xf>
    <xf numFmtId="43" fontId="6" fillId="2" borderId="35" xfId="49" applyFont="1" applyFill="1" applyBorder="1" applyAlignment="1">
      <alignment shrinkToFit="1"/>
    </xf>
    <xf numFmtId="43" fontId="6" fillId="2" borderId="50" xfId="49" applyFont="1" applyFill="1" applyBorder="1" applyAlignment="1">
      <alignment shrinkToFit="1"/>
    </xf>
    <xf numFmtId="43" fontId="6" fillId="0" borderId="11" xfId="49" applyFont="1" applyBorder="1" applyAlignment="1">
      <alignment shrinkToFit="1"/>
    </xf>
    <xf numFmtId="43" fontId="6" fillId="0" borderId="29" xfId="49" applyFont="1" applyBorder="1" applyAlignment="1">
      <alignment shrinkToFit="1"/>
    </xf>
    <xf numFmtId="43" fontId="6" fillId="0" borderId="29" xfId="49" applyFont="1" applyBorder="1"/>
    <xf numFmtId="43" fontId="1" fillId="0" borderId="0" xfId="49" applyFont="1" applyBorder="1" applyAlignment="1">
      <alignment shrinkToFit="1"/>
    </xf>
    <xf numFmtId="43" fontId="8" fillId="2" borderId="0" xfId="49" applyFont="1" applyFill="1" applyBorder="1" applyAlignment="1">
      <alignment shrinkToFit="1"/>
    </xf>
    <xf numFmtId="43" fontId="20" fillId="0" borderId="0" xfId="49" applyFont="1" applyBorder="1" applyAlignment="1">
      <alignment shrinkToFit="1"/>
    </xf>
    <xf numFmtId="43" fontId="8" fillId="4" borderId="99" xfId="49" applyFont="1" applyFill="1" applyBorder="1"/>
    <xf numFmtId="43" fontId="6" fillId="0" borderId="47" xfId="49" applyFont="1" applyBorder="1"/>
    <xf numFmtId="43" fontId="3" fillId="4" borderId="46" xfId="0" applyNumberFormat="1" applyFont="1" applyFill="1" applyBorder="1" applyAlignment="1">
      <alignment horizontal="left" shrinkToFit="1"/>
    </xf>
    <xf numFmtId="43" fontId="5" fillId="4" borderId="98" xfId="0" applyNumberFormat="1" applyFont="1" applyFill="1" applyBorder="1" applyAlignment="1">
      <alignment shrinkToFit="1"/>
    </xf>
    <xf numFmtId="43" fontId="1" fillId="2" borderId="99" xfId="0" applyNumberFormat="1" applyFont="1" applyFill="1" applyBorder="1" applyAlignment="1">
      <alignment shrinkToFit="1"/>
    </xf>
    <xf numFmtId="43" fontId="5" fillId="2" borderId="98" xfId="0" applyNumberFormat="1" applyFont="1" applyFill="1" applyBorder="1" applyAlignment="1">
      <alignment shrinkToFit="1"/>
    </xf>
    <xf numFmtId="43" fontId="6" fillId="2" borderId="50" xfId="49" applyFont="1" applyFill="1" applyBorder="1"/>
    <xf numFmtId="43" fontId="1" fillId="2" borderId="108" xfId="0" applyNumberFormat="1" applyFont="1" applyFill="1" applyBorder="1" applyAlignment="1">
      <alignment shrinkToFit="1"/>
    </xf>
    <xf numFmtId="43" fontId="1" fillId="2" borderId="98" xfId="0" applyNumberFormat="1" applyFont="1" applyFill="1" applyBorder="1" applyAlignment="1">
      <alignment shrinkToFit="1"/>
    </xf>
    <xf numFmtId="43" fontId="8" fillId="4" borderId="19" xfId="49" applyFont="1" applyFill="1" applyBorder="1"/>
    <xf numFmtId="43" fontId="6" fillId="0" borderId="11" xfId="49" applyFont="1" applyBorder="1"/>
    <xf numFmtId="43" fontId="8" fillId="6" borderId="59" xfId="49" applyFont="1" applyFill="1" applyBorder="1" applyAlignment="1">
      <alignment shrinkToFit="1"/>
    </xf>
    <xf numFmtId="43" fontId="8" fillId="6" borderId="117" xfId="49" applyFont="1" applyFill="1" applyBorder="1" applyAlignment="1">
      <alignment shrinkToFit="1"/>
    </xf>
    <xf numFmtId="43" fontId="6" fillId="0" borderId="47" xfId="49" applyFont="1" applyFill="1" applyBorder="1" applyAlignment="1">
      <alignment shrinkToFit="1"/>
    </xf>
    <xf numFmtId="43" fontId="6" fillId="0" borderId="99" xfId="49" applyFont="1" applyFill="1" applyBorder="1" applyAlignment="1">
      <alignment shrinkToFit="1"/>
    </xf>
    <xf numFmtId="43" fontId="8" fillId="5" borderId="114" xfId="49" applyFont="1" applyFill="1" applyBorder="1" applyAlignment="1">
      <alignment shrinkToFit="1"/>
    </xf>
    <xf numFmtId="43" fontId="8" fillId="5" borderId="115" xfId="49" applyFont="1" applyFill="1" applyBorder="1" applyAlignment="1">
      <alignment shrinkToFit="1"/>
    </xf>
    <xf numFmtId="43" fontId="1" fillId="0" borderId="15" xfId="49" applyFont="1" applyBorder="1" applyAlignment="1" quotePrefix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2025-n\MONTHLY%20%20SUBMISSION\IGF\FARS\2025%20igf\CABAC_Fid-Non-Fid-FY-2025%20Ormoc%20Campus%20-%20Cop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E_CY 2025 (REVISED 11.20.24)"/>
      <sheetName val="Fiduciary 2025"/>
      <sheetName val="Non Fiduciary 2025"/>
    </sheetNames>
    <sheetDataSet>
      <sheetData sheetId="0"/>
      <sheetData sheetId="1">
        <row r="436">
          <cell r="E436">
            <v>13943418.99</v>
          </cell>
          <cell r="F436">
            <v>7894777.02</v>
          </cell>
          <cell r="G436">
            <v>406610</v>
          </cell>
          <cell r="H436">
            <v>86404</v>
          </cell>
          <cell r="I436">
            <v>0</v>
          </cell>
        </row>
        <row r="436"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42"/>
  <sheetViews>
    <sheetView topLeftCell="A386" workbookViewId="0">
      <selection activeCell="I413" sqref="I413"/>
    </sheetView>
  </sheetViews>
  <sheetFormatPr defaultColWidth="9" defaultRowHeight="14.4"/>
  <cols>
    <col min="1" max="1" width="2.57407407407407" customWidth="1"/>
    <col min="2" max="2" width="2.42592592592593" customWidth="1"/>
    <col min="3" max="3" width="28.1388888888889" customWidth="1"/>
    <col min="4" max="4" width="18.287037037037" customWidth="1"/>
    <col min="5" max="5" width="17" customWidth="1"/>
    <col min="6" max="6" width="16.5740740740741" customWidth="1"/>
    <col min="7" max="7" width="14.5740740740741" customWidth="1"/>
    <col min="8" max="8" width="14.712962962963" customWidth="1"/>
    <col min="9" max="9" width="13.712962962963" customWidth="1"/>
    <col min="10" max="10" width="15.8518518518519" customWidth="1"/>
    <col min="11" max="11" width="15" style="689" customWidth="1"/>
    <col min="12" max="12" width="15.712962962963" style="690" customWidth="1"/>
    <col min="13" max="13" width="14" style="690" customWidth="1"/>
    <col min="14" max="14" width="14.8518518518519" style="690" customWidth="1"/>
    <col min="15" max="15" width="15.5740740740741" customWidth="1"/>
    <col min="16" max="16" width="13.8518518518519" customWidth="1"/>
    <col min="17" max="17" width="15.8518518518519" customWidth="1"/>
    <col min="18" max="18" width="19" customWidth="1"/>
    <col min="19" max="20" width="13" customWidth="1"/>
    <col min="21" max="21" width="15.1388888888889" customWidth="1"/>
    <col min="22" max="22" width="17.8518518518519" customWidth="1"/>
    <col min="24" max="25" width="17.4259259259259" customWidth="1"/>
    <col min="26" max="26" width="16.712962962963" customWidth="1"/>
    <col min="29" max="29" width="14.8518518518519" customWidth="1"/>
  </cols>
  <sheetData>
    <row r="1" s="1" customFormat="1" ht="15" customHeight="1" spans="11:14">
      <c r="K1" s="225"/>
      <c r="L1" s="222"/>
      <c r="M1" s="222"/>
      <c r="N1" s="222"/>
    </row>
    <row r="2" s="1" customFormat="1" ht="13.8" spans="1:14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225"/>
      <c r="L2" s="222"/>
      <c r="M2" s="222"/>
      <c r="N2" s="222"/>
    </row>
    <row r="3" s="1" customFormat="1" ht="13.8" spans="1:15">
      <c r="A3" s="17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="1" customFormat="1" ht="13.8" spans="1:14">
      <c r="A4" s="17"/>
      <c r="B4" s="17"/>
      <c r="C4" s="17"/>
      <c r="D4" s="17"/>
      <c r="E4" s="17"/>
      <c r="F4" s="17"/>
      <c r="G4" s="17"/>
      <c r="H4" s="17"/>
      <c r="I4" s="17"/>
      <c r="J4" s="17"/>
      <c r="K4" s="225"/>
      <c r="L4" s="222"/>
      <c r="M4" s="222"/>
      <c r="N4" s="222"/>
    </row>
    <row r="5" s="1" customFormat="1" ht="13.8" spans="1:14">
      <c r="A5" s="17" t="s">
        <v>2</v>
      </c>
      <c r="B5" s="17"/>
      <c r="C5" s="17"/>
      <c r="D5" s="17"/>
      <c r="E5" s="17"/>
      <c r="F5" s="17"/>
      <c r="G5" s="17"/>
      <c r="H5" s="17"/>
      <c r="I5" s="17"/>
      <c r="J5" s="17"/>
      <c r="K5" s="225"/>
      <c r="L5" s="222"/>
      <c r="M5" s="222"/>
      <c r="N5" s="222"/>
    </row>
    <row r="6" s="1" customFormat="1" ht="14.55" spans="1:22">
      <c r="A6" s="17" t="s">
        <v>3</v>
      </c>
      <c r="B6" s="17"/>
      <c r="C6" s="17"/>
      <c r="D6" s="17"/>
      <c r="E6" s="17"/>
      <c r="F6" s="17"/>
      <c r="G6" s="17"/>
      <c r="H6" s="17"/>
      <c r="I6" s="17"/>
      <c r="J6" s="17"/>
      <c r="K6" s="225"/>
      <c r="L6" s="222"/>
      <c r="M6" s="222"/>
      <c r="N6" s="222"/>
      <c r="V6" s="223" t="s">
        <v>4</v>
      </c>
    </row>
    <row r="7" s="1" customFormat="1" ht="14.55" spans="1:22">
      <c r="A7" s="18"/>
      <c r="B7" s="19"/>
      <c r="C7" s="19"/>
      <c r="D7" s="23"/>
      <c r="E7" s="22" t="s">
        <v>5</v>
      </c>
      <c r="F7" s="23"/>
      <c r="G7" s="24" t="s">
        <v>6</v>
      </c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21"/>
      <c r="V7" s="224"/>
    </row>
    <row r="8" s="1" customFormat="1" ht="15" customHeight="1" spans="1:22">
      <c r="A8" s="25"/>
      <c r="B8" s="6"/>
      <c r="C8" s="6"/>
      <c r="D8" s="249"/>
      <c r="E8" s="28" t="s">
        <v>7</v>
      </c>
      <c r="F8" s="28" t="s">
        <v>8</v>
      </c>
      <c r="G8" s="29" t="s">
        <v>9</v>
      </c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753"/>
      <c r="V8" s="226"/>
    </row>
    <row r="9" s="1" customFormat="1" ht="13.8" spans="1:22">
      <c r="A9" s="30" t="s">
        <v>10</v>
      </c>
      <c r="B9" s="31"/>
      <c r="C9" s="691"/>
      <c r="D9" s="28" t="s">
        <v>11</v>
      </c>
      <c r="E9" s="28" t="s">
        <v>12</v>
      </c>
      <c r="F9" s="28" t="s">
        <v>13</v>
      </c>
      <c r="H9" s="28"/>
      <c r="I9" s="27"/>
      <c r="J9" s="27" t="s">
        <v>14</v>
      </c>
      <c r="K9" s="168"/>
      <c r="L9" s="170"/>
      <c r="M9" s="169"/>
      <c r="P9" s="28"/>
      <c r="Q9" s="28"/>
      <c r="R9" s="167"/>
      <c r="S9" s="754"/>
      <c r="T9" s="754"/>
      <c r="U9" s="755"/>
      <c r="V9" s="228"/>
    </row>
    <row r="10" s="1" customFormat="1" ht="13.8" spans="1:22">
      <c r="A10" s="34"/>
      <c r="D10" s="28" t="s">
        <v>15</v>
      </c>
      <c r="E10" s="28" t="s">
        <v>16</v>
      </c>
      <c r="F10" s="28" t="s">
        <v>17</v>
      </c>
      <c r="G10" s="28" t="s">
        <v>18</v>
      </c>
      <c r="H10" s="28" t="s">
        <v>19</v>
      </c>
      <c r="I10" s="27" t="s">
        <v>20</v>
      </c>
      <c r="J10" s="733">
        <v>41334</v>
      </c>
      <c r="K10" s="169" t="s">
        <v>21</v>
      </c>
      <c r="L10" s="170" t="s">
        <v>22</v>
      </c>
      <c r="M10" s="734" t="s">
        <v>23</v>
      </c>
      <c r="N10" s="170" t="s">
        <v>24</v>
      </c>
      <c r="O10" s="28" t="s">
        <v>25</v>
      </c>
      <c r="P10" s="28" t="s">
        <v>26</v>
      </c>
      <c r="Q10" s="756" t="s">
        <v>27</v>
      </c>
      <c r="R10" s="757" t="s">
        <v>14</v>
      </c>
      <c r="S10" s="758" t="s">
        <v>28</v>
      </c>
      <c r="T10" s="758" t="s">
        <v>28</v>
      </c>
      <c r="U10" s="167" t="s">
        <v>29</v>
      </c>
      <c r="V10" s="228" t="s">
        <v>30</v>
      </c>
    </row>
    <row r="11" s="1" customFormat="1" ht="14.55" spans="1:26">
      <c r="A11" s="37"/>
      <c r="B11" s="38"/>
      <c r="C11" s="38"/>
      <c r="D11" s="230"/>
      <c r="E11" s="41" t="s">
        <v>31</v>
      </c>
      <c r="F11" s="42"/>
      <c r="G11" s="692"/>
      <c r="H11" s="42"/>
      <c r="I11" s="368"/>
      <c r="J11" s="1070" t="s">
        <v>32</v>
      </c>
      <c r="K11" s="42"/>
      <c r="L11" s="175"/>
      <c r="M11" s="174"/>
      <c r="N11" s="735"/>
      <c r="O11" s="692"/>
      <c r="P11" s="230"/>
      <c r="Q11" s="759"/>
      <c r="R11" s="760" t="s">
        <v>33</v>
      </c>
      <c r="S11" s="761"/>
      <c r="T11" s="761"/>
      <c r="U11" s="232"/>
      <c r="V11" s="233"/>
      <c r="X11" s="225"/>
      <c r="Y11" s="225"/>
      <c r="Z11" s="791">
        <f>X11+X12</f>
        <v>0</v>
      </c>
    </row>
    <row r="12" s="1" customFormat="1" ht="14.55" spans="1:25">
      <c r="A12" s="25" t="s">
        <v>34</v>
      </c>
      <c r="B12" s="6" t="s">
        <v>35</v>
      </c>
      <c r="C12" s="6"/>
      <c r="D12" s="249"/>
      <c r="E12" s="127"/>
      <c r="F12" s="77"/>
      <c r="G12" s="77"/>
      <c r="H12" s="77"/>
      <c r="I12" s="736"/>
      <c r="J12" s="736"/>
      <c r="K12" s="77"/>
      <c r="L12" s="188"/>
      <c r="M12" s="188"/>
      <c r="N12" s="188"/>
      <c r="O12" s="249"/>
      <c r="P12" s="249"/>
      <c r="R12" s="249"/>
      <c r="S12" s="249"/>
      <c r="T12" s="249"/>
      <c r="U12" s="762"/>
      <c r="V12" s="763"/>
      <c r="X12" s="225"/>
      <c r="Y12" s="225"/>
    </row>
    <row r="13" s="1" customFormat="1" ht="13.8" spans="1:25">
      <c r="A13" s="25"/>
      <c r="B13" s="1" t="s">
        <v>36</v>
      </c>
      <c r="D13" s="693" t="s">
        <v>37</v>
      </c>
      <c r="E13" s="160">
        <v>2000000</v>
      </c>
      <c r="F13" s="60">
        <f t="shared" ref="F13" si="0">SUM(G13:U13)</f>
        <v>2000000</v>
      </c>
      <c r="G13" s="189"/>
      <c r="H13" s="107"/>
      <c r="I13" s="737"/>
      <c r="J13" s="737">
        <v>2000000</v>
      </c>
      <c r="K13" s="107"/>
      <c r="L13" s="190"/>
      <c r="M13" s="190"/>
      <c r="N13" s="190"/>
      <c r="O13" s="251"/>
      <c r="P13" s="251"/>
      <c r="Q13" s="80"/>
      <c r="R13" s="251"/>
      <c r="S13" s="251"/>
      <c r="T13" s="251"/>
      <c r="U13" s="764"/>
      <c r="V13" s="765">
        <f t="shared" ref="V13:V32" si="1">E13-F13</f>
        <v>0</v>
      </c>
      <c r="X13" s="225"/>
      <c r="Y13" s="225"/>
    </row>
    <row r="14" s="1" customFormat="1" ht="13.8" spans="1:25">
      <c r="A14" s="25"/>
      <c r="D14" s="249"/>
      <c r="E14" s="127"/>
      <c r="F14" s="77"/>
      <c r="G14" s="76"/>
      <c r="H14" s="77"/>
      <c r="I14" s="736"/>
      <c r="J14" s="736"/>
      <c r="K14" s="77"/>
      <c r="L14" s="188"/>
      <c r="M14" s="188"/>
      <c r="N14" s="188"/>
      <c r="O14" s="249"/>
      <c r="P14" s="249"/>
      <c r="R14" s="249"/>
      <c r="S14" s="249"/>
      <c r="T14" s="249"/>
      <c r="U14" s="762"/>
      <c r="V14" s="766">
        <f t="shared" si="1"/>
        <v>0</v>
      </c>
      <c r="X14" s="225"/>
      <c r="Y14" s="225"/>
    </row>
    <row r="15" s="1" customFormat="1" ht="13.8" spans="1:25">
      <c r="A15" s="25"/>
      <c r="B15" s="1" t="s">
        <v>38</v>
      </c>
      <c r="D15" s="694" t="s">
        <v>37</v>
      </c>
      <c r="E15" s="127">
        <v>3000000</v>
      </c>
      <c r="F15" s="60">
        <f t="shared" ref="F15:F17" si="2">SUM(G15:U15)</f>
        <v>1082650.97</v>
      </c>
      <c r="G15" s="189"/>
      <c r="H15" s="107"/>
      <c r="I15" s="737"/>
      <c r="J15" s="737">
        <v>1082650.97</v>
      </c>
      <c r="K15" s="107"/>
      <c r="L15" s="190"/>
      <c r="M15" s="190"/>
      <c r="N15" s="190"/>
      <c r="O15" s="251"/>
      <c r="P15" s="251"/>
      <c r="Q15" s="80"/>
      <c r="R15" s="251"/>
      <c r="S15" s="251"/>
      <c r="T15" s="251"/>
      <c r="U15" s="764"/>
      <c r="V15" s="765">
        <f t="shared" si="1"/>
        <v>1917349.03</v>
      </c>
      <c r="X15" s="225"/>
      <c r="Y15" s="225"/>
    </row>
    <row r="16" s="1" customFormat="1" ht="13.8" spans="1:25">
      <c r="A16" s="25"/>
      <c r="D16" s="694" t="s">
        <v>39</v>
      </c>
      <c r="E16" s="127">
        <v>2000000</v>
      </c>
      <c r="F16" s="60">
        <f t="shared" si="2"/>
        <v>2000000</v>
      </c>
      <c r="G16" s="76"/>
      <c r="H16" s="77"/>
      <c r="I16" s="736"/>
      <c r="J16" s="736">
        <v>2000000</v>
      </c>
      <c r="K16" s="77"/>
      <c r="L16" s="188"/>
      <c r="M16" s="188"/>
      <c r="N16" s="188"/>
      <c r="O16" s="249"/>
      <c r="P16" s="249"/>
      <c r="R16" s="249"/>
      <c r="S16" s="249"/>
      <c r="T16" s="249"/>
      <c r="U16" s="762"/>
      <c r="V16" s="766">
        <f t="shared" si="1"/>
        <v>0</v>
      </c>
      <c r="X16" s="225"/>
      <c r="Y16" s="225"/>
    </row>
    <row r="17" s="1" customFormat="1" ht="13.8" spans="1:25">
      <c r="A17" s="25"/>
      <c r="D17" s="694" t="s">
        <v>40</v>
      </c>
      <c r="E17" s="127">
        <v>361755</v>
      </c>
      <c r="F17" s="60">
        <f t="shared" si="2"/>
        <v>313585.15</v>
      </c>
      <c r="G17" s="189"/>
      <c r="H17" s="107"/>
      <c r="I17" s="737"/>
      <c r="J17" s="737">
        <v>313585.15</v>
      </c>
      <c r="K17" s="107"/>
      <c r="L17" s="190"/>
      <c r="M17" s="190"/>
      <c r="N17" s="190"/>
      <c r="O17" s="251"/>
      <c r="P17" s="251"/>
      <c r="Q17" s="80"/>
      <c r="R17" s="251"/>
      <c r="S17" s="251"/>
      <c r="T17" s="251"/>
      <c r="U17" s="764"/>
      <c r="V17" s="765">
        <f t="shared" si="1"/>
        <v>48169.85</v>
      </c>
      <c r="X17" s="225"/>
      <c r="Y17" s="225"/>
    </row>
    <row r="18" s="1" customFormat="1" ht="13.8" spans="1:25">
      <c r="A18" s="25"/>
      <c r="D18" s="694"/>
      <c r="E18" s="127"/>
      <c r="F18" s="77"/>
      <c r="G18" s="76"/>
      <c r="H18" s="77"/>
      <c r="I18" s="736"/>
      <c r="J18" s="736"/>
      <c r="K18" s="77"/>
      <c r="L18" s="188"/>
      <c r="M18" s="188"/>
      <c r="N18" s="188"/>
      <c r="O18" s="249"/>
      <c r="P18" s="249"/>
      <c r="R18" s="249"/>
      <c r="S18" s="249"/>
      <c r="T18" s="249"/>
      <c r="U18" s="762"/>
      <c r="V18" s="767">
        <f t="shared" si="1"/>
        <v>0</v>
      </c>
      <c r="X18" s="225"/>
      <c r="Y18" s="225"/>
    </row>
    <row r="19" s="3" customFormat="1" ht="13.8" spans="1:25">
      <c r="A19" s="695"/>
      <c r="B19" s="49" t="s">
        <v>41</v>
      </c>
      <c r="C19" s="49"/>
      <c r="D19" s="693" t="s">
        <v>42</v>
      </c>
      <c r="E19" s="160">
        <v>400000</v>
      </c>
      <c r="F19" s="60">
        <f>SUM(G19:U19)</f>
        <v>196781.93</v>
      </c>
      <c r="G19" s="62"/>
      <c r="H19" s="60"/>
      <c r="I19" s="60"/>
      <c r="J19" s="60">
        <f>125150+10000+26000+11631.93+24000</f>
        <v>196781.93</v>
      </c>
      <c r="K19" s="60"/>
      <c r="L19" s="195"/>
      <c r="M19" s="195"/>
      <c r="N19" s="195"/>
      <c r="O19" s="60"/>
      <c r="P19" s="60"/>
      <c r="Q19" s="207"/>
      <c r="R19" s="60"/>
      <c r="S19" s="60"/>
      <c r="T19" s="60"/>
      <c r="U19" s="209"/>
      <c r="V19" s="765">
        <f t="shared" si="1"/>
        <v>203218.07</v>
      </c>
      <c r="X19" s="238"/>
      <c r="Y19" s="238"/>
    </row>
    <row r="20" s="3" customFormat="1" ht="13.8" spans="1:25">
      <c r="A20" s="695"/>
      <c r="B20" s="49"/>
      <c r="C20" s="49"/>
      <c r="D20" s="693" t="s">
        <v>43</v>
      </c>
      <c r="E20" s="160">
        <v>173468.66</v>
      </c>
      <c r="F20" s="60">
        <f t="shared" ref="F20:F32" si="3">SUM(G20:U20)</f>
        <v>99503.1</v>
      </c>
      <c r="G20" s="62">
        <v>900</v>
      </c>
      <c r="H20" s="60"/>
      <c r="I20" s="62"/>
      <c r="J20" s="62">
        <f>76.66+98526.44</f>
        <v>98603.1</v>
      </c>
      <c r="K20" s="60"/>
      <c r="L20" s="195"/>
      <c r="M20" s="195"/>
      <c r="N20" s="195"/>
      <c r="O20" s="60"/>
      <c r="P20" s="60"/>
      <c r="Q20" s="207"/>
      <c r="R20" s="60"/>
      <c r="S20" s="60"/>
      <c r="T20" s="60"/>
      <c r="U20" s="209"/>
      <c r="V20" s="765">
        <f t="shared" si="1"/>
        <v>73965.56</v>
      </c>
      <c r="X20" s="238"/>
      <c r="Y20" s="238"/>
    </row>
    <row r="21" s="3" customFormat="1" ht="13.8" spans="1:25">
      <c r="A21" s="695"/>
      <c r="B21" s="49"/>
      <c r="C21" s="49"/>
      <c r="D21" s="693" t="s">
        <v>44</v>
      </c>
      <c r="E21" s="60">
        <v>100000</v>
      </c>
      <c r="F21" s="60">
        <f t="shared" si="3"/>
        <v>100</v>
      </c>
      <c r="G21" s="62"/>
      <c r="H21" s="60"/>
      <c r="I21" s="62"/>
      <c r="J21" s="62"/>
      <c r="K21" s="60"/>
      <c r="L21" s="195"/>
      <c r="M21" s="195">
        <v>100</v>
      </c>
      <c r="N21" s="195"/>
      <c r="O21" s="60"/>
      <c r="P21" s="60"/>
      <c r="Q21" s="207"/>
      <c r="R21" s="60"/>
      <c r="S21" s="60"/>
      <c r="T21" s="60"/>
      <c r="U21" s="209"/>
      <c r="V21" s="765">
        <f t="shared" si="1"/>
        <v>99900</v>
      </c>
      <c r="X21" s="238"/>
      <c r="Y21" s="238"/>
    </row>
    <row r="22" s="3" customFormat="1" ht="13.8" spans="1:25">
      <c r="A22" s="695"/>
      <c r="B22" s="49"/>
      <c r="C22" s="49"/>
      <c r="D22" s="696" t="s">
        <v>45</v>
      </c>
      <c r="E22" s="160"/>
      <c r="F22" s="60">
        <f t="shared" si="3"/>
        <v>0</v>
      </c>
      <c r="G22" s="62"/>
      <c r="H22" s="60"/>
      <c r="I22" s="62"/>
      <c r="J22" s="62"/>
      <c r="K22" s="60"/>
      <c r="L22" s="195"/>
      <c r="M22" s="195"/>
      <c r="N22" s="195"/>
      <c r="O22" s="60"/>
      <c r="P22" s="60"/>
      <c r="Q22" s="207"/>
      <c r="R22" s="60"/>
      <c r="S22" s="60"/>
      <c r="T22" s="60"/>
      <c r="U22" s="209"/>
      <c r="V22" s="765">
        <f t="shared" si="1"/>
        <v>0</v>
      </c>
      <c r="X22" s="238"/>
      <c r="Y22" s="238"/>
    </row>
    <row r="23" s="3" customFormat="1" ht="13.8" spans="1:25">
      <c r="A23" s="695"/>
      <c r="B23" s="49"/>
      <c r="C23" s="49"/>
      <c r="D23" s="696" t="s">
        <v>46</v>
      </c>
      <c r="E23" s="160"/>
      <c r="F23" s="60">
        <f t="shared" si="3"/>
        <v>0</v>
      </c>
      <c r="G23" s="62"/>
      <c r="H23" s="60"/>
      <c r="I23" s="62"/>
      <c r="J23" s="62"/>
      <c r="K23" s="60"/>
      <c r="L23" s="195"/>
      <c r="M23" s="195"/>
      <c r="N23" s="195"/>
      <c r="O23" s="60"/>
      <c r="P23" s="60"/>
      <c r="Q23" s="207"/>
      <c r="R23" s="60"/>
      <c r="S23" s="60"/>
      <c r="T23" s="60"/>
      <c r="U23" s="209"/>
      <c r="V23" s="765">
        <f t="shared" si="1"/>
        <v>0</v>
      </c>
      <c r="X23" s="238"/>
      <c r="Y23" s="238"/>
    </row>
    <row r="24" s="3" customFormat="1" ht="13.8" spans="1:25">
      <c r="A24" s="695"/>
      <c r="B24" s="49"/>
      <c r="C24" s="49"/>
      <c r="D24" s="693" t="s">
        <v>47</v>
      </c>
      <c r="E24" s="160"/>
      <c r="F24" s="60">
        <f t="shared" si="3"/>
        <v>0</v>
      </c>
      <c r="G24" s="62"/>
      <c r="H24" s="60"/>
      <c r="I24" s="180"/>
      <c r="J24" s="180"/>
      <c r="K24" s="60"/>
      <c r="L24" s="195"/>
      <c r="M24" s="195"/>
      <c r="N24" s="195"/>
      <c r="O24" s="60"/>
      <c r="P24" s="60"/>
      <c r="Q24" s="207"/>
      <c r="R24" s="60"/>
      <c r="S24" s="60"/>
      <c r="T24" s="60"/>
      <c r="U24" s="209"/>
      <c r="V24" s="765">
        <f t="shared" si="1"/>
        <v>0</v>
      </c>
      <c r="X24" s="238"/>
      <c r="Y24" s="238"/>
    </row>
    <row r="25" s="3" customFormat="1" ht="13.8" spans="1:25">
      <c r="A25" s="695"/>
      <c r="B25" s="49"/>
      <c r="C25" s="49"/>
      <c r="D25" s="693" t="s">
        <v>48</v>
      </c>
      <c r="E25" s="160"/>
      <c r="F25" s="60">
        <f t="shared" si="3"/>
        <v>0</v>
      </c>
      <c r="G25" s="62"/>
      <c r="H25" s="60"/>
      <c r="I25" s="180"/>
      <c r="J25" s="180"/>
      <c r="K25" s="60"/>
      <c r="L25" s="195"/>
      <c r="M25" s="195"/>
      <c r="N25" s="195"/>
      <c r="O25" s="60"/>
      <c r="P25" s="60"/>
      <c r="Q25" s="207"/>
      <c r="R25" s="60"/>
      <c r="S25" s="60"/>
      <c r="T25" s="60"/>
      <c r="U25" s="209"/>
      <c r="V25" s="765">
        <f t="shared" si="1"/>
        <v>0</v>
      </c>
      <c r="X25" s="238"/>
      <c r="Y25" s="238"/>
    </row>
    <row r="26" s="3" customFormat="1" ht="13.8" spans="1:25">
      <c r="A26" s="695"/>
      <c r="B26" s="49"/>
      <c r="C26" s="49"/>
      <c r="D26" s="693" t="s">
        <v>49</v>
      </c>
      <c r="E26" s="160"/>
      <c r="F26" s="60">
        <f t="shared" si="3"/>
        <v>0</v>
      </c>
      <c r="G26" s="62"/>
      <c r="H26" s="60"/>
      <c r="I26" s="180"/>
      <c r="J26" s="180"/>
      <c r="K26" s="60"/>
      <c r="L26" s="195"/>
      <c r="M26" s="195"/>
      <c r="N26" s="195"/>
      <c r="O26" s="60"/>
      <c r="P26" s="60"/>
      <c r="Q26" s="207"/>
      <c r="R26" s="60"/>
      <c r="S26" s="60"/>
      <c r="T26" s="60"/>
      <c r="U26" s="209"/>
      <c r="V26" s="765">
        <f t="shared" si="1"/>
        <v>0</v>
      </c>
      <c r="X26" s="238"/>
      <c r="Y26" s="238"/>
    </row>
    <row r="27" s="3" customFormat="1" ht="13.8" spans="1:25">
      <c r="A27" s="695"/>
      <c r="B27" s="49"/>
      <c r="C27" s="49"/>
      <c r="D27" s="696" t="s">
        <v>50</v>
      </c>
      <c r="E27" s="160"/>
      <c r="F27" s="60">
        <f t="shared" si="3"/>
        <v>0</v>
      </c>
      <c r="G27" s="62"/>
      <c r="H27" s="60"/>
      <c r="I27" s="180"/>
      <c r="J27" s="180"/>
      <c r="K27" s="60"/>
      <c r="L27" s="195"/>
      <c r="M27" s="195"/>
      <c r="N27" s="195"/>
      <c r="O27" s="60"/>
      <c r="P27" s="60"/>
      <c r="Q27" s="207"/>
      <c r="R27" s="60"/>
      <c r="S27" s="60"/>
      <c r="T27" s="60"/>
      <c r="U27" s="209"/>
      <c r="V27" s="765">
        <f t="shared" si="1"/>
        <v>0</v>
      </c>
      <c r="X27" s="238"/>
      <c r="Y27" s="238"/>
    </row>
    <row r="28" s="1" customFormat="1" ht="13.8" spans="1:25">
      <c r="A28" s="697"/>
      <c r="B28" s="80"/>
      <c r="C28" s="80"/>
      <c r="D28" s="698" t="s">
        <v>51</v>
      </c>
      <c r="E28" s="699">
        <v>5000</v>
      </c>
      <c r="F28" s="107">
        <f t="shared" si="3"/>
        <v>0</v>
      </c>
      <c r="G28" s="189"/>
      <c r="H28" s="107"/>
      <c r="I28" s="737"/>
      <c r="J28" s="737"/>
      <c r="K28" s="107"/>
      <c r="L28" s="191"/>
      <c r="M28" s="191"/>
      <c r="N28" s="191"/>
      <c r="O28" s="107"/>
      <c r="P28" s="107"/>
      <c r="Q28" s="220"/>
      <c r="R28" s="107"/>
      <c r="S28" s="107"/>
      <c r="T28" s="107"/>
      <c r="U28" s="221"/>
      <c r="V28" s="765">
        <f t="shared" si="1"/>
        <v>5000</v>
      </c>
      <c r="X28" s="225"/>
      <c r="Y28" s="225"/>
    </row>
    <row r="29" s="1" customFormat="1" ht="13.8" spans="1:25">
      <c r="A29" s="697"/>
      <c r="B29" s="80"/>
      <c r="C29" s="80"/>
      <c r="D29" s="700" t="s">
        <v>52</v>
      </c>
      <c r="E29" s="83"/>
      <c r="F29" s="107">
        <f t="shared" si="3"/>
        <v>0</v>
      </c>
      <c r="G29" s="189"/>
      <c r="H29" s="107"/>
      <c r="I29" s="737"/>
      <c r="J29" s="737"/>
      <c r="K29" s="107"/>
      <c r="L29" s="191"/>
      <c r="M29" s="191"/>
      <c r="N29" s="191"/>
      <c r="O29" s="107"/>
      <c r="P29" s="107"/>
      <c r="Q29" s="220"/>
      <c r="R29" s="107"/>
      <c r="S29" s="107"/>
      <c r="T29" s="107"/>
      <c r="U29" s="221"/>
      <c r="V29" s="768">
        <f t="shared" si="1"/>
        <v>0</v>
      </c>
      <c r="X29" s="225"/>
      <c r="Y29" s="225"/>
    </row>
    <row r="30" s="1" customFormat="1" ht="13.8" spans="1:25">
      <c r="A30" s="697"/>
      <c r="B30" s="80"/>
      <c r="C30" s="80"/>
      <c r="D30" s="700" t="s">
        <v>53</v>
      </c>
      <c r="E30" s="83"/>
      <c r="F30" s="107">
        <f t="shared" si="3"/>
        <v>0</v>
      </c>
      <c r="G30" s="189"/>
      <c r="H30" s="107"/>
      <c r="I30" s="737"/>
      <c r="J30" s="737"/>
      <c r="K30" s="107"/>
      <c r="L30" s="191"/>
      <c r="M30" s="191"/>
      <c r="N30" s="191"/>
      <c r="O30" s="107"/>
      <c r="P30" s="107"/>
      <c r="Q30" s="220"/>
      <c r="R30" s="107"/>
      <c r="S30" s="107"/>
      <c r="T30" s="107"/>
      <c r="U30" s="221"/>
      <c r="V30" s="768">
        <f t="shared" si="1"/>
        <v>0</v>
      </c>
      <c r="X30" s="225"/>
      <c r="Y30" s="225"/>
    </row>
    <row r="31" s="1" customFormat="1" ht="13.8" spans="1:26">
      <c r="A31" s="697"/>
      <c r="B31" s="80"/>
      <c r="C31" s="80"/>
      <c r="D31" s="700" t="s">
        <v>54</v>
      </c>
      <c r="E31" s="83"/>
      <c r="F31" s="107">
        <f t="shared" si="3"/>
        <v>186834</v>
      </c>
      <c r="G31" s="189">
        <f>5050+4200+91180</f>
        <v>100430</v>
      </c>
      <c r="H31" s="191">
        <f>16364+70040</f>
        <v>86404</v>
      </c>
      <c r="I31" s="737"/>
      <c r="J31" s="737"/>
      <c r="K31" s="107"/>
      <c r="L31" s="191"/>
      <c r="M31" s="191"/>
      <c r="N31" s="191"/>
      <c r="O31" s="107"/>
      <c r="P31" s="107"/>
      <c r="Q31" s="220"/>
      <c r="R31" s="107"/>
      <c r="S31" s="107"/>
      <c r="T31" s="107"/>
      <c r="U31" s="221"/>
      <c r="V31" s="769">
        <f t="shared" si="1"/>
        <v>-186834</v>
      </c>
      <c r="X31" s="225"/>
      <c r="Y31" s="225"/>
      <c r="Z31" s="792"/>
    </row>
    <row r="32" s="1" customFormat="1" ht="13.8" spans="1:26">
      <c r="A32" s="34"/>
      <c r="C32" s="378"/>
      <c r="D32" s="701" t="s">
        <v>55</v>
      </c>
      <c r="E32" s="83">
        <v>321600</v>
      </c>
      <c r="F32" s="107">
        <f t="shared" si="3"/>
        <v>208500</v>
      </c>
      <c r="G32" s="189">
        <f>26500+4000+110000+68000</f>
        <v>208500</v>
      </c>
      <c r="H32" s="191"/>
      <c r="I32" s="737"/>
      <c r="J32" s="737"/>
      <c r="K32" s="107"/>
      <c r="L32" s="191"/>
      <c r="M32" s="191"/>
      <c r="N32" s="191"/>
      <c r="O32" s="107"/>
      <c r="P32" s="107"/>
      <c r="Q32" s="220"/>
      <c r="R32" s="107"/>
      <c r="S32" s="107"/>
      <c r="T32" s="107"/>
      <c r="U32" s="221"/>
      <c r="V32" s="769">
        <f t="shared" si="1"/>
        <v>113100</v>
      </c>
      <c r="X32" s="225"/>
      <c r="Y32" s="225"/>
      <c r="Z32" s="792"/>
    </row>
    <row r="33" s="1" customFormat="1" ht="18.75" customHeight="1" spans="1:25">
      <c r="A33" s="34"/>
      <c r="D33" s="249"/>
      <c r="E33" s="702">
        <f>SUM(E13:E32)</f>
        <v>8361823.66</v>
      </c>
      <c r="F33" s="702">
        <f>SUM(F13:F32)</f>
        <v>6087955.15</v>
      </c>
      <c r="G33" s="703">
        <f>SUM(G19:G32)</f>
        <v>309830</v>
      </c>
      <c r="H33" s="704">
        <f>SUM(H19:H32)</f>
        <v>86404</v>
      </c>
      <c r="I33" s="704">
        <f t="shared" ref="I33:U33" si="4">SUM(I19:I32)</f>
        <v>0</v>
      </c>
      <c r="J33" s="704">
        <f>SUM(J13:J32)</f>
        <v>5691621.15</v>
      </c>
      <c r="K33" s="704">
        <f t="shared" si="4"/>
        <v>0</v>
      </c>
      <c r="L33" s="704">
        <f t="shared" si="4"/>
        <v>0</v>
      </c>
      <c r="M33" s="704">
        <f t="shared" si="4"/>
        <v>100</v>
      </c>
      <c r="N33" s="704">
        <f t="shared" si="4"/>
        <v>0</v>
      </c>
      <c r="O33" s="704">
        <f t="shared" si="4"/>
        <v>0</v>
      </c>
      <c r="P33" s="704">
        <f t="shared" si="4"/>
        <v>0</v>
      </c>
      <c r="Q33" s="704">
        <f t="shared" si="4"/>
        <v>0</v>
      </c>
      <c r="R33" s="704">
        <f t="shared" si="4"/>
        <v>0</v>
      </c>
      <c r="S33" s="704">
        <f t="shared" si="4"/>
        <v>0</v>
      </c>
      <c r="T33" s="704">
        <f t="shared" si="4"/>
        <v>0</v>
      </c>
      <c r="U33" s="770">
        <f t="shared" si="4"/>
        <v>0</v>
      </c>
      <c r="V33" s="771">
        <f>SUM(V13:V32)</f>
        <v>2273868.51</v>
      </c>
      <c r="X33" s="225"/>
      <c r="Y33" s="225"/>
    </row>
    <row r="34" s="1" customFormat="1" ht="14.55" spans="1:25">
      <c r="A34" s="705" t="s">
        <v>56</v>
      </c>
      <c r="B34" s="706" t="s">
        <v>57</v>
      </c>
      <c r="C34" s="707"/>
      <c r="D34" s="708"/>
      <c r="E34" s="117"/>
      <c r="F34" s="709"/>
      <c r="G34" s="710"/>
      <c r="H34" s="710"/>
      <c r="I34" s="738"/>
      <c r="J34" s="738"/>
      <c r="K34" s="710"/>
      <c r="L34" s="739"/>
      <c r="M34" s="740"/>
      <c r="N34" s="740"/>
      <c r="O34" s="710"/>
      <c r="P34" s="710"/>
      <c r="Q34" s="772"/>
      <c r="R34" s="710"/>
      <c r="S34" s="710"/>
      <c r="T34" s="710"/>
      <c r="U34" s="773"/>
      <c r="V34" s="774"/>
      <c r="X34" s="225"/>
      <c r="Y34" s="225"/>
    </row>
    <row r="35" s="1" customFormat="1" ht="13.8" spans="1:25">
      <c r="A35" s="711"/>
      <c r="B35" s="139" t="s">
        <v>58</v>
      </c>
      <c r="C35" s="712"/>
      <c r="D35" s="713"/>
      <c r="E35" s="117"/>
      <c r="F35" s="117"/>
      <c r="G35" s="117"/>
      <c r="H35" s="117"/>
      <c r="I35" s="741"/>
      <c r="J35" s="741"/>
      <c r="K35" s="117"/>
      <c r="L35" s="742"/>
      <c r="M35" s="653"/>
      <c r="N35" s="653"/>
      <c r="O35" s="117"/>
      <c r="P35" s="117"/>
      <c r="Q35" s="775"/>
      <c r="R35" s="117"/>
      <c r="S35" s="117"/>
      <c r="T35" s="117"/>
      <c r="U35" s="709"/>
      <c r="V35" s="776"/>
      <c r="X35" s="225"/>
      <c r="Y35" s="225"/>
    </row>
    <row r="36" s="1" customFormat="1" ht="13.8" spans="1:25">
      <c r="A36" s="34"/>
      <c r="B36" s="1" t="s">
        <v>59</v>
      </c>
      <c r="C36" s="344"/>
      <c r="D36" s="28"/>
      <c r="E36" s="77"/>
      <c r="F36" s="77"/>
      <c r="G36" s="77"/>
      <c r="H36" s="77"/>
      <c r="I36" s="76"/>
      <c r="J36" s="76"/>
      <c r="K36" s="77"/>
      <c r="L36" s="188"/>
      <c r="M36" s="466"/>
      <c r="N36" s="466"/>
      <c r="O36" s="77"/>
      <c r="P36" s="77"/>
      <c r="Q36" s="731"/>
      <c r="R36" s="77"/>
      <c r="S36" s="77"/>
      <c r="T36" s="77"/>
      <c r="U36" s="777"/>
      <c r="V36" s="778"/>
      <c r="X36" s="225"/>
      <c r="Y36" s="225"/>
    </row>
    <row r="37" s="3" customFormat="1" ht="13.8" spans="1:25">
      <c r="A37" s="695"/>
      <c r="B37" s="317" t="s">
        <v>60</v>
      </c>
      <c r="C37" s="317"/>
      <c r="D37" s="714" t="s">
        <v>42</v>
      </c>
      <c r="E37" s="60">
        <v>59000</v>
      </c>
      <c r="F37" s="60">
        <f t="shared" ref="F37:F54" si="5">SUM(G37:U37)</f>
        <v>59000</v>
      </c>
      <c r="G37" s="60"/>
      <c r="H37" s="60"/>
      <c r="I37" s="62"/>
      <c r="J37" s="62">
        <v>59000</v>
      </c>
      <c r="K37" s="60"/>
      <c r="L37" s="195"/>
      <c r="M37" s="195"/>
      <c r="N37" s="195"/>
      <c r="O37" s="60"/>
      <c r="P37" s="60"/>
      <c r="Q37" s="207"/>
      <c r="R37" s="60"/>
      <c r="S37" s="60"/>
      <c r="T37" s="60"/>
      <c r="U37" s="209"/>
      <c r="V37" s="779">
        <f>E37-F37</f>
        <v>0</v>
      </c>
      <c r="X37" s="238"/>
      <c r="Y37" s="238"/>
    </row>
    <row r="38" s="3" customFormat="1" ht="13.8" spans="1:25">
      <c r="A38" s="695"/>
      <c r="B38" s="49"/>
      <c r="C38" s="317"/>
      <c r="D38" s="714" t="s">
        <v>61</v>
      </c>
      <c r="E38" s="60">
        <v>364436.8</v>
      </c>
      <c r="F38" s="399">
        <f t="shared" si="5"/>
        <v>364436.8</v>
      </c>
      <c r="G38" s="60"/>
      <c r="H38" s="60"/>
      <c r="I38" s="62"/>
      <c r="J38" s="62">
        <v>364436.8</v>
      </c>
      <c r="K38" s="60"/>
      <c r="L38" s="195"/>
      <c r="M38" s="195"/>
      <c r="N38" s="195"/>
      <c r="O38" s="60"/>
      <c r="P38" s="60"/>
      <c r="Q38" s="207"/>
      <c r="R38" s="60"/>
      <c r="S38" s="60"/>
      <c r="T38" s="60"/>
      <c r="U38" s="209"/>
      <c r="V38" s="779">
        <f t="shared" ref="V38:V54" si="6">E38-F38</f>
        <v>0</v>
      </c>
      <c r="X38" s="238"/>
      <c r="Y38" s="238"/>
    </row>
    <row r="39" s="3" customFormat="1" ht="13.8" spans="1:25">
      <c r="A39" s="695"/>
      <c r="B39" s="49"/>
      <c r="C39" s="317"/>
      <c r="D39" s="714" t="s">
        <v>62</v>
      </c>
      <c r="E39" s="60">
        <v>147240</v>
      </c>
      <c r="F39" s="399">
        <f t="shared" si="5"/>
        <v>180876.64</v>
      </c>
      <c r="G39" s="60">
        <v>90000</v>
      </c>
      <c r="H39" s="60"/>
      <c r="I39" s="62"/>
      <c r="J39" s="62">
        <v>87996.64</v>
      </c>
      <c r="K39" s="60"/>
      <c r="L39" s="195"/>
      <c r="M39" s="195">
        <f>2880</f>
        <v>2880</v>
      </c>
      <c r="N39" s="195"/>
      <c r="O39" s="60"/>
      <c r="P39" s="60"/>
      <c r="Q39" s="207"/>
      <c r="R39" s="60"/>
      <c r="S39" s="60"/>
      <c r="T39" s="60"/>
      <c r="U39" s="209"/>
      <c r="V39" s="779">
        <f t="shared" si="6"/>
        <v>-33636.64</v>
      </c>
      <c r="X39" s="238"/>
      <c r="Y39" s="238"/>
    </row>
    <row r="40" s="3" customFormat="1" ht="13.8" spans="1:25">
      <c r="A40" s="695"/>
      <c r="B40" s="49"/>
      <c r="C40" s="715"/>
      <c r="D40" s="714" t="s">
        <v>63</v>
      </c>
      <c r="E40" s="60">
        <v>300000</v>
      </c>
      <c r="F40" s="399">
        <f t="shared" si="5"/>
        <v>194368.72</v>
      </c>
      <c r="G40" s="60"/>
      <c r="H40" s="60"/>
      <c r="I40" s="62"/>
      <c r="J40" s="62">
        <v>194368.72</v>
      </c>
      <c r="K40" s="60"/>
      <c r="L40" s="195"/>
      <c r="M40" s="195"/>
      <c r="N40" s="195"/>
      <c r="O40" s="60"/>
      <c r="P40" s="60"/>
      <c r="Q40" s="207"/>
      <c r="R40" s="60"/>
      <c r="S40" s="60"/>
      <c r="T40" s="60"/>
      <c r="U40" s="209"/>
      <c r="V40" s="779">
        <f t="shared" si="6"/>
        <v>105631.28</v>
      </c>
      <c r="X40" s="238"/>
      <c r="Y40" s="238"/>
    </row>
    <row r="41" s="3" customFormat="1" ht="13.8" spans="1:22">
      <c r="A41" s="695"/>
      <c r="B41" s="49"/>
      <c r="C41" s="317"/>
      <c r="D41" s="714" t="s">
        <v>44</v>
      </c>
      <c r="E41" s="60">
        <v>217414.54</v>
      </c>
      <c r="F41" s="399">
        <f t="shared" si="5"/>
        <v>218314.54</v>
      </c>
      <c r="G41" s="60">
        <v>900</v>
      </c>
      <c r="H41" s="60"/>
      <c r="I41" s="62"/>
      <c r="J41" s="62">
        <v>217414.54</v>
      </c>
      <c r="K41" s="60"/>
      <c r="L41" s="195"/>
      <c r="M41" s="195"/>
      <c r="N41" s="195"/>
      <c r="O41" s="60"/>
      <c r="P41" s="60"/>
      <c r="Q41" s="207"/>
      <c r="R41" s="60"/>
      <c r="S41" s="60"/>
      <c r="T41" s="60"/>
      <c r="U41" s="209"/>
      <c r="V41" s="779">
        <f t="shared" si="6"/>
        <v>-900</v>
      </c>
    </row>
    <row r="42" s="3" customFormat="1" ht="13.8" spans="1:22">
      <c r="A42" s="695"/>
      <c r="B42" s="49"/>
      <c r="C42" s="715"/>
      <c r="D42" s="714" t="s">
        <v>46</v>
      </c>
      <c r="E42" s="60">
        <v>150000</v>
      </c>
      <c r="F42" s="399">
        <f t="shared" si="5"/>
        <v>3000</v>
      </c>
      <c r="G42" s="60">
        <v>3000</v>
      </c>
      <c r="H42" s="60"/>
      <c r="I42" s="62"/>
      <c r="J42" s="62"/>
      <c r="K42" s="60"/>
      <c r="L42" s="195"/>
      <c r="M42" s="195"/>
      <c r="N42" s="195"/>
      <c r="O42" s="60"/>
      <c r="P42" s="60"/>
      <c r="Q42" s="207"/>
      <c r="R42" s="60"/>
      <c r="S42" s="60"/>
      <c r="T42" s="60"/>
      <c r="U42" s="209"/>
      <c r="V42" s="779">
        <f t="shared" si="6"/>
        <v>147000</v>
      </c>
    </row>
    <row r="43" s="3" customFormat="1" ht="13.8" spans="1:22">
      <c r="A43" s="695"/>
      <c r="B43" s="49"/>
      <c r="C43" s="317"/>
      <c r="D43" s="714" t="s">
        <v>47</v>
      </c>
      <c r="E43" s="60"/>
      <c r="F43" s="399">
        <f t="shared" si="5"/>
        <v>0</v>
      </c>
      <c r="G43" s="60"/>
      <c r="H43" s="60"/>
      <c r="I43" s="62"/>
      <c r="J43" s="62"/>
      <c r="K43" s="60"/>
      <c r="L43" s="195"/>
      <c r="M43" s="195"/>
      <c r="N43" s="195"/>
      <c r="O43" s="60"/>
      <c r="P43" s="60"/>
      <c r="Q43" s="207"/>
      <c r="R43" s="60"/>
      <c r="S43" s="60"/>
      <c r="T43" s="60"/>
      <c r="U43" s="209"/>
      <c r="V43" s="779">
        <f t="shared" si="6"/>
        <v>0</v>
      </c>
    </row>
    <row r="44" s="3" customFormat="1" ht="13.8" spans="1:22">
      <c r="A44" s="695"/>
      <c r="B44" s="49"/>
      <c r="C44" s="715"/>
      <c r="D44" s="714" t="s">
        <v>64</v>
      </c>
      <c r="E44" s="60"/>
      <c r="F44" s="399">
        <f t="shared" si="5"/>
        <v>0</v>
      </c>
      <c r="G44" s="60"/>
      <c r="H44" s="60"/>
      <c r="I44" s="62"/>
      <c r="J44" s="62"/>
      <c r="K44" s="60"/>
      <c r="L44" s="195"/>
      <c r="M44" s="195"/>
      <c r="N44" s="195"/>
      <c r="O44" s="60"/>
      <c r="P44" s="60"/>
      <c r="Q44" s="207"/>
      <c r="R44" s="60"/>
      <c r="S44" s="60"/>
      <c r="T44" s="60"/>
      <c r="U44" s="209"/>
      <c r="V44" s="779">
        <f t="shared" si="6"/>
        <v>0</v>
      </c>
    </row>
    <row r="45" s="3" customFormat="1" ht="13.8" spans="1:26">
      <c r="A45" s="695"/>
      <c r="B45" s="49"/>
      <c r="C45" s="715"/>
      <c r="D45" s="714" t="s">
        <v>65</v>
      </c>
      <c r="E45" s="60">
        <v>22471.51</v>
      </c>
      <c r="F45" s="399">
        <f t="shared" si="5"/>
        <v>22471</v>
      </c>
      <c r="G45" s="60"/>
      <c r="H45" s="60"/>
      <c r="I45" s="62"/>
      <c r="J45" s="62">
        <v>22471</v>
      </c>
      <c r="K45" s="60"/>
      <c r="L45" s="195"/>
      <c r="M45" s="195"/>
      <c r="N45" s="195"/>
      <c r="O45" s="60"/>
      <c r="P45" s="60"/>
      <c r="Q45" s="207"/>
      <c r="R45" s="60"/>
      <c r="S45" s="60"/>
      <c r="T45" s="60"/>
      <c r="U45" s="209"/>
      <c r="V45" s="779">
        <f t="shared" si="6"/>
        <v>0.509999999998399</v>
      </c>
      <c r="X45" s="238"/>
      <c r="Y45" s="238"/>
      <c r="Z45" s="238">
        <f>X45+X46+X48+X49+X50+X51+X52+X54+X55</f>
        <v>0</v>
      </c>
    </row>
    <row r="46" s="3" customFormat="1" ht="13.8" spans="1:26">
      <c r="A46" s="695"/>
      <c r="B46" s="49"/>
      <c r="C46" s="317"/>
      <c r="D46" s="714" t="s">
        <v>66</v>
      </c>
      <c r="E46" s="60">
        <v>60000</v>
      </c>
      <c r="F46" s="399">
        <f t="shared" si="5"/>
        <v>69900</v>
      </c>
      <c r="G46" s="60">
        <v>300</v>
      </c>
      <c r="H46" s="60"/>
      <c r="I46" s="62"/>
      <c r="J46" s="62">
        <v>60000</v>
      </c>
      <c r="K46" s="60"/>
      <c r="L46" s="195"/>
      <c r="M46" s="195">
        <v>9600</v>
      </c>
      <c r="N46" s="195"/>
      <c r="O46" s="60"/>
      <c r="P46" s="60"/>
      <c r="Q46" s="207"/>
      <c r="R46" s="60"/>
      <c r="S46" s="60"/>
      <c r="T46" s="60"/>
      <c r="U46" s="209"/>
      <c r="V46" s="779">
        <f t="shared" si="6"/>
        <v>-9900</v>
      </c>
      <c r="X46" s="238"/>
      <c r="Y46" s="238"/>
      <c r="Z46" s="238"/>
    </row>
    <row r="47" s="3" customFormat="1" ht="13.8" spans="1:26">
      <c r="A47" s="695"/>
      <c r="B47" s="49"/>
      <c r="C47" s="317"/>
      <c r="D47" s="714" t="s">
        <v>67</v>
      </c>
      <c r="E47" s="60"/>
      <c r="F47" s="399">
        <f t="shared" si="5"/>
        <v>0</v>
      </c>
      <c r="G47" s="60"/>
      <c r="H47" s="60"/>
      <c r="I47" s="62"/>
      <c r="J47" s="62"/>
      <c r="K47" s="60"/>
      <c r="L47" s="195"/>
      <c r="M47" s="195"/>
      <c r="N47" s="195"/>
      <c r="O47" s="60"/>
      <c r="P47" s="60"/>
      <c r="Q47" s="207"/>
      <c r="R47" s="60"/>
      <c r="S47" s="60"/>
      <c r="T47" s="60"/>
      <c r="U47" s="209"/>
      <c r="V47" s="779">
        <f t="shared" si="6"/>
        <v>0</v>
      </c>
      <c r="X47" s="238"/>
      <c r="Y47" s="238"/>
      <c r="Z47" s="238"/>
    </row>
    <row r="48" s="3" customFormat="1" ht="13.8" spans="1:26">
      <c r="A48" s="695"/>
      <c r="B48" s="49"/>
      <c r="C48" s="715"/>
      <c r="D48" s="714" t="s">
        <v>68</v>
      </c>
      <c r="E48" s="60">
        <v>53800</v>
      </c>
      <c r="F48" s="399">
        <f t="shared" si="5"/>
        <v>73600</v>
      </c>
      <c r="G48" s="60">
        <v>600</v>
      </c>
      <c r="H48" s="60"/>
      <c r="I48" s="62"/>
      <c r="J48" s="62">
        <v>53800</v>
      </c>
      <c r="K48" s="60"/>
      <c r="L48" s="195"/>
      <c r="M48" s="195">
        <v>19200</v>
      </c>
      <c r="N48" s="195"/>
      <c r="O48" s="60"/>
      <c r="P48" s="60"/>
      <c r="Q48" s="207"/>
      <c r="R48" s="60"/>
      <c r="S48" s="60"/>
      <c r="T48" s="60"/>
      <c r="U48" s="209"/>
      <c r="V48" s="779">
        <f t="shared" si="6"/>
        <v>-19800</v>
      </c>
      <c r="X48" s="238"/>
      <c r="Y48" s="238"/>
      <c r="Z48" s="238"/>
    </row>
    <row r="49" s="3" customFormat="1" ht="13.8" spans="1:26">
      <c r="A49" s="695"/>
      <c r="B49" s="49"/>
      <c r="C49" s="715"/>
      <c r="D49" s="714" t="s">
        <v>51</v>
      </c>
      <c r="E49" s="60">
        <v>100000</v>
      </c>
      <c r="F49" s="399">
        <f t="shared" si="5"/>
        <v>5940</v>
      </c>
      <c r="G49" s="60">
        <v>180</v>
      </c>
      <c r="H49" s="60"/>
      <c r="I49" s="62"/>
      <c r="J49" s="62"/>
      <c r="K49" s="60"/>
      <c r="L49" s="195"/>
      <c r="M49" s="195">
        <v>5760</v>
      </c>
      <c r="N49" s="195"/>
      <c r="O49" s="60"/>
      <c r="P49" s="60"/>
      <c r="Q49" s="207"/>
      <c r="R49" s="60"/>
      <c r="S49" s="60"/>
      <c r="T49" s="60"/>
      <c r="U49" s="209"/>
      <c r="V49" s="779">
        <f t="shared" si="6"/>
        <v>94060</v>
      </c>
      <c r="X49" s="238"/>
      <c r="Y49" s="238"/>
      <c r="Z49" s="238"/>
    </row>
    <row r="50" s="3" customFormat="1" ht="13.8" spans="1:26">
      <c r="A50" s="695"/>
      <c r="B50" s="49"/>
      <c r="C50" s="317"/>
      <c r="D50" s="714" t="s">
        <v>37</v>
      </c>
      <c r="E50" s="60">
        <v>100000</v>
      </c>
      <c r="F50" s="399">
        <f t="shared" si="5"/>
        <v>0</v>
      </c>
      <c r="G50" s="60"/>
      <c r="H50" s="60"/>
      <c r="I50" s="62"/>
      <c r="J50" s="62"/>
      <c r="K50" s="60"/>
      <c r="L50" s="195"/>
      <c r="M50" s="195"/>
      <c r="N50" s="195"/>
      <c r="O50" s="60"/>
      <c r="P50" s="60"/>
      <c r="Q50" s="207"/>
      <c r="R50" s="60"/>
      <c r="S50" s="60"/>
      <c r="T50" s="60"/>
      <c r="U50" s="209"/>
      <c r="V50" s="779">
        <f t="shared" si="6"/>
        <v>100000</v>
      </c>
      <c r="X50" s="238"/>
      <c r="Y50" s="238"/>
      <c r="Z50" s="238"/>
    </row>
    <row r="51" s="3" customFormat="1" ht="13.8" spans="1:26">
      <c r="A51" s="695"/>
      <c r="B51" s="49"/>
      <c r="C51" s="317"/>
      <c r="D51" s="714" t="s">
        <v>69</v>
      </c>
      <c r="E51" s="60">
        <v>50000</v>
      </c>
      <c r="F51" s="399">
        <f t="shared" si="5"/>
        <v>50900</v>
      </c>
      <c r="G51" s="60">
        <v>900</v>
      </c>
      <c r="H51" s="60"/>
      <c r="I51" s="62"/>
      <c r="J51" s="62">
        <v>50000</v>
      </c>
      <c r="K51" s="60"/>
      <c r="L51" s="195"/>
      <c r="M51" s="195"/>
      <c r="N51" s="195"/>
      <c r="O51" s="60"/>
      <c r="P51" s="60"/>
      <c r="Q51" s="207"/>
      <c r="R51" s="60"/>
      <c r="S51" s="60"/>
      <c r="T51" s="60"/>
      <c r="U51" s="209"/>
      <c r="V51" s="779">
        <f t="shared" si="6"/>
        <v>-900</v>
      </c>
      <c r="X51" s="238"/>
      <c r="Y51" s="238"/>
      <c r="Z51" s="238"/>
    </row>
    <row r="52" s="3" customFormat="1" ht="13.8" spans="1:26">
      <c r="A52" s="695"/>
      <c r="B52" s="49"/>
      <c r="C52" s="715"/>
      <c r="D52" s="714" t="s">
        <v>70</v>
      </c>
      <c r="E52" s="60">
        <v>60000</v>
      </c>
      <c r="F52" s="399">
        <f t="shared" si="5"/>
        <v>50600</v>
      </c>
      <c r="G52" s="60">
        <v>600</v>
      </c>
      <c r="H52" s="60"/>
      <c r="I52" s="62"/>
      <c r="J52" s="62">
        <v>50000</v>
      </c>
      <c r="K52" s="60"/>
      <c r="L52" s="195"/>
      <c r="M52" s="195"/>
      <c r="N52" s="195"/>
      <c r="O52" s="60"/>
      <c r="P52" s="60"/>
      <c r="Q52" s="207"/>
      <c r="R52" s="60"/>
      <c r="S52" s="60"/>
      <c r="T52" s="60"/>
      <c r="U52" s="209"/>
      <c r="V52" s="779">
        <f t="shared" si="6"/>
        <v>9400</v>
      </c>
      <c r="X52" s="238"/>
      <c r="Y52" s="238"/>
      <c r="Z52" s="238"/>
    </row>
    <row r="53" s="3" customFormat="1" ht="13.8" spans="1:26">
      <c r="A53" s="695"/>
      <c r="B53" s="49"/>
      <c r="C53" s="317"/>
      <c r="D53" s="714" t="s">
        <v>71</v>
      </c>
      <c r="E53" s="60"/>
      <c r="F53" s="399">
        <f t="shared" si="5"/>
        <v>0</v>
      </c>
      <c r="G53" s="60"/>
      <c r="H53" s="60"/>
      <c r="I53" s="62"/>
      <c r="J53" s="62"/>
      <c r="K53" s="60"/>
      <c r="L53" s="195"/>
      <c r="M53" s="195"/>
      <c r="N53" s="195"/>
      <c r="O53" s="60"/>
      <c r="P53" s="60"/>
      <c r="Q53" s="207"/>
      <c r="R53" s="60"/>
      <c r="S53" s="60"/>
      <c r="T53" s="60"/>
      <c r="U53" s="209"/>
      <c r="V53" s="779">
        <f t="shared" si="6"/>
        <v>0</v>
      </c>
      <c r="X53" s="238"/>
      <c r="Y53" s="238"/>
      <c r="Z53" s="238"/>
    </row>
    <row r="54" s="3" customFormat="1" ht="13.8" spans="1:26">
      <c r="A54" s="695"/>
      <c r="B54" s="49"/>
      <c r="C54" s="317"/>
      <c r="D54" s="714" t="s">
        <v>72</v>
      </c>
      <c r="E54" s="60">
        <v>160800</v>
      </c>
      <c r="F54" s="399">
        <f t="shared" si="5"/>
        <v>0</v>
      </c>
      <c r="G54" s="60"/>
      <c r="H54" s="195"/>
      <c r="I54" s="62"/>
      <c r="J54" s="62"/>
      <c r="K54" s="60"/>
      <c r="L54" s="195"/>
      <c r="M54" s="195"/>
      <c r="N54" s="195"/>
      <c r="O54" s="60"/>
      <c r="P54" s="60"/>
      <c r="Q54" s="207"/>
      <c r="R54" s="60"/>
      <c r="S54" s="60"/>
      <c r="T54" s="60"/>
      <c r="U54" s="209"/>
      <c r="V54" s="779">
        <f t="shared" si="6"/>
        <v>160800</v>
      </c>
      <c r="X54" s="238"/>
      <c r="Y54" s="238"/>
      <c r="Z54" s="238"/>
    </row>
    <row r="55" s="1" customFormat="1" ht="13.8" spans="1:25">
      <c r="A55" s="697"/>
      <c r="B55" s="80"/>
      <c r="C55" s="342"/>
      <c r="D55" s="716"/>
      <c r="E55" s="717">
        <f t="shared" ref="E55:V55" si="7">SUM(E37:E54)</f>
        <v>1845162.85</v>
      </c>
      <c r="F55" s="717">
        <f t="shared" si="7"/>
        <v>1293407.7</v>
      </c>
      <c r="G55" s="717">
        <f t="shared" si="7"/>
        <v>96480</v>
      </c>
      <c r="H55" s="717">
        <f t="shared" si="7"/>
        <v>0</v>
      </c>
      <c r="I55" s="717">
        <f t="shared" si="7"/>
        <v>0</v>
      </c>
      <c r="J55" s="717">
        <f t="shared" si="7"/>
        <v>1159487.7</v>
      </c>
      <c r="K55" s="717">
        <f t="shared" si="7"/>
        <v>0</v>
      </c>
      <c r="L55" s="717">
        <f t="shared" si="7"/>
        <v>0</v>
      </c>
      <c r="M55" s="717">
        <f t="shared" si="7"/>
        <v>37440</v>
      </c>
      <c r="N55" s="717">
        <f t="shared" si="7"/>
        <v>0</v>
      </c>
      <c r="O55" s="717">
        <f t="shared" si="7"/>
        <v>0</v>
      </c>
      <c r="P55" s="717">
        <f t="shared" si="7"/>
        <v>0</v>
      </c>
      <c r="Q55" s="717">
        <f t="shared" si="7"/>
        <v>0</v>
      </c>
      <c r="R55" s="717">
        <f t="shared" si="7"/>
        <v>0</v>
      </c>
      <c r="S55" s="717">
        <f t="shared" si="7"/>
        <v>0</v>
      </c>
      <c r="T55" s="717">
        <f t="shared" si="7"/>
        <v>0</v>
      </c>
      <c r="U55" s="780">
        <f t="shared" si="7"/>
        <v>0</v>
      </c>
      <c r="V55" s="781">
        <f t="shared" si="7"/>
        <v>551755.15</v>
      </c>
      <c r="X55" s="225"/>
      <c r="Y55" s="225"/>
    </row>
    <row r="56" s="1" customFormat="1" ht="13.8" spans="1:25">
      <c r="A56" s="697"/>
      <c r="B56" s="80"/>
      <c r="C56" s="342"/>
      <c r="D56" s="716"/>
      <c r="E56" s="718"/>
      <c r="F56" s="718"/>
      <c r="G56" s="718"/>
      <c r="H56" s="718"/>
      <c r="I56" s="743"/>
      <c r="J56" s="743"/>
      <c r="K56" s="718"/>
      <c r="L56" s="718"/>
      <c r="M56" s="718"/>
      <c r="N56" s="718"/>
      <c r="O56" s="718"/>
      <c r="P56" s="718"/>
      <c r="Q56" s="782"/>
      <c r="R56" s="718"/>
      <c r="S56" s="718"/>
      <c r="T56" s="718"/>
      <c r="U56" s="783"/>
      <c r="V56" s="784"/>
      <c r="X56" s="261"/>
      <c r="Y56" s="261"/>
    </row>
    <row r="57" s="685" customFormat="1" ht="13.8" spans="1:22">
      <c r="A57" s="719"/>
      <c r="B57" s="720" t="s">
        <v>73</v>
      </c>
      <c r="C57" s="721"/>
      <c r="D57" s="722" t="s">
        <v>46</v>
      </c>
      <c r="E57" s="723">
        <v>150000</v>
      </c>
      <c r="F57" s="107">
        <f t="shared" ref="F57:F88" si="8">SUM(G57:U57)</f>
        <v>0</v>
      </c>
      <c r="G57" s="84"/>
      <c r="H57" s="84"/>
      <c r="I57" s="744"/>
      <c r="J57" s="744"/>
      <c r="K57" s="745"/>
      <c r="L57" s="746"/>
      <c r="M57" s="201"/>
      <c r="N57" s="201"/>
      <c r="O57" s="84"/>
      <c r="P57" s="84"/>
      <c r="Q57" s="785"/>
      <c r="R57" s="84"/>
      <c r="S57" s="84"/>
      <c r="T57" s="84"/>
      <c r="U57" s="786"/>
      <c r="V57" s="787">
        <f>E57-F57</f>
        <v>150000</v>
      </c>
    </row>
    <row r="58" s="685" customFormat="1" ht="17.25" customHeight="1" spans="1:22">
      <c r="A58" s="719"/>
      <c r="B58" s="720"/>
      <c r="C58" s="721"/>
      <c r="D58" s="722" t="s">
        <v>37</v>
      </c>
      <c r="E58" s="723"/>
      <c r="F58" s="107">
        <f t="shared" si="8"/>
        <v>0</v>
      </c>
      <c r="G58" s="84"/>
      <c r="H58" s="84"/>
      <c r="I58" s="744"/>
      <c r="J58" s="747"/>
      <c r="K58" s="748"/>
      <c r="L58" s="746"/>
      <c r="M58" s="201"/>
      <c r="N58" s="201"/>
      <c r="O58" s="84"/>
      <c r="P58" s="84"/>
      <c r="Q58" s="785"/>
      <c r="R58" s="84"/>
      <c r="S58" s="84"/>
      <c r="T58" s="84"/>
      <c r="U58" s="786"/>
      <c r="V58" s="787">
        <f>E58-F58</f>
        <v>0</v>
      </c>
    </row>
    <row r="59" s="1" customFormat="1" ht="18" customHeight="1" spans="1:25">
      <c r="A59" s="724"/>
      <c r="B59" s="725"/>
      <c r="C59" s="726"/>
      <c r="D59" s="727"/>
      <c r="E59" s="728">
        <f>SUM(E57:E58)</f>
        <v>150000</v>
      </c>
      <c r="F59" s="728"/>
      <c r="G59" s="728">
        <f>G58+G57</f>
        <v>0</v>
      </c>
      <c r="H59" s="728">
        <f t="shared" ref="H59:O59" si="9">H58+H57</f>
        <v>0</v>
      </c>
      <c r="I59" s="728">
        <f t="shared" si="9"/>
        <v>0</v>
      </c>
      <c r="J59" s="728">
        <f t="shared" si="9"/>
        <v>0</v>
      </c>
      <c r="K59" s="728">
        <f t="shared" si="9"/>
        <v>0</v>
      </c>
      <c r="L59" s="728">
        <f t="shared" si="9"/>
        <v>0</v>
      </c>
      <c r="M59" s="728">
        <f t="shared" si="9"/>
        <v>0</v>
      </c>
      <c r="N59" s="728">
        <f t="shared" si="9"/>
        <v>0</v>
      </c>
      <c r="O59" s="728">
        <f t="shared" si="9"/>
        <v>0</v>
      </c>
      <c r="P59" s="728">
        <f t="shared" ref="P59:V59" si="10">SUM(P57:P58)</f>
        <v>0</v>
      </c>
      <c r="Q59" s="728">
        <f t="shared" si="10"/>
        <v>0</v>
      </c>
      <c r="R59" s="728">
        <f t="shared" si="10"/>
        <v>0</v>
      </c>
      <c r="S59" s="728">
        <f t="shared" si="10"/>
        <v>0</v>
      </c>
      <c r="T59" s="728">
        <f t="shared" si="10"/>
        <v>0</v>
      </c>
      <c r="U59" s="788">
        <f t="shared" si="10"/>
        <v>0</v>
      </c>
      <c r="V59" s="789">
        <f t="shared" si="10"/>
        <v>150000</v>
      </c>
      <c r="X59" s="225"/>
      <c r="Y59" s="225"/>
    </row>
    <row r="60" s="686" customFormat="1" ht="13.8" spans="4:22">
      <c r="D60" s="729"/>
      <c r="E60" s="730"/>
      <c r="F60" s="731"/>
      <c r="G60" s="732"/>
      <c r="H60" s="732"/>
      <c r="I60" s="749"/>
      <c r="J60" s="749"/>
      <c r="K60" s="750"/>
      <c r="L60" s="751"/>
      <c r="M60" s="752"/>
      <c r="N60" s="752"/>
      <c r="O60" s="732"/>
      <c r="P60" s="732"/>
      <c r="Q60" s="732"/>
      <c r="R60" s="732"/>
      <c r="S60" s="732"/>
      <c r="T60" s="732"/>
      <c r="U60" s="732"/>
      <c r="V60" s="790">
        <f>E60-F60</f>
        <v>0</v>
      </c>
    </row>
    <row r="61" s="686" customFormat="1" ht="13.8" spans="4:22">
      <c r="D61" s="729"/>
      <c r="E61" s="730"/>
      <c r="F61" s="731"/>
      <c r="G61" s="732"/>
      <c r="H61" s="732"/>
      <c r="I61" s="749"/>
      <c r="J61" s="749"/>
      <c r="K61" s="750"/>
      <c r="L61" s="751"/>
      <c r="M61" s="752"/>
      <c r="N61" s="752"/>
      <c r="O61" s="732"/>
      <c r="P61" s="732"/>
      <c r="Q61" s="732"/>
      <c r="R61" s="732"/>
      <c r="S61" s="732"/>
      <c r="T61" s="732"/>
      <c r="U61" s="732"/>
      <c r="V61" s="790"/>
    </row>
    <row r="62" s="1" customFormat="1" ht="13.8" spans="1:22">
      <c r="A62" s="17" t="s">
        <v>0</v>
      </c>
      <c r="B62" s="17"/>
      <c r="C62" s="17"/>
      <c r="D62" s="17"/>
      <c r="E62" s="17"/>
      <c r="F62" s="17"/>
      <c r="G62" s="17"/>
      <c r="H62" s="17"/>
      <c r="I62" s="17"/>
      <c r="J62" s="17"/>
      <c r="K62" s="225"/>
      <c r="L62" s="222"/>
      <c r="M62" s="222"/>
      <c r="N62" s="222"/>
      <c r="V62" s="778"/>
    </row>
    <row r="63" s="1" customFormat="1" ht="13.8" spans="1:22">
      <c r="A63" s="17" t="s">
        <v>1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V63" s="778"/>
    </row>
    <row r="64" s="1" customFormat="1" ht="13.8" spans="1:22">
      <c r="A64" s="17" t="s">
        <v>74</v>
      </c>
      <c r="B64" s="17"/>
      <c r="C64" s="17"/>
      <c r="D64" s="17"/>
      <c r="E64" s="17"/>
      <c r="F64" s="17"/>
      <c r="G64" s="17"/>
      <c r="H64" s="17"/>
      <c r="I64" s="17"/>
      <c r="J64" s="17"/>
      <c r="K64" s="225"/>
      <c r="L64" s="222"/>
      <c r="M64" s="222"/>
      <c r="N64" s="222"/>
      <c r="V64" s="778"/>
    </row>
    <row r="65" s="1" customFormat="1" ht="13.8" spans="1:22">
      <c r="A65" s="17" t="s">
        <v>2</v>
      </c>
      <c r="B65" s="17"/>
      <c r="C65" s="17"/>
      <c r="D65" s="17"/>
      <c r="E65" s="17"/>
      <c r="F65" s="17"/>
      <c r="G65" s="17"/>
      <c r="H65" s="17"/>
      <c r="I65" s="17"/>
      <c r="J65" s="17"/>
      <c r="K65" s="225"/>
      <c r="L65" s="222"/>
      <c r="M65" s="222"/>
      <c r="N65" s="222"/>
      <c r="V65" s="778"/>
    </row>
    <row r="66" s="1" customFormat="1" ht="14.55" spans="1:22">
      <c r="A66" s="17" t="s">
        <v>75</v>
      </c>
      <c r="B66" s="17"/>
      <c r="C66" s="17"/>
      <c r="D66" s="17"/>
      <c r="E66" s="17"/>
      <c r="F66" s="17"/>
      <c r="G66" s="17"/>
      <c r="H66" s="17"/>
      <c r="I66" s="17"/>
      <c r="J66" s="17"/>
      <c r="K66" s="225"/>
      <c r="L66" s="222"/>
      <c r="M66" s="222"/>
      <c r="N66" s="222"/>
      <c r="V66" s="829" t="s">
        <v>4</v>
      </c>
    </row>
    <row r="67" s="1" customFormat="1" ht="14.55" spans="1:22">
      <c r="A67" s="18"/>
      <c r="B67" s="19"/>
      <c r="C67" s="19"/>
      <c r="D67" s="23"/>
      <c r="E67" s="22" t="s">
        <v>5</v>
      </c>
      <c r="F67" s="23"/>
      <c r="G67" s="24" t="s">
        <v>6</v>
      </c>
      <c r="H67" s="165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763"/>
    </row>
    <row r="68" s="1" customFormat="1" ht="15" customHeight="1" spans="1:22">
      <c r="A68" s="25"/>
      <c r="B68" s="6"/>
      <c r="C68" s="6"/>
      <c r="D68" s="249"/>
      <c r="E68" s="28" t="s">
        <v>7</v>
      </c>
      <c r="F68" s="28" t="s">
        <v>8</v>
      </c>
      <c r="G68" s="29" t="s">
        <v>9</v>
      </c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576"/>
      <c r="V68" s="778"/>
    </row>
    <row r="69" s="1" customFormat="1" ht="13.8" spans="1:22">
      <c r="A69" s="30" t="s">
        <v>10</v>
      </c>
      <c r="B69" s="31"/>
      <c r="C69" s="691"/>
      <c r="D69" s="28" t="s">
        <v>11</v>
      </c>
      <c r="E69" s="28" t="s">
        <v>12</v>
      </c>
      <c r="F69" s="28" t="s">
        <v>13</v>
      </c>
      <c r="H69" s="28"/>
      <c r="I69" s="27"/>
      <c r="J69" s="27" t="s">
        <v>14</v>
      </c>
      <c r="K69" s="168"/>
      <c r="L69" s="170"/>
      <c r="M69" s="169"/>
      <c r="P69" s="28"/>
      <c r="Q69" s="28"/>
      <c r="R69" s="167"/>
      <c r="S69" s="754"/>
      <c r="T69" s="830"/>
      <c r="U69" s="831"/>
      <c r="V69" s="832"/>
    </row>
    <row r="70" s="1" customFormat="1" ht="13.8" spans="1:22">
      <c r="A70" s="34"/>
      <c r="D70" s="28" t="s">
        <v>15</v>
      </c>
      <c r="E70" s="28" t="s">
        <v>16</v>
      </c>
      <c r="F70" s="28" t="s">
        <v>17</v>
      </c>
      <c r="G70" s="28" t="s">
        <v>18</v>
      </c>
      <c r="H70" s="28" t="s">
        <v>19</v>
      </c>
      <c r="I70" s="27" t="s">
        <v>20</v>
      </c>
      <c r="J70" s="733">
        <v>41334</v>
      </c>
      <c r="K70" s="169" t="s">
        <v>21</v>
      </c>
      <c r="L70" s="170" t="s">
        <v>22</v>
      </c>
      <c r="M70" s="734" t="s">
        <v>23</v>
      </c>
      <c r="N70" s="170" t="s">
        <v>24</v>
      </c>
      <c r="O70" s="28" t="s">
        <v>25</v>
      </c>
      <c r="P70" s="28" t="s">
        <v>26</v>
      </c>
      <c r="Q70" s="756" t="s">
        <v>27</v>
      </c>
      <c r="R70" s="757" t="s">
        <v>14</v>
      </c>
      <c r="S70" s="758" t="s">
        <v>28</v>
      </c>
      <c r="T70" s="758" t="s">
        <v>28</v>
      </c>
      <c r="U70" s="833" t="s">
        <v>29</v>
      </c>
      <c r="V70" s="834" t="s">
        <v>30</v>
      </c>
    </row>
    <row r="71" s="1" customFormat="1" ht="14.55" spans="1:26">
      <c r="A71" s="37"/>
      <c r="B71" s="38"/>
      <c r="C71" s="38"/>
      <c r="D71" s="230"/>
      <c r="E71" s="41" t="s">
        <v>31</v>
      </c>
      <c r="F71" s="42"/>
      <c r="G71" s="692"/>
      <c r="H71" s="42"/>
      <c r="I71" s="368"/>
      <c r="J71" s="1070" t="s">
        <v>32</v>
      </c>
      <c r="K71" s="42"/>
      <c r="L71" s="175"/>
      <c r="M71" s="174"/>
      <c r="N71" s="735"/>
      <c r="O71" s="692"/>
      <c r="P71" s="230"/>
      <c r="Q71" s="759"/>
      <c r="R71" s="835" t="s">
        <v>76</v>
      </c>
      <c r="S71" s="761"/>
      <c r="T71" s="761"/>
      <c r="U71" s="836"/>
      <c r="V71" s="837"/>
      <c r="X71" s="225"/>
      <c r="Y71" s="225"/>
      <c r="Z71" s="791" t="e">
        <f>X71+#REF!</f>
        <v>#REF!</v>
      </c>
    </row>
    <row r="72" s="687" customFormat="1" ht="14.55" spans="1:22">
      <c r="A72" s="793"/>
      <c r="B72" s="794" t="s">
        <v>77</v>
      </c>
      <c r="C72" s="795"/>
      <c r="D72" s="796" t="s">
        <v>42</v>
      </c>
      <c r="E72" s="797">
        <v>20000</v>
      </c>
      <c r="F72" s="60">
        <f t="shared" ref="F72" si="11">SUM(G72:U72)</f>
        <v>20000</v>
      </c>
      <c r="G72" s="89"/>
      <c r="H72" s="89"/>
      <c r="I72" s="819"/>
      <c r="J72" s="62">
        <v>20000</v>
      </c>
      <c r="K72" s="820"/>
      <c r="L72" s="821"/>
      <c r="M72" s="822"/>
      <c r="N72" s="822"/>
      <c r="O72" s="89"/>
      <c r="P72" s="89"/>
      <c r="Q72" s="376"/>
      <c r="R72" s="89"/>
      <c r="S72" s="89"/>
      <c r="T72" s="89"/>
      <c r="U72" s="300"/>
      <c r="V72" s="779">
        <f>E72-F72</f>
        <v>0</v>
      </c>
    </row>
    <row r="73" s="687" customFormat="1" ht="13.8" spans="1:22">
      <c r="A73" s="793"/>
      <c r="B73" s="794"/>
      <c r="C73" s="795"/>
      <c r="D73" s="796" t="s">
        <v>43</v>
      </c>
      <c r="E73" s="60">
        <v>100000</v>
      </c>
      <c r="F73" s="60">
        <f t="shared" si="8"/>
        <v>0</v>
      </c>
      <c r="G73" s="89"/>
      <c r="H73" s="89"/>
      <c r="I73" s="88"/>
      <c r="J73" s="207"/>
      <c r="K73" s="300"/>
      <c r="L73" s="822"/>
      <c r="M73" s="822"/>
      <c r="N73" s="822"/>
      <c r="O73" s="89"/>
      <c r="P73" s="89"/>
      <c r="Q73" s="376"/>
      <c r="R73" s="89"/>
      <c r="S73" s="89"/>
      <c r="T73" s="89"/>
      <c r="U73" s="300"/>
      <c r="V73" s="779">
        <f t="shared" ref="V73:V88" si="12">E73-F73</f>
        <v>100000</v>
      </c>
    </row>
    <row r="74" s="687" customFormat="1" ht="13.8" spans="1:22">
      <c r="A74" s="793"/>
      <c r="B74" s="794"/>
      <c r="C74" s="795"/>
      <c r="D74" s="796" t="s">
        <v>63</v>
      </c>
      <c r="E74" s="60">
        <v>250000</v>
      </c>
      <c r="F74" s="60">
        <f t="shared" si="8"/>
        <v>0</v>
      </c>
      <c r="G74" s="89"/>
      <c r="H74" s="89"/>
      <c r="I74" s="88"/>
      <c r="J74" s="207"/>
      <c r="K74" s="300"/>
      <c r="L74" s="822"/>
      <c r="M74" s="195"/>
      <c r="N74" s="822"/>
      <c r="O74" s="89"/>
      <c r="P74" s="89"/>
      <c r="Q74" s="376"/>
      <c r="R74" s="89"/>
      <c r="S74" s="89"/>
      <c r="T74" s="89"/>
      <c r="U74" s="300"/>
      <c r="V74" s="779">
        <f t="shared" si="12"/>
        <v>250000</v>
      </c>
    </row>
    <row r="75" s="687" customFormat="1" ht="13.8" spans="1:22">
      <c r="A75" s="793"/>
      <c r="B75" s="794"/>
      <c r="C75" s="795"/>
      <c r="D75" s="796" t="s">
        <v>78</v>
      </c>
      <c r="E75" s="60">
        <v>100000</v>
      </c>
      <c r="F75" s="60">
        <f t="shared" si="8"/>
        <v>0</v>
      </c>
      <c r="G75" s="89"/>
      <c r="H75" s="89"/>
      <c r="I75" s="88"/>
      <c r="J75" s="207"/>
      <c r="K75" s="300"/>
      <c r="L75" s="822"/>
      <c r="M75" s="195"/>
      <c r="N75" s="822"/>
      <c r="O75" s="89"/>
      <c r="P75" s="89"/>
      <c r="Q75" s="376"/>
      <c r="R75" s="89"/>
      <c r="S75" s="89"/>
      <c r="T75" s="89"/>
      <c r="U75" s="300"/>
      <c r="V75" s="779">
        <f t="shared" si="12"/>
        <v>100000</v>
      </c>
    </row>
    <row r="76" s="687" customFormat="1" ht="13.8" spans="1:22">
      <c r="A76" s="793"/>
      <c r="B76" s="794"/>
      <c r="C76" s="795"/>
      <c r="D76" s="796" t="s">
        <v>46</v>
      </c>
      <c r="E76" s="60">
        <v>10000</v>
      </c>
      <c r="F76" s="60">
        <f t="shared" si="8"/>
        <v>0</v>
      </c>
      <c r="G76" s="89"/>
      <c r="H76" s="89"/>
      <c r="I76" s="88"/>
      <c r="J76" s="207"/>
      <c r="K76" s="300"/>
      <c r="L76" s="822"/>
      <c r="M76" s="195"/>
      <c r="N76" s="822"/>
      <c r="O76" s="89"/>
      <c r="P76" s="89"/>
      <c r="Q76" s="376"/>
      <c r="R76" s="89"/>
      <c r="S76" s="89"/>
      <c r="T76" s="89"/>
      <c r="U76" s="300"/>
      <c r="V76" s="779">
        <f t="shared" si="12"/>
        <v>10000</v>
      </c>
    </row>
    <row r="77" s="687" customFormat="1" ht="13.8" spans="1:22">
      <c r="A77" s="793"/>
      <c r="B77" s="794"/>
      <c r="C77" s="795"/>
      <c r="D77" s="796" t="s">
        <v>79</v>
      </c>
      <c r="E77" s="60"/>
      <c r="F77" s="60">
        <f t="shared" si="8"/>
        <v>0</v>
      </c>
      <c r="G77" s="89"/>
      <c r="H77" s="89"/>
      <c r="I77" s="88"/>
      <c r="J77" s="207"/>
      <c r="K77" s="300"/>
      <c r="L77" s="822"/>
      <c r="M77" s="195"/>
      <c r="N77" s="822"/>
      <c r="O77" s="89"/>
      <c r="P77" s="89"/>
      <c r="Q77" s="376"/>
      <c r="R77" s="89"/>
      <c r="S77" s="89"/>
      <c r="T77" s="89"/>
      <c r="U77" s="300"/>
      <c r="V77" s="779">
        <f t="shared" si="12"/>
        <v>0</v>
      </c>
    </row>
    <row r="78" s="687" customFormat="1" ht="13.8" spans="1:22">
      <c r="A78" s="793"/>
      <c r="B78" s="794"/>
      <c r="C78" s="795"/>
      <c r="D78" s="796" t="s">
        <v>64</v>
      </c>
      <c r="E78" s="60"/>
      <c r="F78" s="60">
        <f t="shared" si="8"/>
        <v>0</v>
      </c>
      <c r="G78" s="89"/>
      <c r="H78" s="89"/>
      <c r="I78" s="88"/>
      <c r="J78" s="207"/>
      <c r="K78" s="300"/>
      <c r="L78" s="822"/>
      <c r="M78" s="195"/>
      <c r="N78" s="822"/>
      <c r="O78" s="89"/>
      <c r="P78" s="89"/>
      <c r="Q78" s="376"/>
      <c r="R78" s="89"/>
      <c r="S78" s="89"/>
      <c r="T78" s="89"/>
      <c r="U78" s="300"/>
      <c r="V78" s="779">
        <f t="shared" si="12"/>
        <v>0</v>
      </c>
    </row>
    <row r="79" s="687" customFormat="1" ht="13.8" spans="1:22">
      <c r="A79" s="793"/>
      <c r="B79" s="794"/>
      <c r="C79" s="795"/>
      <c r="D79" s="796" t="s">
        <v>49</v>
      </c>
      <c r="E79" s="60"/>
      <c r="F79" s="60">
        <f t="shared" si="8"/>
        <v>0</v>
      </c>
      <c r="G79" s="89"/>
      <c r="H79" s="89"/>
      <c r="I79" s="88"/>
      <c r="J79" s="207"/>
      <c r="K79" s="300"/>
      <c r="L79" s="822"/>
      <c r="M79" s="195"/>
      <c r="N79" s="822"/>
      <c r="O79" s="89"/>
      <c r="P79" s="89"/>
      <c r="Q79" s="376"/>
      <c r="R79" s="89"/>
      <c r="S79" s="89"/>
      <c r="T79" s="89"/>
      <c r="U79" s="300"/>
      <c r="V79" s="779">
        <f t="shared" si="12"/>
        <v>0</v>
      </c>
    </row>
    <row r="80" s="687" customFormat="1" ht="13.8" spans="1:22">
      <c r="A80" s="793"/>
      <c r="B80" s="794"/>
      <c r="C80" s="795"/>
      <c r="D80" s="798" t="s">
        <v>65</v>
      </c>
      <c r="E80" s="60">
        <v>45610</v>
      </c>
      <c r="F80" s="60">
        <f t="shared" si="8"/>
        <v>45910</v>
      </c>
      <c r="G80" s="89">
        <v>300</v>
      </c>
      <c r="H80" s="89"/>
      <c r="I80" s="88"/>
      <c r="J80" s="207">
        <v>45610</v>
      </c>
      <c r="K80" s="300"/>
      <c r="L80" s="822"/>
      <c r="M80" s="822"/>
      <c r="N80" s="822"/>
      <c r="O80" s="89"/>
      <c r="P80" s="89"/>
      <c r="Q80" s="376"/>
      <c r="R80" s="89"/>
      <c r="S80" s="89"/>
      <c r="T80" s="89"/>
      <c r="U80" s="300"/>
      <c r="V80" s="779">
        <f t="shared" si="12"/>
        <v>-300</v>
      </c>
    </row>
    <row r="81" s="687" customFormat="1" ht="13.8" spans="1:22">
      <c r="A81" s="793"/>
      <c r="B81" s="794"/>
      <c r="C81" s="795"/>
      <c r="D81" s="798" t="s">
        <v>66</v>
      </c>
      <c r="E81" s="60">
        <v>50000</v>
      </c>
      <c r="F81" s="60">
        <f t="shared" si="8"/>
        <v>50000</v>
      </c>
      <c r="G81" s="89"/>
      <c r="H81" s="89"/>
      <c r="I81" s="88"/>
      <c r="J81" s="207">
        <v>50000</v>
      </c>
      <c r="K81" s="300"/>
      <c r="L81" s="822"/>
      <c r="M81" s="822"/>
      <c r="N81" s="822"/>
      <c r="O81" s="89"/>
      <c r="P81" s="89"/>
      <c r="Q81" s="376"/>
      <c r="R81" s="89"/>
      <c r="S81" s="89"/>
      <c r="T81" s="89"/>
      <c r="U81" s="300"/>
      <c r="V81" s="779">
        <f t="shared" si="12"/>
        <v>0</v>
      </c>
    </row>
    <row r="82" s="687" customFormat="1" ht="13.8" spans="1:22">
      <c r="A82" s="793"/>
      <c r="B82" s="794"/>
      <c r="C82" s="795"/>
      <c r="D82" s="798" t="s">
        <v>51</v>
      </c>
      <c r="E82" s="60">
        <v>50000</v>
      </c>
      <c r="F82" s="60">
        <f t="shared" si="8"/>
        <v>0</v>
      </c>
      <c r="G82" s="89"/>
      <c r="H82" s="89"/>
      <c r="I82" s="88"/>
      <c r="J82" s="207"/>
      <c r="K82" s="300"/>
      <c r="L82" s="822"/>
      <c r="M82" s="822"/>
      <c r="N82" s="822"/>
      <c r="O82" s="89"/>
      <c r="P82" s="89"/>
      <c r="Q82" s="376"/>
      <c r="R82" s="89"/>
      <c r="S82" s="89"/>
      <c r="T82" s="89"/>
      <c r="U82" s="300"/>
      <c r="V82" s="779">
        <f t="shared" si="12"/>
        <v>50000</v>
      </c>
    </row>
    <row r="83" s="687" customFormat="1" ht="13.8" spans="1:22">
      <c r="A83" s="793"/>
      <c r="B83" s="794"/>
      <c r="C83" s="795"/>
      <c r="D83" s="798" t="s">
        <v>68</v>
      </c>
      <c r="E83" s="60">
        <v>145243.02</v>
      </c>
      <c r="F83" s="60">
        <f t="shared" si="8"/>
        <v>145243.02</v>
      </c>
      <c r="G83" s="89"/>
      <c r="H83" s="89"/>
      <c r="I83" s="88"/>
      <c r="J83" s="207">
        <v>145243.02</v>
      </c>
      <c r="K83" s="300"/>
      <c r="L83" s="822"/>
      <c r="M83" s="822"/>
      <c r="N83" s="822"/>
      <c r="O83" s="89"/>
      <c r="P83" s="89"/>
      <c r="Q83" s="376"/>
      <c r="R83" s="89"/>
      <c r="S83" s="89"/>
      <c r="T83" s="89"/>
      <c r="U83" s="300"/>
      <c r="V83" s="779">
        <f t="shared" si="12"/>
        <v>0</v>
      </c>
    </row>
    <row r="84" s="687" customFormat="1" ht="13.8" spans="1:22">
      <c r="A84" s="793"/>
      <c r="B84" s="794"/>
      <c r="C84" s="795"/>
      <c r="D84" s="798" t="s">
        <v>80</v>
      </c>
      <c r="E84" s="60"/>
      <c r="F84" s="60">
        <f t="shared" si="8"/>
        <v>0</v>
      </c>
      <c r="G84" s="89"/>
      <c r="H84" s="89"/>
      <c r="I84" s="88"/>
      <c r="J84" s="207"/>
      <c r="K84" s="300"/>
      <c r="L84" s="822"/>
      <c r="M84" s="822"/>
      <c r="N84" s="822"/>
      <c r="O84" s="89"/>
      <c r="P84" s="89"/>
      <c r="Q84" s="376"/>
      <c r="R84" s="89"/>
      <c r="S84" s="89"/>
      <c r="T84" s="89"/>
      <c r="U84" s="300"/>
      <c r="V84" s="779">
        <f t="shared" si="12"/>
        <v>0</v>
      </c>
    </row>
    <row r="85" s="687" customFormat="1" ht="13.8" spans="1:22">
      <c r="A85" s="793"/>
      <c r="B85" s="794"/>
      <c r="C85" s="795"/>
      <c r="D85" s="798" t="s">
        <v>69</v>
      </c>
      <c r="E85" s="60">
        <v>20000</v>
      </c>
      <c r="F85" s="60">
        <f t="shared" si="8"/>
        <v>20000</v>
      </c>
      <c r="G85" s="89"/>
      <c r="H85" s="89"/>
      <c r="I85" s="88"/>
      <c r="J85" s="207">
        <v>20000</v>
      </c>
      <c r="K85" s="300"/>
      <c r="L85" s="822"/>
      <c r="M85" s="822"/>
      <c r="N85" s="822"/>
      <c r="O85" s="89"/>
      <c r="P85" s="89"/>
      <c r="Q85" s="376"/>
      <c r="R85" s="89"/>
      <c r="S85" s="89"/>
      <c r="T85" s="89"/>
      <c r="U85" s="300"/>
      <c r="V85" s="779">
        <f t="shared" si="12"/>
        <v>0</v>
      </c>
    </row>
    <row r="86" s="3" customFormat="1" ht="13.8" spans="1:25">
      <c r="A86" s="695"/>
      <c r="B86" s="49"/>
      <c r="C86" s="317"/>
      <c r="D86" s="798" t="s">
        <v>37</v>
      </c>
      <c r="E86" s="60"/>
      <c r="F86" s="60">
        <f t="shared" si="8"/>
        <v>0</v>
      </c>
      <c r="G86" s="89"/>
      <c r="H86" s="89"/>
      <c r="I86" s="88"/>
      <c r="J86" s="207"/>
      <c r="K86" s="300"/>
      <c r="L86" s="822"/>
      <c r="M86" s="822"/>
      <c r="N86" s="822"/>
      <c r="O86" s="89"/>
      <c r="P86" s="89"/>
      <c r="Q86" s="376"/>
      <c r="R86" s="89"/>
      <c r="S86" s="89"/>
      <c r="T86" s="89"/>
      <c r="U86" s="300"/>
      <c r="V86" s="779">
        <f t="shared" si="12"/>
        <v>0</v>
      </c>
      <c r="X86" s="238"/>
      <c r="Y86" s="238"/>
    </row>
    <row r="87" s="3" customFormat="1" ht="13.8" spans="1:25">
      <c r="A87" s="695"/>
      <c r="B87" s="49"/>
      <c r="C87" s="317"/>
      <c r="D87" s="798" t="s">
        <v>70</v>
      </c>
      <c r="E87" s="60">
        <v>30000</v>
      </c>
      <c r="F87" s="60">
        <f t="shared" si="8"/>
        <v>30000</v>
      </c>
      <c r="G87" s="89"/>
      <c r="H87" s="89"/>
      <c r="I87" s="88"/>
      <c r="J87" s="207">
        <v>30000</v>
      </c>
      <c r="K87" s="300"/>
      <c r="L87" s="822"/>
      <c r="M87" s="822"/>
      <c r="N87" s="822"/>
      <c r="O87" s="89"/>
      <c r="P87" s="89"/>
      <c r="Q87" s="376"/>
      <c r="R87" s="89"/>
      <c r="S87" s="89"/>
      <c r="T87" s="89"/>
      <c r="U87" s="300"/>
      <c r="V87" s="779">
        <f t="shared" si="12"/>
        <v>0</v>
      </c>
      <c r="X87" s="238"/>
      <c r="Y87" s="238"/>
    </row>
    <row r="88" s="3" customFormat="1" ht="13.8" spans="1:25">
      <c r="A88" s="695"/>
      <c r="B88" s="49"/>
      <c r="C88" s="317"/>
      <c r="D88" s="798" t="s">
        <v>71</v>
      </c>
      <c r="E88" s="60"/>
      <c r="F88" s="60">
        <f t="shared" si="8"/>
        <v>0</v>
      </c>
      <c r="G88" s="89"/>
      <c r="H88" s="89"/>
      <c r="I88" s="88"/>
      <c r="J88" s="207"/>
      <c r="K88" s="300"/>
      <c r="L88" s="822"/>
      <c r="M88" s="822"/>
      <c r="N88" s="822"/>
      <c r="O88" s="89"/>
      <c r="P88" s="89"/>
      <c r="Q88" s="376"/>
      <c r="R88" s="89"/>
      <c r="S88" s="89"/>
      <c r="T88" s="89"/>
      <c r="U88" s="300"/>
      <c r="V88" s="779">
        <f t="shared" si="12"/>
        <v>0</v>
      </c>
      <c r="X88" s="238"/>
      <c r="Y88" s="238"/>
    </row>
    <row r="89" s="1" customFormat="1" ht="14.55" spans="1:25">
      <c r="A89" s="724"/>
      <c r="B89" s="725"/>
      <c r="C89" s="726"/>
      <c r="D89" s="727"/>
      <c r="E89" s="799">
        <f>SUM(E72:E88)</f>
        <v>820853.02</v>
      </c>
      <c r="F89" s="800">
        <f>SUM(F72:F88)</f>
        <v>311153.02</v>
      </c>
      <c r="G89" s="800">
        <f>SUM(G72:G88)</f>
        <v>300</v>
      </c>
      <c r="H89" s="800">
        <f t="shared" ref="H89:V89" si="13">SUM(H72:H88)</f>
        <v>0</v>
      </c>
      <c r="I89" s="800">
        <f t="shared" si="13"/>
        <v>0</v>
      </c>
      <c r="J89" s="800">
        <f t="shared" si="13"/>
        <v>310853.02</v>
      </c>
      <c r="K89" s="800">
        <f t="shared" si="13"/>
        <v>0</v>
      </c>
      <c r="L89" s="800">
        <f t="shared" si="13"/>
        <v>0</v>
      </c>
      <c r="M89" s="800">
        <f t="shared" si="13"/>
        <v>0</v>
      </c>
      <c r="N89" s="800">
        <f t="shared" si="13"/>
        <v>0</v>
      </c>
      <c r="O89" s="800">
        <f t="shared" si="13"/>
        <v>0</v>
      </c>
      <c r="P89" s="800">
        <f t="shared" si="13"/>
        <v>0</v>
      </c>
      <c r="Q89" s="800">
        <f t="shared" si="13"/>
        <v>0</v>
      </c>
      <c r="R89" s="838">
        <f t="shared" si="13"/>
        <v>0</v>
      </c>
      <c r="S89" s="838">
        <f t="shared" si="13"/>
        <v>0</v>
      </c>
      <c r="T89" s="838">
        <f t="shared" si="13"/>
        <v>0</v>
      </c>
      <c r="U89" s="839">
        <f t="shared" si="13"/>
        <v>0</v>
      </c>
      <c r="V89" s="840">
        <f t="shared" si="13"/>
        <v>509700</v>
      </c>
      <c r="X89" s="225"/>
      <c r="Y89" s="225"/>
    </row>
    <row r="90" s="3" customFormat="1" ht="13.8" spans="1:22">
      <c r="A90" s="801"/>
      <c r="B90" s="802" t="s">
        <v>81</v>
      </c>
      <c r="C90" s="317"/>
      <c r="D90" s="798" t="s">
        <v>42</v>
      </c>
      <c r="E90" s="89">
        <v>14405</v>
      </c>
      <c r="F90" s="60">
        <f t="shared" ref="F90:F106" si="14">SUM(G90:U90)</f>
        <v>0</v>
      </c>
      <c r="G90" s="89"/>
      <c r="H90" s="89"/>
      <c r="I90" s="88"/>
      <c r="J90" s="376"/>
      <c r="K90" s="300"/>
      <c r="L90" s="822"/>
      <c r="M90" s="822"/>
      <c r="N90" s="822"/>
      <c r="O90" s="89"/>
      <c r="P90" s="89"/>
      <c r="Q90" s="376"/>
      <c r="R90" s="89"/>
      <c r="S90" s="89"/>
      <c r="T90" s="89"/>
      <c r="U90" s="300"/>
      <c r="V90" s="779">
        <f>E90-F90</f>
        <v>14405</v>
      </c>
    </row>
    <row r="91" s="3" customFormat="1" ht="13.8" spans="1:22">
      <c r="A91" s="695"/>
      <c r="B91" s="802"/>
      <c r="C91" s="317"/>
      <c r="D91" s="798" t="s">
        <v>43</v>
      </c>
      <c r="E91" s="89">
        <v>50000</v>
      </c>
      <c r="F91" s="60">
        <f t="shared" si="14"/>
        <v>0</v>
      </c>
      <c r="G91" s="89"/>
      <c r="H91" s="89"/>
      <c r="I91" s="88"/>
      <c r="J91" s="376"/>
      <c r="K91" s="300"/>
      <c r="L91" s="822"/>
      <c r="M91" s="822"/>
      <c r="N91" s="822"/>
      <c r="O91" s="89"/>
      <c r="P91" s="89"/>
      <c r="Q91" s="376"/>
      <c r="R91" s="89"/>
      <c r="S91" s="89"/>
      <c r="T91" s="89"/>
      <c r="U91" s="300"/>
      <c r="V91" s="779">
        <f t="shared" ref="V91:V106" si="15">E91-F91</f>
        <v>50000</v>
      </c>
    </row>
    <row r="92" s="3" customFormat="1" ht="13.8" spans="1:22">
      <c r="A92" s="695"/>
      <c r="B92" s="802"/>
      <c r="C92" s="317"/>
      <c r="D92" s="798" t="s">
        <v>82</v>
      </c>
      <c r="E92" s="89"/>
      <c r="F92" s="60">
        <f t="shared" si="14"/>
        <v>0</v>
      </c>
      <c r="G92" s="89"/>
      <c r="H92" s="89"/>
      <c r="I92" s="88"/>
      <c r="J92" s="376"/>
      <c r="K92" s="300"/>
      <c r="L92" s="822"/>
      <c r="M92" s="822"/>
      <c r="N92" s="822"/>
      <c r="O92" s="89"/>
      <c r="P92" s="89"/>
      <c r="Q92" s="376"/>
      <c r="R92" s="89"/>
      <c r="S92" s="89"/>
      <c r="T92" s="89"/>
      <c r="U92" s="300"/>
      <c r="V92" s="779">
        <f t="shared" si="15"/>
        <v>0</v>
      </c>
    </row>
    <row r="93" s="3" customFormat="1" ht="13.8" spans="1:22">
      <c r="A93" s="695"/>
      <c r="B93" s="802"/>
      <c r="C93" s="715"/>
      <c r="D93" s="798" t="s">
        <v>83</v>
      </c>
      <c r="E93" s="89">
        <v>28700</v>
      </c>
      <c r="F93" s="60">
        <f t="shared" si="14"/>
        <v>28700</v>
      </c>
      <c r="G93" s="89"/>
      <c r="H93" s="89"/>
      <c r="I93" s="88"/>
      <c r="J93" s="376"/>
      <c r="K93" s="300"/>
      <c r="L93" s="822"/>
      <c r="M93" s="822">
        <v>28700</v>
      </c>
      <c r="N93" s="822"/>
      <c r="O93" s="89"/>
      <c r="P93" s="89"/>
      <c r="Q93" s="376"/>
      <c r="R93" s="89"/>
      <c r="S93" s="89"/>
      <c r="T93" s="89"/>
      <c r="U93" s="300"/>
      <c r="V93" s="779">
        <f t="shared" si="15"/>
        <v>0</v>
      </c>
    </row>
    <row r="94" s="3" customFormat="1" ht="13.8" spans="1:22">
      <c r="A94" s="695"/>
      <c r="B94" s="802"/>
      <c r="C94" s="715"/>
      <c r="D94" s="798" t="s">
        <v>46</v>
      </c>
      <c r="E94" s="89"/>
      <c r="F94" s="60">
        <f t="shared" si="14"/>
        <v>0</v>
      </c>
      <c r="G94" s="89"/>
      <c r="H94" s="89"/>
      <c r="I94" s="88"/>
      <c r="J94" s="376"/>
      <c r="K94" s="300"/>
      <c r="L94" s="822"/>
      <c r="M94" s="822"/>
      <c r="N94" s="822"/>
      <c r="O94" s="89"/>
      <c r="P94" s="89"/>
      <c r="Q94" s="376"/>
      <c r="R94" s="89"/>
      <c r="S94" s="89"/>
      <c r="T94" s="89"/>
      <c r="U94" s="300"/>
      <c r="V94" s="779">
        <f t="shared" si="15"/>
        <v>0</v>
      </c>
    </row>
    <row r="95" s="3" customFormat="1" ht="13.8" spans="1:22">
      <c r="A95" s="695"/>
      <c r="B95" s="802"/>
      <c r="C95" s="715"/>
      <c r="D95" s="798" t="s">
        <v>84</v>
      </c>
      <c r="E95" s="89">
        <v>191965</v>
      </c>
      <c r="F95" s="60"/>
      <c r="G95" s="89"/>
      <c r="H95" s="89"/>
      <c r="I95" s="88"/>
      <c r="J95" s="376"/>
      <c r="K95" s="300"/>
      <c r="L95" s="822"/>
      <c r="M95" s="822"/>
      <c r="N95" s="822"/>
      <c r="O95" s="89"/>
      <c r="P95" s="89"/>
      <c r="Q95" s="376"/>
      <c r="R95" s="89"/>
      <c r="S95" s="89"/>
      <c r="T95" s="89"/>
      <c r="U95" s="300"/>
      <c r="V95" s="779"/>
    </row>
    <row r="96" s="3" customFormat="1" ht="13.8" spans="1:22">
      <c r="A96" s="695"/>
      <c r="B96" s="802"/>
      <c r="C96" s="715"/>
      <c r="D96" s="798" t="s">
        <v>51</v>
      </c>
      <c r="E96" s="89">
        <v>50000</v>
      </c>
      <c r="F96" s="60">
        <f t="shared" si="14"/>
        <v>0</v>
      </c>
      <c r="G96" s="89"/>
      <c r="H96" s="89"/>
      <c r="I96" s="88"/>
      <c r="J96" s="376"/>
      <c r="K96" s="300"/>
      <c r="L96" s="822"/>
      <c r="M96" s="822"/>
      <c r="N96" s="822"/>
      <c r="O96" s="89"/>
      <c r="P96" s="89"/>
      <c r="Q96" s="376"/>
      <c r="R96" s="89"/>
      <c r="S96" s="89"/>
      <c r="T96" s="89"/>
      <c r="U96" s="300"/>
      <c r="V96" s="779">
        <f t="shared" si="15"/>
        <v>50000</v>
      </c>
    </row>
    <row r="97" s="3" customFormat="1" ht="13.8" spans="1:22">
      <c r="A97" s="695"/>
      <c r="B97" s="802"/>
      <c r="C97" s="715"/>
      <c r="D97" s="798" t="s">
        <v>65</v>
      </c>
      <c r="E97" s="89"/>
      <c r="F97" s="60">
        <f t="shared" si="14"/>
        <v>0</v>
      </c>
      <c r="G97" s="89"/>
      <c r="H97" s="89"/>
      <c r="I97" s="88"/>
      <c r="J97" s="376"/>
      <c r="K97" s="300"/>
      <c r="L97" s="822"/>
      <c r="M97" s="822"/>
      <c r="N97" s="822"/>
      <c r="O97" s="89"/>
      <c r="P97" s="89"/>
      <c r="Q97" s="376"/>
      <c r="R97" s="89"/>
      <c r="S97" s="89"/>
      <c r="T97" s="89"/>
      <c r="U97" s="300"/>
      <c r="V97" s="779">
        <f t="shared" si="15"/>
        <v>0</v>
      </c>
    </row>
    <row r="98" s="3" customFormat="1" ht="13.8" spans="1:22">
      <c r="A98" s="695"/>
      <c r="B98" s="802"/>
      <c r="C98" s="317"/>
      <c r="D98" s="798" t="s">
        <v>66</v>
      </c>
      <c r="E98" s="89">
        <v>45610</v>
      </c>
      <c r="F98" s="60">
        <f t="shared" si="14"/>
        <v>45610</v>
      </c>
      <c r="G98" s="89"/>
      <c r="H98" s="89"/>
      <c r="I98" s="88"/>
      <c r="J98" s="376">
        <v>45610</v>
      </c>
      <c r="K98" s="300"/>
      <c r="L98" s="822"/>
      <c r="M98" s="822"/>
      <c r="N98" s="822"/>
      <c r="O98" s="89"/>
      <c r="P98" s="89"/>
      <c r="Q98" s="376"/>
      <c r="R98" s="89"/>
      <c r="S98" s="89"/>
      <c r="T98" s="89"/>
      <c r="U98" s="300"/>
      <c r="V98" s="779">
        <f t="shared" si="15"/>
        <v>0</v>
      </c>
    </row>
    <row r="99" s="3" customFormat="1" ht="13.8" spans="1:22">
      <c r="A99" s="695"/>
      <c r="B99" s="802"/>
      <c r="C99" s="317"/>
      <c r="D99" s="798" t="s">
        <v>68</v>
      </c>
      <c r="E99" s="89">
        <v>9950</v>
      </c>
      <c r="F99" s="60">
        <f t="shared" si="14"/>
        <v>9950</v>
      </c>
      <c r="G99" s="89"/>
      <c r="H99" s="89"/>
      <c r="I99" s="88"/>
      <c r="J99" s="376">
        <v>9950</v>
      </c>
      <c r="K99" s="300"/>
      <c r="L99" s="822"/>
      <c r="M99" s="822"/>
      <c r="N99" s="822"/>
      <c r="O99" s="89"/>
      <c r="P99" s="89"/>
      <c r="Q99" s="376"/>
      <c r="R99" s="89"/>
      <c r="S99" s="89"/>
      <c r="T99" s="89"/>
      <c r="U99" s="300"/>
      <c r="V99" s="779">
        <f t="shared" si="15"/>
        <v>0</v>
      </c>
    </row>
    <row r="100" s="3" customFormat="1" ht="13.8" spans="1:22">
      <c r="A100" s="695"/>
      <c r="B100" s="802"/>
      <c r="C100" s="317"/>
      <c r="D100" s="798" t="s">
        <v>37</v>
      </c>
      <c r="E100" s="89"/>
      <c r="F100" s="60">
        <f t="shared" si="14"/>
        <v>0</v>
      </c>
      <c r="G100" s="89"/>
      <c r="H100" s="89"/>
      <c r="I100" s="88"/>
      <c r="J100" s="376"/>
      <c r="K100" s="300"/>
      <c r="L100" s="822"/>
      <c r="M100" s="822"/>
      <c r="N100" s="822"/>
      <c r="O100" s="89"/>
      <c r="P100" s="89"/>
      <c r="Q100" s="376"/>
      <c r="R100" s="89"/>
      <c r="S100" s="89"/>
      <c r="T100" s="89"/>
      <c r="U100" s="300"/>
      <c r="V100" s="779">
        <f t="shared" si="15"/>
        <v>0</v>
      </c>
    </row>
    <row r="101" s="3" customFormat="1" ht="13.8" spans="1:22">
      <c r="A101" s="695"/>
      <c r="B101" s="802"/>
      <c r="C101" s="317"/>
      <c r="D101" s="798" t="s">
        <v>69</v>
      </c>
      <c r="E101" s="89"/>
      <c r="F101" s="60">
        <f t="shared" si="14"/>
        <v>0</v>
      </c>
      <c r="G101" s="89"/>
      <c r="H101" s="89"/>
      <c r="I101" s="88"/>
      <c r="J101" s="376"/>
      <c r="K101" s="300"/>
      <c r="L101" s="822"/>
      <c r="M101" s="822"/>
      <c r="N101" s="822"/>
      <c r="O101" s="89"/>
      <c r="P101" s="89"/>
      <c r="Q101" s="376"/>
      <c r="R101" s="89"/>
      <c r="S101" s="89"/>
      <c r="T101" s="89"/>
      <c r="U101" s="300"/>
      <c r="V101" s="779">
        <f t="shared" si="15"/>
        <v>0</v>
      </c>
    </row>
    <row r="102" s="3" customFormat="1" ht="13.8" spans="1:22">
      <c r="A102" s="695"/>
      <c r="B102" s="802"/>
      <c r="C102" s="317"/>
      <c r="D102" s="798" t="s">
        <v>70</v>
      </c>
      <c r="E102" s="89">
        <v>19463</v>
      </c>
      <c r="F102" s="60">
        <f t="shared" si="14"/>
        <v>19463</v>
      </c>
      <c r="G102" s="89"/>
      <c r="H102" s="89"/>
      <c r="I102" s="88"/>
      <c r="J102" s="376">
        <v>19463</v>
      </c>
      <c r="K102" s="300"/>
      <c r="L102" s="822"/>
      <c r="M102" s="822"/>
      <c r="N102" s="822"/>
      <c r="O102" s="89"/>
      <c r="P102" s="89"/>
      <c r="Q102" s="376"/>
      <c r="R102" s="89"/>
      <c r="S102" s="89"/>
      <c r="T102" s="89"/>
      <c r="U102" s="300"/>
      <c r="V102" s="779">
        <f t="shared" si="15"/>
        <v>0</v>
      </c>
    </row>
    <row r="103" s="3" customFormat="1" ht="13.8" spans="1:22">
      <c r="A103" s="695"/>
      <c r="B103" s="802"/>
      <c r="C103" s="317"/>
      <c r="D103" s="798" t="s">
        <v>71</v>
      </c>
      <c r="E103" s="89"/>
      <c r="F103" s="60">
        <f t="shared" si="14"/>
        <v>0</v>
      </c>
      <c r="G103" s="89"/>
      <c r="H103" s="89"/>
      <c r="I103" s="88"/>
      <c r="J103" s="376"/>
      <c r="K103" s="300"/>
      <c r="L103" s="822"/>
      <c r="M103" s="822"/>
      <c r="N103" s="822"/>
      <c r="O103" s="89"/>
      <c r="P103" s="89"/>
      <c r="Q103" s="376"/>
      <c r="R103" s="89"/>
      <c r="S103" s="89"/>
      <c r="T103" s="89"/>
      <c r="U103" s="300"/>
      <c r="V103" s="779">
        <f t="shared" si="15"/>
        <v>0</v>
      </c>
    </row>
    <row r="104" s="3" customFormat="1" ht="13.8" spans="1:22">
      <c r="A104" s="695"/>
      <c r="B104" s="802"/>
      <c r="C104" s="317"/>
      <c r="D104" s="798" t="s">
        <v>85</v>
      </c>
      <c r="E104" s="89"/>
      <c r="F104" s="60">
        <f t="shared" si="14"/>
        <v>0</v>
      </c>
      <c r="G104" s="89"/>
      <c r="H104" s="89"/>
      <c r="I104" s="88"/>
      <c r="J104" s="376"/>
      <c r="K104" s="300"/>
      <c r="L104" s="822"/>
      <c r="M104" s="822"/>
      <c r="N104" s="822"/>
      <c r="O104" s="89"/>
      <c r="P104" s="89"/>
      <c r="Q104" s="376"/>
      <c r="R104" s="89"/>
      <c r="S104" s="89"/>
      <c r="T104" s="89"/>
      <c r="U104" s="300"/>
      <c r="V104" s="779">
        <f t="shared" si="15"/>
        <v>0</v>
      </c>
    </row>
    <row r="105" s="3" customFormat="1" ht="13.8" spans="1:22">
      <c r="A105" s="695"/>
      <c r="B105" s="802"/>
      <c r="C105" s="317"/>
      <c r="D105" s="798" t="s">
        <v>86</v>
      </c>
      <c r="E105" s="89">
        <v>0</v>
      </c>
      <c r="F105" s="60">
        <f t="shared" si="14"/>
        <v>0</v>
      </c>
      <c r="G105" s="89"/>
      <c r="H105" s="89"/>
      <c r="I105" s="88"/>
      <c r="J105" s="376"/>
      <c r="K105" s="300"/>
      <c r="L105" s="822"/>
      <c r="M105" s="822"/>
      <c r="N105" s="822"/>
      <c r="O105" s="89"/>
      <c r="P105" s="89"/>
      <c r="Q105" s="376"/>
      <c r="R105" s="89"/>
      <c r="S105" s="89"/>
      <c r="T105" s="89"/>
      <c r="U105" s="300"/>
      <c r="V105" s="779">
        <f t="shared" si="15"/>
        <v>0</v>
      </c>
    </row>
    <row r="106" s="3" customFormat="1" ht="13.8" spans="1:22">
      <c r="A106" s="695"/>
      <c r="B106" s="802"/>
      <c r="C106" s="317"/>
      <c r="D106" s="798" t="s">
        <v>87</v>
      </c>
      <c r="E106" s="89">
        <v>53600</v>
      </c>
      <c r="F106" s="60">
        <f t="shared" si="14"/>
        <v>0</v>
      </c>
      <c r="G106" s="89"/>
      <c r="H106" s="89"/>
      <c r="I106" s="88"/>
      <c r="J106" s="376"/>
      <c r="K106" s="300"/>
      <c r="L106" s="822"/>
      <c r="M106" s="822"/>
      <c r="N106" s="822"/>
      <c r="O106" s="89"/>
      <c r="P106" s="89"/>
      <c r="Q106" s="376"/>
      <c r="R106" s="89"/>
      <c r="S106" s="89"/>
      <c r="T106" s="89"/>
      <c r="U106" s="300"/>
      <c r="V106" s="779">
        <f t="shared" si="15"/>
        <v>53600</v>
      </c>
    </row>
    <row r="107" s="1" customFormat="1" ht="13.8" spans="1:25">
      <c r="A107" s="697"/>
      <c r="B107" s="803"/>
      <c r="C107" s="342"/>
      <c r="D107" s="716"/>
      <c r="E107" s="804">
        <f>SUM(E90:E106)</f>
        <v>463693</v>
      </c>
      <c r="F107" s="804">
        <f>SUM(F90:F105)</f>
        <v>103723</v>
      </c>
      <c r="G107" s="804">
        <f>SUM(G90:G105)</f>
        <v>0</v>
      </c>
      <c r="H107" s="804">
        <f>SUM(H90:H105)</f>
        <v>0</v>
      </c>
      <c r="I107" s="804">
        <f>SUM(I90:I105)</f>
        <v>0</v>
      </c>
      <c r="J107" s="804">
        <f>SUM(J90:J105)</f>
        <v>75023</v>
      </c>
      <c r="K107" s="804">
        <f t="shared" ref="K107:V107" si="16">SUM(K90:K105)</f>
        <v>0</v>
      </c>
      <c r="L107" s="804">
        <f t="shared" si="16"/>
        <v>0</v>
      </c>
      <c r="M107" s="804">
        <f t="shared" si="16"/>
        <v>28700</v>
      </c>
      <c r="N107" s="804">
        <f t="shared" si="16"/>
        <v>0</v>
      </c>
      <c r="O107" s="804">
        <f t="shared" si="16"/>
        <v>0</v>
      </c>
      <c r="P107" s="804">
        <f t="shared" si="16"/>
        <v>0</v>
      </c>
      <c r="Q107" s="804">
        <f t="shared" si="16"/>
        <v>0</v>
      </c>
      <c r="R107" s="841">
        <f t="shared" si="16"/>
        <v>0</v>
      </c>
      <c r="S107" s="841">
        <f t="shared" si="16"/>
        <v>0</v>
      </c>
      <c r="T107" s="841">
        <f t="shared" si="16"/>
        <v>0</v>
      </c>
      <c r="U107" s="842">
        <f t="shared" si="16"/>
        <v>0</v>
      </c>
      <c r="V107" s="843">
        <f t="shared" si="16"/>
        <v>114405</v>
      </c>
      <c r="X107" s="792"/>
      <c r="Y107" s="792"/>
    </row>
    <row r="108" s="1" customFormat="1" ht="13.8" spans="1:22">
      <c r="A108" s="697"/>
      <c r="B108" s="803"/>
      <c r="C108" s="342"/>
      <c r="D108" s="716"/>
      <c r="E108" s="805"/>
      <c r="F108" s="805"/>
      <c r="G108" s="805"/>
      <c r="H108" s="805"/>
      <c r="I108" s="823"/>
      <c r="J108" s="824"/>
      <c r="K108" s="825"/>
      <c r="L108" s="805"/>
      <c r="M108" s="805"/>
      <c r="N108" s="805"/>
      <c r="O108" s="805"/>
      <c r="P108" s="805"/>
      <c r="Q108" s="824"/>
      <c r="R108" s="805"/>
      <c r="S108" s="805"/>
      <c r="T108" s="805"/>
      <c r="U108" s="825"/>
      <c r="V108" s="844"/>
    </row>
    <row r="109" s="3" customFormat="1" ht="13.8" spans="1:22">
      <c r="A109" s="695"/>
      <c r="B109" s="806" t="s">
        <v>88</v>
      </c>
      <c r="C109" s="317"/>
      <c r="D109" s="807" t="s">
        <v>69</v>
      </c>
      <c r="E109" s="89">
        <v>367414.54</v>
      </c>
      <c r="F109" s="60">
        <f>SUM(G109:U109)</f>
        <v>0</v>
      </c>
      <c r="G109" s="89"/>
      <c r="H109" s="89"/>
      <c r="I109" s="88"/>
      <c r="J109" s="376"/>
      <c r="K109" s="300"/>
      <c r="L109" s="822"/>
      <c r="M109" s="822"/>
      <c r="N109" s="822"/>
      <c r="O109" s="89"/>
      <c r="P109" s="89"/>
      <c r="Q109" s="845"/>
      <c r="R109" s="89"/>
      <c r="S109" s="89"/>
      <c r="T109" s="89"/>
      <c r="U109" s="300"/>
      <c r="V109" s="846">
        <f>E109-F109</f>
        <v>367414.54</v>
      </c>
    </row>
    <row r="110" s="3" customFormat="1" ht="13.8" spans="1:25">
      <c r="A110" s="695"/>
      <c r="B110" s="802"/>
      <c r="C110" s="317"/>
      <c r="D110" s="807"/>
      <c r="E110" s="808">
        <f t="shared" ref="E110:V110" si="17">SUM(E109)</f>
        <v>367414.54</v>
      </c>
      <c r="F110" s="809">
        <f t="shared" si="17"/>
        <v>0</v>
      </c>
      <c r="G110" s="809">
        <f t="shared" si="17"/>
        <v>0</v>
      </c>
      <c r="H110" s="809">
        <f t="shared" si="17"/>
        <v>0</v>
      </c>
      <c r="I110" s="809">
        <f t="shared" si="17"/>
        <v>0</v>
      </c>
      <c r="J110" s="809"/>
      <c r="K110" s="809">
        <f t="shared" si="17"/>
        <v>0</v>
      </c>
      <c r="L110" s="809">
        <f t="shared" si="17"/>
        <v>0</v>
      </c>
      <c r="M110" s="809">
        <f t="shared" si="17"/>
        <v>0</v>
      </c>
      <c r="N110" s="809">
        <f t="shared" si="17"/>
        <v>0</v>
      </c>
      <c r="O110" s="809">
        <f t="shared" si="17"/>
        <v>0</v>
      </c>
      <c r="P110" s="809">
        <f t="shared" si="17"/>
        <v>0</v>
      </c>
      <c r="Q110" s="809">
        <f t="shared" si="17"/>
        <v>0</v>
      </c>
      <c r="R110" s="809">
        <f t="shared" si="17"/>
        <v>0</v>
      </c>
      <c r="S110" s="809">
        <f t="shared" si="17"/>
        <v>0</v>
      </c>
      <c r="T110" s="809">
        <f t="shared" si="17"/>
        <v>0</v>
      </c>
      <c r="U110" s="828">
        <f t="shared" si="17"/>
        <v>0</v>
      </c>
      <c r="V110" s="847">
        <f t="shared" si="17"/>
        <v>367414.54</v>
      </c>
      <c r="X110" s="848"/>
      <c r="Y110" s="848"/>
    </row>
    <row r="111" s="3" customFormat="1" ht="13.8" spans="1:22">
      <c r="A111" s="695"/>
      <c r="B111" s="802"/>
      <c r="C111" s="317"/>
      <c r="D111" s="807"/>
      <c r="E111" s="809"/>
      <c r="F111" s="809"/>
      <c r="G111" s="809"/>
      <c r="H111" s="809"/>
      <c r="I111" s="826"/>
      <c r="J111" s="827"/>
      <c r="K111" s="828"/>
      <c r="L111" s="809"/>
      <c r="M111" s="809"/>
      <c r="N111" s="809"/>
      <c r="O111" s="809"/>
      <c r="P111" s="809"/>
      <c r="Q111" s="827"/>
      <c r="R111" s="809"/>
      <c r="S111" s="809"/>
      <c r="T111" s="809"/>
      <c r="U111" s="828"/>
      <c r="V111" s="849"/>
    </row>
    <row r="112" s="3" customFormat="1" ht="13.8" spans="1:22">
      <c r="A112" s="695"/>
      <c r="B112" s="810" t="s">
        <v>89</v>
      </c>
      <c r="C112" s="317"/>
      <c r="D112" s="714" t="s">
        <v>90</v>
      </c>
      <c r="E112" s="89"/>
      <c r="F112" s="60">
        <f>SUM(G112:U112)</f>
        <v>0</v>
      </c>
      <c r="G112" s="89"/>
      <c r="H112" s="89"/>
      <c r="I112" s="88"/>
      <c r="J112" s="376"/>
      <c r="K112" s="300"/>
      <c r="L112" s="822"/>
      <c r="M112" s="195"/>
      <c r="N112" s="822"/>
      <c r="O112" s="89"/>
      <c r="P112" s="89"/>
      <c r="Q112" s="376"/>
      <c r="R112" s="89"/>
      <c r="S112" s="89"/>
      <c r="T112" s="89"/>
      <c r="U112" s="300"/>
      <c r="V112" s="779">
        <f>E112-F112</f>
        <v>0</v>
      </c>
    </row>
    <row r="113" s="3" customFormat="1" ht="13.8" spans="1:22">
      <c r="A113" s="695"/>
      <c r="B113" s="811"/>
      <c r="C113" s="317"/>
      <c r="D113" s="714" t="s">
        <v>70</v>
      </c>
      <c r="E113" s="89"/>
      <c r="F113" s="60">
        <f>SUM(G113:U113)</f>
        <v>0</v>
      </c>
      <c r="G113" s="89"/>
      <c r="H113" s="89"/>
      <c r="I113" s="88"/>
      <c r="J113" s="376"/>
      <c r="K113" s="300"/>
      <c r="L113" s="822"/>
      <c r="M113" s="195"/>
      <c r="N113" s="822"/>
      <c r="O113" s="89"/>
      <c r="P113" s="89"/>
      <c r="Q113" s="376"/>
      <c r="R113" s="89"/>
      <c r="S113" s="89"/>
      <c r="T113" s="89"/>
      <c r="U113" s="300"/>
      <c r="V113" s="779">
        <f>E113-F113</f>
        <v>0</v>
      </c>
    </row>
    <row r="114" s="1" customFormat="1" ht="13.8" spans="1:26">
      <c r="A114" s="812"/>
      <c r="B114" s="813"/>
      <c r="C114" s="330"/>
      <c r="D114" s="814"/>
      <c r="E114" s="815">
        <f t="shared" ref="E114:V114" si="18">SUM(E112:E113)</f>
        <v>0</v>
      </c>
      <c r="F114" s="815">
        <f t="shared" si="18"/>
        <v>0</v>
      </c>
      <c r="G114" s="815">
        <f t="shared" si="18"/>
        <v>0</v>
      </c>
      <c r="H114" s="815">
        <f t="shared" si="18"/>
        <v>0</v>
      </c>
      <c r="I114" s="815">
        <f t="shared" si="18"/>
        <v>0</v>
      </c>
      <c r="J114" s="815">
        <f t="shared" si="18"/>
        <v>0</v>
      </c>
      <c r="K114" s="815">
        <f t="shared" si="18"/>
        <v>0</v>
      </c>
      <c r="L114" s="815">
        <f t="shared" si="18"/>
        <v>0</v>
      </c>
      <c r="M114" s="815">
        <f t="shared" si="18"/>
        <v>0</v>
      </c>
      <c r="N114" s="815">
        <f t="shared" si="18"/>
        <v>0</v>
      </c>
      <c r="O114" s="815">
        <f t="shared" si="18"/>
        <v>0</v>
      </c>
      <c r="P114" s="815">
        <f t="shared" si="18"/>
        <v>0</v>
      </c>
      <c r="Q114" s="815">
        <f t="shared" si="18"/>
        <v>0</v>
      </c>
      <c r="R114" s="815">
        <f t="shared" si="18"/>
        <v>0</v>
      </c>
      <c r="S114" s="815">
        <f t="shared" si="18"/>
        <v>0</v>
      </c>
      <c r="T114" s="815">
        <f t="shared" si="18"/>
        <v>0</v>
      </c>
      <c r="U114" s="850">
        <f t="shared" si="18"/>
        <v>0</v>
      </c>
      <c r="V114" s="851">
        <f t="shared" si="18"/>
        <v>0</v>
      </c>
      <c r="W114" s="3"/>
      <c r="X114" s="3"/>
      <c r="Y114" s="3"/>
      <c r="Z114" s="3"/>
    </row>
    <row r="115" s="1" customFormat="1" ht="13.8" spans="2:26">
      <c r="B115" s="816"/>
      <c r="D115" s="817"/>
      <c r="E115" s="818"/>
      <c r="F115" s="818"/>
      <c r="G115" s="818"/>
      <c r="H115" s="818"/>
      <c r="I115" s="818"/>
      <c r="J115" s="818"/>
      <c r="K115" s="818"/>
      <c r="L115" s="818"/>
      <c r="M115" s="818"/>
      <c r="N115" s="818"/>
      <c r="O115" s="818"/>
      <c r="P115" s="818"/>
      <c r="Q115" s="818"/>
      <c r="R115" s="818"/>
      <c r="S115" s="818"/>
      <c r="T115" s="818"/>
      <c r="U115" s="818"/>
      <c r="V115" s="852"/>
      <c r="W115" s="3"/>
      <c r="X115" s="3"/>
      <c r="Y115" s="3"/>
      <c r="Z115" s="3"/>
    </row>
    <row r="116" s="1" customFormat="1" ht="13.8" spans="2:26">
      <c r="B116" s="816"/>
      <c r="D116" s="817"/>
      <c r="E116" s="818"/>
      <c r="F116" s="818"/>
      <c r="G116" s="818"/>
      <c r="H116" s="818"/>
      <c r="I116" s="818"/>
      <c r="J116" s="818"/>
      <c r="K116" s="818"/>
      <c r="L116" s="818"/>
      <c r="M116" s="818"/>
      <c r="N116" s="818"/>
      <c r="O116" s="818"/>
      <c r="P116" s="818"/>
      <c r="Q116" s="818"/>
      <c r="R116" s="818"/>
      <c r="S116" s="818"/>
      <c r="T116" s="818"/>
      <c r="U116" s="818"/>
      <c r="V116" s="852"/>
      <c r="W116" s="3"/>
      <c r="X116" s="3"/>
      <c r="Y116" s="3"/>
      <c r="Z116" s="3"/>
    </row>
    <row r="117" s="1" customFormat="1" ht="13.8" spans="1:22">
      <c r="A117" s="17" t="s">
        <v>0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225"/>
      <c r="L117" s="222"/>
      <c r="M117" s="222"/>
      <c r="N117" s="222"/>
      <c r="V117" s="778"/>
    </row>
    <row r="118" s="1" customFormat="1" ht="13.8" spans="1:22">
      <c r="A118" s="17" t="s">
        <v>91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V118" s="778"/>
    </row>
    <row r="119" s="1" customFormat="1" ht="13.8" spans="1:22">
      <c r="A119" s="17" t="s">
        <v>11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225"/>
      <c r="L119" s="222"/>
      <c r="M119" s="222"/>
      <c r="N119" s="222"/>
      <c r="V119" s="778"/>
    </row>
    <row r="120" s="1" customFormat="1" ht="13.8" spans="1:22">
      <c r="A120" s="17" t="s">
        <v>2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225"/>
      <c r="L120" s="222"/>
      <c r="M120" s="222"/>
      <c r="N120" s="222"/>
      <c r="V120" s="778"/>
    </row>
    <row r="121" s="1" customFormat="1" ht="14.55" spans="1:22">
      <c r="A121" s="17" t="s">
        <v>3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225"/>
      <c r="L121" s="222"/>
      <c r="M121" s="222"/>
      <c r="N121" s="222"/>
      <c r="V121" s="829" t="s">
        <v>92</v>
      </c>
    </row>
    <row r="122" s="1" customFormat="1" ht="14.55" spans="1:22">
      <c r="A122" s="18"/>
      <c r="B122" s="19"/>
      <c r="C122" s="19"/>
      <c r="D122" s="23"/>
      <c r="E122" s="22" t="s">
        <v>5</v>
      </c>
      <c r="F122" s="23"/>
      <c r="G122" s="24" t="s">
        <v>6</v>
      </c>
      <c r="H122" s="165"/>
      <c r="I122" s="165"/>
      <c r="J122" s="165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763"/>
    </row>
    <row r="123" s="1" customFormat="1" ht="13.8" spans="1:29">
      <c r="A123" s="25"/>
      <c r="B123" s="6"/>
      <c r="C123" s="6"/>
      <c r="D123" s="249"/>
      <c r="E123" s="28" t="s">
        <v>7</v>
      </c>
      <c r="F123" s="28" t="s">
        <v>8</v>
      </c>
      <c r="G123" s="29" t="s">
        <v>9</v>
      </c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778"/>
      <c r="AC123" s="1" t="s">
        <v>43</v>
      </c>
    </row>
    <row r="124" s="1" customFormat="1" ht="13.8" spans="1:22">
      <c r="A124" s="30" t="s">
        <v>10</v>
      </c>
      <c r="B124" s="31"/>
      <c r="C124" s="691"/>
      <c r="D124" s="28" t="s">
        <v>11</v>
      </c>
      <c r="E124" s="28" t="s">
        <v>12</v>
      </c>
      <c r="F124" s="28" t="s">
        <v>13</v>
      </c>
      <c r="H124" s="28"/>
      <c r="I124" s="27"/>
      <c r="J124" s="27" t="s">
        <v>14</v>
      </c>
      <c r="K124" s="168"/>
      <c r="L124" s="170"/>
      <c r="M124" s="169"/>
      <c r="N124" s="170"/>
      <c r="O124" s="28"/>
      <c r="P124" s="28"/>
      <c r="Q124" s="36"/>
      <c r="R124" s="167"/>
      <c r="S124" s="754"/>
      <c r="T124" s="754"/>
      <c r="U124" s="853"/>
      <c r="V124" s="834"/>
    </row>
    <row r="125" s="1" customFormat="1" ht="13.8" spans="1:22">
      <c r="A125" s="34"/>
      <c r="D125" s="28" t="s">
        <v>15</v>
      </c>
      <c r="E125" s="28" t="s">
        <v>16</v>
      </c>
      <c r="F125" s="28" t="s">
        <v>17</v>
      </c>
      <c r="G125" s="28" t="s">
        <v>18</v>
      </c>
      <c r="H125" s="28" t="s">
        <v>19</v>
      </c>
      <c r="I125" s="27" t="s">
        <v>20</v>
      </c>
      <c r="J125" s="733">
        <v>41334</v>
      </c>
      <c r="K125" s="169" t="s">
        <v>21</v>
      </c>
      <c r="L125" s="170" t="s">
        <v>22</v>
      </c>
      <c r="M125" s="734" t="s">
        <v>23</v>
      </c>
      <c r="N125" s="734" t="s">
        <v>24</v>
      </c>
      <c r="O125" s="734" t="s">
        <v>93</v>
      </c>
      <c r="P125" s="28" t="s">
        <v>26</v>
      </c>
      <c r="Q125" s="756" t="s">
        <v>27</v>
      </c>
      <c r="R125" s="757" t="s">
        <v>14</v>
      </c>
      <c r="S125" s="758" t="s">
        <v>28</v>
      </c>
      <c r="T125" s="758" t="s">
        <v>28</v>
      </c>
      <c r="U125" s="833" t="s">
        <v>29</v>
      </c>
      <c r="V125" s="834" t="s">
        <v>30</v>
      </c>
    </row>
    <row r="126" s="1" customFormat="1" ht="14.55" spans="1:22">
      <c r="A126" s="37"/>
      <c r="B126" s="38"/>
      <c r="C126" s="38"/>
      <c r="D126" s="230"/>
      <c r="E126" s="41" t="s">
        <v>31</v>
      </c>
      <c r="F126" s="42"/>
      <c r="G126" s="692"/>
      <c r="H126" s="42"/>
      <c r="I126" s="368"/>
      <c r="J126" s="1070" t="s">
        <v>32</v>
      </c>
      <c r="K126" s="42"/>
      <c r="L126" s="175"/>
      <c r="M126" s="174"/>
      <c r="N126" s="735"/>
      <c r="O126" s="692"/>
      <c r="P126" s="230"/>
      <c r="Q126" s="759"/>
      <c r="R126" s="835" t="s">
        <v>76</v>
      </c>
      <c r="S126" s="761"/>
      <c r="T126" s="761"/>
      <c r="U126" s="836"/>
      <c r="V126" s="837"/>
    </row>
    <row r="127" s="1" customFormat="1" ht="14.55" spans="1:26">
      <c r="A127" s="697"/>
      <c r="B127" s="803"/>
      <c r="C127" s="342"/>
      <c r="D127" s="716"/>
      <c r="E127" s="809"/>
      <c r="F127" s="809"/>
      <c r="G127" s="809"/>
      <c r="H127" s="809"/>
      <c r="I127" s="826"/>
      <c r="J127" s="827"/>
      <c r="K127" s="828"/>
      <c r="L127" s="809"/>
      <c r="M127" s="809"/>
      <c r="N127" s="809"/>
      <c r="O127" s="809"/>
      <c r="P127" s="809"/>
      <c r="Q127" s="827"/>
      <c r="R127" s="809"/>
      <c r="S127" s="809"/>
      <c r="T127" s="809"/>
      <c r="U127" s="828"/>
      <c r="V127" s="849"/>
      <c r="W127" s="3"/>
      <c r="X127" s="3"/>
      <c r="Y127" s="3"/>
      <c r="Z127" s="3"/>
    </row>
    <row r="128" s="1" customFormat="1" ht="13.8" spans="1:26">
      <c r="A128" s="697"/>
      <c r="B128" s="803"/>
      <c r="C128" s="342"/>
      <c r="D128" s="716"/>
      <c r="E128" s="809"/>
      <c r="F128" s="809"/>
      <c r="G128" s="809"/>
      <c r="H128" s="809"/>
      <c r="I128" s="826"/>
      <c r="J128" s="827"/>
      <c r="K128" s="828"/>
      <c r="L128" s="809"/>
      <c r="M128" s="809"/>
      <c r="N128" s="809"/>
      <c r="O128" s="809"/>
      <c r="P128" s="809"/>
      <c r="Q128" s="827"/>
      <c r="R128" s="809"/>
      <c r="S128" s="809"/>
      <c r="T128" s="809"/>
      <c r="U128" s="828"/>
      <c r="V128" s="849"/>
      <c r="W128" s="3"/>
      <c r="X128" s="3"/>
      <c r="Y128" s="3"/>
      <c r="Z128" s="3"/>
    </row>
    <row r="129" s="3" customFormat="1" ht="13.8" spans="1:22">
      <c r="A129" s="695"/>
      <c r="B129" s="802" t="s">
        <v>94</v>
      </c>
      <c r="C129" s="317"/>
      <c r="D129" s="854" t="s">
        <v>43</v>
      </c>
      <c r="E129" s="458"/>
      <c r="F129" s="60">
        <f>SUM(G129:U129)</f>
        <v>0</v>
      </c>
      <c r="G129" s="89"/>
      <c r="H129" s="89"/>
      <c r="I129" s="88"/>
      <c r="J129" s="376"/>
      <c r="K129" s="300"/>
      <c r="L129" s="822"/>
      <c r="M129" s="822"/>
      <c r="N129" s="822"/>
      <c r="O129" s="89"/>
      <c r="P129" s="89"/>
      <c r="Q129" s="376"/>
      <c r="R129" s="89"/>
      <c r="S129" s="89"/>
      <c r="T129" s="89"/>
      <c r="U129" s="300"/>
      <c r="V129" s="862">
        <f>E129-F129</f>
        <v>0</v>
      </c>
    </row>
    <row r="130" s="3" customFormat="1" ht="13.8" spans="1:22">
      <c r="A130" s="695"/>
      <c r="B130" s="802" t="s">
        <v>95</v>
      </c>
      <c r="C130" s="317"/>
      <c r="D130" s="714" t="s">
        <v>70</v>
      </c>
      <c r="E130" s="89">
        <v>25126</v>
      </c>
      <c r="F130" s="89">
        <f>SUM(G130:U130)</f>
        <v>25126</v>
      </c>
      <c r="G130" s="809"/>
      <c r="H130" s="809"/>
      <c r="I130" s="826"/>
      <c r="J130" s="376">
        <v>25126</v>
      </c>
      <c r="K130" s="828"/>
      <c r="L130" s="89"/>
      <c r="M130" s="89"/>
      <c r="N130" s="809"/>
      <c r="O130" s="809"/>
      <c r="P130" s="809"/>
      <c r="Q130" s="376"/>
      <c r="R130" s="809"/>
      <c r="S130" s="809"/>
      <c r="T130" s="809"/>
      <c r="U130" s="828"/>
      <c r="V130" s="779">
        <f>E130-F130</f>
        <v>0</v>
      </c>
    </row>
    <row r="131" s="3" customFormat="1" ht="13.8" spans="1:22">
      <c r="A131" s="695"/>
      <c r="B131" s="802"/>
      <c r="C131" s="317"/>
      <c r="D131" s="714" t="s">
        <v>71</v>
      </c>
      <c r="E131" s="89"/>
      <c r="F131" s="809">
        <f>SUM(G131:U131)</f>
        <v>0</v>
      </c>
      <c r="G131" s="89"/>
      <c r="H131" s="89"/>
      <c r="I131" s="826"/>
      <c r="J131" s="827"/>
      <c r="K131" s="828"/>
      <c r="L131" s="861"/>
      <c r="M131" s="89">
        <v>0</v>
      </c>
      <c r="N131" s="809"/>
      <c r="O131" s="809"/>
      <c r="P131" s="809"/>
      <c r="Q131" s="376"/>
      <c r="R131" s="809"/>
      <c r="S131" s="809"/>
      <c r="T131" s="89"/>
      <c r="U131" s="828"/>
      <c r="V131" s="779">
        <f>E131-F131</f>
        <v>0</v>
      </c>
    </row>
    <row r="132" s="1" customFormat="1" ht="13.8" spans="1:26">
      <c r="A132" s="697"/>
      <c r="B132" s="803"/>
      <c r="C132" s="342"/>
      <c r="D132" s="716"/>
      <c r="E132" s="804">
        <f>SUM(E130:E131)</f>
        <v>25126</v>
      </c>
      <c r="F132" s="804">
        <f>SUM(F130:F131)</f>
        <v>25126</v>
      </c>
      <c r="G132" s="804">
        <f t="shared" ref="G132:V132" si="19">SUM(G130:G131)</f>
        <v>0</v>
      </c>
      <c r="H132" s="804">
        <f t="shared" si="19"/>
        <v>0</v>
      </c>
      <c r="I132" s="804">
        <f t="shared" si="19"/>
        <v>0</v>
      </c>
      <c r="J132" s="804">
        <f t="shared" si="19"/>
        <v>25126</v>
      </c>
      <c r="K132" s="804">
        <f t="shared" si="19"/>
        <v>0</v>
      </c>
      <c r="L132" s="804">
        <f t="shared" si="19"/>
        <v>0</v>
      </c>
      <c r="M132" s="804">
        <f t="shared" si="19"/>
        <v>0</v>
      </c>
      <c r="N132" s="804">
        <f t="shared" si="19"/>
        <v>0</v>
      </c>
      <c r="O132" s="804">
        <f t="shared" si="19"/>
        <v>0</v>
      </c>
      <c r="P132" s="804">
        <f t="shared" si="19"/>
        <v>0</v>
      </c>
      <c r="Q132" s="804">
        <f t="shared" si="19"/>
        <v>0</v>
      </c>
      <c r="R132" s="804">
        <f t="shared" si="19"/>
        <v>0</v>
      </c>
      <c r="S132" s="804">
        <f t="shared" si="19"/>
        <v>0</v>
      </c>
      <c r="T132" s="804">
        <f t="shared" si="19"/>
        <v>0</v>
      </c>
      <c r="U132" s="842">
        <f t="shared" si="19"/>
        <v>0</v>
      </c>
      <c r="V132" s="843">
        <f t="shared" si="19"/>
        <v>0</v>
      </c>
      <c r="W132" s="3"/>
      <c r="X132" s="848"/>
      <c r="Y132" s="848"/>
      <c r="Z132" s="3"/>
    </row>
    <row r="133" s="1" customFormat="1" ht="13.8" spans="1:22">
      <c r="A133" s="697"/>
      <c r="B133" s="803"/>
      <c r="C133" s="342"/>
      <c r="D133" s="716"/>
      <c r="E133" s="84"/>
      <c r="F133" s="107"/>
      <c r="G133" s="84"/>
      <c r="H133" s="84"/>
      <c r="I133" s="82"/>
      <c r="J133" s="785"/>
      <c r="K133" s="786"/>
      <c r="L133" s="201"/>
      <c r="M133" s="191"/>
      <c r="N133" s="201"/>
      <c r="O133" s="84"/>
      <c r="P133" s="84"/>
      <c r="Q133" s="785"/>
      <c r="R133" s="84"/>
      <c r="S133" s="84"/>
      <c r="T133" s="84"/>
      <c r="U133" s="786"/>
      <c r="V133" s="863"/>
    </row>
    <row r="134" s="3" customFormat="1" ht="13.8" spans="1:22">
      <c r="A134" s="695"/>
      <c r="B134" s="802" t="s">
        <v>96</v>
      </c>
      <c r="C134" s="317"/>
      <c r="D134" s="854" t="s">
        <v>71</v>
      </c>
      <c r="E134" s="89"/>
      <c r="F134" s="60">
        <f>SUM(G134:U134)</f>
        <v>0</v>
      </c>
      <c r="G134" s="89"/>
      <c r="H134" s="89"/>
      <c r="I134" s="88"/>
      <c r="J134" s="376"/>
      <c r="K134" s="300">
        <v>0</v>
      </c>
      <c r="L134" s="822">
        <v>0</v>
      </c>
      <c r="M134" s="195"/>
      <c r="N134" s="822"/>
      <c r="O134" s="89"/>
      <c r="P134" s="89"/>
      <c r="Q134" s="376"/>
      <c r="R134" s="89"/>
      <c r="S134" s="89"/>
      <c r="T134" s="89"/>
      <c r="U134" s="300"/>
      <c r="V134" s="864">
        <f>E134-F134</f>
        <v>0</v>
      </c>
    </row>
    <row r="135" s="3" customFormat="1" ht="13.8" spans="1:22">
      <c r="A135" s="695"/>
      <c r="B135" s="802"/>
      <c r="C135" s="317"/>
      <c r="D135" s="714" t="s">
        <v>70</v>
      </c>
      <c r="E135" s="89">
        <v>169161.02</v>
      </c>
      <c r="F135" s="60">
        <f>SUM(G135:U135)</f>
        <v>169161.02</v>
      </c>
      <c r="G135" s="89"/>
      <c r="H135" s="89"/>
      <c r="I135" s="88"/>
      <c r="J135" s="376">
        <v>169161.02</v>
      </c>
      <c r="K135" s="300">
        <v>0</v>
      </c>
      <c r="L135" s="822">
        <v>0</v>
      </c>
      <c r="M135" s="195"/>
      <c r="N135" s="822"/>
      <c r="O135" s="89"/>
      <c r="P135" s="89"/>
      <c r="Q135" s="376"/>
      <c r="R135" s="89"/>
      <c r="S135" s="89"/>
      <c r="T135" s="89"/>
      <c r="U135" s="300"/>
      <c r="V135" s="779">
        <f>E135-F135</f>
        <v>0</v>
      </c>
    </row>
    <row r="136" s="1" customFormat="1" ht="13.8" spans="1:25">
      <c r="A136" s="697"/>
      <c r="B136" s="803"/>
      <c r="C136" s="342"/>
      <c r="D136" s="716"/>
      <c r="E136" s="804">
        <f>SUM(E134:E135)</f>
        <v>169161.02</v>
      </c>
      <c r="F136" s="804">
        <f>SUM(F134:F135)</f>
        <v>169161.02</v>
      </c>
      <c r="G136" s="804">
        <f t="shared" ref="G136:V136" si="20">SUM(G134:G135)</f>
        <v>0</v>
      </c>
      <c r="H136" s="804">
        <f t="shared" si="20"/>
        <v>0</v>
      </c>
      <c r="I136" s="804">
        <f t="shared" si="20"/>
        <v>0</v>
      </c>
      <c r="J136" s="804">
        <f t="shared" si="20"/>
        <v>169161.02</v>
      </c>
      <c r="K136" s="804">
        <f t="shared" si="20"/>
        <v>0</v>
      </c>
      <c r="L136" s="804">
        <f t="shared" si="20"/>
        <v>0</v>
      </c>
      <c r="M136" s="804">
        <f t="shared" si="20"/>
        <v>0</v>
      </c>
      <c r="N136" s="804">
        <f t="shared" si="20"/>
        <v>0</v>
      </c>
      <c r="O136" s="804">
        <f t="shared" si="20"/>
        <v>0</v>
      </c>
      <c r="P136" s="804">
        <f t="shared" si="20"/>
        <v>0</v>
      </c>
      <c r="Q136" s="804">
        <f t="shared" si="20"/>
        <v>0</v>
      </c>
      <c r="R136" s="804">
        <f t="shared" si="20"/>
        <v>0</v>
      </c>
      <c r="S136" s="804">
        <f t="shared" si="20"/>
        <v>0</v>
      </c>
      <c r="T136" s="804">
        <f t="shared" si="20"/>
        <v>0</v>
      </c>
      <c r="U136" s="842">
        <f t="shared" si="20"/>
        <v>0</v>
      </c>
      <c r="V136" s="843">
        <f t="shared" si="20"/>
        <v>0</v>
      </c>
      <c r="X136" s="792"/>
      <c r="Y136" s="792"/>
    </row>
    <row r="137" s="1" customFormat="1" ht="13.8" spans="1:22">
      <c r="A137" s="697"/>
      <c r="B137" s="803"/>
      <c r="C137" s="342"/>
      <c r="D137" s="716"/>
      <c r="E137" s="84"/>
      <c r="F137" s="107"/>
      <c r="G137" s="84"/>
      <c r="H137" s="84"/>
      <c r="I137" s="82"/>
      <c r="J137" s="785"/>
      <c r="K137" s="786"/>
      <c r="L137" s="201"/>
      <c r="M137" s="191"/>
      <c r="N137" s="201"/>
      <c r="O137" s="84"/>
      <c r="P137" s="84"/>
      <c r="Q137" s="785"/>
      <c r="R137" s="84"/>
      <c r="S137" s="84"/>
      <c r="T137" s="84"/>
      <c r="U137" s="786"/>
      <c r="V137" s="865"/>
    </row>
    <row r="138" s="1" customFormat="1" ht="13.8" spans="1:29">
      <c r="A138" s="697"/>
      <c r="B138" s="855" t="s">
        <v>97</v>
      </c>
      <c r="C138" s="342"/>
      <c r="D138" s="716" t="s">
        <v>42</v>
      </c>
      <c r="E138" s="856">
        <v>20000</v>
      </c>
      <c r="F138" s="107">
        <f t="shared" ref="F138:F156" si="21">SUM(G138:U138)</f>
        <v>0</v>
      </c>
      <c r="G138" s="84"/>
      <c r="H138" s="84"/>
      <c r="I138" s="82"/>
      <c r="J138" s="785"/>
      <c r="K138" s="786"/>
      <c r="L138" s="201"/>
      <c r="M138" s="201"/>
      <c r="N138" s="201"/>
      <c r="O138" s="84"/>
      <c r="P138" s="84"/>
      <c r="Q138" s="785"/>
      <c r="R138" s="84"/>
      <c r="S138" s="84"/>
      <c r="T138" s="84"/>
      <c r="U138" s="786"/>
      <c r="V138" s="787">
        <f>E138-F138</f>
        <v>20000</v>
      </c>
      <c r="AC138" s="791">
        <f>F139+F38+F73+F91</f>
        <v>364436.8</v>
      </c>
    </row>
    <row r="139" s="1" customFormat="1" ht="13.8" spans="1:22">
      <c r="A139" s="697"/>
      <c r="B139" s="803"/>
      <c r="C139" s="342"/>
      <c r="D139" s="716" t="s">
        <v>43</v>
      </c>
      <c r="E139" s="856">
        <f>100000+60000+100000</f>
        <v>260000</v>
      </c>
      <c r="F139" s="107">
        <f t="shared" si="21"/>
        <v>0</v>
      </c>
      <c r="G139" s="84"/>
      <c r="H139" s="84"/>
      <c r="I139" s="82"/>
      <c r="J139" s="785"/>
      <c r="K139" s="786"/>
      <c r="L139" s="201"/>
      <c r="M139" s="201"/>
      <c r="N139" s="201"/>
      <c r="O139" s="84"/>
      <c r="P139" s="84"/>
      <c r="Q139" s="785"/>
      <c r="R139" s="84"/>
      <c r="S139" s="84"/>
      <c r="T139" s="84"/>
      <c r="U139" s="786"/>
      <c r="V139" s="787">
        <f t="shared" ref="V139:V156" si="22">E139-F139</f>
        <v>260000</v>
      </c>
    </row>
    <row r="140" s="1" customFormat="1" ht="13.8" spans="1:22">
      <c r="A140" s="697"/>
      <c r="B140" s="803"/>
      <c r="C140" s="342"/>
      <c r="D140" s="716" t="s">
        <v>98</v>
      </c>
      <c r="E140" s="856"/>
      <c r="F140" s="107">
        <f t="shared" si="21"/>
        <v>0</v>
      </c>
      <c r="G140" s="84"/>
      <c r="H140" s="84"/>
      <c r="I140" s="82"/>
      <c r="J140" s="785"/>
      <c r="K140" s="786"/>
      <c r="L140" s="201"/>
      <c r="M140" s="201"/>
      <c r="N140" s="201"/>
      <c r="O140" s="84"/>
      <c r="P140" s="84"/>
      <c r="Q140" s="785"/>
      <c r="R140" s="84"/>
      <c r="S140" s="84"/>
      <c r="T140" s="84"/>
      <c r="U140" s="786"/>
      <c r="V140" s="787">
        <f t="shared" si="22"/>
        <v>0</v>
      </c>
    </row>
    <row r="141" s="1" customFormat="1" ht="13.8" spans="1:22">
      <c r="A141" s="697"/>
      <c r="B141" s="803"/>
      <c r="C141" s="342"/>
      <c r="D141" s="716" t="s">
        <v>44</v>
      </c>
      <c r="E141" s="856">
        <f>43000+50000</f>
        <v>93000</v>
      </c>
      <c r="F141" s="107">
        <f t="shared" si="21"/>
        <v>0</v>
      </c>
      <c r="G141" s="84"/>
      <c r="H141" s="84"/>
      <c r="I141" s="82"/>
      <c r="J141" s="785"/>
      <c r="K141" s="786"/>
      <c r="L141" s="201"/>
      <c r="M141" s="201"/>
      <c r="N141" s="201"/>
      <c r="O141" s="84"/>
      <c r="P141" s="84"/>
      <c r="Q141" s="785"/>
      <c r="R141" s="84"/>
      <c r="S141" s="84"/>
      <c r="T141" s="84"/>
      <c r="U141" s="786"/>
      <c r="V141" s="787">
        <f t="shared" si="22"/>
        <v>93000</v>
      </c>
    </row>
    <row r="142" s="1" customFormat="1" ht="13.8" spans="1:22">
      <c r="A142" s="697"/>
      <c r="B142" s="803"/>
      <c r="C142" s="342"/>
      <c r="D142" s="716" t="s">
        <v>46</v>
      </c>
      <c r="E142" s="856">
        <v>36515.12</v>
      </c>
      <c r="F142" s="107">
        <f t="shared" si="21"/>
        <v>0</v>
      </c>
      <c r="G142" s="84"/>
      <c r="H142" s="84"/>
      <c r="I142" s="82"/>
      <c r="J142" s="785"/>
      <c r="K142" s="786"/>
      <c r="L142" s="201"/>
      <c r="M142" s="201"/>
      <c r="N142" s="201"/>
      <c r="O142" s="84"/>
      <c r="P142" s="84"/>
      <c r="Q142" s="785"/>
      <c r="R142" s="84"/>
      <c r="S142" s="84"/>
      <c r="T142" s="84"/>
      <c r="U142" s="786"/>
      <c r="V142" s="787">
        <f t="shared" si="22"/>
        <v>36515.12</v>
      </c>
    </row>
    <row r="143" s="1" customFormat="1" ht="13.8" spans="1:22">
      <c r="A143" s="697"/>
      <c r="B143" s="803"/>
      <c r="C143" s="342"/>
      <c r="D143" s="716" t="s">
        <v>65</v>
      </c>
      <c r="E143" s="856">
        <v>2300</v>
      </c>
      <c r="F143" s="107">
        <f t="shared" si="21"/>
        <v>2300</v>
      </c>
      <c r="G143" s="84"/>
      <c r="H143" s="84"/>
      <c r="I143" s="82"/>
      <c r="J143" s="785">
        <v>2300</v>
      </c>
      <c r="K143" s="786"/>
      <c r="L143" s="201"/>
      <c r="M143" s="201"/>
      <c r="N143" s="201"/>
      <c r="O143" s="84"/>
      <c r="P143" s="84"/>
      <c r="Q143" s="785"/>
      <c r="R143" s="84"/>
      <c r="S143" s="84"/>
      <c r="T143" s="84"/>
      <c r="U143" s="786"/>
      <c r="V143" s="787">
        <f t="shared" si="22"/>
        <v>0</v>
      </c>
    </row>
    <row r="144" s="1" customFormat="1" ht="13.8" spans="1:22">
      <c r="A144" s="697"/>
      <c r="B144" s="803"/>
      <c r="C144" s="342"/>
      <c r="D144" s="716" t="s">
        <v>66</v>
      </c>
      <c r="E144" s="856"/>
      <c r="F144" s="107">
        <f t="shared" si="21"/>
        <v>0</v>
      </c>
      <c r="G144" s="84"/>
      <c r="H144" s="84"/>
      <c r="I144" s="82"/>
      <c r="J144" s="785"/>
      <c r="K144" s="786"/>
      <c r="L144" s="201"/>
      <c r="M144" s="201"/>
      <c r="N144" s="201"/>
      <c r="O144" s="84"/>
      <c r="P144" s="84"/>
      <c r="Q144" s="785"/>
      <c r="R144" s="84"/>
      <c r="S144" s="84"/>
      <c r="T144" s="84"/>
      <c r="U144" s="786"/>
      <c r="V144" s="787">
        <f t="shared" si="22"/>
        <v>0</v>
      </c>
    </row>
    <row r="145" s="1" customFormat="1" ht="13.8" spans="1:22">
      <c r="A145" s="697"/>
      <c r="B145" s="803"/>
      <c r="C145" s="342"/>
      <c r="D145" s="716" t="s">
        <v>99</v>
      </c>
      <c r="E145" s="856">
        <v>87000</v>
      </c>
      <c r="F145" s="107">
        <f t="shared" si="21"/>
        <v>0</v>
      </c>
      <c r="G145" s="84"/>
      <c r="H145" s="84"/>
      <c r="I145" s="82"/>
      <c r="J145" s="785"/>
      <c r="K145" s="786"/>
      <c r="L145" s="201"/>
      <c r="M145" s="201"/>
      <c r="N145" s="201"/>
      <c r="O145" s="84"/>
      <c r="P145" s="84"/>
      <c r="Q145" s="785"/>
      <c r="R145" s="84"/>
      <c r="S145" s="84"/>
      <c r="T145" s="84"/>
      <c r="U145" s="786"/>
      <c r="V145" s="787">
        <f t="shared" si="22"/>
        <v>87000</v>
      </c>
    </row>
    <row r="146" s="1" customFormat="1" ht="13.8" spans="1:22">
      <c r="A146" s="697"/>
      <c r="B146" s="803"/>
      <c r="C146" s="857"/>
      <c r="D146" s="716" t="s">
        <v>100</v>
      </c>
      <c r="E146" s="856"/>
      <c r="F146" s="107">
        <f t="shared" si="21"/>
        <v>0</v>
      </c>
      <c r="G146" s="84"/>
      <c r="H146" s="84"/>
      <c r="I146" s="82"/>
      <c r="J146" s="785"/>
      <c r="K146" s="786"/>
      <c r="L146" s="201"/>
      <c r="M146" s="201"/>
      <c r="N146" s="201"/>
      <c r="O146" s="84"/>
      <c r="P146" s="84"/>
      <c r="Q146" s="785"/>
      <c r="R146" s="84"/>
      <c r="S146" s="84"/>
      <c r="T146" s="84"/>
      <c r="U146" s="786"/>
      <c r="V146" s="787">
        <f t="shared" si="22"/>
        <v>0</v>
      </c>
    </row>
    <row r="147" s="1" customFormat="1" ht="13.8" spans="1:22">
      <c r="A147" s="697"/>
      <c r="B147" s="803"/>
      <c r="C147" s="342"/>
      <c r="D147" s="716" t="s">
        <v>68</v>
      </c>
      <c r="E147" s="856">
        <f>3250+88200</f>
        <v>91450</v>
      </c>
      <c r="F147" s="107">
        <f t="shared" si="21"/>
        <v>91450</v>
      </c>
      <c r="G147" s="84"/>
      <c r="H147" s="84"/>
      <c r="I147" s="82"/>
      <c r="J147" s="785">
        <v>91450</v>
      </c>
      <c r="K147" s="786"/>
      <c r="L147" s="201"/>
      <c r="M147" s="201"/>
      <c r="N147" s="201"/>
      <c r="O147" s="84"/>
      <c r="P147" s="84"/>
      <c r="Q147" s="785"/>
      <c r="R147" s="84"/>
      <c r="S147" s="84"/>
      <c r="T147" s="84"/>
      <c r="U147" s="786"/>
      <c r="V147" s="787">
        <f t="shared" si="22"/>
        <v>0</v>
      </c>
    </row>
    <row r="148" s="1" customFormat="1" ht="13.8" spans="1:22">
      <c r="A148" s="697"/>
      <c r="B148" s="803"/>
      <c r="C148" s="342"/>
      <c r="D148" s="716" t="s">
        <v>51</v>
      </c>
      <c r="E148" s="856">
        <v>100000</v>
      </c>
      <c r="F148" s="107">
        <f t="shared" si="21"/>
        <v>0</v>
      </c>
      <c r="G148" s="84"/>
      <c r="H148" s="84"/>
      <c r="I148" s="82"/>
      <c r="J148" s="785"/>
      <c r="K148" s="786"/>
      <c r="L148" s="201"/>
      <c r="M148" s="201"/>
      <c r="N148" s="201"/>
      <c r="O148" s="84"/>
      <c r="P148" s="84"/>
      <c r="Q148" s="785"/>
      <c r="R148" s="84"/>
      <c r="S148" s="84"/>
      <c r="T148" s="84"/>
      <c r="U148" s="786"/>
      <c r="V148" s="787">
        <f t="shared" si="22"/>
        <v>100000</v>
      </c>
    </row>
    <row r="149" s="1" customFormat="1" ht="13.8" spans="1:22">
      <c r="A149" s="697"/>
      <c r="B149" s="803"/>
      <c r="C149" s="342"/>
      <c r="D149" s="716" t="s">
        <v>37</v>
      </c>
      <c r="E149" s="856">
        <f>250000+300000</f>
        <v>550000</v>
      </c>
      <c r="F149" s="107">
        <f t="shared" si="21"/>
        <v>0</v>
      </c>
      <c r="G149" s="84"/>
      <c r="H149" s="84"/>
      <c r="I149" s="82"/>
      <c r="J149" s="785"/>
      <c r="K149" s="786"/>
      <c r="L149" s="201"/>
      <c r="M149" s="201"/>
      <c r="N149" s="201"/>
      <c r="O149" s="84"/>
      <c r="P149" s="84"/>
      <c r="Q149" s="785"/>
      <c r="R149" s="84"/>
      <c r="S149" s="84"/>
      <c r="T149" s="84"/>
      <c r="U149" s="786"/>
      <c r="V149" s="787">
        <f t="shared" si="22"/>
        <v>550000</v>
      </c>
    </row>
    <row r="150" s="1" customFormat="1" ht="13.8" spans="1:22">
      <c r="A150" s="697"/>
      <c r="B150" s="803"/>
      <c r="C150" s="342"/>
      <c r="D150" s="716" t="s">
        <v>69</v>
      </c>
      <c r="E150" s="856">
        <v>250000</v>
      </c>
      <c r="F150" s="107">
        <f t="shared" si="21"/>
        <v>200000</v>
      </c>
      <c r="G150" s="84"/>
      <c r="H150" s="84"/>
      <c r="I150" s="82"/>
      <c r="J150" s="785">
        <v>200000</v>
      </c>
      <c r="K150" s="786"/>
      <c r="L150" s="201"/>
      <c r="M150" s="201"/>
      <c r="N150" s="201"/>
      <c r="O150" s="84"/>
      <c r="P150" s="84"/>
      <c r="Q150" s="785"/>
      <c r="R150" s="84"/>
      <c r="S150" s="84"/>
      <c r="T150" s="84"/>
      <c r="U150" s="786"/>
      <c r="V150" s="787">
        <f t="shared" si="22"/>
        <v>50000</v>
      </c>
    </row>
    <row r="151" s="1" customFormat="1" ht="13.8" spans="1:22">
      <c r="A151" s="697"/>
      <c r="B151" s="803"/>
      <c r="C151" s="342"/>
      <c r="D151" s="716" t="s">
        <v>70</v>
      </c>
      <c r="E151" s="856">
        <f>5560+15000+35000</f>
        <v>55560</v>
      </c>
      <c r="F151" s="107">
        <f t="shared" si="21"/>
        <v>55560</v>
      </c>
      <c r="G151" s="84"/>
      <c r="H151" s="84"/>
      <c r="I151" s="82"/>
      <c r="J151" s="785">
        <v>55560</v>
      </c>
      <c r="K151" s="786"/>
      <c r="L151" s="201"/>
      <c r="M151" s="201"/>
      <c r="N151" s="201"/>
      <c r="O151" s="84"/>
      <c r="P151" s="84"/>
      <c r="Q151" s="785"/>
      <c r="R151" s="84"/>
      <c r="S151" s="84"/>
      <c r="T151" s="84"/>
      <c r="U151" s="786"/>
      <c r="V151" s="787">
        <f t="shared" si="22"/>
        <v>0</v>
      </c>
    </row>
    <row r="152" s="1" customFormat="1" ht="13.8" spans="1:22">
      <c r="A152" s="697"/>
      <c r="B152" s="803"/>
      <c r="C152" s="342"/>
      <c r="D152" s="716" t="s">
        <v>71</v>
      </c>
      <c r="E152" s="856"/>
      <c r="F152" s="107">
        <f t="shared" si="21"/>
        <v>0</v>
      </c>
      <c r="G152" s="84"/>
      <c r="H152" s="84"/>
      <c r="I152" s="82"/>
      <c r="J152" s="785"/>
      <c r="K152" s="786"/>
      <c r="L152" s="201"/>
      <c r="M152" s="201"/>
      <c r="N152" s="201"/>
      <c r="O152" s="84"/>
      <c r="P152" s="84"/>
      <c r="Q152" s="785"/>
      <c r="R152" s="84"/>
      <c r="S152" s="84"/>
      <c r="T152" s="84"/>
      <c r="U152" s="786"/>
      <c r="V152" s="787">
        <f t="shared" si="22"/>
        <v>0</v>
      </c>
    </row>
    <row r="153" s="1" customFormat="1" ht="13.8" spans="1:22">
      <c r="A153" s="697"/>
      <c r="B153" s="803"/>
      <c r="C153" s="342"/>
      <c r="D153" s="716" t="s">
        <v>101</v>
      </c>
      <c r="E153" s="856"/>
      <c r="F153" s="107">
        <f t="shared" si="21"/>
        <v>0</v>
      </c>
      <c r="G153" s="84"/>
      <c r="H153" s="84"/>
      <c r="I153" s="82"/>
      <c r="J153" s="785"/>
      <c r="K153" s="786"/>
      <c r="L153" s="201"/>
      <c r="M153" s="201"/>
      <c r="N153" s="201"/>
      <c r="O153" s="84"/>
      <c r="P153" s="84"/>
      <c r="Q153" s="785"/>
      <c r="R153" s="84"/>
      <c r="S153" s="84"/>
      <c r="T153" s="84"/>
      <c r="U153" s="786"/>
      <c r="V153" s="787">
        <f t="shared" si="22"/>
        <v>0</v>
      </c>
    </row>
    <row r="154" s="1" customFormat="1" ht="13.8" spans="1:22">
      <c r="A154" s="697"/>
      <c r="B154" s="803"/>
      <c r="C154" s="342"/>
      <c r="D154" s="716" t="s">
        <v>102</v>
      </c>
      <c r="E154" s="856">
        <v>0</v>
      </c>
      <c r="F154" s="107">
        <f t="shared" si="21"/>
        <v>0</v>
      </c>
      <c r="G154" s="84"/>
      <c r="H154" s="84"/>
      <c r="I154" s="82"/>
      <c r="J154" s="785"/>
      <c r="K154" s="786"/>
      <c r="L154" s="201"/>
      <c r="M154" s="201"/>
      <c r="N154" s="201"/>
      <c r="O154" s="84"/>
      <c r="P154" s="84"/>
      <c r="Q154" s="785"/>
      <c r="R154" s="84"/>
      <c r="S154" s="84"/>
      <c r="T154" s="84"/>
      <c r="U154" s="786"/>
      <c r="V154" s="787">
        <f t="shared" si="22"/>
        <v>0</v>
      </c>
    </row>
    <row r="155" s="1" customFormat="1" ht="13.8" spans="1:22">
      <c r="A155" s="697"/>
      <c r="B155" s="803"/>
      <c r="C155" s="342"/>
      <c r="D155" s="716" t="s">
        <v>80</v>
      </c>
      <c r="E155" s="856"/>
      <c r="F155" s="107">
        <f t="shared" si="21"/>
        <v>0</v>
      </c>
      <c r="G155" s="84"/>
      <c r="H155" s="84"/>
      <c r="I155" s="82"/>
      <c r="J155" s="785"/>
      <c r="K155" s="786"/>
      <c r="L155" s="201"/>
      <c r="M155" s="201"/>
      <c r="N155" s="201"/>
      <c r="O155" s="84"/>
      <c r="P155" s="84"/>
      <c r="Q155" s="785"/>
      <c r="R155" s="84"/>
      <c r="S155" s="84"/>
      <c r="T155" s="84"/>
      <c r="U155" s="786"/>
      <c r="V155" s="787">
        <f t="shared" si="22"/>
        <v>0</v>
      </c>
    </row>
    <row r="156" s="1" customFormat="1" ht="13.8" spans="1:22">
      <c r="A156" s="697"/>
      <c r="B156" s="803"/>
      <c r="C156" s="342"/>
      <c r="D156" s="716" t="s">
        <v>86</v>
      </c>
      <c r="E156" s="856"/>
      <c r="F156" s="107">
        <f t="shared" si="21"/>
        <v>0</v>
      </c>
      <c r="G156" s="84"/>
      <c r="H156" s="84"/>
      <c r="I156" s="82"/>
      <c r="J156" s="785"/>
      <c r="K156" s="786"/>
      <c r="L156" s="201"/>
      <c r="M156" s="201"/>
      <c r="N156" s="201"/>
      <c r="O156" s="84"/>
      <c r="P156" s="84"/>
      <c r="Q156" s="785"/>
      <c r="R156" s="84"/>
      <c r="S156" s="84"/>
      <c r="T156" s="84"/>
      <c r="U156" s="786"/>
      <c r="V156" s="787">
        <f t="shared" si="22"/>
        <v>0</v>
      </c>
    </row>
    <row r="157" s="1" customFormat="1" ht="13.8" spans="1:25">
      <c r="A157" s="697"/>
      <c r="B157" s="803"/>
      <c r="C157" s="342"/>
      <c r="D157" s="716"/>
      <c r="E157" s="804">
        <f t="shared" ref="E157:J157" si="23">SUM(E138:E156)</f>
        <v>1545825.12</v>
      </c>
      <c r="F157" s="804">
        <f t="shared" si="23"/>
        <v>349310</v>
      </c>
      <c r="G157" s="804">
        <f t="shared" si="23"/>
        <v>0</v>
      </c>
      <c r="H157" s="804">
        <f t="shared" si="23"/>
        <v>0</v>
      </c>
      <c r="I157" s="804">
        <f t="shared" si="23"/>
        <v>0</v>
      </c>
      <c r="J157" s="804">
        <f t="shared" si="23"/>
        <v>349310</v>
      </c>
      <c r="K157" s="804">
        <f t="shared" ref="K157:V157" si="24">SUM(K138:K156)</f>
        <v>0</v>
      </c>
      <c r="L157" s="804">
        <f t="shared" si="24"/>
        <v>0</v>
      </c>
      <c r="M157" s="804">
        <f t="shared" si="24"/>
        <v>0</v>
      </c>
      <c r="N157" s="804">
        <f t="shared" si="24"/>
        <v>0</v>
      </c>
      <c r="O157" s="804">
        <f t="shared" si="24"/>
        <v>0</v>
      </c>
      <c r="P157" s="804">
        <f t="shared" si="24"/>
        <v>0</v>
      </c>
      <c r="Q157" s="804">
        <f t="shared" si="24"/>
        <v>0</v>
      </c>
      <c r="R157" s="841">
        <f t="shared" si="24"/>
        <v>0</v>
      </c>
      <c r="S157" s="841">
        <f t="shared" si="24"/>
        <v>0</v>
      </c>
      <c r="T157" s="841">
        <f t="shared" si="24"/>
        <v>0</v>
      </c>
      <c r="U157" s="842">
        <f t="shared" si="24"/>
        <v>0</v>
      </c>
      <c r="V157" s="843">
        <f t="shared" si="24"/>
        <v>1196515.12</v>
      </c>
      <c r="X157" s="792"/>
      <c r="Y157" s="792"/>
    </row>
    <row r="158" s="1" customFormat="1" ht="13.8" spans="1:22">
      <c r="A158" s="697"/>
      <c r="B158" s="803"/>
      <c r="C158" s="342"/>
      <c r="D158" s="716"/>
      <c r="E158" s="84"/>
      <c r="F158" s="107"/>
      <c r="G158" s="84"/>
      <c r="H158" s="84"/>
      <c r="I158" s="82"/>
      <c r="J158" s="785"/>
      <c r="K158" s="786"/>
      <c r="L158" s="201"/>
      <c r="M158" s="201"/>
      <c r="N158" s="201"/>
      <c r="O158" s="84"/>
      <c r="P158" s="84"/>
      <c r="Q158" s="785"/>
      <c r="R158" s="84"/>
      <c r="S158" s="84"/>
      <c r="T158" s="84"/>
      <c r="U158" s="786"/>
      <c r="V158" s="787"/>
    </row>
    <row r="159" s="3" customFormat="1" ht="30" customHeight="1" spans="1:22">
      <c r="A159" s="695"/>
      <c r="B159" s="858" t="s">
        <v>103</v>
      </c>
      <c r="C159" s="859"/>
      <c r="D159" s="714" t="s">
        <v>104</v>
      </c>
      <c r="E159" s="89"/>
      <c r="F159" s="60">
        <f>SUM(G159:U159)</f>
        <v>0</v>
      </c>
      <c r="G159" s="89"/>
      <c r="H159" s="89"/>
      <c r="I159" s="88"/>
      <c r="J159" s="376"/>
      <c r="K159" s="300"/>
      <c r="L159" s="822"/>
      <c r="M159" s="822"/>
      <c r="N159" s="822"/>
      <c r="O159" s="89"/>
      <c r="P159" s="89"/>
      <c r="Q159" s="376"/>
      <c r="R159" s="89"/>
      <c r="S159" s="89"/>
      <c r="T159" s="89"/>
      <c r="U159" s="300"/>
      <c r="V159" s="779">
        <f>E159-F159</f>
        <v>0</v>
      </c>
    </row>
    <row r="160" s="1" customFormat="1" ht="13.8" spans="1:22">
      <c r="A160" s="812"/>
      <c r="B160" s="813"/>
      <c r="C160" s="330"/>
      <c r="D160" s="814"/>
      <c r="E160" s="815">
        <f>SUM(E159:E159)</f>
        <v>0</v>
      </c>
      <c r="F160" s="815">
        <f t="shared" ref="F160:M160" si="25">SUM(F159:F159)</f>
        <v>0</v>
      </c>
      <c r="G160" s="815">
        <f t="shared" si="25"/>
        <v>0</v>
      </c>
      <c r="H160" s="815">
        <f t="shared" si="25"/>
        <v>0</v>
      </c>
      <c r="I160" s="815">
        <f t="shared" si="25"/>
        <v>0</v>
      </c>
      <c r="J160" s="815">
        <f t="shared" si="25"/>
        <v>0</v>
      </c>
      <c r="K160" s="815">
        <f t="shared" si="25"/>
        <v>0</v>
      </c>
      <c r="L160" s="815">
        <f t="shared" si="25"/>
        <v>0</v>
      </c>
      <c r="M160" s="815">
        <f t="shared" si="25"/>
        <v>0</v>
      </c>
      <c r="N160" s="815">
        <f t="shared" ref="N160:V160" si="26">SUM(N159:N159)</f>
        <v>0</v>
      </c>
      <c r="O160" s="815">
        <f t="shared" si="26"/>
        <v>0</v>
      </c>
      <c r="P160" s="815">
        <f t="shared" si="26"/>
        <v>0</v>
      </c>
      <c r="Q160" s="815">
        <f t="shared" si="26"/>
        <v>0</v>
      </c>
      <c r="R160" s="815">
        <f t="shared" si="26"/>
        <v>0</v>
      </c>
      <c r="S160" s="815">
        <f t="shared" ref="S160:T160" si="27">SUM(S159:S159)</f>
        <v>0</v>
      </c>
      <c r="T160" s="815">
        <f t="shared" si="27"/>
        <v>0</v>
      </c>
      <c r="U160" s="850">
        <f t="shared" si="26"/>
        <v>0</v>
      </c>
      <c r="V160" s="851">
        <f t="shared" si="26"/>
        <v>0</v>
      </c>
    </row>
    <row r="161" s="1" customFormat="1" ht="13.8" spans="2:22">
      <c r="B161" s="816"/>
      <c r="D161" s="817"/>
      <c r="E161" s="732"/>
      <c r="F161" s="731"/>
      <c r="G161" s="732"/>
      <c r="H161" s="732"/>
      <c r="I161" s="732"/>
      <c r="J161" s="732"/>
      <c r="K161" s="732"/>
      <c r="L161" s="752"/>
      <c r="M161" s="752"/>
      <c r="N161" s="752"/>
      <c r="O161" s="732"/>
      <c r="P161" s="732"/>
      <c r="Q161" s="732"/>
      <c r="R161" s="732"/>
      <c r="S161" s="732"/>
      <c r="T161" s="732"/>
      <c r="U161" s="732"/>
      <c r="V161" s="790"/>
    </row>
    <row r="162" s="1" customFormat="1" ht="13.8" spans="2:22">
      <c r="B162" s="816"/>
      <c r="D162" s="817"/>
      <c r="E162" s="732"/>
      <c r="F162" s="731"/>
      <c r="G162" s="732"/>
      <c r="H162" s="732"/>
      <c r="I162" s="732"/>
      <c r="J162" s="732"/>
      <c r="K162" s="732"/>
      <c r="L162" s="752"/>
      <c r="M162" s="752"/>
      <c r="N162" s="752"/>
      <c r="O162" s="732"/>
      <c r="P162" s="732"/>
      <c r="Q162" s="732"/>
      <c r="R162" s="732"/>
      <c r="S162" s="732"/>
      <c r="T162" s="732"/>
      <c r="U162" s="732"/>
      <c r="V162" s="790"/>
    </row>
    <row r="163" s="1" customFormat="1" ht="13.8" spans="2:22">
      <c r="B163" s="816"/>
      <c r="D163" s="817"/>
      <c r="E163" s="732"/>
      <c r="F163" s="731"/>
      <c r="G163" s="732"/>
      <c r="H163" s="732"/>
      <c r="I163" s="732"/>
      <c r="J163" s="732"/>
      <c r="K163" s="732"/>
      <c r="L163" s="752"/>
      <c r="M163" s="752"/>
      <c r="N163" s="752"/>
      <c r="O163" s="732"/>
      <c r="P163" s="732"/>
      <c r="Q163" s="732"/>
      <c r="R163" s="732"/>
      <c r="S163" s="732"/>
      <c r="T163" s="732"/>
      <c r="U163" s="732"/>
      <c r="V163" s="790"/>
    </row>
    <row r="164" s="1" customFormat="1" ht="13.8" spans="1:22">
      <c r="A164" s="17" t="s">
        <v>0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225"/>
      <c r="L164" s="222"/>
      <c r="M164" s="222"/>
      <c r="N164" s="222"/>
      <c r="V164" s="778"/>
    </row>
    <row r="165" s="1" customFormat="1" ht="13.8" spans="1:22">
      <c r="A165" s="17" t="s">
        <v>91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V165" s="778"/>
    </row>
    <row r="166" s="1" customFormat="1" ht="13.8" spans="1:22">
      <c r="A166" s="17" t="s">
        <v>11</v>
      </c>
      <c r="B166" s="17"/>
      <c r="C166" s="17"/>
      <c r="D166" s="17"/>
      <c r="E166" s="17"/>
      <c r="F166" s="17"/>
      <c r="G166" s="17"/>
      <c r="H166" s="17"/>
      <c r="I166" s="17"/>
      <c r="J166" s="17"/>
      <c r="K166" s="225"/>
      <c r="L166" s="222"/>
      <c r="M166" s="222"/>
      <c r="N166" s="222"/>
      <c r="V166" s="778"/>
    </row>
    <row r="167" s="1" customFormat="1" ht="13.8" spans="1:22">
      <c r="A167" s="17" t="s">
        <v>2</v>
      </c>
      <c r="B167" s="17"/>
      <c r="C167" s="17"/>
      <c r="D167" s="17"/>
      <c r="E167" s="17"/>
      <c r="F167" s="17"/>
      <c r="G167" s="17"/>
      <c r="H167" s="17"/>
      <c r="I167" s="17"/>
      <c r="J167" s="17"/>
      <c r="K167" s="225"/>
      <c r="L167" s="222"/>
      <c r="M167" s="222"/>
      <c r="N167" s="222"/>
      <c r="V167" s="778"/>
    </row>
    <row r="168" s="1" customFormat="1" ht="14.55" spans="1:22">
      <c r="A168" s="17" t="s">
        <v>3</v>
      </c>
      <c r="B168" s="17"/>
      <c r="C168" s="17"/>
      <c r="D168" s="17"/>
      <c r="E168" s="17"/>
      <c r="F168" s="17"/>
      <c r="G168" s="17"/>
      <c r="H168" s="17"/>
      <c r="I168" s="17"/>
      <c r="J168" s="17"/>
      <c r="K168" s="225"/>
      <c r="L168" s="222"/>
      <c r="M168" s="222"/>
      <c r="N168" s="222"/>
      <c r="V168" s="829" t="s">
        <v>105</v>
      </c>
    </row>
    <row r="169" s="1" customFormat="1" ht="14.55" spans="1:22">
      <c r="A169" s="18"/>
      <c r="B169" s="19"/>
      <c r="C169" s="19"/>
      <c r="D169" s="23"/>
      <c r="E169" s="22" t="s">
        <v>5</v>
      </c>
      <c r="F169" s="23"/>
      <c r="G169" s="24" t="s">
        <v>6</v>
      </c>
      <c r="H169" s="165"/>
      <c r="I169" s="165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763"/>
    </row>
    <row r="170" s="1" customFormat="1" ht="13.8" spans="1:22">
      <c r="A170" s="25"/>
      <c r="B170" s="6"/>
      <c r="C170" s="6"/>
      <c r="D170" s="249"/>
      <c r="E170" s="28" t="s">
        <v>7</v>
      </c>
      <c r="F170" s="28" t="s">
        <v>8</v>
      </c>
      <c r="G170" s="29" t="s">
        <v>9</v>
      </c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778"/>
    </row>
    <row r="171" s="1" customFormat="1" ht="13.8" spans="1:22">
      <c r="A171" s="30" t="s">
        <v>10</v>
      </c>
      <c r="B171" s="31"/>
      <c r="C171" s="691"/>
      <c r="D171" s="28" t="s">
        <v>11</v>
      </c>
      <c r="E171" s="28" t="s">
        <v>12</v>
      </c>
      <c r="F171" s="28" t="s">
        <v>13</v>
      </c>
      <c r="H171" s="28"/>
      <c r="I171" s="27"/>
      <c r="J171" s="27" t="s">
        <v>14</v>
      </c>
      <c r="K171" s="168"/>
      <c r="L171" s="170"/>
      <c r="M171" s="169"/>
      <c r="N171" s="170"/>
      <c r="O171" s="28"/>
      <c r="P171" s="28"/>
      <c r="Q171" s="36"/>
      <c r="R171" s="167"/>
      <c r="S171" s="754"/>
      <c r="T171" s="754"/>
      <c r="U171" s="853"/>
      <c r="V171" s="834"/>
    </row>
    <row r="172" s="1" customFormat="1" ht="13.8" spans="1:22">
      <c r="A172" s="34"/>
      <c r="D172" s="28" t="s">
        <v>15</v>
      </c>
      <c r="E172" s="28" t="s">
        <v>16</v>
      </c>
      <c r="F172" s="28" t="s">
        <v>17</v>
      </c>
      <c r="G172" s="28" t="s">
        <v>18</v>
      </c>
      <c r="H172" s="28" t="s">
        <v>19</v>
      </c>
      <c r="I172" s="27" t="s">
        <v>20</v>
      </c>
      <c r="J172" s="733">
        <v>41334</v>
      </c>
      <c r="K172" s="169" t="s">
        <v>21</v>
      </c>
      <c r="L172" s="170" t="s">
        <v>22</v>
      </c>
      <c r="M172" s="734" t="s">
        <v>23</v>
      </c>
      <c r="N172" s="734" t="s">
        <v>24</v>
      </c>
      <c r="O172" s="734" t="s">
        <v>93</v>
      </c>
      <c r="P172" s="28" t="s">
        <v>26</v>
      </c>
      <c r="Q172" s="756" t="s">
        <v>27</v>
      </c>
      <c r="R172" s="757" t="s">
        <v>14</v>
      </c>
      <c r="S172" s="758" t="s">
        <v>28</v>
      </c>
      <c r="T172" s="758" t="s">
        <v>28</v>
      </c>
      <c r="U172" s="833" t="s">
        <v>29</v>
      </c>
      <c r="V172" s="834" t="s">
        <v>30</v>
      </c>
    </row>
    <row r="173" s="1" customFormat="1" ht="14.55" spans="1:22">
      <c r="A173" s="37"/>
      <c r="B173" s="38"/>
      <c r="C173" s="38"/>
      <c r="D173" s="230"/>
      <c r="E173" s="41" t="s">
        <v>31</v>
      </c>
      <c r="F173" s="42"/>
      <c r="G173" s="692"/>
      <c r="H173" s="42"/>
      <c r="I173" s="368"/>
      <c r="J173" s="1070" t="s">
        <v>32</v>
      </c>
      <c r="K173" s="42"/>
      <c r="L173" s="175"/>
      <c r="M173" s="174"/>
      <c r="N173" s="735"/>
      <c r="O173" s="692"/>
      <c r="P173" s="230"/>
      <c r="Q173" s="759"/>
      <c r="R173" s="835" t="s">
        <v>76</v>
      </c>
      <c r="S173" s="761"/>
      <c r="T173" s="761"/>
      <c r="U173" s="836"/>
      <c r="V173" s="837"/>
    </row>
    <row r="174" s="1" customFormat="1" ht="14.55" spans="1:22">
      <c r="A174" s="697"/>
      <c r="B174" s="803" t="s">
        <v>106</v>
      </c>
      <c r="C174" s="342"/>
      <c r="D174" s="716" t="s">
        <v>44</v>
      </c>
      <c r="E174" s="84">
        <v>10800</v>
      </c>
      <c r="F174" s="84">
        <f t="shared" ref="F174:F181" si="28">SUM(G174:U174)</f>
        <v>0</v>
      </c>
      <c r="G174" s="84"/>
      <c r="H174" s="84"/>
      <c r="I174" s="82"/>
      <c r="J174" s="785"/>
      <c r="K174" s="786"/>
      <c r="L174" s="201"/>
      <c r="M174" s="201"/>
      <c r="N174" s="201"/>
      <c r="O174" s="84"/>
      <c r="P174" s="84"/>
      <c r="Q174" s="785"/>
      <c r="R174" s="84"/>
      <c r="S174" s="84"/>
      <c r="T174" s="84"/>
      <c r="U174" s="786"/>
      <c r="V174" s="790">
        <f t="shared" ref="V174:V176" si="29">E174-F174</f>
        <v>10800</v>
      </c>
    </row>
    <row r="175" s="1" customFormat="1" ht="13.8" spans="1:22">
      <c r="A175" s="697"/>
      <c r="B175" s="803"/>
      <c r="C175" s="342"/>
      <c r="D175" s="716" t="s">
        <v>61</v>
      </c>
      <c r="E175" s="84">
        <v>7200</v>
      </c>
      <c r="F175" s="84">
        <f t="shared" si="28"/>
        <v>0</v>
      </c>
      <c r="G175" s="84"/>
      <c r="H175" s="84"/>
      <c r="I175" s="82"/>
      <c r="J175" s="785"/>
      <c r="K175" s="786"/>
      <c r="L175" s="201"/>
      <c r="M175" s="201"/>
      <c r="N175" s="201"/>
      <c r="O175" s="84"/>
      <c r="P175" s="84"/>
      <c r="Q175" s="785"/>
      <c r="R175" s="84"/>
      <c r="S175" s="84"/>
      <c r="T175" s="84"/>
      <c r="U175" s="786"/>
      <c r="V175" s="787">
        <f t="shared" si="29"/>
        <v>7200</v>
      </c>
    </row>
    <row r="176" s="1" customFormat="1" ht="13.8" spans="1:22">
      <c r="A176" s="697"/>
      <c r="B176" s="803"/>
      <c r="C176" s="342"/>
      <c r="D176" s="716" t="s">
        <v>107</v>
      </c>
      <c r="E176" s="84"/>
      <c r="F176" s="84">
        <f t="shared" si="28"/>
        <v>0</v>
      </c>
      <c r="G176" s="84"/>
      <c r="H176" s="84"/>
      <c r="I176" s="82"/>
      <c r="J176" s="785"/>
      <c r="K176" s="786"/>
      <c r="L176" s="201"/>
      <c r="M176" s="201"/>
      <c r="N176" s="201"/>
      <c r="O176" s="84"/>
      <c r="P176" s="84"/>
      <c r="Q176" s="785"/>
      <c r="R176" s="84"/>
      <c r="S176" s="84"/>
      <c r="T176" s="84"/>
      <c r="U176" s="786"/>
      <c r="V176" s="790">
        <f t="shared" si="29"/>
        <v>0</v>
      </c>
    </row>
    <row r="177" s="1" customFormat="1" ht="13.8" spans="1:22">
      <c r="A177" s="697"/>
      <c r="B177" s="803"/>
      <c r="C177" s="342"/>
      <c r="D177" s="716" t="s">
        <v>108</v>
      </c>
      <c r="E177" s="84"/>
      <c r="F177" s="84">
        <f t="shared" si="28"/>
        <v>0</v>
      </c>
      <c r="G177" s="84"/>
      <c r="H177" s="84"/>
      <c r="I177" s="82"/>
      <c r="J177" s="785"/>
      <c r="K177" s="786"/>
      <c r="L177" s="201"/>
      <c r="M177" s="201"/>
      <c r="N177" s="201"/>
      <c r="O177" s="84"/>
      <c r="P177" s="84"/>
      <c r="Q177" s="785"/>
      <c r="R177" s="84"/>
      <c r="S177" s="84"/>
      <c r="T177" s="84"/>
      <c r="U177" s="786"/>
      <c r="V177" s="787">
        <f t="shared" ref="V177:V181" si="30">E177-F177</f>
        <v>0</v>
      </c>
    </row>
    <row r="178" s="1" customFormat="1" ht="13.8" spans="1:22">
      <c r="A178" s="697"/>
      <c r="B178" s="803"/>
      <c r="C178" s="342"/>
      <c r="D178" s="716" t="s">
        <v>69</v>
      </c>
      <c r="E178" s="84">
        <v>21600</v>
      </c>
      <c r="F178" s="84">
        <f t="shared" si="28"/>
        <v>21600</v>
      </c>
      <c r="G178" s="84"/>
      <c r="H178" s="84"/>
      <c r="I178" s="82"/>
      <c r="J178" s="785">
        <v>21600</v>
      </c>
      <c r="K178" s="786"/>
      <c r="L178" s="201"/>
      <c r="M178" s="201"/>
      <c r="N178" s="201"/>
      <c r="O178" s="84"/>
      <c r="P178" s="84"/>
      <c r="Q178" s="785"/>
      <c r="R178" s="84"/>
      <c r="S178" s="84"/>
      <c r="T178" s="84"/>
      <c r="U178" s="786"/>
      <c r="V178" s="787">
        <f t="shared" si="30"/>
        <v>0</v>
      </c>
    </row>
    <row r="179" s="1" customFormat="1" ht="13.8" spans="1:22">
      <c r="A179" s="697"/>
      <c r="B179" s="803"/>
      <c r="C179" s="342"/>
      <c r="D179" s="716" t="s">
        <v>68</v>
      </c>
      <c r="E179" s="84"/>
      <c r="F179" s="84">
        <f t="shared" si="28"/>
        <v>0</v>
      </c>
      <c r="G179" s="84"/>
      <c r="H179" s="84"/>
      <c r="I179" s="82"/>
      <c r="J179" s="785"/>
      <c r="K179" s="786"/>
      <c r="L179" s="201"/>
      <c r="M179" s="201"/>
      <c r="N179" s="201"/>
      <c r="O179" s="84"/>
      <c r="P179" s="84"/>
      <c r="Q179" s="785"/>
      <c r="R179" s="84"/>
      <c r="S179" s="84"/>
      <c r="T179" s="84"/>
      <c r="U179" s="786"/>
      <c r="V179" s="790">
        <f t="shared" si="30"/>
        <v>0</v>
      </c>
    </row>
    <row r="180" s="1" customFormat="1" ht="13.8" spans="1:22">
      <c r="A180" s="697"/>
      <c r="B180" s="803"/>
      <c r="C180" s="342"/>
      <c r="D180" s="716" t="s">
        <v>37</v>
      </c>
      <c r="E180" s="84"/>
      <c r="F180" s="84">
        <f t="shared" si="28"/>
        <v>0</v>
      </c>
      <c r="G180" s="84"/>
      <c r="H180" s="84"/>
      <c r="I180" s="82"/>
      <c r="J180" s="785"/>
      <c r="K180" s="786"/>
      <c r="L180" s="201"/>
      <c r="M180" s="201"/>
      <c r="N180" s="201"/>
      <c r="O180" s="84"/>
      <c r="P180" s="84"/>
      <c r="Q180" s="785"/>
      <c r="R180" s="84"/>
      <c r="S180" s="84"/>
      <c r="T180" s="84"/>
      <c r="U180" s="786"/>
      <c r="V180" s="866">
        <f t="shared" si="30"/>
        <v>0</v>
      </c>
    </row>
    <row r="181" s="1" customFormat="1" ht="13.8" spans="1:22">
      <c r="A181" s="697"/>
      <c r="B181" s="803"/>
      <c r="C181" s="342"/>
      <c r="D181" s="716" t="s">
        <v>109</v>
      </c>
      <c r="E181" s="84">
        <v>10800</v>
      </c>
      <c r="F181" s="84">
        <f t="shared" si="28"/>
        <v>10800</v>
      </c>
      <c r="G181" s="84"/>
      <c r="H181" s="84"/>
      <c r="I181" s="82"/>
      <c r="J181" s="785">
        <v>10800</v>
      </c>
      <c r="K181" s="786"/>
      <c r="L181" s="201"/>
      <c r="M181" s="201"/>
      <c r="N181" s="201"/>
      <c r="O181" s="84"/>
      <c r="P181" s="84"/>
      <c r="Q181" s="785"/>
      <c r="R181" s="84"/>
      <c r="S181" s="84"/>
      <c r="T181" s="84"/>
      <c r="U181" s="786"/>
      <c r="V181" s="787">
        <f t="shared" si="30"/>
        <v>0</v>
      </c>
    </row>
    <row r="182" s="1" customFormat="1" ht="13.8" spans="1:25">
      <c r="A182" s="697"/>
      <c r="B182" s="803"/>
      <c r="C182" s="342"/>
      <c r="D182" s="716"/>
      <c r="E182" s="804">
        <f>SUM(E174:E181)</f>
        <v>50400</v>
      </c>
      <c r="F182" s="804">
        <f>SUM(F174:F181)</f>
        <v>32400</v>
      </c>
      <c r="G182" s="804">
        <f t="shared" ref="G182:V182" si="31">SUM(G174:G181)</f>
        <v>0</v>
      </c>
      <c r="H182" s="804">
        <f t="shared" si="31"/>
        <v>0</v>
      </c>
      <c r="I182" s="804">
        <f t="shared" si="31"/>
        <v>0</v>
      </c>
      <c r="J182" s="804">
        <f t="shared" si="31"/>
        <v>32400</v>
      </c>
      <c r="K182" s="804">
        <f t="shared" si="31"/>
        <v>0</v>
      </c>
      <c r="L182" s="804">
        <f t="shared" si="31"/>
        <v>0</v>
      </c>
      <c r="M182" s="804">
        <f t="shared" si="31"/>
        <v>0</v>
      </c>
      <c r="N182" s="804">
        <f t="shared" si="31"/>
        <v>0</v>
      </c>
      <c r="O182" s="804">
        <f t="shared" si="31"/>
        <v>0</v>
      </c>
      <c r="P182" s="804">
        <f t="shared" si="31"/>
        <v>0</v>
      </c>
      <c r="Q182" s="804">
        <f t="shared" si="31"/>
        <v>0</v>
      </c>
      <c r="R182" s="804">
        <f t="shared" si="31"/>
        <v>0</v>
      </c>
      <c r="S182" s="804">
        <f t="shared" si="31"/>
        <v>0</v>
      </c>
      <c r="T182" s="804">
        <f t="shared" si="31"/>
        <v>0</v>
      </c>
      <c r="U182" s="842">
        <f t="shared" si="31"/>
        <v>0</v>
      </c>
      <c r="V182" s="843">
        <f t="shared" si="31"/>
        <v>18000</v>
      </c>
      <c r="X182" s="792"/>
      <c r="Y182" s="792"/>
    </row>
    <row r="183" s="1" customFormat="1" ht="13.8" spans="1:22">
      <c r="A183" s="697"/>
      <c r="B183" s="803"/>
      <c r="C183" s="342"/>
      <c r="D183" s="716"/>
      <c r="E183" s="809"/>
      <c r="F183" s="809"/>
      <c r="G183" s="809"/>
      <c r="H183" s="809"/>
      <c r="I183" s="826"/>
      <c r="J183" s="827"/>
      <c r="K183" s="828"/>
      <c r="L183" s="809"/>
      <c r="M183" s="809"/>
      <c r="N183" s="809"/>
      <c r="O183" s="809"/>
      <c r="P183" s="809"/>
      <c r="Q183" s="827"/>
      <c r="R183" s="809"/>
      <c r="S183" s="809"/>
      <c r="T183" s="809"/>
      <c r="U183" s="828"/>
      <c r="V183" s="849"/>
    </row>
    <row r="184" s="1" customFormat="1" ht="13.8" spans="1:22">
      <c r="A184" s="697"/>
      <c r="B184" s="803" t="s">
        <v>110</v>
      </c>
      <c r="C184" s="342"/>
      <c r="D184" s="716" t="s">
        <v>42</v>
      </c>
      <c r="E184" s="84"/>
      <c r="F184" s="107">
        <f t="shared" ref="F184:F192" si="32">SUM(G184:U184)</f>
        <v>0</v>
      </c>
      <c r="G184" s="84"/>
      <c r="H184" s="84"/>
      <c r="I184" s="82"/>
      <c r="J184" s="785"/>
      <c r="K184" s="786"/>
      <c r="L184" s="201"/>
      <c r="M184" s="201"/>
      <c r="N184" s="201"/>
      <c r="O184" s="84"/>
      <c r="P184" s="84"/>
      <c r="Q184" s="785"/>
      <c r="R184" s="84"/>
      <c r="S184" s="84"/>
      <c r="T184" s="84"/>
      <c r="U184" s="786"/>
      <c r="V184" s="787">
        <f t="shared" ref="V184:V192" si="33">E184-F184</f>
        <v>0</v>
      </c>
    </row>
    <row r="185" s="1" customFormat="1" ht="13.8" spans="1:22">
      <c r="A185" s="697"/>
      <c r="B185" s="803"/>
      <c r="C185" s="342"/>
      <c r="D185" s="716" t="s">
        <v>111</v>
      </c>
      <c r="E185" s="84">
        <v>584000</v>
      </c>
      <c r="F185" s="107">
        <f t="shared" si="32"/>
        <v>603200</v>
      </c>
      <c r="G185" s="84"/>
      <c r="H185" s="84"/>
      <c r="I185" s="82"/>
      <c r="J185" s="785">
        <v>584000</v>
      </c>
      <c r="K185" s="786"/>
      <c r="L185" s="201"/>
      <c r="M185" s="201">
        <v>19200</v>
      </c>
      <c r="N185" s="201"/>
      <c r="O185" s="84"/>
      <c r="P185" s="84"/>
      <c r="Q185" s="785"/>
      <c r="R185" s="84"/>
      <c r="S185" s="84"/>
      <c r="T185" s="84"/>
      <c r="U185" s="786"/>
      <c r="V185" s="787">
        <f t="shared" si="33"/>
        <v>-19200</v>
      </c>
    </row>
    <row r="186" s="3" customFormat="1" ht="13.8" spans="1:22">
      <c r="A186" s="695"/>
      <c r="B186" s="802"/>
      <c r="C186" s="317"/>
      <c r="D186" s="714" t="s">
        <v>63</v>
      </c>
      <c r="E186" s="89"/>
      <c r="F186" s="107">
        <f t="shared" si="32"/>
        <v>0</v>
      </c>
      <c r="G186" s="89"/>
      <c r="H186" s="89"/>
      <c r="I186" s="88"/>
      <c r="J186" s="376"/>
      <c r="K186" s="300"/>
      <c r="L186" s="822"/>
      <c r="M186" s="822">
        <v>0</v>
      </c>
      <c r="N186" s="822"/>
      <c r="O186" s="89"/>
      <c r="P186" s="89"/>
      <c r="Q186" s="376"/>
      <c r="R186" s="89">
        <v>0</v>
      </c>
      <c r="S186" s="89"/>
      <c r="T186" s="89"/>
      <c r="U186" s="300"/>
      <c r="V186" s="787">
        <f t="shared" si="33"/>
        <v>0</v>
      </c>
    </row>
    <row r="187" s="3" customFormat="1" ht="13.8" spans="1:22">
      <c r="A187" s="695"/>
      <c r="B187" s="802"/>
      <c r="C187" s="317"/>
      <c r="D187" s="714"/>
      <c r="E187" s="860">
        <f>SUM(E184:E186)</f>
        <v>584000</v>
      </c>
      <c r="F187" s="860">
        <f t="shared" ref="F187:V187" si="34">SUM(F184:F186)</f>
        <v>603200</v>
      </c>
      <c r="G187" s="860">
        <f t="shared" si="34"/>
        <v>0</v>
      </c>
      <c r="H187" s="860">
        <f t="shared" si="34"/>
        <v>0</v>
      </c>
      <c r="I187" s="860">
        <f t="shared" si="34"/>
        <v>0</v>
      </c>
      <c r="J187" s="860">
        <f t="shared" si="34"/>
        <v>584000</v>
      </c>
      <c r="K187" s="860">
        <f t="shared" si="34"/>
        <v>0</v>
      </c>
      <c r="L187" s="860">
        <f t="shared" si="34"/>
        <v>0</v>
      </c>
      <c r="M187" s="860">
        <f t="shared" si="34"/>
        <v>19200</v>
      </c>
      <c r="N187" s="860">
        <f t="shared" si="34"/>
        <v>0</v>
      </c>
      <c r="O187" s="860">
        <f t="shared" si="34"/>
        <v>0</v>
      </c>
      <c r="P187" s="860">
        <f t="shared" si="34"/>
        <v>0</v>
      </c>
      <c r="Q187" s="860">
        <f t="shared" si="34"/>
        <v>0</v>
      </c>
      <c r="R187" s="860">
        <f t="shared" si="34"/>
        <v>0</v>
      </c>
      <c r="S187" s="860">
        <f t="shared" si="34"/>
        <v>0</v>
      </c>
      <c r="T187" s="860">
        <f t="shared" si="34"/>
        <v>0</v>
      </c>
      <c r="U187" s="867">
        <f t="shared" si="34"/>
        <v>0</v>
      </c>
      <c r="V187" s="868">
        <f t="shared" si="34"/>
        <v>-19200</v>
      </c>
    </row>
    <row r="188" s="3" customFormat="1" ht="13.8" spans="1:22">
      <c r="A188" s="695"/>
      <c r="B188" s="802"/>
      <c r="C188" s="317"/>
      <c r="D188" s="714"/>
      <c r="E188" s="89"/>
      <c r="F188" s="89"/>
      <c r="G188" s="89"/>
      <c r="H188" s="89"/>
      <c r="I188" s="88"/>
      <c r="J188" s="376"/>
      <c r="K188" s="300"/>
      <c r="L188" s="89"/>
      <c r="M188" s="89"/>
      <c r="N188" s="89"/>
      <c r="O188" s="89"/>
      <c r="P188" s="89"/>
      <c r="Q188" s="376"/>
      <c r="R188" s="89"/>
      <c r="S188" s="89"/>
      <c r="T188" s="89"/>
      <c r="U188" s="300"/>
      <c r="V188" s="787">
        <f t="shared" si="33"/>
        <v>0</v>
      </c>
    </row>
    <row r="189" s="3" customFormat="1" ht="13.8" spans="1:22">
      <c r="A189" s="695"/>
      <c r="B189" s="802" t="s">
        <v>112</v>
      </c>
      <c r="C189" s="317"/>
      <c r="D189" s="714" t="s">
        <v>37</v>
      </c>
      <c r="E189" s="89">
        <f>400000+1000000</f>
        <v>1400000</v>
      </c>
      <c r="F189" s="107">
        <f t="shared" si="32"/>
        <v>0</v>
      </c>
      <c r="G189" s="89"/>
      <c r="H189" s="89"/>
      <c r="I189" s="88"/>
      <c r="J189" s="376"/>
      <c r="K189" s="300"/>
      <c r="L189" s="822"/>
      <c r="M189" s="822"/>
      <c r="N189" s="822"/>
      <c r="O189" s="89"/>
      <c r="P189" s="89"/>
      <c r="Q189" s="376"/>
      <c r="R189" s="89"/>
      <c r="S189" s="89"/>
      <c r="T189" s="89"/>
      <c r="U189" s="300"/>
      <c r="V189" s="787">
        <f t="shared" si="33"/>
        <v>1400000</v>
      </c>
    </row>
    <row r="190" s="3" customFormat="1" ht="13.8" spans="1:22">
      <c r="A190" s="695"/>
      <c r="B190" s="802"/>
      <c r="C190" s="317"/>
      <c r="D190" s="714" t="s">
        <v>39</v>
      </c>
      <c r="E190" s="89">
        <v>1000000</v>
      </c>
      <c r="F190" s="107">
        <f t="shared" si="32"/>
        <v>383221.48</v>
      </c>
      <c r="G190" s="89"/>
      <c r="H190" s="89"/>
      <c r="I190" s="88"/>
      <c r="J190" s="376">
        <v>383221.48</v>
      </c>
      <c r="K190" s="300"/>
      <c r="L190" s="822"/>
      <c r="M190" s="822"/>
      <c r="N190" s="822"/>
      <c r="O190" s="89"/>
      <c r="P190" s="89"/>
      <c r="Q190" s="376"/>
      <c r="R190" s="89"/>
      <c r="S190" s="89"/>
      <c r="T190" s="89"/>
      <c r="U190" s="300"/>
      <c r="V190" s="787">
        <f t="shared" si="33"/>
        <v>616778.52</v>
      </c>
    </row>
    <row r="191" s="3" customFormat="1" ht="13.8" spans="1:22">
      <c r="A191" s="695"/>
      <c r="B191" s="802"/>
      <c r="C191" s="317"/>
      <c r="D191" s="714" t="s">
        <v>111</v>
      </c>
      <c r="E191" s="89">
        <v>310600</v>
      </c>
      <c r="F191" s="107">
        <f t="shared" si="32"/>
        <v>3244.3</v>
      </c>
      <c r="G191" s="89">
        <v>600</v>
      </c>
      <c r="H191" s="89"/>
      <c r="I191" s="88"/>
      <c r="J191" s="376">
        <v>2644.3</v>
      </c>
      <c r="K191" s="300"/>
      <c r="L191" s="822"/>
      <c r="M191" s="822"/>
      <c r="N191" s="822"/>
      <c r="O191" s="89"/>
      <c r="P191" s="89"/>
      <c r="Q191" s="376"/>
      <c r="R191" s="89"/>
      <c r="S191" s="89"/>
      <c r="T191" s="89"/>
      <c r="U191" s="300"/>
      <c r="V191" s="787">
        <f t="shared" si="33"/>
        <v>307355.7</v>
      </c>
    </row>
    <row r="192" s="3" customFormat="1" ht="13.8" spans="1:22">
      <c r="A192" s="695"/>
      <c r="B192" s="802"/>
      <c r="C192" s="317"/>
      <c r="D192" s="714" t="s">
        <v>113</v>
      </c>
      <c r="E192" s="89">
        <v>387569.98</v>
      </c>
      <c r="F192" s="107">
        <f t="shared" si="32"/>
        <v>100000</v>
      </c>
      <c r="G192" s="89"/>
      <c r="H192" s="89"/>
      <c r="I192" s="88"/>
      <c r="J192" s="376">
        <v>100000</v>
      </c>
      <c r="K192" s="300"/>
      <c r="L192" s="822"/>
      <c r="M192" s="822"/>
      <c r="N192" s="822"/>
      <c r="O192" s="89"/>
      <c r="P192" s="89"/>
      <c r="Q192" s="376"/>
      <c r="R192" s="89"/>
      <c r="S192" s="89"/>
      <c r="T192" s="89"/>
      <c r="U192" s="300"/>
      <c r="V192" s="787">
        <f t="shared" si="33"/>
        <v>287569.98</v>
      </c>
    </row>
    <row r="193" s="1" customFormat="1" ht="13.8" spans="1:25">
      <c r="A193" s="697"/>
      <c r="B193" s="803"/>
      <c r="C193" s="342"/>
      <c r="D193" s="716"/>
      <c r="E193" s="804">
        <f>SUM(E189:E192)</f>
        <v>3098169.98</v>
      </c>
      <c r="F193" s="804">
        <f>SUM(F189:F192)</f>
        <v>486465.78</v>
      </c>
      <c r="G193" s="804">
        <f t="shared" ref="G193:U193" si="35">SUM(G184:G186)</f>
        <v>0</v>
      </c>
      <c r="H193" s="804">
        <f t="shared" si="35"/>
        <v>0</v>
      </c>
      <c r="I193" s="804">
        <f t="shared" si="35"/>
        <v>0</v>
      </c>
      <c r="J193" s="804">
        <f t="shared" si="35"/>
        <v>584000</v>
      </c>
      <c r="K193" s="804">
        <f t="shared" si="35"/>
        <v>0</v>
      </c>
      <c r="L193" s="804">
        <f t="shared" si="35"/>
        <v>0</v>
      </c>
      <c r="M193" s="804">
        <f t="shared" si="35"/>
        <v>19200</v>
      </c>
      <c r="N193" s="804">
        <f t="shared" si="35"/>
        <v>0</v>
      </c>
      <c r="O193" s="804">
        <f t="shared" si="35"/>
        <v>0</v>
      </c>
      <c r="P193" s="804">
        <f t="shared" si="35"/>
        <v>0</v>
      </c>
      <c r="Q193" s="804">
        <f t="shared" si="35"/>
        <v>0</v>
      </c>
      <c r="R193" s="841">
        <f t="shared" si="35"/>
        <v>0</v>
      </c>
      <c r="S193" s="841">
        <f t="shared" si="35"/>
        <v>0</v>
      </c>
      <c r="T193" s="841">
        <f t="shared" si="35"/>
        <v>0</v>
      </c>
      <c r="U193" s="906">
        <f t="shared" si="35"/>
        <v>0</v>
      </c>
      <c r="V193" s="907">
        <f>SUM(V188:V192)</f>
        <v>2611704.2</v>
      </c>
      <c r="X193" s="792"/>
      <c r="Y193" s="792"/>
    </row>
    <row r="194" s="1" customFormat="1" ht="13.8" spans="1:25">
      <c r="A194" s="697"/>
      <c r="B194" s="803"/>
      <c r="C194" s="342"/>
      <c r="D194" s="716"/>
      <c r="E194" s="804"/>
      <c r="F194" s="804"/>
      <c r="G194" s="804"/>
      <c r="H194" s="804"/>
      <c r="I194" s="881"/>
      <c r="J194" s="882"/>
      <c r="K194" s="842"/>
      <c r="L194" s="804"/>
      <c r="M194" s="804"/>
      <c r="N194" s="804"/>
      <c r="O194" s="804"/>
      <c r="P194" s="804"/>
      <c r="Q194" s="882"/>
      <c r="R194" s="841"/>
      <c r="S194" s="841"/>
      <c r="T194" s="841"/>
      <c r="U194" s="906"/>
      <c r="V194" s="843"/>
      <c r="X194" s="792"/>
      <c r="Y194" s="792"/>
    </row>
    <row r="195" s="3" customFormat="1" ht="13.8" spans="1:25">
      <c r="A195" s="695"/>
      <c r="B195" s="802" t="s">
        <v>114</v>
      </c>
      <c r="C195" s="317"/>
      <c r="D195" s="714" t="s">
        <v>37</v>
      </c>
      <c r="E195" s="861">
        <v>200000</v>
      </c>
      <c r="F195" s="809">
        <f>SUM(G195:U195)</f>
        <v>0</v>
      </c>
      <c r="G195" s="809"/>
      <c r="H195" s="809"/>
      <c r="I195" s="826"/>
      <c r="J195" s="827"/>
      <c r="K195" s="828"/>
      <c r="L195" s="809"/>
      <c r="M195" s="809"/>
      <c r="N195" s="809"/>
      <c r="O195" s="809"/>
      <c r="P195" s="809"/>
      <c r="Q195" s="827"/>
      <c r="R195" s="908"/>
      <c r="S195" s="908"/>
      <c r="T195" s="908"/>
      <c r="U195" s="909"/>
      <c r="V195" s="787">
        <f t="shared" ref="V195:V202" si="36">E195-F195</f>
        <v>200000</v>
      </c>
      <c r="X195" s="848"/>
      <c r="Y195" s="848"/>
    </row>
    <row r="196" s="3" customFormat="1" ht="13.8" spans="1:25">
      <c r="A196" s="695"/>
      <c r="B196" s="802"/>
      <c r="C196" s="317"/>
      <c r="D196" s="714"/>
      <c r="E196" s="809"/>
      <c r="F196" s="809"/>
      <c r="G196" s="809"/>
      <c r="H196" s="809"/>
      <c r="I196" s="826"/>
      <c r="J196" s="827"/>
      <c r="K196" s="828"/>
      <c r="L196" s="809"/>
      <c r="M196" s="809"/>
      <c r="N196" s="809"/>
      <c r="O196" s="809"/>
      <c r="P196" s="809"/>
      <c r="Q196" s="827"/>
      <c r="R196" s="908"/>
      <c r="S196" s="908"/>
      <c r="T196" s="908"/>
      <c r="U196" s="909"/>
      <c r="V196" s="787">
        <f t="shared" si="36"/>
        <v>0</v>
      </c>
      <c r="X196" s="848"/>
      <c r="Y196" s="848"/>
    </row>
    <row r="197" s="3" customFormat="1" ht="13.8" spans="1:25">
      <c r="A197" s="695"/>
      <c r="B197" s="802" t="s">
        <v>115</v>
      </c>
      <c r="C197" s="317"/>
      <c r="D197" s="714" t="s">
        <v>37</v>
      </c>
      <c r="E197" s="861">
        <v>21850</v>
      </c>
      <c r="F197" s="809">
        <f>SUM(G197:U197)</f>
        <v>0</v>
      </c>
      <c r="G197" s="809"/>
      <c r="H197" s="809"/>
      <c r="I197" s="826"/>
      <c r="J197" s="827"/>
      <c r="K197" s="828"/>
      <c r="L197" s="809"/>
      <c r="M197" s="809"/>
      <c r="N197" s="809"/>
      <c r="O197" s="809"/>
      <c r="P197" s="809"/>
      <c r="Q197" s="827"/>
      <c r="R197" s="908"/>
      <c r="S197" s="908"/>
      <c r="T197" s="908"/>
      <c r="U197" s="909"/>
      <c r="V197" s="787">
        <f t="shared" si="36"/>
        <v>21850</v>
      </c>
      <c r="X197" s="848"/>
      <c r="Y197" s="848"/>
    </row>
    <row r="198" s="3" customFormat="1" ht="13.8" spans="1:25">
      <c r="A198" s="695"/>
      <c r="B198" s="802"/>
      <c r="C198" s="317"/>
      <c r="D198" s="714"/>
      <c r="E198" s="809"/>
      <c r="F198" s="809"/>
      <c r="G198" s="809"/>
      <c r="H198" s="809"/>
      <c r="I198" s="826"/>
      <c r="J198" s="827"/>
      <c r="K198" s="828"/>
      <c r="L198" s="809"/>
      <c r="M198" s="809"/>
      <c r="N198" s="809"/>
      <c r="O198" s="809"/>
      <c r="P198" s="809"/>
      <c r="Q198" s="827"/>
      <c r="R198" s="908"/>
      <c r="S198" s="908"/>
      <c r="T198" s="908"/>
      <c r="U198" s="909"/>
      <c r="V198" s="787">
        <f t="shared" si="36"/>
        <v>0</v>
      </c>
      <c r="X198" s="848"/>
      <c r="Y198" s="848"/>
    </row>
    <row r="199" s="1" customFormat="1" ht="13.8" spans="1:22">
      <c r="A199" s="697"/>
      <c r="B199" s="803"/>
      <c r="C199" s="342"/>
      <c r="D199" s="716"/>
      <c r="E199" s="84"/>
      <c r="F199" s="107"/>
      <c r="G199" s="84"/>
      <c r="H199" s="84"/>
      <c r="I199" s="82"/>
      <c r="J199" s="785"/>
      <c r="K199" s="786"/>
      <c r="L199" s="201"/>
      <c r="M199" s="201"/>
      <c r="N199" s="201"/>
      <c r="O199" s="84"/>
      <c r="P199" s="84"/>
      <c r="Q199" s="785"/>
      <c r="R199" s="84"/>
      <c r="S199" s="84"/>
      <c r="T199" s="84"/>
      <c r="U199" s="786"/>
      <c r="V199" s="787">
        <f t="shared" si="36"/>
        <v>0</v>
      </c>
    </row>
    <row r="200" s="1" customFormat="1" ht="13.8" spans="1:22">
      <c r="A200" s="697"/>
      <c r="B200" s="869" t="s">
        <v>116</v>
      </c>
      <c r="C200" s="342"/>
      <c r="D200" s="716" t="s">
        <v>63</v>
      </c>
      <c r="E200" s="84"/>
      <c r="F200" s="107">
        <f>SUM(G200:U200)</f>
        <v>0</v>
      </c>
      <c r="G200" s="84"/>
      <c r="H200" s="84"/>
      <c r="I200" s="82"/>
      <c r="J200" s="785"/>
      <c r="K200" s="786"/>
      <c r="L200" s="201"/>
      <c r="M200" s="201"/>
      <c r="N200" s="201"/>
      <c r="O200" s="84"/>
      <c r="P200" s="84"/>
      <c r="Q200" s="785"/>
      <c r="R200" s="84"/>
      <c r="S200" s="84"/>
      <c r="T200" s="84"/>
      <c r="U200" s="786"/>
      <c r="V200" s="787">
        <f t="shared" si="36"/>
        <v>0</v>
      </c>
    </row>
    <row r="201" s="3" customFormat="1" ht="13.8" spans="1:22">
      <c r="A201" s="695"/>
      <c r="B201" s="802"/>
      <c r="C201" s="317"/>
      <c r="D201" s="714" t="s">
        <v>37</v>
      </c>
      <c r="E201" s="89">
        <v>300000</v>
      </c>
      <c r="F201" s="60">
        <f>SUM(G201:U201)</f>
        <v>0</v>
      </c>
      <c r="G201" s="89"/>
      <c r="H201" s="89"/>
      <c r="I201" s="88"/>
      <c r="J201" s="376"/>
      <c r="K201" s="300"/>
      <c r="L201" s="822"/>
      <c r="M201" s="822"/>
      <c r="N201" s="822"/>
      <c r="O201" s="89"/>
      <c r="P201" s="89"/>
      <c r="Q201" s="376"/>
      <c r="R201" s="89"/>
      <c r="S201" s="89"/>
      <c r="T201" s="89"/>
      <c r="U201" s="300"/>
      <c r="V201" s="779">
        <f t="shared" si="36"/>
        <v>300000</v>
      </c>
    </row>
    <row r="202" s="3" customFormat="1" ht="13.8" spans="1:22">
      <c r="A202" s="695"/>
      <c r="B202" s="802"/>
      <c r="C202" s="317"/>
      <c r="D202" s="714" t="s">
        <v>46</v>
      </c>
      <c r="E202" s="89">
        <v>100000</v>
      </c>
      <c r="F202" s="60">
        <f>SUM(G202:U202)</f>
        <v>0</v>
      </c>
      <c r="G202" s="89"/>
      <c r="H202" s="89"/>
      <c r="I202" s="88"/>
      <c r="J202" s="376"/>
      <c r="K202" s="300"/>
      <c r="L202" s="822"/>
      <c r="M202" s="822"/>
      <c r="N202" s="822"/>
      <c r="O202" s="89"/>
      <c r="P202" s="89"/>
      <c r="Q202" s="376"/>
      <c r="R202" s="89"/>
      <c r="S202" s="89"/>
      <c r="T202" s="89"/>
      <c r="U202" s="300"/>
      <c r="V202" s="779">
        <f t="shared" si="36"/>
        <v>100000</v>
      </c>
    </row>
    <row r="203" s="1" customFormat="1" ht="13.8" spans="1:22">
      <c r="A203" s="697"/>
      <c r="B203" s="803"/>
      <c r="C203" s="342"/>
      <c r="D203" s="716"/>
      <c r="E203" s="804">
        <f>SUM(E200:E202)</f>
        <v>400000</v>
      </c>
      <c r="F203" s="804">
        <f>SUM(F200:F202)</f>
        <v>0</v>
      </c>
      <c r="G203" s="804">
        <f>SUM(G201:G202)</f>
        <v>0</v>
      </c>
      <c r="H203" s="804">
        <f>SUM(H202:H202)</f>
        <v>0</v>
      </c>
      <c r="I203" s="804">
        <f>SUM(I201)</f>
        <v>0</v>
      </c>
      <c r="J203" s="804">
        <f>SUM(J201)</f>
        <v>0</v>
      </c>
      <c r="K203" s="804">
        <f>SUM(K201)</f>
        <v>0</v>
      </c>
      <c r="L203" s="804">
        <f>SUM(L201)</f>
        <v>0</v>
      </c>
      <c r="M203" s="804">
        <f t="shared" ref="M203:U203" si="37">SUM(M200:M202)</f>
        <v>0</v>
      </c>
      <c r="N203" s="804">
        <f t="shared" si="37"/>
        <v>0</v>
      </c>
      <c r="O203" s="804">
        <f t="shared" si="37"/>
        <v>0</v>
      </c>
      <c r="P203" s="804">
        <f t="shared" si="37"/>
        <v>0</v>
      </c>
      <c r="Q203" s="804">
        <f t="shared" si="37"/>
        <v>0</v>
      </c>
      <c r="R203" s="804">
        <f t="shared" si="37"/>
        <v>0</v>
      </c>
      <c r="S203" s="804">
        <f t="shared" ref="S203:T203" si="38">SUM(S200:S202)</f>
        <v>0</v>
      </c>
      <c r="T203" s="804">
        <f t="shared" si="38"/>
        <v>0</v>
      </c>
      <c r="U203" s="842">
        <f t="shared" si="37"/>
        <v>0</v>
      </c>
      <c r="V203" s="843">
        <f>SUM(V195:V202)</f>
        <v>621850</v>
      </c>
    </row>
    <row r="204" s="1" customFormat="1" ht="13.8" spans="1:22">
      <c r="A204" s="697"/>
      <c r="B204" s="803"/>
      <c r="C204" s="342"/>
      <c r="D204" s="716"/>
      <c r="E204" s="804"/>
      <c r="F204" s="804"/>
      <c r="G204" s="804"/>
      <c r="H204" s="804"/>
      <c r="I204" s="881"/>
      <c r="J204" s="882"/>
      <c r="K204" s="842"/>
      <c r="L204" s="804"/>
      <c r="M204" s="804"/>
      <c r="N204" s="804"/>
      <c r="O204" s="804"/>
      <c r="P204" s="804"/>
      <c r="Q204" s="882"/>
      <c r="R204" s="804"/>
      <c r="S204" s="804"/>
      <c r="T204" s="804"/>
      <c r="U204" s="842"/>
      <c r="V204" s="843"/>
    </row>
    <row r="205" s="1" customFormat="1" ht="13.8" spans="1:22">
      <c r="A205" s="697"/>
      <c r="B205" s="869" t="s">
        <v>117</v>
      </c>
      <c r="C205" s="342"/>
      <c r="D205" s="716" t="s">
        <v>46</v>
      </c>
      <c r="E205" s="856"/>
      <c r="F205" s="107">
        <f>SUM(G205:U205)</f>
        <v>0</v>
      </c>
      <c r="G205" s="84"/>
      <c r="H205" s="84"/>
      <c r="I205" s="82"/>
      <c r="J205" s="785"/>
      <c r="K205" s="786"/>
      <c r="L205" s="201"/>
      <c r="M205" s="201"/>
      <c r="N205" s="201"/>
      <c r="O205" s="84"/>
      <c r="P205" s="84"/>
      <c r="Q205" s="785"/>
      <c r="R205" s="84"/>
      <c r="S205" s="84"/>
      <c r="T205" s="84"/>
      <c r="U205" s="786"/>
      <c r="V205" s="787">
        <f>E205-F205</f>
        <v>0</v>
      </c>
    </row>
    <row r="206" s="1" customFormat="1" ht="13.8" spans="1:22">
      <c r="A206" s="697"/>
      <c r="B206" s="803"/>
      <c r="C206" s="342"/>
      <c r="D206" s="716" t="s">
        <v>37</v>
      </c>
      <c r="E206" s="856"/>
      <c r="F206" s="107">
        <f>SUM(G206:U206)</f>
        <v>0</v>
      </c>
      <c r="G206" s="84"/>
      <c r="H206" s="84"/>
      <c r="I206" s="82"/>
      <c r="J206" s="785"/>
      <c r="K206" s="786"/>
      <c r="L206" s="201"/>
      <c r="M206" s="201"/>
      <c r="N206" s="201"/>
      <c r="O206" s="84"/>
      <c r="P206" s="84"/>
      <c r="Q206" s="785"/>
      <c r="R206" s="84"/>
      <c r="S206" s="84"/>
      <c r="T206" s="84"/>
      <c r="U206" s="786"/>
      <c r="V206" s="787">
        <f>E206-F206</f>
        <v>0</v>
      </c>
    </row>
    <row r="207" s="1" customFormat="1" ht="13.8" spans="1:22">
      <c r="A207" s="697"/>
      <c r="B207" s="803"/>
      <c r="C207" s="342"/>
      <c r="D207" s="716" t="s">
        <v>63</v>
      </c>
      <c r="E207" s="856"/>
      <c r="F207" s="107">
        <f t="shared" ref="F207:F209" si="39">SUM(G207:U207)</f>
        <v>0</v>
      </c>
      <c r="G207" s="84"/>
      <c r="H207" s="84"/>
      <c r="I207" s="82"/>
      <c r="J207" s="785"/>
      <c r="K207" s="786"/>
      <c r="L207" s="201"/>
      <c r="M207" s="201"/>
      <c r="N207" s="201"/>
      <c r="O207" s="84"/>
      <c r="P207" s="84"/>
      <c r="Q207" s="785"/>
      <c r="R207" s="84"/>
      <c r="S207" s="84"/>
      <c r="T207" s="84"/>
      <c r="U207" s="786"/>
      <c r="V207" s="787">
        <f t="shared" ref="V207:V222" si="40">E207-F207</f>
        <v>0</v>
      </c>
    </row>
    <row r="208" s="1" customFormat="1" ht="13.8" spans="1:22">
      <c r="A208" s="697"/>
      <c r="B208" s="803"/>
      <c r="C208" s="342"/>
      <c r="D208" s="716" t="s">
        <v>70</v>
      </c>
      <c r="E208" s="856">
        <v>0</v>
      </c>
      <c r="F208" s="107">
        <f t="shared" si="39"/>
        <v>0</v>
      </c>
      <c r="G208" s="84"/>
      <c r="H208" s="84"/>
      <c r="I208" s="82"/>
      <c r="J208" s="785"/>
      <c r="K208" s="786"/>
      <c r="L208" s="201"/>
      <c r="M208" s="201"/>
      <c r="N208" s="201"/>
      <c r="O208" s="84"/>
      <c r="P208" s="84"/>
      <c r="Q208" s="785"/>
      <c r="R208" s="84"/>
      <c r="S208" s="84"/>
      <c r="T208" s="84"/>
      <c r="U208" s="786"/>
      <c r="V208" s="787">
        <f t="shared" si="40"/>
        <v>0</v>
      </c>
    </row>
    <row r="209" s="1" customFormat="1" ht="13.8" spans="1:22">
      <c r="A209" s="697"/>
      <c r="B209" s="803"/>
      <c r="C209" s="342"/>
      <c r="D209" s="716" t="s">
        <v>71</v>
      </c>
      <c r="E209" s="856"/>
      <c r="F209" s="107">
        <f t="shared" si="39"/>
        <v>0</v>
      </c>
      <c r="G209" s="84"/>
      <c r="H209" s="84"/>
      <c r="I209" s="82"/>
      <c r="J209" s="785"/>
      <c r="K209" s="786"/>
      <c r="L209" s="201"/>
      <c r="M209" s="201"/>
      <c r="N209" s="201"/>
      <c r="O209" s="84"/>
      <c r="P209" s="84"/>
      <c r="Q209" s="785"/>
      <c r="R209" s="84"/>
      <c r="S209" s="84"/>
      <c r="T209" s="84"/>
      <c r="U209" s="786"/>
      <c r="V209" s="787">
        <f t="shared" si="40"/>
        <v>0</v>
      </c>
    </row>
    <row r="210" s="1" customFormat="1" ht="13.8" spans="1:22">
      <c r="A210" s="697"/>
      <c r="B210" s="803"/>
      <c r="C210" s="342"/>
      <c r="D210" s="716"/>
      <c r="E210" s="860">
        <f>SUM(E205:E209)</f>
        <v>0</v>
      </c>
      <c r="F210" s="860">
        <f>SUM(F205:F209)</f>
        <v>0</v>
      </c>
      <c r="G210" s="860">
        <f t="shared" ref="G210:V210" si="41">SUM(G205:G209)</f>
        <v>0</v>
      </c>
      <c r="H210" s="860">
        <f t="shared" si="41"/>
        <v>0</v>
      </c>
      <c r="I210" s="860">
        <f t="shared" si="41"/>
        <v>0</v>
      </c>
      <c r="J210" s="860">
        <f t="shared" si="41"/>
        <v>0</v>
      </c>
      <c r="K210" s="860">
        <f t="shared" si="41"/>
        <v>0</v>
      </c>
      <c r="L210" s="860">
        <f t="shared" si="41"/>
        <v>0</v>
      </c>
      <c r="M210" s="860">
        <f t="shared" si="41"/>
        <v>0</v>
      </c>
      <c r="N210" s="860">
        <f t="shared" si="41"/>
        <v>0</v>
      </c>
      <c r="O210" s="860">
        <f t="shared" si="41"/>
        <v>0</v>
      </c>
      <c r="P210" s="860">
        <f t="shared" si="41"/>
        <v>0</v>
      </c>
      <c r="Q210" s="860">
        <f t="shared" si="41"/>
        <v>0</v>
      </c>
      <c r="R210" s="860">
        <f t="shared" si="41"/>
        <v>0</v>
      </c>
      <c r="S210" s="860">
        <f t="shared" si="41"/>
        <v>0</v>
      </c>
      <c r="T210" s="875">
        <f t="shared" si="41"/>
        <v>0</v>
      </c>
      <c r="U210" s="910">
        <f t="shared" si="41"/>
        <v>0</v>
      </c>
      <c r="V210" s="911">
        <f t="shared" si="41"/>
        <v>0</v>
      </c>
    </row>
    <row r="211" s="3" customFormat="1" ht="13.8" spans="1:25">
      <c r="A211" s="695"/>
      <c r="B211" s="870" t="s">
        <v>118</v>
      </c>
      <c r="C211" s="317"/>
      <c r="D211" s="714" t="s">
        <v>63</v>
      </c>
      <c r="E211" s="89"/>
      <c r="F211" s="60">
        <f>SUM(G211:U211)</f>
        <v>0</v>
      </c>
      <c r="G211" s="89"/>
      <c r="H211" s="89">
        <f>SUM(H205:H206)</f>
        <v>0</v>
      </c>
      <c r="I211" s="88">
        <f>SUM(I205:I206)</f>
        <v>0</v>
      </c>
      <c r="J211" s="376"/>
      <c r="K211" s="300">
        <v>0</v>
      </c>
      <c r="L211" s="822">
        <v>0</v>
      </c>
      <c r="M211" s="822"/>
      <c r="N211" s="822">
        <f>SUM(N205:N206)</f>
        <v>0</v>
      </c>
      <c r="O211" s="458">
        <f>SUM(O205:O206)</f>
        <v>0</v>
      </c>
      <c r="P211" s="89"/>
      <c r="Q211" s="376">
        <f>SUM(Q205:Q206)</f>
        <v>0</v>
      </c>
      <c r="R211" s="89">
        <v>0</v>
      </c>
      <c r="S211" s="458"/>
      <c r="T211" s="458"/>
      <c r="U211" s="300"/>
      <c r="V211" s="779">
        <f t="shared" si="40"/>
        <v>0</v>
      </c>
      <c r="X211" s="848"/>
      <c r="Y211" s="848"/>
    </row>
    <row r="212" s="3" customFormat="1" ht="13.8" spans="1:25">
      <c r="A212" s="695"/>
      <c r="B212" s="802"/>
      <c r="C212" s="317"/>
      <c r="D212" s="714" t="s">
        <v>37</v>
      </c>
      <c r="E212" s="89"/>
      <c r="F212" s="60">
        <f>SUM(G212:U212)</f>
        <v>0</v>
      </c>
      <c r="G212" s="89"/>
      <c r="H212" s="89"/>
      <c r="I212" s="88"/>
      <c r="J212" s="376"/>
      <c r="K212" s="300">
        <v>0</v>
      </c>
      <c r="L212" s="822">
        <v>0</v>
      </c>
      <c r="M212" s="822"/>
      <c r="N212" s="822"/>
      <c r="O212" s="458"/>
      <c r="P212" s="89"/>
      <c r="Q212" s="376"/>
      <c r="R212" s="458"/>
      <c r="S212" s="458"/>
      <c r="T212" s="458"/>
      <c r="U212" s="300"/>
      <c r="V212" s="779">
        <f t="shared" si="40"/>
        <v>0</v>
      </c>
      <c r="X212" s="848"/>
      <c r="Y212" s="848"/>
    </row>
    <row r="213" s="3" customFormat="1" ht="13.8" spans="1:25">
      <c r="A213" s="695"/>
      <c r="B213" s="802"/>
      <c r="C213" s="317"/>
      <c r="D213" s="714" t="s">
        <v>46</v>
      </c>
      <c r="E213" s="89"/>
      <c r="F213" s="60">
        <f>SUM(G213:U213)</f>
        <v>0</v>
      </c>
      <c r="G213" s="89"/>
      <c r="H213" s="89"/>
      <c r="I213" s="88"/>
      <c r="J213" s="376"/>
      <c r="K213" s="300">
        <v>0</v>
      </c>
      <c r="L213" s="822">
        <v>0</v>
      </c>
      <c r="M213" s="822"/>
      <c r="N213" s="822"/>
      <c r="O213" s="458"/>
      <c r="P213" s="89"/>
      <c r="Q213" s="376"/>
      <c r="R213" s="458"/>
      <c r="S213" s="458"/>
      <c r="T213" s="458"/>
      <c r="U213" s="300"/>
      <c r="V213" s="864">
        <f t="shared" si="40"/>
        <v>0</v>
      </c>
      <c r="X213" s="848"/>
      <c r="Y213" s="848"/>
    </row>
    <row r="214" s="1" customFormat="1" ht="13.8" spans="1:25">
      <c r="A214" s="697"/>
      <c r="B214" s="870"/>
      <c r="C214" s="342"/>
      <c r="D214" s="716"/>
      <c r="E214" s="860">
        <f>SUM(E211:E213)</f>
        <v>0</v>
      </c>
      <c r="F214" s="860">
        <f t="shared" ref="F214:V214" si="42">SUM(F211:F213)</f>
        <v>0</v>
      </c>
      <c r="G214" s="860">
        <f t="shared" si="42"/>
        <v>0</v>
      </c>
      <c r="H214" s="860">
        <f t="shared" si="42"/>
        <v>0</v>
      </c>
      <c r="I214" s="860">
        <f t="shared" si="42"/>
        <v>0</v>
      </c>
      <c r="J214" s="860">
        <f t="shared" si="42"/>
        <v>0</v>
      </c>
      <c r="K214" s="860">
        <f t="shared" si="42"/>
        <v>0</v>
      </c>
      <c r="L214" s="860">
        <f t="shared" si="42"/>
        <v>0</v>
      </c>
      <c r="M214" s="860">
        <f t="shared" si="42"/>
        <v>0</v>
      </c>
      <c r="N214" s="860">
        <f t="shared" si="42"/>
        <v>0</v>
      </c>
      <c r="O214" s="860">
        <f t="shared" si="42"/>
        <v>0</v>
      </c>
      <c r="P214" s="860">
        <f t="shared" si="42"/>
        <v>0</v>
      </c>
      <c r="Q214" s="860">
        <f t="shared" si="42"/>
        <v>0</v>
      </c>
      <c r="R214" s="860">
        <f t="shared" si="42"/>
        <v>0</v>
      </c>
      <c r="S214" s="860">
        <f t="shared" si="42"/>
        <v>0</v>
      </c>
      <c r="T214" s="860">
        <f t="shared" si="42"/>
        <v>0</v>
      </c>
      <c r="U214" s="867">
        <f t="shared" si="42"/>
        <v>0</v>
      </c>
      <c r="V214" s="911">
        <f t="shared" si="42"/>
        <v>0</v>
      </c>
      <c r="X214" s="792"/>
      <c r="Y214" s="792"/>
    </row>
    <row r="215" s="3" customFormat="1" ht="13.8" spans="1:25">
      <c r="A215" s="695"/>
      <c r="B215" s="870" t="s">
        <v>119</v>
      </c>
      <c r="C215" s="716"/>
      <c r="D215" s="716" t="s">
        <v>46</v>
      </c>
      <c r="E215" s="89">
        <v>100000</v>
      </c>
      <c r="F215" s="60">
        <f>SUM(G215:U215)</f>
        <v>0</v>
      </c>
      <c r="G215" s="458"/>
      <c r="H215" s="458"/>
      <c r="I215" s="883"/>
      <c r="J215" s="884"/>
      <c r="K215" s="885"/>
      <c r="L215" s="458"/>
      <c r="M215" s="458"/>
      <c r="N215" s="458"/>
      <c r="O215" s="458"/>
      <c r="P215" s="458"/>
      <c r="Q215" s="884"/>
      <c r="R215" s="458"/>
      <c r="S215" s="458"/>
      <c r="T215" s="458"/>
      <c r="U215" s="885"/>
      <c r="V215" s="779">
        <f t="shared" si="40"/>
        <v>100000</v>
      </c>
      <c r="X215" s="848"/>
      <c r="Y215" s="848"/>
    </row>
    <row r="216" s="3" customFormat="1" ht="13.8" spans="1:25">
      <c r="A216" s="695"/>
      <c r="B216" s="870" t="s">
        <v>120</v>
      </c>
      <c r="C216" s="871"/>
      <c r="D216" s="716" t="s">
        <v>46</v>
      </c>
      <c r="E216" s="89">
        <v>100000</v>
      </c>
      <c r="F216" s="60">
        <f t="shared" ref="F216:F222" si="43">SUM(G216:U216)</f>
        <v>0</v>
      </c>
      <c r="G216" s="458"/>
      <c r="H216" s="458"/>
      <c r="I216" s="883"/>
      <c r="J216" s="884"/>
      <c r="K216" s="885"/>
      <c r="L216" s="458"/>
      <c r="M216" s="458"/>
      <c r="N216" s="458"/>
      <c r="O216" s="458"/>
      <c r="P216" s="458"/>
      <c r="Q216" s="884"/>
      <c r="R216" s="458"/>
      <c r="S216" s="458"/>
      <c r="T216" s="458"/>
      <c r="U216" s="885"/>
      <c r="V216" s="779">
        <f t="shared" si="40"/>
        <v>100000</v>
      </c>
      <c r="X216" s="848"/>
      <c r="Y216" s="848"/>
    </row>
    <row r="217" s="3" customFormat="1" ht="13.8" spans="1:25">
      <c r="A217" s="695"/>
      <c r="B217" s="870" t="s">
        <v>121</v>
      </c>
      <c r="C217" s="871"/>
      <c r="D217" s="716" t="s">
        <v>46</v>
      </c>
      <c r="E217" s="89">
        <v>100000</v>
      </c>
      <c r="F217" s="60">
        <f t="shared" si="43"/>
        <v>0</v>
      </c>
      <c r="G217" s="458"/>
      <c r="H217" s="458"/>
      <c r="I217" s="883"/>
      <c r="J217" s="884"/>
      <c r="K217" s="885"/>
      <c r="L217" s="458"/>
      <c r="M217" s="458"/>
      <c r="N217" s="458"/>
      <c r="O217" s="458"/>
      <c r="P217" s="458"/>
      <c r="Q217" s="884"/>
      <c r="R217" s="458"/>
      <c r="S217" s="458"/>
      <c r="T217" s="458"/>
      <c r="U217" s="885"/>
      <c r="V217" s="779">
        <f t="shared" si="40"/>
        <v>100000</v>
      </c>
      <c r="X217" s="848"/>
      <c r="Y217" s="848"/>
    </row>
    <row r="218" s="3" customFormat="1" ht="13.8" spans="1:25">
      <c r="A218" s="695"/>
      <c r="B218" s="870" t="s">
        <v>122</v>
      </c>
      <c r="C218" s="317"/>
      <c r="D218" s="714" t="s">
        <v>46</v>
      </c>
      <c r="E218" s="89">
        <v>150000</v>
      </c>
      <c r="F218" s="60">
        <f t="shared" si="43"/>
        <v>96000</v>
      </c>
      <c r="G218" s="458"/>
      <c r="H218" s="458"/>
      <c r="I218" s="883"/>
      <c r="J218" s="884"/>
      <c r="K218" s="885"/>
      <c r="L218" s="458"/>
      <c r="M218" s="89">
        <v>96000</v>
      </c>
      <c r="N218" s="458"/>
      <c r="O218" s="458"/>
      <c r="P218" s="458"/>
      <c r="Q218" s="884"/>
      <c r="R218" s="458"/>
      <c r="S218" s="458"/>
      <c r="T218" s="458"/>
      <c r="U218" s="885"/>
      <c r="V218" s="779">
        <f t="shared" si="40"/>
        <v>54000</v>
      </c>
      <c r="X218" s="848"/>
      <c r="Y218" s="848"/>
    </row>
    <row r="219" s="3" customFormat="1" ht="13.8" spans="1:25">
      <c r="A219" s="695"/>
      <c r="B219" s="870" t="s">
        <v>123</v>
      </c>
      <c r="C219" s="317"/>
      <c r="D219" s="714" t="s">
        <v>46</v>
      </c>
      <c r="E219" s="89">
        <v>170696</v>
      </c>
      <c r="F219" s="60">
        <f t="shared" si="43"/>
        <v>0</v>
      </c>
      <c r="G219" s="458"/>
      <c r="H219" s="458"/>
      <c r="I219" s="883"/>
      <c r="J219" s="884"/>
      <c r="K219" s="885"/>
      <c r="L219" s="458"/>
      <c r="M219" s="458"/>
      <c r="N219" s="458"/>
      <c r="O219" s="458"/>
      <c r="P219" s="458"/>
      <c r="Q219" s="884"/>
      <c r="R219" s="458"/>
      <c r="S219" s="458"/>
      <c r="T219" s="458"/>
      <c r="U219" s="885"/>
      <c r="V219" s="779">
        <f t="shared" si="40"/>
        <v>170696</v>
      </c>
      <c r="X219" s="848"/>
      <c r="Y219" s="848"/>
    </row>
    <row r="220" s="1" customFormat="1" ht="13.8" spans="1:25">
      <c r="A220" s="697"/>
      <c r="B220" s="870" t="s">
        <v>124</v>
      </c>
      <c r="C220" s="342"/>
      <c r="D220" s="716" t="s">
        <v>37</v>
      </c>
      <c r="E220" s="856">
        <f>200000</f>
        <v>200000</v>
      </c>
      <c r="F220" s="60">
        <f t="shared" si="43"/>
        <v>0</v>
      </c>
      <c r="G220" s="856"/>
      <c r="H220" s="856"/>
      <c r="I220" s="886"/>
      <c r="J220" s="887"/>
      <c r="K220" s="888"/>
      <c r="L220" s="889"/>
      <c r="M220" s="889"/>
      <c r="N220" s="889"/>
      <c r="O220" s="890"/>
      <c r="P220" s="856"/>
      <c r="Q220" s="887"/>
      <c r="R220" s="890"/>
      <c r="S220" s="890"/>
      <c r="T220" s="890"/>
      <c r="U220" s="888"/>
      <c r="V220" s="779">
        <f t="shared" si="40"/>
        <v>200000</v>
      </c>
      <c r="X220" s="792"/>
      <c r="Y220" s="792"/>
    </row>
    <row r="221" s="1" customFormat="1" ht="13.8" spans="1:25">
      <c r="A221" s="697"/>
      <c r="B221" s="870"/>
      <c r="C221" s="342"/>
      <c r="D221" s="716" t="s">
        <v>40</v>
      </c>
      <c r="E221" s="856">
        <v>600000</v>
      </c>
      <c r="F221" s="60">
        <f t="shared" si="43"/>
        <v>300000</v>
      </c>
      <c r="G221" s="149"/>
      <c r="H221" s="149"/>
      <c r="I221" s="341"/>
      <c r="J221" s="347">
        <v>300000</v>
      </c>
      <c r="K221" s="888"/>
      <c r="L221" s="889"/>
      <c r="M221" s="889"/>
      <c r="N221" s="889"/>
      <c r="O221" s="890"/>
      <c r="P221" s="856"/>
      <c r="Q221" s="887"/>
      <c r="R221" s="890"/>
      <c r="S221" s="890"/>
      <c r="T221" s="890"/>
      <c r="U221" s="888"/>
      <c r="V221" s="779">
        <f t="shared" si="40"/>
        <v>300000</v>
      </c>
      <c r="X221" s="792"/>
      <c r="Y221" s="792"/>
    </row>
    <row r="222" s="1" customFormat="1" ht="13.8" spans="1:25">
      <c r="A222" s="697"/>
      <c r="B222" s="870"/>
      <c r="C222" s="342"/>
      <c r="D222" s="716" t="s">
        <v>65</v>
      </c>
      <c r="E222" s="872">
        <v>5000</v>
      </c>
      <c r="F222" s="152">
        <f t="shared" si="43"/>
        <v>5000</v>
      </c>
      <c r="G222" s="873"/>
      <c r="H222" s="873"/>
      <c r="I222" s="891"/>
      <c r="J222" s="892">
        <v>5000</v>
      </c>
      <c r="K222" s="893"/>
      <c r="L222" s="894"/>
      <c r="M222" s="894"/>
      <c r="N222" s="894"/>
      <c r="O222" s="895"/>
      <c r="P222" s="872"/>
      <c r="Q222" s="912"/>
      <c r="R222" s="895"/>
      <c r="S222" s="895"/>
      <c r="T222" s="895"/>
      <c r="U222" s="893"/>
      <c r="V222" s="779">
        <f t="shared" si="40"/>
        <v>0</v>
      </c>
      <c r="X222" s="792"/>
      <c r="Y222" s="792"/>
    </row>
    <row r="223" s="1" customFormat="1" ht="13.8" spans="1:25">
      <c r="A223" s="697"/>
      <c r="B223" s="870"/>
      <c r="C223" s="342"/>
      <c r="D223" s="874"/>
      <c r="E223" s="875"/>
      <c r="F223" s="876">
        <f>SUM(F221:F222)</f>
        <v>305000</v>
      </c>
      <c r="G223" s="877">
        <f t="shared" ref="G223:U223" si="44">SUM(G221:G222)</f>
        <v>0</v>
      </c>
      <c r="H223" s="878">
        <f t="shared" si="44"/>
        <v>0</v>
      </c>
      <c r="I223" s="896">
        <f t="shared" si="44"/>
        <v>0</v>
      </c>
      <c r="J223" s="897">
        <f t="shared" si="44"/>
        <v>305000</v>
      </c>
      <c r="K223" s="897">
        <f t="shared" si="44"/>
        <v>0</v>
      </c>
      <c r="L223" s="897">
        <f t="shared" si="44"/>
        <v>0</v>
      </c>
      <c r="M223" s="877">
        <f t="shared" si="44"/>
        <v>0</v>
      </c>
      <c r="N223" s="898">
        <f t="shared" si="44"/>
        <v>0</v>
      </c>
      <c r="O223" s="877">
        <f t="shared" si="44"/>
        <v>0</v>
      </c>
      <c r="P223" s="898">
        <f t="shared" si="44"/>
        <v>0</v>
      </c>
      <c r="Q223" s="877">
        <f t="shared" si="44"/>
        <v>0</v>
      </c>
      <c r="R223" s="898">
        <f t="shared" si="44"/>
        <v>0</v>
      </c>
      <c r="S223" s="877">
        <f t="shared" si="44"/>
        <v>0</v>
      </c>
      <c r="T223" s="877">
        <f t="shared" si="44"/>
        <v>0</v>
      </c>
      <c r="U223" s="898">
        <f t="shared" si="44"/>
        <v>0</v>
      </c>
      <c r="V223" s="843">
        <f>SUM(V215:V222)</f>
        <v>1024696</v>
      </c>
      <c r="X223" s="792"/>
      <c r="Y223" s="792"/>
    </row>
    <row r="224" s="1" customFormat="1" ht="13.8" spans="1:22">
      <c r="A224" s="697"/>
      <c r="B224" s="869" t="s">
        <v>125</v>
      </c>
      <c r="C224" s="342"/>
      <c r="D224" s="716"/>
      <c r="E224" s="93"/>
      <c r="F224" s="399"/>
      <c r="G224" s="93"/>
      <c r="H224" s="93"/>
      <c r="I224" s="423"/>
      <c r="J224" s="453"/>
      <c r="K224" s="899"/>
      <c r="L224" s="900"/>
      <c r="M224" s="900"/>
      <c r="N224" s="900"/>
      <c r="O224" s="93"/>
      <c r="P224" s="93"/>
      <c r="Q224" s="453"/>
      <c r="R224" s="93"/>
      <c r="S224" s="93"/>
      <c r="T224" s="93"/>
      <c r="U224" s="899"/>
      <c r="V224" s="846"/>
    </row>
    <row r="225" s="1" customFormat="1" ht="13.8" spans="1:22">
      <c r="A225" s="697"/>
      <c r="B225" s="803"/>
      <c r="C225" s="342"/>
      <c r="D225" s="716" t="s">
        <v>71</v>
      </c>
      <c r="E225" s="89"/>
      <c r="F225" s="60">
        <f>SUM(G225:U225)</f>
        <v>0</v>
      </c>
      <c r="G225" s="89"/>
      <c r="H225" s="89"/>
      <c r="I225" s="88"/>
      <c r="J225" s="376"/>
      <c r="K225" s="300"/>
      <c r="L225" s="822"/>
      <c r="M225" s="822"/>
      <c r="N225" s="822"/>
      <c r="O225" s="89"/>
      <c r="P225" s="89"/>
      <c r="Q225" s="376"/>
      <c r="R225" s="89"/>
      <c r="S225" s="89"/>
      <c r="T225" s="89"/>
      <c r="U225" s="300"/>
      <c r="V225" s="787">
        <f>E225-F225</f>
        <v>0</v>
      </c>
    </row>
    <row r="226" s="1" customFormat="1" ht="13.8" spans="1:22">
      <c r="A226" s="697"/>
      <c r="B226" s="803"/>
      <c r="C226" s="342"/>
      <c r="D226" s="716" t="s">
        <v>70</v>
      </c>
      <c r="E226" s="89"/>
      <c r="F226" s="60">
        <f>SUM(G226:U226)</f>
        <v>0</v>
      </c>
      <c r="G226" s="89"/>
      <c r="H226" s="89"/>
      <c r="I226" s="88"/>
      <c r="J226" s="376"/>
      <c r="K226" s="300"/>
      <c r="L226" s="822"/>
      <c r="M226" s="822"/>
      <c r="N226" s="822"/>
      <c r="O226" s="89"/>
      <c r="P226" s="89"/>
      <c r="Q226" s="376"/>
      <c r="R226" s="89"/>
      <c r="S226" s="89"/>
      <c r="T226" s="89"/>
      <c r="U226" s="300"/>
      <c r="V226" s="787">
        <f>E226-F226</f>
        <v>0</v>
      </c>
    </row>
    <row r="227" s="1" customFormat="1" ht="13.8" spans="1:25">
      <c r="A227" s="697"/>
      <c r="B227" s="803"/>
      <c r="C227" s="342"/>
      <c r="D227" s="714"/>
      <c r="E227" s="875">
        <f>SUM(E225:E226)</f>
        <v>0</v>
      </c>
      <c r="F227" s="877">
        <f>SUM(F225:F226)</f>
        <v>0</v>
      </c>
      <c r="G227" s="877">
        <f t="shared" ref="G227:N227" si="45">SUM(G225:G226)</f>
        <v>0</v>
      </c>
      <c r="H227" s="877">
        <f t="shared" si="45"/>
        <v>0</v>
      </c>
      <c r="I227" s="877">
        <f t="shared" si="45"/>
        <v>0</v>
      </c>
      <c r="J227" s="877">
        <f t="shared" si="45"/>
        <v>0</v>
      </c>
      <c r="K227" s="877">
        <f t="shared" si="45"/>
        <v>0</v>
      </c>
      <c r="L227" s="877">
        <f t="shared" si="45"/>
        <v>0</v>
      </c>
      <c r="M227" s="877">
        <f t="shared" si="45"/>
        <v>0</v>
      </c>
      <c r="N227" s="901">
        <f t="shared" si="45"/>
        <v>0</v>
      </c>
      <c r="O227" s="901">
        <f t="shared" ref="O227:R227" si="46">SUM(O225:O226)</f>
        <v>0</v>
      </c>
      <c r="P227" s="901">
        <f t="shared" si="46"/>
        <v>0</v>
      </c>
      <c r="Q227" s="901">
        <f t="shared" si="46"/>
        <v>0</v>
      </c>
      <c r="R227" s="875">
        <f t="shared" si="46"/>
        <v>0</v>
      </c>
      <c r="S227" s="875"/>
      <c r="T227" s="875">
        <f>SUM(T225:T226)</f>
        <v>0</v>
      </c>
      <c r="U227" s="867">
        <f>SUM(U225:U226)</f>
        <v>0</v>
      </c>
      <c r="V227" s="907">
        <f>SUM(V225:V226)</f>
        <v>0</v>
      </c>
      <c r="X227" s="792"/>
      <c r="Y227" s="792"/>
    </row>
    <row r="228" s="1" customFormat="1" ht="13.8" spans="1:22">
      <c r="A228" s="697"/>
      <c r="B228" s="803" t="s">
        <v>126</v>
      </c>
      <c r="C228" s="342"/>
      <c r="D228" s="716" t="s">
        <v>127</v>
      </c>
      <c r="E228" s="856">
        <v>426280</v>
      </c>
      <c r="F228" s="107">
        <f>SUM(G228:U228)</f>
        <v>426280</v>
      </c>
      <c r="G228" s="84"/>
      <c r="H228" s="84"/>
      <c r="I228" s="82"/>
      <c r="J228" s="220">
        <v>426280</v>
      </c>
      <c r="K228" s="786"/>
      <c r="L228" s="201"/>
      <c r="M228" s="201"/>
      <c r="N228" s="201"/>
      <c r="O228" s="84"/>
      <c r="P228" s="84"/>
      <c r="Q228" s="785"/>
      <c r="R228" s="84"/>
      <c r="S228" s="84"/>
      <c r="T228" s="84"/>
      <c r="U228" s="786"/>
      <c r="V228" s="790">
        <f>E228-F228</f>
        <v>0</v>
      </c>
    </row>
    <row r="229" s="1" customFormat="1" ht="13.8" spans="1:25">
      <c r="A229" s="697"/>
      <c r="B229" s="803"/>
      <c r="C229" s="342"/>
      <c r="D229" s="716"/>
      <c r="E229" s="804">
        <f>SUM(E228)</f>
        <v>426280</v>
      </c>
      <c r="F229" s="804">
        <f>SUM(F228)</f>
        <v>426280</v>
      </c>
      <c r="G229" s="804">
        <f>SUM(G228)</f>
        <v>0</v>
      </c>
      <c r="H229" s="804">
        <f t="shared" ref="H229:V229" si="47">SUM(H228)</f>
        <v>0</v>
      </c>
      <c r="I229" s="804">
        <f t="shared" si="47"/>
        <v>0</v>
      </c>
      <c r="J229" s="876"/>
      <c r="K229" s="804">
        <f t="shared" si="47"/>
        <v>0</v>
      </c>
      <c r="L229" s="804">
        <f t="shared" si="47"/>
        <v>0</v>
      </c>
      <c r="M229" s="804">
        <f t="shared" si="47"/>
        <v>0</v>
      </c>
      <c r="N229" s="804">
        <f t="shared" si="47"/>
        <v>0</v>
      </c>
      <c r="O229" s="804">
        <f t="shared" si="47"/>
        <v>0</v>
      </c>
      <c r="P229" s="804">
        <f t="shared" si="47"/>
        <v>0</v>
      </c>
      <c r="Q229" s="804">
        <f t="shared" si="47"/>
        <v>0</v>
      </c>
      <c r="R229" s="804">
        <f t="shared" si="47"/>
        <v>0</v>
      </c>
      <c r="S229" s="804">
        <f t="shared" si="47"/>
        <v>0</v>
      </c>
      <c r="T229" s="804">
        <f t="shared" si="47"/>
        <v>0</v>
      </c>
      <c r="U229" s="842">
        <f t="shared" si="47"/>
        <v>0</v>
      </c>
      <c r="V229" s="843">
        <f t="shared" si="47"/>
        <v>0</v>
      </c>
      <c r="X229" s="792"/>
      <c r="Y229" s="792"/>
    </row>
    <row r="230" s="1" customFormat="1" ht="13.8" spans="1:25">
      <c r="A230" s="697"/>
      <c r="B230" s="803"/>
      <c r="C230" s="342"/>
      <c r="D230" s="716"/>
      <c r="E230" s="879"/>
      <c r="F230" s="879"/>
      <c r="G230" s="879"/>
      <c r="H230" s="879"/>
      <c r="I230" s="902"/>
      <c r="J230" s="903"/>
      <c r="K230" s="904"/>
      <c r="L230" s="879"/>
      <c r="M230" s="879"/>
      <c r="N230" s="879"/>
      <c r="O230" s="879"/>
      <c r="P230" s="879"/>
      <c r="Q230" s="905"/>
      <c r="R230" s="879"/>
      <c r="S230" s="879"/>
      <c r="T230" s="879"/>
      <c r="U230" s="904"/>
      <c r="V230" s="913"/>
      <c r="X230" s="792"/>
      <c r="Y230" s="792"/>
    </row>
    <row r="231" s="1" customFormat="1" ht="13.8" spans="1:22">
      <c r="A231" s="697"/>
      <c r="B231" s="803" t="s">
        <v>128</v>
      </c>
      <c r="C231" s="342"/>
      <c r="D231" s="880" t="s">
        <v>42</v>
      </c>
      <c r="E231" s="84"/>
      <c r="F231" s="107">
        <f t="shared" ref="F231:F243" si="48">SUM(G231:U231)</f>
        <v>0</v>
      </c>
      <c r="G231" s="84"/>
      <c r="H231" s="84"/>
      <c r="I231" s="82"/>
      <c r="J231" s="220"/>
      <c r="K231" s="786"/>
      <c r="L231" s="201"/>
      <c r="M231" s="201"/>
      <c r="N231" s="201"/>
      <c r="O231" s="84"/>
      <c r="P231" s="84"/>
      <c r="Q231" s="785"/>
      <c r="R231" s="84"/>
      <c r="S231" s="84"/>
      <c r="T231" s="84"/>
      <c r="U231" s="786"/>
      <c r="V231" s="787">
        <f t="shared" ref="V231:V243" si="49">E231-F231</f>
        <v>0</v>
      </c>
    </row>
    <row r="232" s="1" customFormat="1" ht="13.8" spans="1:22">
      <c r="A232" s="697"/>
      <c r="B232" s="803"/>
      <c r="C232" s="342"/>
      <c r="D232" s="880" t="s">
        <v>61</v>
      </c>
      <c r="E232" s="84">
        <v>150000</v>
      </c>
      <c r="F232" s="107">
        <f t="shared" si="48"/>
        <v>28800</v>
      </c>
      <c r="G232" s="84"/>
      <c r="H232" s="84"/>
      <c r="I232" s="82"/>
      <c r="J232" s="220"/>
      <c r="K232" s="786"/>
      <c r="L232" s="201"/>
      <c r="M232" s="201">
        <f>28800</f>
        <v>28800</v>
      </c>
      <c r="N232" s="201"/>
      <c r="O232" s="84"/>
      <c r="P232" s="84"/>
      <c r="Q232" s="785"/>
      <c r="R232" s="84"/>
      <c r="S232" s="84"/>
      <c r="T232" s="84"/>
      <c r="U232" s="786"/>
      <c r="V232" s="787">
        <f t="shared" si="49"/>
        <v>121200</v>
      </c>
    </row>
    <row r="233" s="1" customFormat="1" ht="13.8" spans="1:22">
      <c r="A233" s="697"/>
      <c r="B233" s="803"/>
      <c r="C233" s="342"/>
      <c r="D233" s="880" t="s">
        <v>46</v>
      </c>
      <c r="E233" s="856">
        <v>400000</v>
      </c>
      <c r="F233" s="107">
        <f t="shared" si="48"/>
        <v>400000</v>
      </c>
      <c r="G233" s="84"/>
      <c r="H233" s="84"/>
      <c r="I233" s="82"/>
      <c r="J233" s="220">
        <v>400000</v>
      </c>
      <c r="K233" s="786"/>
      <c r="L233" s="201"/>
      <c r="M233" s="201"/>
      <c r="N233" s="201"/>
      <c r="O233" s="84"/>
      <c r="P233" s="84"/>
      <c r="Q233" s="785"/>
      <c r="R233" s="84"/>
      <c r="S233" s="84"/>
      <c r="T233" s="84"/>
      <c r="U233" s="786"/>
      <c r="V233" s="787">
        <f t="shared" si="49"/>
        <v>0</v>
      </c>
    </row>
    <row r="234" s="1" customFormat="1" ht="13.8" spans="1:22">
      <c r="A234" s="697"/>
      <c r="B234" s="803"/>
      <c r="C234" s="342"/>
      <c r="D234" s="880" t="s">
        <v>37</v>
      </c>
      <c r="E234" s="856">
        <v>325900.47</v>
      </c>
      <c r="F234" s="107">
        <f t="shared" si="48"/>
        <v>0</v>
      </c>
      <c r="G234" s="84"/>
      <c r="H234" s="84"/>
      <c r="I234" s="82"/>
      <c r="J234" s="220"/>
      <c r="K234" s="786"/>
      <c r="L234" s="201"/>
      <c r="M234" s="201"/>
      <c r="N234" s="201"/>
      <c r="O234" s="84"/>
      <c r="P234" s="84"/>
      <c r="Q234" s="785"/>
      <c r="R234" s="84"/>
      <c r="S234" s="84"/>
      <c r="T234" s="84"/>
      <c r="U234" s="786"/>
      <c r="V234" s="787">
        <f t="shared" si="49"/>
        <v>325900.47</v>
      </c>
    </row>
    <row r="235" s="1" customFormat="1" ht="13.8" spans="1:22">
      <c r="A235" s="697"/>
      <c r="B235" s="803"/>
      <c r="C235" s="342"/>
      <c r="D235" s="880" t="s">
        <v>70</v>
      </c>
      <c r="E235" s="856">
        <v>150000</v>
      </c>
      <c r="F235" s="107">
        <f t="shared" si="48"/>
        <v>140859.98</v>
      </c>
      <c r="G235" s="84"/>
      <c r="H235" s="84"/>
      <c r="I235" s="82"/>
      <c r="J235" s="220">
        <v>121659.98</v>
      </c>
      <c r="K235" s="786"/>
      <c r="L235" s="201"/>
      <c r="M235" s="201">
        <v>19200</v>
      </c>
      <c r="N235" s="201"/>
      <c r="O235" s="84"/>
      <c r="P235" s="84"/>
      <c r="Q235" s="785"/>
      <c r="R235" s="84"/>
      <c r="S235" s="84"/>
      <c r="T235" s="84"/>
      <c r="U235" s="786"/>
      <c r="V235" s="787">
        <f t="shared" si="49"/>
        <v>9140.02000000002</v>
      </c>
    </row>
    <row r="236" s="1" customFormat="1" ht="13.8" spans="1:22">
      <c r="A236" s="697"/>
      <c r="B236" s="803"/>
      <c r="C236" s="342"/>
      <c r="D236" s="880" t="s">
        <v>63</v>
      </c>
      <c r="E236" s="856"/>
      <c r="F236" s="107">
        <f t="shared" si="48"/>
        <v>0</v>
      </c>
      <c r="G236" s="84"/>
      <c r="H236" s="84"/>
      <c r="I236" s="82"/>
      <c r="J236" s="220"/>
      <c r="K236" s="786"/>
      <c r="L236" s="201"/>
      <c r="M236" s="201"/>
      <c r="N236" s="201"/>
      <c r="O236" s="84"/>
      <c r="P236" s="84"/>
      <c r="Q236" s="785"/>
      <c r="R236" s="84"/>
      <c r="S236" s="84"/>
      <c r="T236" s="84"/>
      <c r="U236" s="786"/>
      <c r="V236" s="787">
        <f t="shared" si="49"/>
        <v>0</v>
      </c>
    </row>
    <row r="237" s="1" customFormat="1" ht="13.8" spans="1:22">
      <c r="A237" s="697"/>
      <c r="B237" s="803"/>
      <c r="C237" s="342"/>
      <c r="D237" s="880" t="s">
        <v>44</v>
      </c>
      <c r="E237" s="856">
        <v>150000</v>
      </c>
      <c r="F237" s="107">
        <f t="shared" si="48"/>
        <v>150000</v>
      </c>
      <c r="G237" s="84"/>
      <c r="H237" s="84"/>
      <c r="I237" s="82"/>
      <c r="J237" s="220">
        <v>150000</v>
      </c>
      <c r="K237" s="786"/>
      <c r="L237" s="201"/>
      <c r="M237" s="201"/>
      <c r="N237" s="201"/>
      <c r="O237" s="84"/>
      <c r="P237" s="84"/>
      <c r="Q237" s="785"/>
      <c r="R237" s="84"/>
      <c r="S237" s="84"/>
      <c r="T237" s="84"/>
      <c r="U237" s="786"/>
      <c r="V237" s="787">
        <f t="shared" si="49"/>
        <v>0</v>
      </c>
    </row>
    <row r="238" s="1" customFormat="1" ht="13.8" spans="1:22">
      <c r="A238" s="697"/>
      <c r="B238" s="803"/>
      <c r="C238" s="342"/>
      <c r="D238" s="880" t="s">
        <v>79</v>
      </c>
      <c r="E238" s="856"/>
      <c r="F238" s="107">
        <f t="shared" si="48"/>
        <v>0</v>
      </c>
      <c r="G238" s="84"/>
      <c r="H238" s="84"/>
      <c r="I238" s="82"/>
      <c r="J238" s="220"/>
      <c r="K238" s="786"/>
      <c r="L238" s="201"/>
      <c r="M238" s="201"/>
      <c r="N238" s="201"/>
      <c r="O238" s="84"/>
      <c r="P238" s="84"/>
      <c r="Q238" s="785"/>
      <c r="R238" s="84"/>
      <c r="S238" s="84"/>
      <c r="T238" s="84"/>
      <c r="U238" s="786"/>
      <c r="V238" s="787">
        <f t="shared" si="49"/>
        <v>0</v>
      </c>
    </row>
    <row r="239" s="1" customFormat="1" ht="13.8" spans="1:22">
      <c r="A239" s="697"/>
      <c r="B239" s="803"/>
      <c r="C239" s="342"/>
      <c r="D239" s="716" t="s">
        <v>65</v>
      </c>
      <c r="E239" s="856">
        <f>150000+150000</f>
        <v>300000</v>
      </c>
      <c r="F239" s="107">
        <f t="shared" si="48"/>
        <v>234712.15</v>
      </c>
      <c r="G239" s="84"/>
      <c r="H239" s="84"/>
      <c r="I239" s="82"/>
      <c r="J239" s="220">
        <v>225112.15</v>
      </c>
      <c r="K239" s="786"/>
      <c r="L239" s="201"/>
      <c r="M239" s="201">
        <v>9600</v>
      </c>
      <c r="N239" s="201"/>
      <c r="O239" s="84"/>
      <c r="P239" s="84"/>
      <c r="Q239" s="914"/>
      <c r="R239" s="84"/>
      <c r="S239" s="84"/>
      <c r="T239" s="84"/>
      <c r="U239" s="786"/>
      <c r="V239" s="787">
        <f t="shared" si="49"/>
        <v>65287.85</v>
      </c>
    </row>
    <row r="240" s="1" customFormat="1" ht="13.8" spans="1:22">
      <c r="A240" s="697"/>
      <c r="B240" s="803"/>
      <c r="C240" s="342"/>
      <c r="D240" s="716" t="s">
        <v>51</v>
      </c>
      <c r="E240" s="856">
        <v>150000</v>
      </c>
      <c r="F240" s="107">
        <f t="shared" si="48"/>
        <v>150000</v>
      </c>
      <c r="G240" s="84"/>
      <c r="H240" s="84"/>
      <c r="I240" s="82"/>
      <c r="J240" s="220">
        <v>150000</v>
      </c>
      <c r="K240" s="786"/>
      <c r="L240" s="201"/>
      <c r="M240" s="201"/>
      <c r="N240" s="201"/>
      <c r="O240" s="84"/>
      <c r="P240" s="84"/>
      <c r="Q240" s="785"/>
      <c r="R240" s="84"/>
      <c r="S240" s="84"/>
      <c r="T240" s="84"/>
      <c r="U240" s="786"/>
      <c r="V240" s="787">
        <f t="shared" si="49"/>
        <v>0</v>
      </c>
    </row>
    <row r="241" s="1" customFormat="1" ht="13.8" spans="1:22">
      <c r="A241" s="697"/>
      <c r="B241" s="803"/>
      <c r="C241" s="342"/>
      <c r="D241" s="716" t="s">
        <v>90</v>
      </c>
      <c r="E241" s="856"/>
      <c r="F241" s="107">
        <f t="shared" si="48"/>
        <v>0</v>
      </c>
      <c r="G241" s="84"/>
      <c r="H241" s="84"/>
      <c r="I241" s="82"/>
      <c r="J241" s="220"/>
      <c r="K241" s="786"/>
      <c r="L241" s="201"/>
      <c r="M241" s="201"/>
      <c r="N241" s="201"/>
      <c r="O241" s="84"/>
      <c r="P241" s="84"/>
      <c r="Q241" s="785"/>
      <c r="R241" s="84"/>
      <c r="S241" s="84"/>
      <c r="T241" s="84"/>
      <c r="U241" s="786"/>
      <c r="V241" s="787">
        <f t="shared" si="49"/>
        <v>0</v>
      </c>
    </row>
    <row r="242" s="1" customFormat="1" ht="13.8" spans="1:22">
      <c r="A242" s="697"/>
      <c r="B242" s="803"/>
      <c r="C242" s="342"/>
      <c r="D242" s="716" t="s">
        <v>69</v>
      </c>
      <c r="E242" s="856">
        <v>450000</v>
      </c>
      <c r="F242" s="107">
        <f t="shared" si="48"/>
        <v>450000</v>
      </c>
      <c r="G242" s="84"/>
      <c r="H242" s="84"/>
      <c r="I242" s="82"/>
      <c r="J242" s="220">
        <v>450000</v>
      </c>
      <c r="K242" s="786"/>
      <c r="L242" s="201"/>
      <c r="M242" s="201"/>
      <c r="N242" s="201"/>
      <c r="O242" s="84"/>
      <c r="P242" s="84"/>
      <c r="Q242" s="785"/>
      <c r="R242" s="84"/>
      <c r="S242" s="84"/>
      <c r="T242" s="84"/>
      <c r="U242" s="786"/>
      <c r="V242" s="787">
        <f t="shared" si="49"/>
        <v>0</v>
      </c>
    </row>
    <row r="243" s="1" customFormat="1" ht="13.8" spans="1:22">
      <c r="A243" s="697"/>
      <c r="B243" s="803"/>
      <c r="C243" s="342"/>
      <c r="D243" s="716" t="s">
        <v>71</v>
      </c>
      <c r="E243" s="856"/>
      <c r="F243" s="107">
        <f t="shared" si="48"/>
        <v>0</v>
      </c>
      <c r="G243" s="84"/>
      <c r="H243" s="84"/>
      <c r="I243" s="82"/>
      <c r="J243" s="785"/>
      <c r="K243" s="786"/>
      <c r="L243" s="201"/>
      <c r="M243" s="201"/>
      <c r="N243" s="201"/>
      <c r="O243" s="84"/>
      <c r="P243" s="84"/>
      <c r="Q243" s="785"/>
      <c r="R243" s="84"/>
      <c r="S243" s="84"/>
      <c r="T243" s="84"/>
      <c r="U243" s="786"/>
      <c r="V243" s="787">
        <f t="shared" si="49"/>
        <v>0</v>
      </c>
    </row>
    <row r="244" s="1" customFormat="1" ht="13.8" spans="1:25">
      <c r="A244" s="697"/>
      <c r="B244" s="803"/>
      <c r="C244" s="342"/>
      <c r="D244" s="716"/>
      <c r="E244" s="804">
        <f>SUM(E233:E243)</f>
        <v>1925900.47</v>
      </c>
      <c r="F244" s="804">
        <f>SUM(F231:F243)</f>
        <v>1554372.13</v>
      </c>
      <c r="G244" s="804">
        <f>SUM(G231:G243)</f>
        <v>0</v>
      </c>
      <c r="H244" s="804">
        <f t="shared" ref="H244:V244" si="50">SUM(H231:H243)</f>
        <v>0</v>
      </c>
      <c r="I244" s="804">
        <f t="shared" si="50"/>
        <v>0</v>
      </c>
      <c r="J244" s="804">
        <f t="shared" si="50"/>
        <v>1496772.13</v>
      </c>
      <c r="K244" s="804">
        <f t="shared" si="50"/>
        <v>0</v>
      </c>
      <c r="L244" s="804">
        <f t="shared" si="50"/>
        <v>0</v>
      </c>
      <c r="M244" s="804">
        <f t="shared" si="50"/>
        <v>57600</v>
      </c>
      <c r="N244" s="804">
        <f t="shared" si="50"/>
        <v>0</v>
      </c>
      <c r="O244" s="804">
        <f t="shared" si="50"/>
        <v>0</v>
      </c>
      <c r="P244" s="804">
        <f t="shared" si="50"/>
        <v>0</v>
      </c>
      <c r="Q244" s="804">
        <f t="shared" si="50"/>
        <v>0</v>
      </c>
      <c r="R244" s="841">
        <f t="shared" si="50"/>
        <v>0</v>
      </c>
      <c r="S244" s="841">
        <f t="shared" si="50"/>
        <v>0</v>
      </c>
      <c r="T244" s="841">
        <f>SUM(T233:T243)</f>
        <v>0</v>
      </c>
      <c r="U244" s="842">
        <f t="shared" si="50"/>
        <v>0</v>
      </c>
      <c r="V244" s="843">
        <f t="shared" si="50"/>
        <v>521528.34</v>
      </c>
      <c r="X244" s="792"/>
      <c r="Y244" s="792"/>
    </row>
    <row r="245" s="1" customFormat="1" ht="13.8" spans="1:25">
      <c r="A245" s="697"/>
      <c r="B245" s="803"/>
      <c r="C245" s="342"/>
      <c r="D245" s="716"/>
      <c r="E245" s="879"/>
      <c r="F245" s="879"/>
      <c r="G245" s="879"/>
      <c r="H245" s="879"/>
      <c r="I245" s="902"/>
      <c r="J245" s="905"/>
      <c r="K245" s="904"/>
      <c r="L245" s="879"/>
      <c r="M245" s="879"/>
      <c r="N245" s="879"/>
      <c r="O245" s="879"/>
      <c r="P245" s="879"/>
      <c r="Q245" s="905"/>
      <c r="R245" s="915"/>
      <c r="S245" s="915"/>
      <c r="T245" s="915"/>
      <c r="U245" s="904"/>
      <c r="V245" s="916"/>
      <c r="X245" s="792"/>
      <c r="Y245" s="792"/>
    </row>
    <row r="246" s="3" customFormat="1" ht="13.8" spans="1:25">
      <c r="A246" s="695"/>
      <c r="B246" s="802" t="s">
        <v>129</v>
      </c>
      <c r="C246" s="317"/>
      <c r="D246" s="714" t="s">
        <v>130</v>
      </c>
      <c r="E246" s="861">
        <v>456299.53</v>
      </c>
      <c r="F246" s="809"/>
      <c r="G246" s="809"/>
      <c r="H246" s="809"/>
      <c r="I246" s="826"/>
      <c r="J246" s="827"/>
      <c r="K246" s="828"/>
      <c r="L246" s="809"/>
      <c r="M246" s="809"/>
      <c r="N246" s="809"/>
      <c r="O246" s="809"/>
      <c r="P246" s="809"/>
      <c r="Q246" s="827"/>
      <c r="R246" s="908"/>
      <c r="S246" s="908"/>
      <c r="T246" s="908"/>
      <c r="U246" s="828"/>
      <c r="V246" s="787">
        <f t="shared" ref="V246:V251" si="51">E246-F246</f>
        <v>456299.53</v>
      </c>
      <c r="X246" s="848"/>
      <c r="Y246" s="848"/>
    </row>
    <row r="247" s="3" customFormat="1" ht="13.8" spans="1:25">
      <c r="A247" s="695"/>
      <c r="B247" s="802"/>
      <c r="C247" s="317"/>
      <c r="D247" s="714"/>
      <c r="E247" s="809"/>
      <c r="F247" s="809"/>
      <c r="G247" s="809"/>
      <c r="H247" s="809"/>
      <c r="I247" s="826"/>
      <c r="J247" s="827"/>
      <c r="K247" s="828"/>
      <c r="L247" s="809"/>
      <c r="M247" s="809"/>
      <c r="N247" s="809"/>
      <c r="O247" s="809"/>
      <c r="P247" s="809"/>
      <c r="Q247" s="827"/>
      <c r="R247" s="908"/>
      <c r="S247" s="908"/>
      <c r="T247" s="908"/>
      <c r="U247" s="828"/>
      <c r="V247" s="787">
        <f t="shared" si="51"/>
        <v>0</v>
      </c>
      <c r="X247" s="848"/>
      <c r="Y247" s="848"/>
    </row>
    <row r="248" s="3" customFormat="1" ht="13.8" spans="1:25">
      <c r="A248" s="695"/>
      <c r="B248" s="802"/>
      <c r="C248" s="317"/>
      <c r="D248" s="714"/>
      <c r="E248" s="809"/>
      <c r="F248" s="809"/>
      <c r="G248" s="809"/>
      <c r="H248" s="809"/>
      <c r="I248" s="826"/>
      <c r="J248" s="827"/>
      <c r="K248" s="828"/>
      <c r="L248" s="809"/>
      <c r="M248" s="809"/>
      <c r="N248" s="809"/>
      <c r="O248" s="809"/>
      <c r="P248" s="809"/>
      <c r="Q248" s="827"/>
      <c r="R248" s="908"/>
      <c r="S248" s="908"/>
      <c r="T248" s="908"/>
      <c r="U248" s="828"/>
      <c r="V248" s="787">
        <f t="shared" si="51"/>
        <v>0</v>
      </c>
      <c r="X248" s="848"/>
      <c r="Y248" s="848"/>
    </row>
    <row r="249" s="1" customFormat="1" ht="13.8" spans="1:22">
      <c r="A249" s="697"/>
      <c r="B249" s="803"/>
      <c r="C249" s="342"/>
      <c r="D249" s="716"/>
      <c r="E249" s="84"/>
      <c r="F249" s="107"/>
      <c r="G249" s="84"/>
      <c r="H249" s="84"/>
      <c r="I249" s="82"/>
      <c r="J249" s="785"/>
      <c r="K249" s="786"/>
      <c r="L249" s="201"/>
      <c r="M249" s="201"/>
      <c r="N249" s="201"/>
      <c r="O249" s="84"/>
      <c r="P249" s="84"/>
      <c r="Q249" s="785"/>
      <c r="R249" s="84"/>
      <c r="S249" s="84"/>
      <c r="T249" s="84"/>
      <c r="U249" s="786"/>
      <c r="V249" s="787">
        <f t="shared" si="51"/>
        <v>0</v>
      </c>
    </row>
    <row r="250" s="1" customFormat="1" ht="13.8" spans="1:22">
      <c r="A250" s="697"/>
      <c r="B250" s="803" t="s">
        <v>131</v>
      </c>
      <c r="C250" s="342"/>
      <c r="D250" s="716" t="s">
        <v>132</v>
      </c>
      <c r="E250" s="856"/>
      <c r="F250" s="107">
        <f>SUM(G250:U250)</f>
        <v>0</v>
      </c>
      <c r="G250" s="84"/>
      <c r="H250" s="84"/>
      <c r="I250" s="82"/>
      <c r="J250" s="785"/>
      <c r="K250" s="786"/>
      <c r="L250" s="201"/>
      <c r="M250" s="201"/>
      <c r="N250" s="201"/>
      <c r="O250" s="84"/>
      <c r="P250" s="84"/>
      <c r="Q250" s="785"/>
      <c r="R250" s="84"/>
      <c r="S250" s="84"/>
      <c r="T250" s="84"/>
      <c r="U250" s="786"/>
      <c r="V250" s="787">
        <f t="shared" si="51"/>
        <v>0</v>
      </c>
    </row>
    <row r="251" s="1" customFormat="1" ht="13.8" spans="1:22">
      <c r="A251" s="697"/>
      <c r="B251" s="803"/>
      <c r="C251" s="342"/>
      <c r="D251" s="716" t="s">
        <v>44</v>
      </c>
      <c r="E251" s="856"/>
      <c r="F251" s="107">
        <f>SUM(G251:U251)</f>
        <v>0</v>
      </c>
      <c r="G251" s="84"/>
      <c r="H251" s="84"/>
      <c r="I251" s="82"/>
      <c r="J251" s="785"/>
      <c r="K251" s="786"/>
      <c r="L251" s="201"/>
      <c r="M251" s="201"/>
      <c r="N251" s="201"/>
      <c r="O251" s="84"/>
      <c r="P251" s="84"/>
      <c r="Q251" s="785"/>
      <c r="R251" s="84"/>
      <c r="S251" s="84"/>
      <c r="T251" s="84"/>
      <c r="U251" s="786"/>
      <c r="V251" s="866">
        <f t="shared" si="51"/>
        <v>0</v>
      </c>
    </row>
    <row r="252" s="1" customFormat="1" ht="13.8" spans="1:22">
      <c r="A252" s="697"/>
      <c r="B252" s="803"/>
      <c r="C252" s="342"/>
      <c r="D252" s="716"/>
      <c r="E252" s="804">
        <f>SUM(E250:E251)</f>
        <v>0</v>
      </c>
      <c r="F252" s="804">
        <f t="shared" ref="F252:U252" si="52">SUM(F250:F251)</f>
        <v>0</v>
      </c>
      <c r="G252" s="804">
        <f t="shared" si="52"/>
        <v>0</v>
      </c>
      <c r="H252" s="804">
        <f t="shared" si="52"/>
        <v>0</v>
      </c>
      <c r="I252" s="804">
        <f t="shared" si="52"/>
        <v>0</v>
      </c>
      <c r="J252" s="804"/>
      <c r="K252" s="804">
        <f t="shared" si="52"/>
        <v>0</v>
      </c>
      <c r="L252" s="804">
        <f t="shared" si="52"/>
        <v>0</v>
      </c>
      <c r="M252" s="804">
        <f t="shared" si="52"/>
        <v>0</v>
      </c>
      <c r="N252" s="804">
        <f t="shared" si="52"/>
        <v>0</v>
      </c>
      <c r="O252" s="804">
        <f t="shared" si="52"/>
        <v>0</v>
      </c>
      <c r="P252" s="804">
        <f t="shared" si="52"/>
        <v>0</v>
      </c>
      <c r="Q252" s="804">
        <f t="shared" si="52"/>
        <v>0</v>
      </c>
      <c r="R252" s="804">
        <f t="shared" si="52"/>
        <v>0</v>
      </c>
      <c r="S252" s="804">
        <f t="shared" si="52"/>
        <v>0</v>
      </c>
      <c r="T252" s="804">
        <f t="shared" si="52"/>
        <v>0</v>
      </c>
      <c r="U252" s="842">
        <f t="shared" si="52"/>
        <v>0</v>
      </c>
      <c r="V252" s="843">
        <f>SUM(V246:V251)</f>
        <v>456299.53</v>
      </c>
    </row>
    <row r="253" s="1" customFormat="1" ht="13.8" spans="1:22">
      <c r="A253" s="697"/>
      <c r="B253" s="803"/>
      <c r="C253" s="342"/>
      <c r="D253" s="716"/>
      <c r="E253" s="879"/>
      <c r="F253" s="879"/>
      <c r="G253" s="879"/>
      <c r="H253" s="879"/>
      <c r="I253" s="902"/>
      <c r="J253" s="905"/>
      <c r="K253" s="904"/>
      <c r="L253" s="879"/>
      <c r="M253" s="879"/>
      <c r="N253" s="879"/>
      <c r="O253" s="879"/>
      <c r="P253" s="879"/>
      <c r="Q253" s="905"/>
      <c r="R253" s="879"/>
      <c r="S253" s="879"/>
      <c r="T253" s="879"/>
      <c r="U253" s="904"/>
      <c r="V253" s="913"/>
    </row>
    <row r="254" s="1" customFormat="1" ht="13.8" spans="1:22">
      <c r="A254" s="697"/>
      <c r="B254" s="803" t="s">
        <v>133</v>
      </c>
      <c r="C254" s="342"/>
      <c r="D254" s="716" t="s">
        <v>134</v>
      </c>
      <c r="E254" s="84"/>
      <c r="F254" s="107">
        <f>SUM(G254:U254)</f>
        <v>0</v>
      </c>
      <c r="G254" s="84"/>
      <c r="H254" s="84"/>
      <c r="I254" s="82"/>
      <c r="J254" s="785"/>
      <c r="K254" s="786"/>
      <c r="L254" s="201"/>
      <c r="M254" s="201"/>
      <c r="N254" s="201"/>
      <c r="O254" s="84"/>
      <c r="P254" s="84"/>
      <c r="Q254" s="785"/>
      <c r="R254" s="84"/>
      <c r="S254" s="84"/>
      <c r="T254" s="84"/>
      <c r="U254" s="786"/>
      <c r="V254" s="787">
        <f>E254-F254</f>
        <v>0</v>
      </c>
    </row>
    <row r="255" s="1" customFormat="1" ht="13.8" spans="1:22">
      <c r="A255" s="697"/>
      <c r="B255" s="816"/>
      <c r="C255" s="342"/>
      <c r="D255" s="716" t="s">
        <v>68</v>
      </c>
      <c r="E255" s="856"/>
      <c r="F255" s="107">
        <f>SUM(G255:U255)</f>
        <v>0</v>
      </c>
      <c r="G255" s="84"/>
      <c r="H255" s="84"/>
      <c r="I255" s="82"/>
      <c r="J255" s="785"/>
      <c r="K255" s="786"/>
      <c r="L255" s="201"/>
      <c r="M255" s="201"/>
      <c r="N255" s="201"/>
      <c r="O255" s="84"/>
      <c r="P255" s="84"/>
      <c r="Q255" s="785"/>
      <c r="R255" s="84"/>
      <c r="S255" s="84"/>
      <c r="T255" s="84"/>
      <c r="U255" s="786"/>
      <c r="V255" s="787">
        <f t="shared" ref="V255:V257" si="53">E255-F255</f>
        <v>0</v>
      </c>
    </row>
    <row r="256" s="1" customFormat="1" ht="13.8" spans="1:22">
      <c r="A256" s="697"/>
      <c r="B256" s="816"/>
      <c r="C256" s="342"/>
      <c r="D256" s="716" t="s">
        <v>90</v>
      </c>
      <c r="E256" s="856"/>
      <c r="F256" s="107">
        <f>SUM(G256:U256)</f>
        <v>0</v>
      </c>
      <c r="G256" s="84"/>
      <c r="H256" s="84"/>
      <c r="I256" s="82"/>
      <c r="J256" s="785"/>
      <c r="K256" s="786"/>
      <c r="L256" s="201"/>
      <c r="M256" s="201"/>
      <c r="N256" s="201"/>
      <c r="O256" s="84"/>
      <c r="P256" s="84"/>
      <c r="Q256" s="785"/>
      <c r="R256" s="84"/>
      <c r="S256" s="84"/>
      <c r="T256" s="84"/>
      <c r="U256" s="786"/>
      <c r="V256" s="787">
        <f t="shared" si="53"/>
        <v>0</v>
      </c>
    </row>
    <row r="257" s="1" customFormat="1" ht="13.8" spans="1:22">
      <c r="A257" s="697"/>
      <c r="C257" s="342"/>
      <c r="D257" s="716" t="s">
        <v>69</v>
      </c>
      <c r="E257" s="856">
        <v>293505.46</v>
      </c>
      <c r="F257" s="107">
        <f>SUM(G257:U257)</f>
        <v>122166.44</v>
      </c>
      <c r="G257" s="84"/>
      <c r="H257" s="84"/>
      <c r="I257" s="82"/>
      <c r="J257" s="220">
        <v>93366.44</v>
      </c>
      <c r="K257" s="786"/>
      <c r="L257" s="201"/>
      <c r="M257" s="201">
        <v>28800</v>
      </c>
      <c r="N257" s="201"/>
      <c r="O257" s="84"/>
      <c r="P257" s="84"/>
      <c r="Q257" s="785"/>
      <c r="R257" s="84"/>
      <c r="S257" s="84"/>
      <c r="T257" s="84"/>
      <c r="U257" s="786"/>
      <c r="V257" s="787">
        <f t="shared" si="53"/>
        <v>171339.02</v>
      </c>
    </row>
    <row r="258" s="1" customFormat="1" ht="13.8" spans="1:25">
      <c r="A258" s="697"/>
      <c r="B258" s="803"/>
      <c r="C258" s="342"/>
      <c r="D258" s="716"/>
      <c r="E258" s="804">
        <f>SUM(E254:E257)</f>
        <v>293505.46</v>
      </c>
      <c r="F258" s="804">
        <f>SUM(F254:F257)</f>
        <v>122166.44</v>
      </c>
      <c r="G258" s="804">
        <f t="shared" ref="G258:V258" si="54">SUM(G254:G257)</f>
        <v>0</v>
      </c>
      <c r="H258" s="804">
        <f t="shared" si="54"/>
        <v>0</v>
      </c>
      <c r="I258" s="804">
        <f t="shared" si="54"/>
        <v>0</v>
      </c>
      <c r="J258" s="876"/>
      <c r="K258" s="804">
        <f t="shared" si="54"/>
        <v>0</v>
      </c>
      <c r="L258" s="804">
        <f t="shared" si="54"/>
        <v>0</v>
      </c>
      <c r="M258" s="804">
        <f t="shared" si="54"/>
        <v>28800</v>
      </c>
      <c r="N258" s="804">
        <f t="shared" si="54"/>
        <v>0</v>
      </c>
      <c r="O258" s="804">
        <f t="shared" si="54"/>
        <v>0</v>
      </c>
      <c r="P258" s="804">
        <f t="shared" si="54"/>
        <v>0</v>
      </c>
      <c r="Q258" s="804">
        <f t="shared" si="54"/>
        <v>0</v>
      </c>
      <c r="R258" s="804">
        <f t="shared" si="54"/>
        <v>0</v>
      </c>
      <c r="S258" s="804">
        <f t="shared" si="54"/>
        <v>0</v>
      </c>
      <c r="T258" s="804">
        <f t="shared" si="54"/>
        <v>0</v>
      </c>
      <c r="U258" s="842">
        <f t="shared" si="54"/>
        <v>0</v>
      </c>
      <c r="V258" s="843">
        <f t="shared" si="54"/>
        <v>171339.02</v>
      </c>
      <c r="X258" s="792"/>
      <c r="Y258" s="792"/>
    </row>
    <row r="259" s="1" customFormat="1" ht="13.8" spans="1:22">
      <c r="A259" s="697"/>
      <c r="B259" s="803"/>
      <c r="C259" s="342"/>
      <c r="D259" s="716"/>
      <c r="E259" s="84"/>
      <c r="F259" s="107"/>
      <c r="G259" s="84"/>
      <c r="H259" s="84"/>
      <c r="I259" s="82"/>
      <c r="J259" s="220"/>
      <c r="K259" s="786"/>
      <c r="L259" s="201"/>
      <c r="M259" s="201"/>
      <c r="N259" s="201"/>
      <c r="O259" s="84"/>
      <c r="P259" s="84"/>
      <c r="Q259" s="785"/>
      <c r="R259" s="84"/>
      <c r="S259" s="84"/>
      <c r="T259" s="84"/>
      <c r="U259" s="786"/>
      <c r="V259" s="787"/>
    </row>
    <row r="260" s="1" customFormat="1" ht="13.8" spans="1:22">
      <c r="A260" s="697"/>
      <c r="B260" s="803" t="s">
        <v>135</v>
      </c>
      <c r="C260" s="342"/>
      <c r="D260" s="716" t="s">
        <v>136</v>
      </c>
      <c r="E260" s="856"/>
      <c r="F260" s="107">
        <f t="shared" ref="F260:F263" si="55">SUM(G260:U260)</f>
        <v>0</v>
      </c>
      <c r="G260" s="84"/>
      <c r="H260" s="84"/>
      <c r="I260" s="82"/>
      <c r="J260" s="220"/>
      <c r="K260" s="786"/>
      <c r="L260" s="201"/>
      <c r="M260" s="201"/>
      <c r="N260" s="201"/>
      <c r="O260" s="84"/>
      <c r="P260" s="84"/>
      <c r="Q260" s="785"/>
      <c r="R260" s="84"/>
      <c r="S260" s="84"/>
      <c r="T260" s="84"/>
      <c r="U260" s="786"/>
      <c r="V260" s="787">
        <f t="shared" ref="V260:V263" si="56">E260-F260</f>
        <v>0</v>
      </c>
    </row>
    <row r="261" s="1" customFormat="1" ht="13.8" spans="1:22">
      <c r="A261" s="697"/>
      <c r="B261" s="803"/>
      <c r="C261" s="342"/>
      <c r="D261" s="880" t="s">
        <v>79</v>
      </c>
      <c r="E261" s="856"/>
      <c r="F261" s="107">
        <f t="shared" si="55"/>
        <v>0</v>
      </c>
      <c r="G261" s="84"/>
      <c r="H261" s="84"/>
      <c r="I261" s="82"/>
      <c r="J261" s="220"/>
      <c r="K261" s="786"/>
      <c r="L261" s="201"/>
      <c r="M261" s="201"/>
      <c r="N261" s="201"/>
      <c r="O261" s="84"/>
      <c r="P261" s="84"/>
      <c r="Q261" s="785"/>
      <c r="R261" s="84"/>
      <c r="S261" s="84"/>
      <c r="T261" s="84"/>
      <c r="U261" s="786"/>
      <c r="V261" s="790">
        <f t="shared" si="56"/>
        <v>0</v>
      </c>
    </row>
    <row r="262" s="1" customFormat="1" ht="13.8" spans="1:22">
      <c r="A262" s="697"/>
      <c r="B262" s="803"/>
      <c r="C262" s="342"/>
      <c r="D262" s="716" t="s">
        <v>68</v>
      </c>
      <c r="E262" s="856">
        <v>235200</v>
      </c>
      <c r="F262" s="107">
        <f t="shared" si="55"/>
        <v>235200</v>
      </c>
      <c r="G262" s="84"/>
      <c r="H262" s="84"/>
      <c r="I262" s="82"/>
      <c r="J262" s="220">
        <v>235200</v>
      </c>
      <c r="K262" s="786"/>
      <c r="L262" s="201"/>
      <c r="M262" s="201"/>
      <c r="N262" s="201"/>
      <c r="O262" s="84"/>
      <c r="P262" s="84"/>
      <c r="Q262" s="785"/>
      <c r="R262" s="84"/>
      <c r="S262" s="84"/>
      <c r="T262" s="84"/>
      <c r="U262" s="786"/>
      <c r="V262" s="866">
        <f t="shared" si="56"/>
        <v>0</v>
      </c>
    </row>
    <row r="263" s="1" customFormat="1" ht="13.8" spans="1:22">
      <c r="A263" s="697"/>
      <c r="B263" s="803"/>
      <c r="C263" s="342"/>
      <c r="D263" s="716" t="s">
        <v>137</v>
      </c>
      <c r="E263" s="856"/>
      <c r="F263" s="107">
        <f t="shared" si="55"/>
        <v>0</v>
      </c>
      <c r="G263" s="84"/>
      <c r="H263" s="84"/>
      <c r="I263" s="82"/>
      <c r="J263" s="785"/>
      <c r="K263" s="786"/>
      <c r="L263" s="201"/>
      <c r="M263" s="201"/>
      <c r="N263" s="201"/>
      <c r="O263" s="84"/>
      <c r="P263" s="84"/>
      <c r="Q263" s="785"/>
      <c r="R263" s="84"/>
      <c r="S263" s="84"/>
      <c r="T263" s="84"/>
      <c r="U263" s="786"/>
      <c r="V263" s="787">
        <f t="shared" si="56"/>
        <v>0</v>
      </c>
    </row>
    <row r="264" s="1" customFormat="1" ht="13.8" spans="1:25">
      <c r="A264" s="812"/>
      <c r="B264" s="813"/>
      <c r="C264" s="330"/>
      <c r="D264" s="814"/>
      <c r="E264" s="815">
        <f>SUM(E260:E263)</f>
        <v>235200</v>
      </c>
      <c r="F264" s="815">
        <f>SUM(F260:F263)</f>
        <v>235200</v>
      </c>
      <c r="G264" s="815">
        <f>SUM(G260:G263)</f>
        <v>0</v>
      </c>
      <c r="H264" s="815">
        <f t="shared" ref="H264:V264" si="57">SUM(H260:H263)</f>
        <v>0</v>
      </c>
      <c r="I264" s="815">
        <f t="shared" si="57"/>
        <v>0</v>
      </c>
      <c r="J264" s="815"/>
      <c r="K264" s="815">
        <f t="shared" si="57"/>
        <v>0</v>
      </c>
      <c r="L264" s="815">
        <f t="shared" si="57"/>
        <v>0</v>
      </c>
      <c r="M264" s="815">
        <f t="shared" si="57"/>
        <v>0</v>
      </c>
      <c r="N264" s="815">
        <f t="shared" si="57"/>
        <v>0</v>
      </c>
      <c r="O264" s="815">
        <f t="shared" si="57"/>
        <v>0</v>
      </c>
      <c r="P264" s="815">
        <f t="shared" si="57"/>
        <v>0</v>
      </c>
      <c r="Q264" s="815">
        <f t="shared" si="57"/>
        <v>0</v>
      </c>
      <c r="R264" s="815">
        <f t="shared" si="57"/>
        <v>0</v>
      </c>
      <c r="S264" s="815">
        <f t="shared" si="57"/>
        <v>0</v>
      </c>
      <c r="T264" s="815">
        <f t="shared" si="57"/>
        <v>0</v>
      </c>
      <c r="U264" s="850">
        <f t="shared" si="57"/>
        <v>0</v>
      </c>
      <c r="V264" s="851">
        <f t="shared" si="57"/>
        <v>0</v>
      </c>
      <c r="X264" s="792"/>
      <c r="Y264" s="792"/>
    </row>
    <row r="265" s="1" customFormat="1" ht="13.8" spans="1:22">
      <c r="A265" s="17" t="s">
        <v>0</v>
      </c>
      <c r="B265" s="17"/>
      <c r="C265" s="17"/>
      <c r="D265" s="17"/>
      <c r="E265" s="17"/>
      <c r="F265" s="17"/>
      <c r="G265" s="17"/>
      <c r="H265" s="17"/>
      <c r="I265" s="17"/>
      <c r="J265" s="17"/>
      <c r="K265" s="225"/>
      <c r="L265" s="222"/>
      <c r="M265" s="222"/>
      <c r="N265" s="222"/>
      <c r="V265" s="778"/>
    </row>
    <row r="266" s="1" customFormat="1" ht="13.8" spans="1:22">
      <c r="A266" s="17" t="s">
        <v>91</v>
      </c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V266" s="778"/>
    </row>
    <row r="267" s="1" customFormat="1" ht="13.8" spans="1:22">
      <c r="A267" s="17" t="s">
        <v>11</v>
      </c>
      <c r="B267" s="17"/>
      <c r="C267" s="17"/>
      <c r="D267" s="17"/>
      <c r="E267" s="17"/>
      <c r="F267" s="17"/>
      <c r="G267" s="17"/>
      <c r="H267" s="17"/>
      <c r="I267" s="17"/>
      <c r="J267" s="17"/>
      <c r="K267" s="225"/>
      <c r="L267" s="222"/>
      <c r="M267" s="222"/>
      <c r="N267" s="222"/>
      <c r="V267" s="778"/>
    </row>
    <row r="268" s="1" customFormat="1" ht="13.8" spans="1:22">
      <c r="A268" s="17" t="s">
        <v>2</v>
      </c>
      <c r="B268" s="17"/>
      <c r="C268" s="17"/>
      <c r="D268" s="17"/>
      <c r="E268" s="17"/>
      <c r="F268" s="17"/>
      <c r="G268" s="17"/>
      <c r="H268" s="17"/>
      <c r="I268" s="17"/>
      <c r="J268" s="17"/>
      <c r="K268" s="225"/>
      <c r="L268" s="222"/>
      <c r="M268" s="222"/>
      <c r="N268" s="222"/>
      <c r="V268" s="778"/>
    </row>
    <row r="269" s="1" customFormat="1" ht="14.55" spans="1:22">
      <c r="A269" s="17" t="s">
        <v>75</v>
      </c>
      <c r="B269" s="17"/>
      <c r="C269" s="17"/>
      <c r="D269" s="17"/>
      <c r="E269" s="17"/>
      <c r="F269" s="17"/>
      <c r="G269" s="17"/>
      <c r="H269" s="17"/>
      <c r="I269" s="17"/>
      <c r="J269" s="17"/>
      <c r="K269" s="225"/>
      <c r="L269" s="222"/>
      <c r="M269" s="222"/>
      <c r="N269" s="222"/>
      <c r="V269" s="829" t="s">
        <v>105</v>
      </c>
    </row>
    <row r="270" s="1" customFormat="1" ht="14.55" spans="1:22">
      <c r="A270" s="18"/>
      <c r="B270" s="19"/>
      <c r="C270" s="19"/>
      <c r="D270" s="23"/>
      <c r="E270" s="22" t="s">
        <v>5</v>
      </c>
      <c r="F270" s="23"/>
      <c r="G270" s="24" t="s">
        <v>6</v>
      </c>
      <c r="H270" s="165"/>
      <c r="I270" s="165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763"/>
    </row>
    <row r="271" s="1" customFormat="1" ht="13.8" spans="1:22">
      <c r="A271" s="25"/>
      <c r="B271" s="6"/>
      <c r="C271" s="6"/>
      <c r="D271" s="249"/>
      <c r="E271" s="28" t="s">
        <v>7</v>
      </c>
      <c r="F271" s="28" t="s">
        <v>8</v>
      </c>
      <c r="G271" s="29" t="s">
        <v>9</v>
      </c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778"/>
    </row>
    <row r="272" s="1" customFormat="1" ht="13.8" spans="1:22">
      <c r="A272" s="30" t="s">
        <v>10</v>
      </c>
      <c r="B272" s="31"/>
      <c r="C272" s="691"/>
      <c r="D272" s="28" t="s">
        <v>11</v>
      </c>
      <c r="E272" s="28" t="s">
        <v>12</v>
      </c>
      <c r="F272" s="28" t="s">
        <v>13</v>
      </c>
      <c r="H272" s="28"/>
      <c r="I272" s="27"/>
      <c r="J272" s="27" t="s">
        <v>14</v>
      </c>
      <c r="K272" s="168"/>
      <c r="L272" s="170"/>
      <c r="M272" s="169"/>
      <c r="N272" s="170"/>
      <c r="O272" s="28"/>
      <c r="P272" s="28"/>
      <c r="Q272" s="36"/>
      <c r="R272" s="167"/>
      <c r="S272" s="754"/>
      <c r="T272" s="754"/>
      <c r="U272" s="853"/>
      <c r="V272" s="834"/>
    </row>
    <row r="273" s="1" customFormat="1" ht="13.8" spans="1:22">
      <c r="A273" s="34"/>
      <c r="D273" s="28" t="s">
        <v>15</v>
      </c>
      <c r="E273" s="28" t="s">
        <v>16</v>
      </c>
      <c r="F273" s="28" t="s">
        <v>17</v>
      </c>
      <c r="G273" s="28" t="s">
        <v>18</v>
      </c>
      <c r="H273" s="28" t="s">
        <v>19</v>
      </c>
      <c r="I273" s="27" t="s">
        <v>20</v>
      </c>
      <c r="J273" s="733">
        <v>41334</v>
      </c>
      <c r="K273" s="169" t="s">
        <v>21</v>
      </c>
      <c r="L273" s="170" t="s">
        <v>22</v>
      </c>
      <c r="M273" s="734" t="s">
        <v>23</v>
      </c>
      <c r="N273" s="734" t="s">
        <v>24</v>
      </c>
      <c r="O273" s="734" t="s">
        <v>93</v>
      </c>
      <c r="P273" s="28" t="s">
        <v>26</v>
      </c>
      <c r="Q273" s="756" t="s">
        <v>27</v>
      </c>
      <c r="R273" s="757" t="s">
        <v>14</v>
      </c>
      <c r="S273" s="758" t="s">
        <v>28</v>
      </c>
      <c r="T273" s="758" t="s">
        <v>28</v>
      </c>
      <c r="U273" s="833" t="s">
        <v>29</v>
      </c>
      <c r="V273" s="834" t="s">
        <v>30</v>
      </c>
    </row>
    <row r="274" s="1" customFormat="1" ht="14.55" spans="1:22">
      <c r="A274" s="37"/>
      <c r="B274" s="38"/>
      <c r="C274" s="38"/>
      <c r="D274" s="230"/>
      <c r="E274" s="41" t="s">
        <v>31</v>
      </c>
      <c r="F274" s="42"/>
      <c r="G274" s="692"/>
      <c r="H274" s="42"/>
      <c r="I274" s="368"/>
      <c r="J274" s="1070" t="s">
        <v>32</v>
      </c>
      <c r="K274" s="42"/>
      <c r="L274" s="175"/>
      <c r="M274" s="174"/>
      <c r="N274" s="735"/>
      <c r="O274" s="692"/>
      <c r="P274" s="230"/>
      <c r="Q274" s="759"/>
      <c r="R274" s="835" t="s">
        <v>76</v>
      </c>
      <c r="S274" s="761"/>
      <c r="T274" s="761"/>
      <c r="U274" s="836"/>
      <c r="V274" s="837"/>
    </row>
    <row r="275" s="1" customFormat="1" ht="14.55" spans="1:22">
      <c r="A275" s="536"/>
      <c r="B275" s="917" t="s">
        <v>138</v>
      </c>
      <c r="C275" s="917"/>
      <c r="D275" s="918" t="s">
        <v>42</v>
      </c>
      <c r="E275" s="919"/>
      <c r="F275" s="107">
        <f t="shared" ref="F275:F292" si="58">SUM(G275:U275)</f>
        <v>0</v>
      </c>
      <c r="G275" s="128"/>
      <c r="H275" s="128"/>
      <c r="I275" s="937"/>
      <c r="J275" s="938"/>
      <c r="K275" s="939"/>
      <c r="L275" s="940"/>
      <c r="M275" s="940"/>
      <c r="N275" s="940"/>
      <c r="O275" s="128"/>
      <c r="P275" s="128"/>
      <c r="Q275" s="949"/>
      <c r="R275" s="128"/>
      <c r="S275" s="128"/>
      <c r="T275" s="128"/>
      <c r="U275" s="939"/>
      <c r="V275" s="950">
        <f>E275-F275</f>
        <v>0</v>
      </c>
    </row>
    <row r="276" s="1" customFormat="1" ht="13.8" spans="1:22">
      <c r="A276" s="697"/>
      <c r="B276" s="80"/>
      <c r="C276" s="342"/>
      <c r="D276" s="716" t="s">
        <v>43</v>
      </c>
      <c r="E276" s="856">
        <v>367426.54</v>
      </c>
      <c r="F276" s="107">
        <f t="shared" si="58"/>
        <v>367426.54</v>
      </c>
      <c r="G276" s="84"/>
      <c r="H276" s="84"/>
      <c r="I276" s="941"/>
      <c r="J276" s="942">
        <v>367426.54</v>
      </c>
      <c r="K276" s="221"/>
      <c r="L276" s="191"/>
      <c r="M276" s="191"/>
      <c r="N276" s="191"/>
      <c r="O276" s="107"/>
      <c r="P276" s="84"/>
      <c r="Q276" s="785"/>
      <c r="R276" s="84"/>
      <c r="S276" s="84"/>
      <c r="T276" s="84"/>
      <c r="U276" s="786"/>
      <c r="V276" s="950">
        <f t="shared" ref="V276:V292" si="59">E276-F276</f>
        <v>0</v>
      </c>
    </row>
    <row r="277" s="1" customFormat="1" ht="13.8" spans="1:22">
      <c r="A277" s="697"/>
      <c r="B277" s="80"/>
      <c r="C277" s="342"/>
      <c r="D277" s="880" t="s">
        <v>134</v>
      </c>
      <c r="E277" s="856"/>
      <c r="F277" s="107">
        <f t="shared" si="58"/>
        <v>0</v>
      </c>
      <c r="G277" s="84"/>
      <c r="H277" s="84"/>
      <c r="I277" s="941"/>
      <c r="J277" s="942"/>
      <c r="K277" s="221"/>
      <c r="L277" s="191"/>
      <c r="M277" s="191"/>
      <c r="N277" s="191"/>
      <c r="O277" s="107"/>
      <c r="P277" s="84"/>
      <c r="Q277" s="785"/>
      <c r="R277" s="84"/>
      <c r="S277" s="84"/>
      <c r="T277" s="84"/>
      <c r="U277" s="786"/>
      <c r="V277" s="950">
        <f t="shared" si="59"/>
        <v>0</v>
      </c>
    </row>
    <row r="278" s="1" customFormat="1" ht="13.8" spans="1:22">
      <c r="A278" s="697"/>
      <c r="B278" s="80"/>
      <c r="C278" s="342"/>
      <c r="D278" s="716" t="s">
        <v>44</v>
      </c>
      <c r="E278" s="856">
        <v>772605.46</v>
      </c>
      <c r="F278" s="107">
        <f t="shared" si="58"/>
        <v>467551.9</v>
      </c>
      <c r="G278" s="84"/>
      <c r="H278" s="84"/>
      <c r="I278" s="941"/>
      <c r="J278" s="942">
        <v>467551.9</v>
      </c>
      <c r="K278" s="221"/>
      <c r="L278" s="191"/>
      <c r="M278" s="191"/>
      <c r="N278" s="191"/>
      <c r="O278" s="107"/>
      <c r="P278" s="84"/>
      <c r="Q278" s="785"/>
      <c r="R278" s="84"/>
      <c r="S278" s="84"/>
      <c r="T278" s="84"/>
      <c r="U278" s="786"/>
      <c r="V278" s="950">
        <f t="shared" si="59"/>
        <v>305053.56</v>
      </c>
    </row>
    <row r="279" s="1" customFormat="1" ht="13.8" spans="1:22">
      <c r="A279" s="697"/>
      <c r="B279" s="80"/>
      <c r="C279" s="342"/>
      <c r="D279" s="716" t="s">
        <v>46</v>
      </c>
      <c r="E279" s="856">
        <v>562988.88</v>
      </c>
      <c r="F279" s="107">
        <f t="shared" si="58"/>
        <v>0</v>
      </c>
      <c r="G279" s="84"/>
      <c r="H279" s="84"/>
      <c r="I279" s="941"/>
      <c r="J279" s="942"/>
      <c r="K279" s="221"/>
      <c r="L279" s="191"/>
      <c r="M279" s="191"/>
      <c r="N279" s="191"/>
      <c r="O279" s="107"/>
      <c r="P279" s="84"/>
      <c r="Q279" s="785"/>
      <c r="R279" s="84"/>
      <c r="S279" s="84"/>
      <c r="T279" s="84"/>
      <c r="U279" s="786"/>
      <c r="V279" s="950">
        <f t="shared" si="59"/>
        <v>562988.88</v>
      </c>
    </row>
    <row r="280" s="1" customFormat="1" ht="13.8" spans="1:22">
      <c r="A280" s="697"/>
      <c r="B280" s="80"/>
      <c r="C280" s="342"/>
      <c r="D280" s="716" t="s">
        <v>139</v>
      </c>
      <c r="E280" s="856"/>
      <c r="F280" s="107">
        <f t="shared" si="58"/>
        <v>1391414</v>
      </c>
      <c r="G280" s="107">
        <v>189135</v>
      </c>
      <c r="H280" s="107">
        <v>237845</v>
      </c>
      <c r="I280" s="461">
        <v>286960</v>
      </c>
      <c r="J280" s="942"/>
      <c r="K280" s="221">
        <v>426800</v>
      </c>
      <c r="L280" s="191">
        <v>101979</v>
      </c>
      <c r="M280" s="191">
        <v>6495</v>
      </c>
      <c r="N280" s="191">
        <v>142200</v>
      </c>
      <c r="O280" s="107"/>
      <c r="P280" s="84"/>
      <c r="Q280" s="785"/>
      <c r="R280" s="84"/>
      <c r="S280" s="84"/>
      <c r="T280" s="84"/>
      <c r="U280" s="786"/>
      <c r="V280" s="950">
        <f>F280</f>
        <v>1391414</v>
      </c>
    </row>
    <row r="281" s="1" customFormat="1" ht="13.8" spans="1:22">
      <c r="A281" s="697"/>
      <c r="B281" s="80"/>
      <c r="C281" s="342"/>
      <c r="D281" s="716" t="s">
        <v>65</v>
      </c>
      <c r="E281" s="856">
        <v>115458.49</v>
      </c>
      <c r="F281" s="107">
        <f t="shared" si="58"/>
        <v>0</v>
      </c>
      <c r="G281" s="84"/>
      <c r="H281" s="84"/>
      <c r="I281" s="941"/>
      <c r="J281" s="942"/>
      <c r="K281" s="221"/>
      <c r="L281" s="191"/>
      <c r="M281" s="191"/>
      <c r="N281" s="191"/>
      <c r="O281" s="107"/>
      <c r="P281" s="84"/>
      <c r="Q281" s="785"/>
      <c r="R281" s="84"/>
      <c r="S281" s="84"/>
      <c r="T281" s="84"/>
      <c r="U281" s="786"/>
      <c r="V281" s="950">
        <f t="shared" si="59"/>
        <v>115458.49</v>
      </c>
    </row>
    <row r="282" s="1" customFormat="1" ht="13.8" spans="1:22">
      <c r="A282" s="697"/>
      <c r="B282" s="80"/>
      <c r="C282" s="342"/>
      <c r="D282" s="716" t="s">
        <v>66</v>
      </c>
      <c r="E282" s="856">
        <v>279330</v>
      </c>
      <c r="F282" s="107">
        <f t="shared" si="58"/>
        <v>122712.15</v>
      </c>
      <c r="G282" s="84"/>
      <c r="H282" s="84"/>
      <c r="I282" s="941"/>
      <c r="J282" s="942">
        <v>122712.15</v>
      </c>
      <c r="K282" s="221"/>
      <c r="L282" s="191"/>
      <c r="M282" s="191"/>
      <c r="N282" s="191"/>
      <c r="O282" s="107"/>
      <c r="P282" s="84"/>
      <c r="Q282" s="785"/>
      <c r="R282" s="84"/>
      <c r="S282" s="84"/>
      <c r="T282" s="84"/>
      <c r="U282" s="786"/>
      <c r="V282" s="950">
        <f t="shared" si="59"/>
        <v>156617.85</v>
      </c>
    </row>
    <row r="283" s="1" customFormat="1" ht="13.8" spans="1:22">
      <c r="A283" s="697"/>
      <c r="B283" s="80"/>
      <c r="C283" s="342"/>
      <c r="D283" s="716" t="s">
        <v>113</v>
      </c>
      <c r="E283" s="856">
        <v>64000</v>
      </c>
      <c r="F283" s="107">
        <f t="shared" si="58"/>
        <v>0</v>
      </c>
      <c r="G283" s="84"/>
      <c r="H283" s="84"/>
      <c r="I283" s="941"/>
      <c r="J283" s="942"/>
      <c r="K283" s="221"/>
      <c r="L283" s="191"/>
      <c r="M283" s="191"/>
      <c r="N283" s="191"/>
      <c r="O283" s="107"/>
      <c r="P283" s="84"/>
      <c r="Q283" s="785"/>
      <c r="R283" s="84"/>
      <c r="S283" s="84"/>
      <c r="T283" s="84"/>
      <c r="U283" s="786"/>
      <c r="V283" s="950">
        <f t="shared" si="59"/>
        <v>64000</v>
      </c>
    </row>
    <row r="284" s="1" customFormat="1" ht="13.8" spans="1:22">
      <c r="A284" s="697"/>
      <c r="B284" s="80"/>
      <c r="C284" s="342"/>
      <c r="D284" s="716" t="s">
        <v>100</v>
      </c>
      <c r="E284" s="856"/>
      <c r="F284" s="107">
        <f t="shared" si="58"/>
        <v>0</v>
      </c>
      <c r="G284" s="84"/>
      <c r="H284" s="84"/>
      <c r="I284" s="941"/>
      <c r="J284" s="942"/>
      <c r="K284" s="221"/>
      <c r="L284" s="191"/>
      <c r="M284" s="191"/>
      <c r="N284" s="191"/>
      <c r="O284" s="107"/>
      <c r="P284" s="84"/>
      <c r="Q284" s="785"/>
      <c r="R284" s="84"/>
      <c r="S284" s="84"/>
      <c r="T284" s="84"/>
      <c r="U284" s="786"/>
      <c r="V284" s="950">
        <f t="shared" si="59"/>
        <v>0</v>
      </c>
    </row>
    <row r="285" s="1" customFormat="1" ht="13.8" spans="1:22">
      <c r="A285" s="697"/>
      <c r="B285" s="80"/>
      <c r="C285" s="342"/>
      <c r="D285" s="716" t="s">
        <v>140</v>
      </c>
      <c r="E285" s="856">
        <v>83085</v>
      </c>
      <c r="F285" s="107">
        <f t="shared" si="58"/>
        <v>83085</v>
      </c>
      <c r="G285" s="84"/>
      <c r="H285" s="84"/>
      <c r="I285" s="941"/>
      <c r="J285" s="942">
        <v>83085</v>
      </c>
      <c r="K285" s="221"/>
      <c r="L285" s="191"/>
      <c r="M285" s="191"/>
      <c r="N285" s="191"/>
      <c r="O285" s="107"/>
      <c r="P285" s="84"/>
      <c r="Q285" s="785"/>
      <c r="R285" s="84"/>
      <c r="S285" s="84"/>
      <c r="T285" s="84"/>
      <c r="U285" s="786"/>
      <c r="V285" s="950">
        <f t="shared" si="59"/>
        <v>0</v>
      </c>
    </row>
    <row r="286" s="1" customFormat="1" ht="13.8" spans="1:22">
      <c r="A286" s="697"/>
      <c r="B286" s="80"/>
      <c r="C286" s="342"/>
      <c r="D286" s="716" t="s">
        <v>68</v>
      </c>
      <c r="E286" s="856">
        <v>250136.98</v>
      </c>
      <c r="F286" s="107">
        <f t="shared" si="58"/>
        <v>112451.28</v>
      </c>
      <c r="G286" s="84"/>
      <c r="H286" s="84"/>
      <c r="I286" s="941"/>
      <c r="J286" s="942">
        <v>112451.28</v>
      </c>
      <c r="K286" s="221"/>
      <c r="L286" s="191"/>
      <c r="M286" s="191"/>
      <c r="N286" s="191"/>
      <c r="O286" s="107"/>
      <c r="P286" s="84"/>
      <c r="Q286" s="785"/>
      <c r="R286" s="84"/>
      <c r="S286" s="84"/>
      <c r="T286" s="84"/>
      <c r="U286" s="786"/>
      <c r="V286" s="950">
        <f t="shared" si="59"/>
        <v>137685.7</v>
      </c>
    </row>
    <row r="287" s="1" customFormat="1" ht="13.8" spans="1:22">
      <c r="A287" s="697"/>
      <c r="B287" s="80"/>
      <c r="C287" s="342"/>
      <c r="D287" s="716" t="s">
        <v>137</v>
      </c>
      <c r="E287" s="856">
        <v>83085</v>
      </c>
      <c r="F287" s="107">
        <f t="shared" si="58"/>
        <v>83085</v>
      </c>
      <c r="G287" s="84"/>
      <c r="H287" s="84"/>
      <c r="I287" s="941"/>
      <c r="J287" s="942">
        <v>83085</v>
      </c>
      <c r="K287" s="221"/>
      <c r="L287" s="191"/>
      <c r="M287" s="191"/>
      <c r="N287" s="191"/>
      <c r="O287" s="107"/>
      <c r="P287" s="84"/>
      <c r="Q287" s="785"/>
      <c r="R287" s="84"/>
      <c r="S287" s="84"/>
      <c r="T287" s="84"/>
      <c r="U287" s="786"/>
      <c r="V287" s="950">
        <f t="shared" si="59"/>
        <v>0</v>
      </c>
    </row>
    <row r="288" s="1" customFormat="1" ht="13.8" spans="1:22">
      <c r="A288" s="697"/>
      <c r="B288" s="80"/>
      <c r="C288" s="342"/>
      <c r="D288" s="716" t="s">
        <v>102</v>
      </c>
      <c r="E288" s="856">
        <v>506378.5</v>
      </c>
      <c r="F288" s="107">
        <f t="shared" si="58"/>
        <v>506378.5</v>
      </c>
      <c r="G288" s="84"/>
      <c r="H288" s="84"/>
      <c r="I288" s="941"/>
      <c r="J288" s="942">
        <v>506378.5</v>
      </c>
      <c r="K288" s="221"/>
      <c r="L288" s="191"/>
      <c r="M288" s="191"/>
      <c r="N288" s="191"/>
      <c r="O288" s="107"/>
      <c r="P288" s="84"/>
      <c r="Q288" s="785"/>
      <c r="R288" s="84"/>
      <c r="S288" s="84"/>
      <c r="T288" s="84"/>
      <c r="U288" s="786"/>
      <c r="V288" s="950">
        <f t="shared" si="59"/>
        <v>0</v>
      </c>
    </row>
    <row r="289" s="1" customFormat="1" ht="13.8" spans="1:22">
      <c r="A289" s="697"/>
      <c r="B289" s="80"/>
      <c r="C289" s="342"/>
      <c r="D289" s="716" t="s">
        <v>51</v>
      </c>
      <c r="E289" s="856">
        <v>84924</v>
      </c>
      <c r="F289" s="107">
        <f t="shared" si="58"/>
        <v>16993.29</v>
      </c>
      <c r="G289" s="84"/>
      <c r="H289" s="84"/>
      <c r="I289" s="941"/>
      <c r="J289" s="942">
        <v>16993.29</v>
      </c>
      <c r="K289" s="221"/>
      <c r="L289" s="191"/>
      <c r="M289" s="191"/>
      <c r="N289" s="191"/>
      <c r="O289" s="107"/>
      <c r="P289" s="84"/>
      <c r="Q289" s="785"/>
      <c r="R289" s="84"/>
      <c r="S289" s="84"/>
      <c r="T289" s="84"/>
      <c r="U289" s="786"/>
      <c r="V289" s="950">
        <f t="shared" si="59"/>
        <v>67930.71</v>
      </c>
    </row>
    <row r="290" s="1" customFormat="1" ht="13.8" spans="1:22">
      <c r="A290" s="697"/>
      <c r="B290" s="80"/>
      <c r="C290" s="342"/>
      <c r="D290" s="716" t="s">
        <v>69</v>
      </c>
      <c r="E290" s="856">
        <v>20000</v>
      </c>
      <c r="F290" s="107">
        <f t="shared" si="58"/>
        <v>0</v>
      </c>
      <c r="G290" s="84"/>
      <c r="H290" s="84"/>
      <c r="I290" s="941"/>
      <c r="J290" s="942"/>
      <c r="K290" s="221"/>
      <c r="L290" s="191"/>
      <c r="M290" s="191"/>
      <c r="N290" s="191"/>
      <c r="O290" s="107"/>
      <c r="P290" s="84"/>
      <c r="Q290" s="785"/>
      <c r="R290" s="84"/>
      <c r="S290" s="84"/>
      <c r="T290" s="84"/>
      <c r="U290" s="786"/>
      <c r="V290" s="950">
        <f t="shared" si="59"/>
        <v>20000</v>
      </c>
    </row>
    <row r="291" s="1" customFormat="1" ht="13.8" spans="1:22">
      <c r="A291" s="697"/>
      <c r="B291" s="80"/>
      <c r="C291" s="342"/>
      <c r="D291" s="920" t="s">
        <v>37</v>
      </c>
      <c r="E291" s="856"/>
      <c r="F291" s="107">
        <f t="shared" si="58"/>
        <v>0</v>
      </c>
      <c r="G291" s="84"/>
      <c r="H291" s="84"/>
      <c r="I291" s="941"/>
      <c r="J291" s="942"/>
      <c r="K291" s="221"/>
      <c r="L291" s="191"/>
      <c r="M291" s="191"/>
      <c r="N291" s="191"/>
      <c r="O291" s="107"/>
      <c r="P291" s="84"/>
      <c r="Q291" s="785"/>
      <c r="R291" s="84"/>
      <c r="S291" s="84"/>
      <c r="T291" s="84"/>
      <c r="U291" s="786"/>
      <c r="V291" s="950">
        <f t="shared" si="59"/>
        <v>0</v>
      </c>
    </row>
    <row r="292" s="1" customFormat="1" ht="13.8" spans="1:22">
      <c r="A292" s="697"/>
      <c r="B292" s="80"/>
      <c r="C292" s="342"/>
      <c r="D292" s="920" t="s">
        <v>141</v>
      </c>
      <c r="E292" s="84"/>
      <c r="F292" s="107">
        <f t="shared" si="58"/>
        <v>0</v>
      </c>
      <c r="G292" s="84"/>
      <c r="H292" s="84"/>
      <c r="I292" s="941"/>
      <c r="J292" s="943"/>
      <c r="K292" s="786"/>
      <c r="L292" s="201"/>
      <c r="M292" s="201"/>
      <c r="N292" s="201"/>
      <c r="O292" s="84"/>
      <c r="P292" s="84"/>
      <c r="Q292" s="785"/>
      <c r="R292" s="84"/>
      <c r="S292" s="84"/>
      <c r="T292" s="84"/>
      <c r="U292" s="786"/>
      <c r="V292" s="950">
        <f t="shared" si="59"/>
        <v>0</v>
      </c>
    </row>
    <row r="293" s="1" customFormat="1" ht="13.8" spans="1:25">
      <c r="A293" s="697"/>
      <c r="B293" s="80"/>
      <c r="C293" s="342"/>
      <c r="D293" s="920"/>
      <c r="E293" s="804">
        <f>SUM(E275:E291)</f>
        <v>3189418.85</v>
      </c>
      <c r="F293" s="804">
        <f>SUM(F275:F292)</f>
        <v>3151097.66</v>
      </c>
      <c r="G293" s="804">
        <f>SUM(G275:G292)</f>
        <v>189135</v>
      </c>
      <c r="H293" s="804">
        <f t="shared" ref="H293:V293" si="60">SUM(H275:H292)</f>
        <v>237845</v>
      </c>
      <c r="I293" s="804">
        <f t="shared" si="60"/>
        <v>286960</v>
      </c>
      <c r="J293" s="804"/>
      <c r="K293" s="804">
        <f t="shared" si="60"/>
        <v>426800</v>
      </c>
      <c r="L293" s="804">
        <f t="shared" si="60"/>
        <v>101979</v>
      </c>
      <c r="M293" s="804">
        <f t="shared" si="60"/>
        <v>6495</v>
      </c>
      <c r="N293" s="804">
        <f t="shared" si="60"/>
        <v>142200</v>
      </c>
      <c r="O293" s="804">
        <f t="shared" si="60"/>
        <v>0</v>
      </c>
      <c r="P293" s="804">
        <f t="shared" si="60"/>
        <v>0</v>
      </c>
      <c r="Q293" s="804">
        <f t="shared" si="60"/>
        <v>0</v>
      </c>
      <c r="R293" s="804">
        <f t="shared" si="60"/>
        <v>0</v>
      </c>
      <c r="S293" s="804">
        <f t="shared" si="60"/>
        <v>0</v>
      </c>
      <c r="T293" s="804">
        <f t="shared" si="60"/>
        <v>0</v>
      </c>
      <c r="U293" s="842">
        <f t="shared" si="60"/>
        <v>0</v>
      </c>
      <c r="V293" s="843">
        <f t="shared" si="60"/>
        <v>2821149.19</v>
      </c>
      <c r="X293" s="792"/>
      <c r="Y293" s="792"/>
    </row>
    <row r="294" s="1" customFormat="1" ht="13.8" spans="1:22">
      <c r="A294" s="697"/>
      <c r="B294" s="80"/>
      <c r="C294" s="342"/>
      <c r="D294" s="716"/>
      <c r="E294" s="84"/>
      <c r="F294" s="107"/>
      <c r="G294" s="84"/>
      <c r="H294" s="84"/>
      <c r="I294" s="941"/>
      <c r="J294" s="943"/>
      <c r="K294" s="786"/>
      <c r="L294" s="201"/>
      <c r="M294" s="201"/>
      <c r="N294" s="201"/>
      <c r="O294" s="84"/>
      <c r="P294" s="84"/>
      <c r="Q294" s="785"/>
      <c r="R294" s="84"/>
      <c r="S294" s="951"/>
      <c r="T294" s="951"/>
      <c r="U294" s="952"/>
      <c r="V294" s="863">
        <f>E294-F294</f>
        <v>0</v>
      </c>
    </row>
    <row r="295" s="1" customFormat="1" ht="14.55" spans="1:25">
      <c r="A295" s="921"/>
      <c r="B295" s="922" t="s">
        <v>142</v>
      </c>
      <c r="C295" s="923"/>
      <c r="D295" s="924"/>
      <c r="E295" s="925">
        <f>E293+E264+E258+E244+E252+E229+E227+E210+E214+E203+E193+E182+E160+E157+E136+E132+E129+E114+E110+E107+E89+E59+E55</f>
        <v>15006110.31</v>
      </c>
      <c r="F295" s="925">
        <f>F55+F59+F89+F107+F110+F114+F132+F136+F157+F160+F182+F187+F193+F203+F210+F214+F223+F227+F229+F244+F246+F252+F258+F264+F293</f>
        <v>9168062.75</v>
      </c>
      <c r="G295" s="925">
        <f>G293+G264+G258+G244+G252+G229+G227+G210+G214+G203+G193+G182+G160+G157+G136+G132+G129+G114+G110+G107+G89+G59+G55</f>
        <v>285915</v>
      </c>
      <c r="H295" s="925">
        <f>H293+H264+H258+H244+H252+H229+H227+H210+H214+H203+H193+H182+H160+H157+H136+H132+H129+H114+H110+H107+H89+H59+H55</f>
        <v>237845</v>
      </c>
      <c r="I295" s="925">
        <f>I293+I264+I258+I244+I252+I229+I227+I210+I214+I203+I193+I182+I160+I157+I136+I132+I129+I114+I110+I107+I89+I59+I55</f>
        <v>286960</v>
      </c>
      <c r="J295" s="925"/>
      <c r="K295" s="925">
        <f t="shared" ref="K295:U295" si="61">K293+K264+K258+K244+K252+K229+K227+K210+K214+K203+K193+K182+K160+K157+K136+K132+K129+K114+K110+K107+K89+K59+K55</f>
        <v>426800</v>
      </c>
      <c r="L295" s="925">
        <f t="shared" si="61"/>
        <v>101979</v>
      </c>
      <c r="M295" s="925">
        <f t="shared" si="61"/>
        <v>178235</v>
      </c>
      <c r="N295" s="925">
        <f t="shared" si="61"/>
        <v>142200</v>
      </c>
      <c r="O295" s="925">
        <f t="shared" si="61"/>
        <v>0</v>
      </c>
      <c r="P295" s="925">
        <f t="shared" si="61"/>
        <v>0</v>
      </c>
      <c r="Q295" s="925">
        <f t="shared" si="61"/>
        <v>0</v>
      </c>
      <c r="R295" s="925">
        <f t="shared" si="61"/>
        <v>0</v>
      </c>
      <c r="S295" s="925">
        <f t="shared" si="61"/>
        <v>0</v>
      </c>
      <c r="T295" s="925">
        <f t="shared" si="61"/>
        <v>0</v>
      </c>
      <c r="U295" s="953">
        <f t="shared" si="61"/>
        <v>0</v>
      </c>
      <c r="V295" s="954">
        <f>V293+V264+V258+V252+V244+V229+V214+V210+V203+V193+V182+V160+V157+V136+V132+V129+V114+V110+V107+V89+V59+V55</f>
        <v>10111660.09</v>
      </c>
      <c r="X295" s="225"/>
      <c r="Y295" s="225"/>
    </row>
    <row r="296" s="1" customFormat="1" ht="14.55" spans="2:25">
      <c r="B296" s="926"/>
      <c r="D296" s="927"/>
      <c r="E296" s="818"/>
      <c r="F296" s="818"/>
      <c r="G296" s="818"/>
      <c r="H296" s="818"/>
      <c r="I296" s="818"/>
      <c r="J296" s="818"/>
      <c r="K296" s="818"/>
      <c r="L296" s="818"/>
      <c r="M296" s="818"/>
      <c r="N296" s="818"/>
      <c r="O296" s="818"/>
      <c r="P296" s="818"/>
      <c r="Q296" s="818"/>
      <c r="R296" s="818"/>
      <c r="S296" s="818"/>
      <c r="T296" s="818"/>
      <c r="U296" s="818"/>
      <c r="V296" s="852"/>
      <c r="X296" s="225"/>
      <c r="Y296" s="225"/>
    </row>
    <row r="297" s="1" customFormat="1" ht="13.8" spans="2:25">
      <c r="B297" s="926"/>
      <c r="D297" s="927"/>
      <c r="E297" s="818"/>
      <c r="F297" s="818"/>
      <c r="G297" s="818"/>
      <c r="H297" s="818"/>
      <c r="I297" s="818"/>
      <c r="J297" s="818"/>
      <c r="K297" s="818"/>
      <c r="L297" s="818"/>
      <c r="M297" s="818"/>
      <c r="N297" s="818"/>
      <c r="O297" s="818"/>
      <c r="P297" s="818"/>
      <c r="Q297" s="818"/>
      <c r="R297" s="818"/>
      <c r="S297" s="818"/>
      <c r="T297" s="818"/>
      <c r="U297" s="818"/>
      <c r="V297" s="852"/>
      <c r="X297" s="225"/>
      <c r="Y297" s="225"/>
    </row>
    <row r="298" s="1" customFormat="1" ht="13.8" spans="2:25">
      <c r="B298" s="926"/>
      <c r="D298" s="927"/>
      <c r="E298" s="818"/>
      <c r="F298" s="818"/>
      <c r="G298" s="818"/>
      <c r="H298" s="818"/>
      <c r="I298" s="818"/>
      <c r="J298" s="818"/>
      <c r="K298" s="818"/>
      <c r="L298" s="818"/>
      <c r="M298" s="818"/>
      <c r="N298" s="818"/>
      <c r="O298" s="818"/>
      <c r="P298" s="818"/>
      <c r="Q298" s="818"/>
      <c r="R298" s="818"/>
      <c r="S298" s="818"/>
      <c r="T298" s="818"/>
      <c r="U298" s="818"/>
      <c r="V298" s="852"/>
      <c r="X298" s="225"/>
      <c r="Y298" s="225"/>
    </row>
    <row r="299" s="1" customFormat="1" ht="13.8" spans="2:25">
      <c r="B299" s="926"/>
      <c r="D299" s="927"/>
      <c r="E299" s="818"/>
      <c r="F299" s="818"/>
      <c r="G299" s="818"/>
      <c r="H299" s="818"/>
      <c r="I299" s="818"/>
      <c r="J299" s="818"/>
      <c r="K299" s="818"/>
      <c r="L299" s="818"/>
      <c r="M299" s="818"/>
      <c r="N299" s="818"/>
      <c r="O299" s="818"/>
      <c r="P299" s="818"/>
      <c r="Q299" s="818"/>
      <c r="R299" s="818"/>
      <c r="S299" s="818"/>
      <c r="T299" s="818"/>
      <c r="U299" s="818"/>
      <c r="V299" s="852"/>
      <c r="X299" s="225"/>
      <c r="Y299" s="225"/>
    </row>
    <row r="300" s="1" customFormat="1" ht="13.8" spans="1:22">
      <c r="A300" s="17" t="s">
        <v>0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225"/>
      <c r="L300" s="222"/>
      <c r="M300" s="222"/>
      <c r="N300" s="222"/>
      <c r="V300" s="778"/>
    </row>
    <row r="301" s="1" customFormat="1" ht="13.8" spans="1:22">
      <c r="A301" s="17" t="s">
        <v>91</v>
      </c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225"/>
      <c r="V301" s="778"/>
    </row>
    <row r="302" s="1" customFormat="1" ht="13.8" spans="1:22">
      <c r="A302" s="17" t="s">
        <v>11</v>
      </c>
      <c r="B302" s="17"/>
      <c r="C302" s="17"/>
      <c r="D302" s="17"/>
      <c r="E302" s="17"/>
      <c r="F302" s="17"/>
      <c r="G302" s="17"/>
      <c r="H302" s="17"/>
      <c r="I302" s="17"/>
      <c r="J302" s="17"/>
      <c r="K302" s="225"/>
      <c r="L302" s="222"/>
      <c r="M302" s="222"/>
      <c r="N302" s="222"/>
      <c r="P302" s="225"/>
      <c r="V302" s="778"/>
    </row>
    <row r="303" s="1" customFormat="1" ht="13.8" spans="1:22">
      <c r="A303" s="17" t="s">
        <v>2</v>
      </c>
      <c r="B303" s="17"/>
      <c r="C303" s="17"/>
      <c r="D303" s="17"/>
      <c r="E303" s="17"/>
      <c r="F303" s="17"/>
      <c r="G303" s="17"/>
      <c r="H303" s="17"/>
      <c r="I303" s="17"/>
      <c r="J303" s="17"/>
      <c r="K303" s="225"/>
      <c r="L303" s="222"/>
      <c r="M303" s="222"/>
      <c r="N303" s="222"/>
      <c r="P303" s="225"/>
      <c r="V303" s="778"/>
    </row>
    <row r="304" s="1" customFormat="1" ht="14.55" spans="1:22">
      <c r="A304" s="17" t="s">
        <v>75</v>
      </c>
      <c r="B304" s="17"/>
      <c r="C304" s="17"/>
      <c r="D304" s="17"/>
      <c r="E304" s="17"/>
      <c r="F304" s="17"/>
      <c r="G304" s="17"/>
      <c r="H304" s="17"/>
      <c r="I304" s="17"/>
      <c r="J304" s="17"/>
      <c r="K304" s="225"/>
      <c r="L304" s="222"/>
      <c r="M304" s="222"/>
      <c r="N304" s="222"/>
      <c r="V304" s="829" t="s">
        <v>143</v>
      </c>
    </row>
    <row r="305" s="1" customFormat="1" ht="14.55" spans="1:22">
      <c r="A305" s="18"/>
      <c r="B305" s="19"/>
      <c r="C305" s="19"/>
      <c r="D305" s="23"/>
      <c r="E305" s="22" t="s">
        <v>5</v>
      </c>
      <c r="F305" s="23"/>
      <c r="G305" s="24" t="s">
        <v>6</v>
      </c>
      <c r="H305" s="165"/>
      <c r="I305" s="165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763"/>
    </row>
    <row r="306" s="1" customFormat="1" ht="13.8" spans="1:22">
      <c r="A306" s="25"/>
      <c r="B306" s="6"/>
      <c r="C306" s="6"/>
      <c r="D306" s="249"/>
      <c r="E306" s="28" t="s">
        <v>7</v>
      </c>
      <c r="F306" s="28" t="s">
        <v>8</v>
      </c>
      <c r="G306" s="29" t="s">
        <v>9</v>
      </c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778"/>
    </row>
    <row r="307" s="1" customFormat="1" ht="13.8" spans="1:22">
      <c r="A307" s="30" t="s">
        <v>10</v>
      </c>
      <c r="B307" s="31"/>
      <c r="C307" s="691"/>
      <c r="D307" s="28" t="s">
        <v>11</v>
      </c>
      <c r="E307" s="28" t="s">
        <v>12</v>
      </c>
      <c r="F307" s="28" t="s">
        <v>13</v>
      </c>
      <c r="H307" s="28"/>
      <c r="I307" s="27"/>
      <c r="J307" s="27"/>
      <c r="K307" s="168"/>
      <c r="L307" s="170"/>
      <c r="M307" s="169"/>
      <c r="N307" s="170"/>
      <c r="O307" s="28"/>
      <c r="P307" s="28"/>
      <c r="Q307" s="36"/>
      <c r="R307" s="167"/>
      <c r="S307" s="754"/>
      <c r="T307" s="754"/>
      <c r="U307" s="853"/>
      <c r="V307" s="834"/>
    </row>
    <row r="308" s="1" customFormat="1" ht="13.8" spans="1:22">
      <c r="A308" s="34"/>
      <c r="D308" s="28" t="s">
        <v>15</v>
      </c>
      <c r="E308" s="28" t="s">
        <v>16</v>
      </c>
      <c r="F308" s="28" t="s">
        <v>17</v>
      </c>
      <c r="G308" s="28" t="s">
        <v>18</v>
      </c>
      <c r="H308" s="28" t="s">
        <v>19</v>
      </c>
      <c r="I308" s="27" t="s">
        <v>20</v>
      </c>
      <c r="J308" s="27"/>
      <c r="K308" s="169" t="s">
        <v>21</v>
      </c>
      <c r="L308" s="170" t="s">
        <v>22</v>
      </c>
      <c r="M308" s="734" t="s">
        <v>23</v>
      </c>
      <c r="N308" s="734" t="s">
        <v>144</v>
      </c>
      <c r="O308" s="734" t="s">
        <v>93</v>
      </c>
      <c r="P308" s="28" t="s">
        <v>26</v>
      </c>
      <c r="Q308" s="756" t="s">
        <v>27</v>
      </c>
      <c r="R308" s="757" t="s">
        <v>14</v>
      </c>
      <c r="S308" s="758" t="s">
        <v>28</v>
      </c>
      <c r="T308" s="758" t="s">
        <v>28</v>
      </c>
      <c r="U308" s="833" t="s">
        <v>29</v>
      </c>
      <c r="V308" s="834" t="s">
        <v>30</v>
      </c>
    </row>
    <row r="309" s="1" customFormat="1" ht="14.55" spans="1:22">
      <c r="A309" s="37"/>
      <c r="B309" s="38"/>
      <c r="C309" s="38"/>
      <c r="D309" s="230"/>
      <c r="E309" s="41" t="s">
        <v>31</v>
      </c>
      <c r="F309" s="42"/>
      <c r="G309" s="692"/>
      <c r="H309" s="42"/>
      <c r="I309" s="368"/>
      <c r="J309" s="368"/>
      <c r="K309" s="42"/>
      <c r="L309" s="175"/>
      <c r="M309" s="174"/>
      <c r="N309" s="735"/>
      <c r="O309" s="692"/>
      <c r="P309" s="230"/>
      <c r="Q309" s="759"/>
      <c r="R309" s="835" t="s">
        <v>76</v>
      </c>
      <c r="S309" s="761"/>
      <c r="T309" s="761"/>
      <c r="U309" s="836"/>
      <c r="V309" s="837"/>
    </row>
    <row r="310" s="1" customFormat="1" ht="14.55" spans="1:22">
      <c r="A310" s="34"/>
      <c r="B310" s="926"/>
      <c r="C310" s="344"/>
      <c r="D310" s="758"/>
      <c r="E310" s="97"/>
      <c r="F310" s="97"/>
      <c r="G310" s="97"/>
      <c r="H310" s="97"/>
      <c r="I310" s="95"/>
      <c r="J310" s="944"/>
      <c r="K310" s="94"/>
      <c r="L310" s="97"/>
      <c r="M310" s="97"/>
      <c r="N310" s="97"/>
      <c r="O310" s="97"/>
      <c r="P310" s="97"/>
      <c r="Q310" s="955"/>
      <c r="R310" s="97"/>
      <c r="S310" s="97"/>
      <c r="T310" s="97"/>
      <c r="U310" s="956"/>
      <c r="V310" s="957"/>
    </row>
    <row r="311" s="1" customFormat="1" ht="13.8" spans="1:22">
      <c r="A311" s="25" t="s">
        <v>145</v>
      </c>
      <c r="B311" s="6" t="s">
        <v>146</v>
      </c>
      <c r="C311" s="928"/>
      <c r="D311" s="929"/>
      <c r="E311" s="84"/>
      <c r="F311" s="84"/>
      <c r="G311" s="84"/>
      <c r="H311" s="84"/>
      <c r="I311" s="82"/>
      <c r="J311" s="84"/>
      <c r="K311" s="785"/>
      <c r="L311" s="201"/>
      <c r="M311" s="201"/>
      <c r="N311" s="201"/>
      <c r="O311" s="84"/>
      <c r="P311" s="84"/>
      <c r="Q311" s="786"/>
      <c r="R311" s="84"/>
      <c r="S311" s="84"/>
      <c r="T311" s="84"/>
      <c r="U311" s="786"/>
      <c r="V311" s="958"/>
    </row>
    <row r="312" s="3" customFormat="1" ht="13.8" spans="1:22">
      <c r="A312" s="930"/>
      <c r="B312" s="3" t="s">
        <v>147</v>
      </c>
      <c r="C312" s="931"/>
      <c r="D312" s="932" t="s">
        <v>46</v>
      </c>
      <c r="E312" s="89"/>
      <c r="F312" s="89">
        <f>SUM(G312:U312)</f>
        <v>0</v>
      </c>
      <c r="G312" s="89"/>
      <c r="H312" s="89"/>
      <c r="I312" s="88"/>
      <c r="J312" s="89"/>
      <c r="K312" s="376"/>
      <c r="L312" s="822"/>
      <c r="M312" s="822"/>
      <c r="N312" s="822"/>
      <c r="O312" s="89"/>
      <c r="P312" s="89"/>
      <c r="Q312" s="300"/>
      <c r="R312" s="89"/>
      <c r="S312" s="89"/>
      <c r="T312" s="89"/>
      <c r="U312" s="300"/>
      <c r="V312" s="959">
        <f>E312-F312</f>
        <v>0</v>
      </c>
    </row>
    <row r="313" s="3" customFormat="1" ht="13.8" spans="1:22">
      <c r="A313" s="930"/>
      <c r="C313" s="931"/>
      <c r="D313" s="932" t="s">
        <v>37</v>
      </c>
      <c r="E313" s="89"/>
      <c r="F313" s="89">
        <f>SUM(G313:U313)</f>
        <v>0</v>
      </c>
      <c r="G313" s="89"/>
      <c r="H313" s="89"/>
      <c r="I313" s="88"/>
      <c r="J313" s="89"/>
      <c r="K313" s="376"/>
      <c r="L313" s="945"/>
      <c r="M313" s="822"/>
      <c r="N313" s="822"/>
      <c r="O313" s="89"/>
      <c r="P313" s="89"/>
      <c r="Q313" s="300"/>
      <c r="R313" s="89"/>
      <c r="S313" s="89"/>
      <c r="T313" s="89"/>
      <c r="U313" s="300"/>
      <c r="V313" s="960">
        <f>E313-F313</f>
        <v>0</v>
      </c>
    </row>
    <row r="314" s="6" customFormat="1" ht="13.8" spans="1:22">
      <c r="A314" s="25"/>
      <c r="C314" s="928"/>
      <c r="D314" s="933"/>
      <c r="E314" s="934">
        <f>SUM(E312:E313)</f>
        <v>0</v>
      </c>
      <c r="F314" s="934">
        <f>SUM(F312:F313)</f>
        <v>0</v>
      </c>
      <c r="G314" s="934">
        <f t="shared" ref="G314:V314" si="62">SUM(G312:G313)</f>
        <v>0</v>
      </c>
      <c r="H314" s="934">
        <f t="shared" si="62"/>
        <v>0</v>
      </c>
      <c r="I314" s="934">
        <f t="shared" si="62"/>
        <v>0</v>
      </c>
      <c r="J314" s="934"/>
      <c r="K314" s="946">
        <f t="shared" si="62"/>
        <v>0</v>
      </c>
      <c r="L314" s="934">
        <f t="shared" si="62"/>
        <v>0</v>
      </c>
      <c r="M314" s="934">
        <f t="shared" si="62"/>
        <v>0</v>
      </c>
      <c r="N314" s="934">
        <f t="shared" si="62"/>
        <v>0</v>
      </c>
      <c r="O314" s="934">
        <f t="shared" si="62"/>
        <v>0</v>
      </c>
      <c r="P314" s="934">
        <f t="shared" si="62"/>
        <v>0</v>
      </c>
      <c r="Q314" s="934">
        <f t="shared" si="62"/>
        <v>0</v>
      </c>
      <c r="R314" s="934">
        <f t="shared" si="62"/>
        <v>0</v>
      </c>
      <c r="S314" s="934">
        <f t="shared" si="62"/>
        <v>0</v>
      </c>
      <c r="T314" s="934">
        <f t="shared" si="62"/>
        <v>0</v>
      </c>
      <c r="U314" s="961">
        <f t="shared" si="62"/>
        <v>0</v>
      </c>
      <c r="V314" s="962">
        <f t="shared" si="62"/>
        <v>0</v>
      </c>
    </row>
    <row r="315" s="3" customFormat="1" ht="13.8" spans="1:22">
      <c r="A315" s="930"/>
      <c r="B315" s="3" t="s">
        <v>148</v>
      </c>
      <c r="C315" s="931"/>
      <c r="D315" s="932" t="s">
        <v>46</v>
      </c>
      <c r="E315" s="89">
        <v>0</v>
      </c>
      <c r="F315" s="60">
        <f>SUM(G315:U315)</f>
        <v>0</v>
      </c>
      <c r="G315" s="89"/>
      <c r="H315" s="89"/>
      <c r="I315" s="88"/>
      <c r="J315" s="89"/>
      <c r="K315" s="376"/>
      <c r="L315" s="900"/>
      <c r="M315" s="822"/>
      <c r="N315" s="822"/>
      <c r="O315" s="89"/>
      <c r="P315" s="89"/>
      <c r="Q315" s="300"/>
      <c r="R315" s="89"/>
      <c r="S315" s="89"/>
      <c r="T315" s="89"/>
      <c r="U315" s="300"/>
      <c r="V315" s="960">
        <f>E315-F315</f>
        <v>0</v>
      </c>
    </row>
    <row r="316" s="3" customFormat="1" ht="13.8" spans="1:22">
      <c r="A316" s="930"/>
      <c r="C316" s="931"/>
      <c r="D316" s="932" t="s">
        <v>37</v>
      </c>
      <c r="E316" s="89"/>
      <c r="F316" s="60">
        <f>SUM(G316:U316)</f>
        <v>0</v>
      </c>
      <c r="G316" s="89"/>
      <c r="H316" s="89"/>
      <c r="I316" s="88"/>
      <c r="J316" s="89"/>
      <c r="K316" s="376"/>
      <c r="L316" s="822"/>
      <c r="M316" s="822"/>
      <c r="N316" s="822"/>
      <c r="O316" s="89"/>
      <c r="P316" s="89"/>
      <c r="Q316" s="300"/>
      <c r="R316" s="89"/>
      <c r="S316" s="89"/>
      <c r="T316" s="89"/>
      <c r="U316" s="300"/>
      <c r="V316" s="959">
        <f>E316-F316</f>
        <v>0</v>
      </c>
    </row>
    <row r="317" s="1" customFormat="1" ht="13.8" spans="1:22">
      <c r="A317" s="25"/>
      <c r="C317" s="928"/>
      <c r="D317" s="929"/>
      <c r="E317" s="934">
        <f>SUM(E315:E316)</f>
        <v>0</v>
      </c>
      <c r="F317" s="935">
        <f>SUM(F315:F316)</f>
        <v>0</v>
      </c>
      <c r="G317" s="935">
        <f t="shared" ref="G317:V317" si="63">SUM(G315:G316)</f>
        <v>0</v>
      </c>
      <c r="H317" s="935">
        <f t="shared" si="63"/>
        <v>0</v>
      </c>
      <c r="I317" s="935">
        <f t="shared" si="63"/>
        <v>0</v>
      </c>
      <c r="J317" s="935"/>
      <c r="K317" s="947">
        <f t="shared" si="63"/>
        <v>0</v>
      </c>
      <c r="L317" s="935">
        <f t="shared" si="63"/>
        <v>0</v>
      </c>
      <c r="M317" s="935">
        <f t="shared" si="63"/>
        <v>0</v>
      </c>
      <c r="N317" s="935">
        <f t="shared" si="63"/>
        <v>0</v>
      </c>
      <c r="O317" s="935">
        <f t="shared" si="63"/>
        <v>0</v>
      </c>
      <c r="P317" s="935">
        <f t="shared" si="63"/>
        <v>0</v>
      </c>
      <c r="Q317" s="935">
        <f t="shared" si="63"/>
        <v>0</v>
      </c>
      <c r="R317" s="935">
        <f t="shared" si="63"/>
        <v>0</v>
      </c>
      <c r="S317" s="935">
        <f t="shared" si="63"/>
        <v>0</v>
      </c>
      <c r="T317" s="935">
        <f t="shared" si="63"/>
        <v>0</v>
      </c>
      <c r="U317" s="963">
        <f t="shared" si="63"/>
        <v>0</v>
      </c>
      <c r="V317" s="964">
        <f t="shared" si="63"/>
        <v>0</v>
      </c>
    </row>
    <row r="318" s="1" customFormat="1" ht="13.8" spans="1:22">
      <c r="A318" s="25"/>
      <c r="C318" s="928"/>
      <c r="D318" s="929"/>
      <c r="E318" s="84"/>
      <c r="F318" s="107"/>
      <c r="G318" s="84"/>
      <c r="H318" s="84"/>
      <c r="I318" s="82"/>
      <c r="J318" s="84"/>
      <c r="K318" s="785"/>
      <c r="L318" s="201"/>
      <c r="M318" s="201"/>
      <c r="N318" s="201"/>
      <c r="O318" s="84"/>
      <c r="P318" s="84"/>
      <c r="Q318" s="786"/>
      <c r="R318" s="84"/>
      <c r="S318" s="84"/>
      <c r="T318" s="84"/>
      <c r="U318" s="786"/>
      <c r="V318" s="787"/>
    </row>
    <row r="319" s="1" customFormat="1" ht="13.8" spans="1:22">
      <c r="A319" s="25"/>
      <c r="B319" s="1" t="s">
        <v>149</v>
      </c>
      <c r="C319" s="928"/>
      <c r="D319" s="929" t="s">
        <v>37</v>
      </c>
      <c r="E319" s="84"/>
      <c r="F319" s="107">
        <f>SUM(G319:U319)</f>
        <v>0</v>
      </c>
      <c r="G319" s="84"/>
      <c r="H319" s="84"/>
      <c r="I319" s="82"/>
      <c r="J319" s="84"/>
      <c r="K319" s="785"/>
      <c r="L319" s="201"/>
      <c r="M319" s="201"/>
      <c r="N319" s="201"/>
      <c r="O319" s="84"/>
      <c r="P319" s="84"/>
      <c r="Q319" s="786"/>
      <c r="R319" s="84"/>
      <c r="S319" s="84"/>
      <c r="T319" s="84"/>
      <c r="U319" s="786"/>
      <c r="V319" s="790">
        <f>E319-F319</f>
        <v>0</v>
      </c>
    </row>
    <row r="320" s="1" customFormat="1" ht="13.8" spans="1:22">
      <c r="A320" s="25"/>
      <c r="C320" s="928"/>
      <c r="D320" s="929"/>
      <c r="E320" s="936">
        <f>SUM(E319)</f>
        <v>0</v>
      </c>
      <c r="F320" s="936">
        <f>SUM(F319)</f>
        <v>0</v>
      </c>
      <c r="G320" s="936">
        <f>SUM(G319)</f>
        <v>0</v>
      </c>
      <c r="H320" s="936">
        <f t="shared" ref="H320:V320" si="64">SUM(H319)</f>
        <v>0</v>
      </c>
      <c r="I320" s="936">
        <f t="shared" si="64"/>
        <v>0</v>
      </c>
      <c r="J320" s="936"/>
      <c r="K320" s="948">
        <f t="shared" si="64"/>
        <v>0</v>
      </c>
      <c r="L320" s="936">
        <f t="shared" si="64"/>
        <v>0</v>
      </c>
      <c r="M320" s="936">
        <f t="shared" si="64"/>
        <v>0</v>
      </c>
      <c r="N320" s="936">
        <f t="shared" si="64"/>
        <v>0</v>
      </c>
      <c r="O320" s="936">
        <f t="shared" si="64"/>
        <v>0</v>
      </c>
      <c r="P320" s="936">
        <f t="shared" si="64"/>
        <v>0</v>
      </c>
      <c r="Q320" s="936">
        <f t="shared" si="64"/>
        <v>0</v>
      </c>
      <c r="R320" s="936">
        <f t="shared" si="64"/>
        <v>0</v>
      </c>
      <c r="S320" s="936"/>
      <c r="T320" s="936"/>
      <c r="U320" s="965">
        <f t="shared" si="64"/>
        <v>0</v>
      </c>
      <c r="V320" s="966">
        <f t="shared" si="64"/>
        <v>0</v>
      </c>
    </row>
    <row r="321" s="1" customFormat="1" ht="13.8" spans="1:22">
      <c r="A321" s="25"/>
      <c r="C321" s="928"/>
      <c r="D321" s="929"/>
      <c r="E321" s="84"/>
      <c r="F321" s="84"/>
      <c r="G321" s="84"/>
      <c r="H321" s="84"/>
      <c r="I321" s="82"/>
      <c r="J321" s="84"/>
      <c r="K321" s="82"/>
      <c r="L321" s="201"/>
      <c r="M321" s="201"/>
      <c r="N321" s="191"/>
      <c r="O321" s="84"/>
      <c r="P321" s="84"/>
      <c r="Q321" s="786"/>
      <c r="R321" s="84"/>
      <c r="S321" s="84"/>
      <c r="T321" s="84"/>
      <c r="U321" s="786"/>
      <c r="V321" s="863"/>
    </row>
    <row r="322" s="3" customFormat="1" ht="13.8" spans="1:22">
      <c r="A322" s="695"/>
      <c r="B322" s="49" t="s">
        <v>150</v>
      </c>
      <c r="C322" s="317"/>
      <c r="D322" s="967" t="s">
        <v>46</v>
      </c>
      <c r="E322" s="89"/>
      <c r="F322" s="60">
        <f>SUM(G322:U322)</f>
        <v>0</v>
      </c>
      <c r="G322" s="89"/>
      <c r="H322" s="89"/>
      <c r="I322" s="978"/>
      <c r="J322" s="822"/>
      <c r="K322" s="88">
        <v>0</v>
      </c>
      <c r="L322" s="822"/>
      <c r="M322" s="822"/>
      <c r="N322" s="822"/>
      <c r="O322" s="89"/>
      <c r="P322" s="89"/>
      <c r="Q322" s="300"/>
      <c r="R322" s="89"/>
      <c r="S322" s="89"/>
      <c r="T322" s="89"/>
      <c r="U322" s="300"/>
      <c r="V322" s="864">
        <f>E322-F322</f>
        <v>0</v>
      </c>
    </row>
    <row r="323" s="3" customFormat="1" ht="13.8" spans="1:22">
      <c r="A323" s="695"/>
      <c r="B323" s="49"/>
      <c r="C323" s="317"/>
      <c r="D323" s="967" t="s">
        <v>37</v>
      </c>
      <c r="E323" s="89"/>
      <c r="F323" s="60">
        <f>SUM(G323:U323)</f>
        <v>0</v>
      </c>
      <c r="G323" s="89"/>
      <c r="H323" s="89"/>
      <c r="I323" s="978"/>
      <c r="J323" s="845"/>
      <c r="K323" s="89">
        <v>0</v>
      </c>
      <c r="L323" s="822"/>
      <c r="M323" s="822"/>
      <c r="N323" s="822"/>
      <c r="O323" s="89"/>
      <c r="P323" s="89"/>
      <c r="Q323" s="300"/>
      <c r="R323" s="89"/>
      <c r="S323" s="89"/>
      <c r="T323" s="89"/>
      <c r="U323" s="300"/>
      <c r="V323" s="864">
        <f>E323-F323</f>
        <v>0</v>
      </c>
    </row>
    <row r="324" s="1" customFormat="1" ht="13.8" spans="1:25">
      <c r="A324" s="697"/>
      <c r="B324" s="80"/>
      <c r="C324" s="342"/>
      <c r="D324" s="968"/>
      <c r="E324" s="936">
        <f>SUM(E322:E323)</f>
        <v>0</v>
      </c>
      <c r="F324" s="936">
        <f>SUM(F322:F323)</f>
        <v>0</v>
      </c>
      <c r="G324" s="936">
        <f t="shared" ref="G324:V324" si="65">SUM(G322:G323)</f>
        <v>0</v>
      </c>
      <c r="H324" s="936">
        <f t="shared" si="65"/>
        <v>0</v>
      </c>
      <c r="I324" s="936">
        <f t="shared" si="65"/>
        <v>0</v>
      </c>
      <c r="J324" s="965"/>
      <c r="K324" s="936">
        <f t="shared" si="65"/>
        <v>0</v>
      </c>
      <c r="L324" s="936">
        <f t="shared" si="65"/>
        <v>0</v>
      </c>
      <c r="M324" s="936">
        <f t="shared" si="65"/>
        <v>0</v>
      </c>
      <c r="N324" s="936">
        <f t="shared" si="65"/>
        <v>0</v>
      </c>
      <c r="O324" s="936">
        <f t="shared" si="65"/>
        <v>0</v>
      </c>
      <c r="P324" s="936">
        <f t="shared" si="65"/>
        <v>0</v>
      </c>
      <c r="Q324" s="936">
        <f t="shared" si="65"/>
        <v>0</v>
      </c>
      <c r="R324" s="936">
        <f t="shared" si="65"/>
        <v>0</v>
      </c>
      <c r="S324" s="936">
        <f t="shared" si="65"/>
        <v>0</v>
      </c>
      <c r="T324" s="936">
        <f t="shared" si="65"/>
        <v>0</v>
      </c>
      <c r="U324" s="965">
        <f t="shared" si="65"/>
        <v>0</v>
      </c>
      <c r="V324" s="966">
        <f t="shared" si="65"/>
        <v>0</v>
      </c>
      <c r="W324" s="827"/>
      <c r="X324" s="818"/>
      <c r="Y324" s="818"/>
    </row>
    <row r="325" s="1" customFormat="1" ht="13.8" spans="1:22">
      <c r="A325" s="697"/>
      <c r="B325" s="80"/>
      <c r="C325" s="342"/>
      <c r="D325" s="968"/>
      <c r="E325" s="84"/>
      <c r="F325" s="84"/>
      <c r="G325" s="84"/>
      <c r="H325" s="84"/>
      <c r="I325" s="941"/>
      <c r="J325" s="943"/>
      <c r="K325" s="84"/>
      <c r="L325" s="201"/>
      <c r="M325" s="201"/>
      <c r="N325" s="201"/>
      <c r="O325" s="84"/>
      <c r="P325" s="84"/>
      <c r="Q325" s="786"/>
      <c r="R325" s="84"/>
      <c r="S325" s="84"/>
      <c r="T325" s="84"/>
      <c r="U325" s="786"/>
      <c r="V325" s="863"/>
    </row>
    <row r="326" s="3" customFormat="1" ht="13.8" spans="1:22">
      <c r="A326" s="695"/>
      <c r="B326" s="49" t="s">
        <v>151</v>
      </c>
      <c r="C326" s="317"/>
      <c r="D326" s="967" t="s">
        <v>44</v>
      </c>
      <c r="E326" s="89"/>
      <c r="F326" s="60">
        <f>SUM(G326:U326)</f>
        <v>0</v>
      </c>
      <c r="G326" s="89"/>
      <c r="H326" s="89"/>
      <c r="I326" s="978"/>
      <c r="J326" s="845"/>
      <c r="K326" s="89"/>
      <c r="L326" s="822"/>
      <c r="M326" s="822"/>
      <c r="N326" s="822"/>
      <c r="O326" s="89"/>
      <c r="P326" s="89"/>
      <c r="Q326" s="300"/>
      <c r="R326" s="89"/>
      <c r="S326" s="89"/>
      <c r="T326" s="89"/>
      <c r="U326" s="300"/>
      <c r="V326" s="779">
        <f t="shared" ref="V326:V331" si="66">E326-F326</f>
        <v>0</v>
      </c>
    </row>
    <row r="327" s="3" customFormat="1" ht="13.8" spans="1:22">
      <c r="A327" s="695"/>
      <c r="B327" s="49"/>
      <c r="C327" s="317"/>
      <c r="D327" s="967" t="s">
        <v>63</v>
      </c>
      <c r="E327" s="89"/>
      <c r="F327" s="89">
        <f t="shared" ref="F327:F331" si="67">SUM(G327:U327)</f>
        <v>0</v>
      </c>
      <c r="G327" s="89"/>
      <c r="H327" s="89"/>
      <c r="I327" s="978"/>
      <c r="J327" s="845"/>
      <c r="K327" s="89"/>
      <c r="L327" s="822"/>
      <c r="M327" s="822"/>
      <c r="N327" s="822"/>
      <c r="O327" s="89"/>
      <c r="P327" s="89"/>
      <c r="Q327" s="300"/>
      <c r="R327" s="89"/>
      <c r="S327" s="89"/>
      <c r="T327" s="89"/>
      <c r="U327" s="300"/>
      <c r="V327" s="779">
        <f t="shared" si="66"/>
        <v>0</v>
      </c>
    </row>
    <row r="328" s="3" customFormat="1" ht="13.8" spans="1:22">
      <c r="A328" s="695"/>
      <c r="B328" s="49"/>
      <c r="C328" s="317"/>
      <c r="D328" s="967" t="s">
        <v>46</v>
      </c>
      <c r="E328" s="89"/>
      <c r="F328" s="89">
        <f t="shared" si="67"/>
        <v>0</v>
      </c>
      <c r="G328" s="89"/>
      <c r="H328" s="89"/>
      <c r="I328" s="978"/>
      <c r="J328" s="845"/>
      <c r="K328" s="89"/>
      <c r="L328" s="822"/>
      <c r="M328" s="822"/>
      <c r="N328" s="822"/>
      <c r="O328" s="89"/>
      <c r="P328" s="89"/>
      <c r="Q328" s="300"/>
      <c r="R328" s="89"/>
      <c r="S328" s="89"/>
      <c r="T328" s="89"/>
      <c r="U328" s="300"/>
      <c r="V328" s="779">
        <f t="shared" si="66"/>
        <v>0</v>
      </c>
    </row>
    <row r="329" s="3" customFormat="1" ht="13.8" spans="1:22">
      <c r="A329" s="695"/>
      <c r="B329" s="49"/>
      <c r="C329" s="317"/>
      <c r="D329" s="967" t="s">
        <v>37</v>
      </c>
      <c r="E329" s="89"/>
      <c r="F329" s="89">
        <f t="shared" si="67"/>
        <v>0</v>
      </c>
      <c r="G329" s="89"/>
      <c r="H329" s="89"/>
      <c r="I329" s="978"/>
      <c r="J329" s="845"/>
      <c r="K329" s="89"/>
      <c r="L329" s="822"/>
      <c r="M329" s="822"/>
      <c r="N329" s="822"/>
      <c r="O329" s="89"/>
      <c r="P329" s="89"/>
      <c r="Q329" s="300"/>
      <c r="R329" s="89"/>
      <c r="S329" s="89"/>
      <c r="T329" s="89"/>
      <c r="U329" s="300"/>
      <c r="V329" s="779">
        <f t="shared" si="66"/>
        <v>0</v>
      </c>
    </row>
    <row r="330" s="1" customFormat="1" ht="13.8" spans="1:22">
      <c r="A330" s="697"/>
      <c r="B330" s="80"/>
      <c r="C330" s="342"/>
      <c r="D330" s="968" t="s">
        <v>70</v>
      </c>
      <c r="E330" s="84"/>
      <c r="F330" s="84">
        <f t="shared" si="67"/>
        <v>0</v>
      </c>
      <c r="G330" s="84"/>
      <c r="H330" s="84"/>
      <c r="I330" s="941"/>
      <c r="J330" s="943"/>
      <c r="K330" s="84"/>
      <c r="L330" s="201"/>
      <c r="M330" s="201"/>
      <c r="N330" s="201"/>
      <c r="O330" s="84"/>
      <c r="P330" s="84"/>
      <c r="Q330" s="786"/>
      <c r="R330" s="84"/>
      <c r="S330" s="84"/>
      <c r="T330" s="84"/>
      <c r="U330" s="786"/>
      <c r="V330" s="787">
        <f t="shared" si="66"/>
        <v>0</v>
      </c>
    </row>
    <row r="331" s="1" customFormat="1" ht="13.8" spans="1:22">
      <c r="A331" s="697"/>
      <c r="B331" s="80"/>
      <c r="C331" s="342"/>
      <c r="D331" s="968" t="s">
        <v>152</v>
      </c>
      <c r="E331" s="84"/>
      <c r="F331" s="84">
        <f t="shared" si="67"/>
        <v>0</v>
      </c>
      <c r="G331" s="84"/>
      <c r="H331" s="84"/>
      <c r="I331" s="941"/>
      <c r="J331" s="943"/>
      <c r="K331" s="84"/>
      <c r="L331" s="201"/>
      <c r="M331" s="201"/>
      <c r="N331" s="201"/>
      <c r="O331" s="84"/>
      <c r="P331" s="84"/>
      <c r="Q331" s="786"/>
      <c r="R331" s="84"/>
      <c r="S331" s="84"/>
      <c r="T331" s="84"/>
      <c r="U331" s="786"/>
      <c r="V331" s="790">
        <f t="shared" si="66"/>
        <v>0</v>
      </c>
    </row>
    <row r="332" s="1" customFormat="1" ht="13.8" spans="1:22">
      <c r="A332" s="697"/>
      <c r="B332" s="80"/>
      <c r="C332" s="342"/>
      <c r="D332" s="968"/>
      <c r="E332" s="936">
        <f t="shared" ref="E332:V332" si="68">SUM(E326:E331)</f>
        <v>0</v>
      </c>
      <c r="F332" s="936">
        <f t="shared" si="68"/>
        <v>0</v>
      </c>
      <c r="G332" s="936">
        <f t="shared" si="68"/>
        <v>0</v>
      </c>
      <c r="H332" s="936">
        <f t="shared" si="68"/>
        <v>0</v>
      </c>
      <c r="I332" s="936">
        <f t="shared" si="68"/>
        <v>0</v>
      </c>
      <c r="J332" s="965"/>
      <c r="K332" s="936">
        <f t="shared" si="68"/>
        <v>0</v>
      </c>
      <c r="L332" s="936">
        <f t="shared" si="68"/>
        <v>0</v>
      </c>
      <c r="M332" s="936">
        <f t="shared" si="68"/>
        <v>0</v>
      </c>
      <c r="N332" s="936">
        <f t="shared" si="68"/>
        <v>0</v>
      </c>
      <c r="O332" s="936">
        <f t="shared" si="68"/>
        <v>0</v>
      </c>
      <c r="P332" s="936">
        <f t="shared" si="68"/>
        <v>0</v>
      </c>
      <c r="Q332" s="936">
        <f t="shared" si="68"/>
        <v>0</v>
      </c>
      <c r="R332" s="936">
        <f t="shared" si="68"/>
        <v>0</v>
      </c>
      <c r="S332" s="936">
        <f t="shared" si="68"/>
        <v>0</v>
      </c>
      <c r="T332" s="936"/>
      <c r="U332" s="965">
        <f t="shared" si="68"/>
        <v>0</v>
      </c>
      <c r="V332" s="966">
        <f t="shared" si="68"/>
        <v>0</v>
      </c>
    </row>
    <row r="333" s="1" customFormat="1" spans="1:22">
      <c r="A333" s="697"/>
      <c r="B333" s="80"/>
      <c r="C333" s="342"/>
      <c r="D333" s="969"/>
      <c r="E333" s="84"/>
      <c r="F333" s="84">
        <f>SUM(G333:U333)</f>
        <v>0</v>
      </c>
      <c r="G333" s="84"/>
      <c r="H333" s="84"/>
      <c r="I333" s="941"/>
      <c r="J333" s="943"/>
      <c r="K333" s="84"/>
      <c r="L333" s="201"/>
      <c r="M333" s="201"/>
      <c r="N333" s="201"/>
      <c r="O333" s="84"/>
      <c r="P333" s="84"/>
      <c r="Q333" s="786"/>
      <c r="R333" s="84"/>
      <c r="S333" s="84"/>
      <c r="T333" s="84"/>
      <c r="U333" s="786"/>
      <c r="V333" s="863">
        <f>E333-F333</f>
        <v>0</v>
      </c>
    </row>
    <row r="334" s="1" customFormat="1" ht="13.8" spans="1:22">
      <c r="A334" s="697"/>
      <c r="B334" s="80" t="s">
        <v>153</v>
      </c>
      <c r="C334" s="342"/>
      <c r="D334" s="968" t="s">
        <v>70</v>
      </c>
      <c r="E334" s="935"/>
      <c r="F334" s="935">
        <f>SUM(G334:U334)</f>
        <v>0</v>
      </c>
      <c r="G334" s="935"/>
      <c r="H334" s="935"/>
      <c r="I334" s="979"/>
      <c r="J334" s="980"/>
      <c r="K334" s="935"/>
      <c r="L334" s="981"/>
      <c r="M334" s="981"/>
      <c r="N334" s="981"/>
      <c r="O334" s="935"/>
      <c r="P334" s="935"/>
      <c r="Q334" s="963"/>
      <c r="R334" s="935"/>
      <c r="S334" s="935"/>
      <c r="T334" s="935"/>
      <c r="U334" s="963"/>
      <c r="V334" s="988">
        <f>E334-F334</f>
        <v>0</v>
      </c>
    </row>
    <row r="335" s="1" customFormat="1" spans="1:22">
      <c r="A335" s="697"/>
      <c r="B335" s="80"/>
      <c r="C335" s="342"/>
      <c r="D335" s="969"/>
      <c r="E335" s="84"/>
      <c r="F335" s="84"/>
      <c r="G335" s="84"/>
      <c r="H335" s="84"/>
      <c r="I335" s="941"/>
      <c r="J335" s="943"/>
      <c r="K335" s="84"/>
      <c r="L335" s="201"/>
      <c r="M335" s="201"/>
      <c r="N335" s="201"/>
      <c r="O335" s="84"/>
      <c r="P335" s="84"/>
      <c r="Q335" s="786"/>
      <c r="R335" s="84"/>
      <c r="S335" s="84"/>
      <c r="T335" s="84"/>
      <c r="U335" s="786"/>
      <c r="V335" s="863"/>
    </row>
    <row r="336" s="3" customFormat="1" ht="13.8" spans="1:22">
      <c r="A336" s="695"/>
      <c r="B336" s="49" t="s">
        <v>154</v>
      </c>
      <c r="C336" s="317"/>
      <c r="D336" s="967" t="s">
        <v>44</v>
      </c>
      <c r="E336" s="89"/>
      <c r="F336" s="89">
        <f>SUM(G336:U336)</f>
        <v>0</v>
      </c>
      <c r="G336" s="89"/>
      <c r="H336" s="89"/>
      <c r="I336" s="978"/>
      <c r="J336" s="845"/>
      <c r="K336" s="89"/>
      <c r="L336" s="822"/>
      <c r="M336" s="822"/>
      <c r="N336" s="822"/>
      <c r="O336" s="89"/>
      <c r="P336" s="89"/>
      <c r="Q336" s="300"/>
      <c r="R336" s="89"/>
      <c r="S336" s="89"/>
      <c r="T336" s="89"/>
      <c r="U336" s="300"/>
      <c r="V336" s="779">
        <f>E336-F336</f>
        <v>0</v>
      </c>
    </row>
    <row r="337" s="3" customFormat="1" ht="13.8" spans="1:22">
      <c r="A337" s="695"/>
      <c r="B337" s="49"/>
      <c r="C337" s="317"/>
      <c r="D337" s="967" t="s">
        <v>63</v>
      </c>
      <c r="E337" s="89">
        <v>567775</v>
      </c>
      <c r="F337" s="89">
        <f t="shared" ref="F337:F345" si="69">SUM(G337:U337)</f>
        <v>567775</v>
      </c>
      <c r="G337" s="89"/>
      <c r="H337" s="89"/>
      <c r="I337" s="978"/>
      <c r="J337" s="845">
        <v>567775</v>
      </c>
      <c r="K337" s="89"/>
      <c r="L337" s="822"/>
      <c r="M337" s="822"/>
      <c r="N337" s="822"/>
      <c r="O337" s="89"/>
      <c r="P337" s="89"/>
      <c r="Q337" s="300"/>
      <c r="R337" s="89"/>
      <c r="S337" s="89"/>
      <c r="T337" s="89"/>
      <c r="U337" s="300"/>
      <c r="V337" s="779">
        <f t="shared" ref="V337:V345" si="70">E337-F337</f>
        <v>0</v>
      </c>
    </row>
    <row r="338" s="3" customFormat="1" ht="13.8" spans="1:22">
      <c r="A338" s="695"/>
      <c r="B338" s="49"/>
      <c r="C338" s="317"/>
      <c r="D338" s="967" t="s">
        <v>46</v>
      </c>
      <c r="E338" s="89"/>
      <c r="F338" s="89">
        <f t="shared" si="69"/>
        <v>0</v>
      </c>
      <c r="G338" s="89"/>
      <c r="H338" s="89"/>
      <c r="I338" s="978"/>
      <c r="J338" s="845"/>
      <c r="K338" s="89"/>
      <c r="L338" s="822"/>
      <c r="M338" s="822"/>
      <c r="N338" s="822"/>
      <c r="O338" s="89"/>
      <c r="P338" s="89"/>
      <c r="Q338" s="300"/>
      <c r="R338" s="89"/>
      <c r="S338" s="89"/>
      <c r="T338" s="89"/>
      <c r="U338" s="300"/>
      <c r="V338" s="779">
        <f t="shared" si="70"/>
        <v>0</v>
      </c>
    </row>
    <row r="339" s="3" customFormat="1" ht="13.8" spans="1:22">
      <c r="A339" s="695"/>
      <c r="B339" s="49"/>
      <c r="C339" s="317"/>
      <c r="D339" s="967" t="s">
        <v>152</v>
      </c>
      <c r="E339" s="89"/>
      <c r="F339" s="89">
        <f t="shared" si="69"/>
        <v>0</v>
      </c>
      <c r="G339" s="822"/>
      <c r="H339" s="822"/>
      <c r="I339" s="978"/>
      <c r="J339" s="845"/>
      <c r="K339" s="89"/>
      <c r="L339" s="822"/>
      <c r="M339" s="822"/>
      <c r="N339" s="822"/>
      <c r="O339" s="89"/>
      <c r="P339" s="89"/>
      <c r="Q339" s="300"/>
      <c r="R339" s="89"/>
      <c r="S339" s="89"/>
      <c r="T339" s="89"/>
      <c r="U339" s="300"/>
      <c r="V339" s="779">
        <f t="shared" si="70"/>
        <v>0</v>
      </c>
    </row>
    <row r="340" s="3" customFormat="1" ht="13.8" spans="1:22">
      <c r="A340" s="695"/>
      <c r="B340" s="49"/>
      <c r="C340" s="317"/>
      <c r="D340" s="967" t="s">
        <v>68</v>
      </c>
      <c r="E340" s="89">
        <v>140000</v>
      </c>
      <c r="F340" s="89">
        <f t="shared" si="69"/>
        <v>0</v>
      </c>
      <c r="G340" s="822"/>
      <c r="H340" s="822"/>
      <c r="I340" s="978"/>
      <c r="J340" s="845"/>
      <c r="K340" s="89"/>
      <c r="L340" s="822"/>
      <c r="M340" s="822"/>
      <c r="N340" s="822"/>
      <c r="O340" s="89"/>
      <c r="P340" s="89"/>
      <c r="Q340" s="300"/>
      <c r="R340" s="89"/>
      <c r="S340" s="89"/>
      <c r="T340" s="89"/>
      <c r="U340" s="300"/>
      <c r="V340" s="779">
        <f t="shared" si="70"/>
        <v>140000</v>
      </c>
    </row>
    <row r="341" s="3" customFormat="1" ht="13.8" spans="1:22">
      <c r="A341" s="695"/>
      <c r="B341" s="49"/>
      <c r="C341" s="317"/>
      <c r="D341" s="967" t="s">
        <v>51</v>
      </c>
      <c r="E341" s="89"/>
      <c r="F341" s="89">
        <f t="shared" si="69"/>
        <v>0</v>
      </c>
      <c r="G341" s="822"/>
      <c r="H341" s="822"/>
      <c r="I341" s="978"/>
      <c r="J341" s="845"/>
      <c r="K341" s="89"/>
      <c r="L341" s="822"/>
      <c r="M341" s="822"/>
      <c r="N341" s="822"/>
      <c r="O341" s="89"/>
      <c r="P341" s="89"/>
      <c r="Q341" s="300"/>
      <c r="R341" s="89"/>
      <c r="S341" s="89"/>
      <c r="T341" s="89"/>
      <c r="U341" s="300"/>
      <c r="V341" s="779">
        <f t="shared" si="70"/>
        <v>0</v>
      </c>
    </row>
    <row r="342" s="3" customFormat="1" ht="13.8" spans="1:22">
      <c r="A342" s="695"/>
      <c r="B342" s="49"/>
      <c r="C342" s="317"/>
      <c r="D342" s="967" t="s">
        <v>66</v>
      </c>
      <c r="E342" s="89"/>
      <c r="F342" s="89">
        <f t="shared" si="69"/>
        <v>0</v>
      </c>
      <c r="G342" s="822"/>
      <c r="H342" s="822"/>
      <c r="I342" s="978"/>
      <c r="J342" s="845"/>
      <c r="K342" s="89"/>
      <c r="L342" s="822"/>
      <c r="M342" s="822"/>
      <c r="N342" s="822"/>
      <c r="O342" s="89"/>
      <c r="P342" s="89"/>
      <c r="Q342" s="300"/>
      <c r="R342" s="89"/>
      <c r="S342" s="89"/>
      <c r="T342" s="89"/>
      <c r="U342" s="300"/>
      <c r="V342" s="779">
        <f t="shared" si="70"/>
        <v>0</v>
      </c>
    </row>
    <row r="343" s="3" customFormat="1" ht="13.8" spans="1:22">
      <c r="A343" s="695"/>
      <c r="B343" s="49"/>
      <c r="C343" s="317"/>
      <c r="D343" s="967" t="s">
        <v>37</v>
      </c>
      <c r="E343" s="89"/>
      <c r="F343" s="89">
        <f t="shared" si="69"/>
        <v>0</v>
      </c>
      <c r="G343" s="822"/>
      <c r="H343" s="822"/>
      <c r="I343" s="978"/>
      <c r="J343" s="845"/>
      <c r="K343" s="89"/>
      <c r="L343" s="822"/>
      <c r="M343" s="822"/>
      <c r="N343" s="822"/>
      <c r="O343" s="89"/>
      <c r="P343" s="89"/>
      <c r="Q343" s="300"/>
      <c r="R343" s="89"/>
      <c r="S343" s="89"/>
      <c r="T343" s="89"/>
      <c r="U343" s="300"/>
      <c r="V343" s="779">
        <f t="shared" si="70"/>
        <v>0</v>
      </c>
    </row>
    <row r="344" s="3" customFormat="1" ht="13.8" spans="1:22">
      <c r="A344" s="695"/>
      <c r="B344" s="49"/>
      <c r="C344" s="317"/>
      <c r="D344" s="967" t="s">
        <v>69</v>
      </c>
      <c r="E344" s="89"/>
      <c r="F344" s="89">
        <f t="shared" si="69"/>
        <v>0</v>
      </c>
      <c r="G344" s="822"/>
      <c r="H344" s="822"/>
      <c r="I344" s="978"/>
      <c r="J344" s="845"/>
      <c r="K344" s="89"/>
      <c r="L344" s="822"/>
      <c r="M344" s="822"/>
      <c r="N344" s="822"/>
      <c r="O344" s="89"/>
      <c r="P344" s="89"/>
      <c r="Q344" s="300"/>
      <c r="R344" s="89"/>
      <c r="S344" s="89"/>
      <c r="T344" s="89"/>
      <c r="U344" s="300"/>
      <c r="V344" s="779">
        <f t="shared" si="70"/>
        <v>0</v>
      </c>
    </row>
    <row r="345" s="3" customFormat="1" ht="13.8" spans="1:22">
      <c r="A345" s="695"/>
      <c r="B345" s="49"/>
      <c r="C345" s="317"/>
      <c r="D345" s="967" t="s">
        <v>71</v>
      </c>
      <c r="E345" s="89"/>
      <c r="F345" s="89">
        <f t="shared" si="69"/>
        <v>0</v>
      </c>
      <c r="G345" s="822"/>
      <c r="H345" s="822"/>
      <c r="I345" s="978"/>
      <c r="J345" s="845"/>
      <c r="K345" s="89"/>
      <c r="L345" s="822"/>
      <c r="M345" s="822"/>
      <c r="N345" s="822"/>
      <c r="O345" s="89"/>
      <c r="P345" s="89"/>
      <c r="Q345" s="300"/>
      <c r="R345" s="89"/>
      <c r="S345" s="89"/>
      <c r="T345" s="89"/>
      <c r="U345" s="300"/>
      <c r="V345" s="846">
        <f t="shared" si="70"/>
        <v>0</v>
      </c>
    </row>
    <row r="346" s="1" customFormat="1" ht="13.8" spans="1:22">
      <c r="A346" s="697"/>
      <c r="B346" s="80"/>
      <c r="C346" s="342"/>
      <c r="D346" s="968"/>
      <c r="E346" s="936">
        <f>SUM(E336:E345)</f>
        <v>707775</v>
      </c>
      <c r="F346" s="936">
        <f>SUM(F336:F345)</f>
        <v>567775</v>
      </c>
      <c r="G346" s="936">
        <f>SUM(G336:G345)</f>
        <v>0</v>
      </c>
      <c r="H346" s="936">
        <f>SUM(H336:H345)</f>
        <v>0</v>
      </c>
      <c r="I346" s="936">
        <f>SUM(I336:I345)</f>
        <v>0</v>
      </c>
      <c r="J346" s="965"/>
      <c r="K346" s="936">
        <f t="shared" ref="K346:R346" si="71">SUM(K336:K345)</f>
        <v>0</v>
      </c>
      <c r="L346" s="936">
        <f t="shared" si="71"/>
        <v>0</v>
      </c>
      <c r="M346" s="936">
        <f t="shared" si="71"/>
        <v>0</v>
      </c>
      <c r="N346" s="982">
        <f t="shared" si="71"/>
        <v>0</v>
      </c>
      <c r="O346" s="936">
        <f t="shared" si="71"/>
        <v>0</v>
      </c>
      <c r="P346" s="936">
        <f t="shared" si="71"/>
        <v>0</v>
      </c>
      <c r="Q346" s="936">
        <f t="shared" si="71"/>
        <v>0</v>
      </c>
      <c r="R346" s="982">
        <f t="shared" si="71"/>
        <v>0</v>
      </c>
      <c r="S346" s="982"/>
      <c r="T346" s="982"/>
      <c r="U346" s="965">
        <f>SUM(U336:U345)</f>
        <v>0</v>
      </c>
      <c r="V346" s="966">
        <f>SUM(V336:V345)</f>
        <v>140000</v>
      </c>
    </row>
    <row r="347" s="1" customFormat="1" spans="1:22">
      <c r="A347" s="697"/>
      <c r="B347" s="80"/>
      <c r="C347" s="342"/>
      <c r="D347" s="970"/>
      <c r="E347" s="84"/>
      <c r="F347" s="84"/>
      <c r="G347" s="201"/>
      <c r="H347" s="201"/>
      <c r="I347" s="941"/>
      <c r="J347" s="943"/>
      <c r="K347" s="84"/>
      <c r="L347" s="201"/>
      <c r="M347" s="201"/>
      <c r="N347" s="201"/>
      <c r="O347" s="84"/>
      <c r="P347" s="84"/>
      <c r="Q347" s="786"/>
      <c r="R347" s="84"/>
      <c r="S347" s="84"/>
      <c r="T347" s="84"/>
      <c r="U347" s="786"/>
      <c r="V347" s="863"/>
    </row>
    <row r="348" s="1" customFormat="1" spans="1:22">
      <c r="A348" s="697"/>
      <c r="B348" s="80"/>
      <c r="C348" s="342"/>
      <c r="D348" s="970"/>
      <c r="E348" s="84"/>
      <c r="F348" s="84"/>
      <c r="G348" s="201"/>
      <c r="H348" s="201"/>
      <c r="I348" s="941"/>
      <c r="J348" s="201"/>
      <c r="K348" s="785"/>
      <c r="L348" s="201"/>
      <c r="M348" s="201"/>
      <c r="N348" s="201"/>
      <c r="O348" s="84"/>
      <c r="P348" s="84"/>
      <c r="Q348" s="786"/>
      <c r="R348" s="84"/>
      <c r="S348" s="84"/>
      <c r="T348" s="84"/>
      <c r="U348" s="786"/>
      <c r="V348" s="863"/>
    </row>
    <row r="349" s="1" customFormat="1" spans="1:22">
      <c r="A349" s="697"/>
      <c r="B349" s="80"/>
      <c r="C349" s="342"/>
      <c r="D349" s="970"/>
      <c r="E349" s="84"/>
      <c r="F349" s="84"/>
      <c r="G349" s="201"/>
      <c r="H349" s="201"/>
      <c r="I349" s="941"/>
      <c r="J349" s="201"/>
      <c r="K349" s="785"/>
      <c r="L349" s="201"/>
      <c r="M349" s="201"/>
      <c r="N349" s="201"/>
      <c r="O349" s="84"/>
      <c r="P349" s="84"/>
      <c r="Q349" s="786"/>
      <c r="R349" s="84"/>
      <c r="S349" s="84"/>
      <c r="T349" s="84"/>
      <c r="U349" s="786"/>
      <c r="V349" s="863"/>
    </row>
    <row r="350" s="1" customFormat="1" spans="4:22">
      <c r="D350" s="971"/>
      <c r="E350" s="732"/>
      <c r="F350" s="732"/>
      <c r="G350" s="752"/>
      <c r="H350" s="752"/>
      <c r="I350" s="752"/>
      <c r="J350" s="752"/>
      <c r="K350" s="732"/>
      <c r="L350" s="752"/>
      <c r="M350" s="752"/>
      <c r="N350" s="752"/>
      <c r="O350" s="732"/>
      <c r="P350" s="732"/>
      <c r="Q350" s="732"/>
      <c r="R350" s="732"/>
      <c r="S350" s="732"/>
      <c r="T350" s="732"/>
      <c r="U350" s="732"/>
      <c r="V350" s="865"/>
    </row>
    <row r="351" s="1" customFormat="1" spans="4:22">
      <c r="D351" s="971"/>
      <c r="E351" s="732"/>
      <c r="F351" s="732"/>
      <c r="G351" s="752"/>
      <c r="H351" s="752"/>
      <c r="I351" s="752"/>
      <c r="J351" s="752"/>
      <c r="K351" s="732"/>
      <c r="L351" s="752"/>
      <c r="M351" s="752"/>
      <c r="N351" s="752"/>
      <c r="O351" s="732"/>
      <c r="P351" s="732"/>
      <c r="Q351" s="732"/>
      <c r="R351" s="732"/>
      <c r="S351" s="732"/>
      <c r="T351" s="732"/>
      <c r="U351" s="732"/>
      <c r="V351" s="865"/>
    </row>
    <row r="352" s="1" customFormat="1" spans="4:22">
      <c r="D352" s="971"/>
      <c r="E352" s="732"/>
      <c r="F352" s="732"/>
      <c r="G352" s="752"/>
      <c r="H352" s="752"/>
      <c r="I352" s="752"/>
      <c r="J352" s="752"/>
      <c r="K352" s="732"/>
      <c r="L352" s="752"/>
      <c r="M352" s="752"/>
      <c r="N352" s="752"/>
      <c r="O352" s="732"/>
      <c r="P352" s="732"/>
      <c r="Q352" s="732"/>
      <c r="R352" s="732"/>
      <c r="S352" s="732"/>
      <c r="T352" s="732"/>
      <c r="U352" s="732"/>
      <c r="V352" s="865"/>
    </row>
    <row r="353" s="1" customFormat="1" spans="4:22">
      <c r="D353" s="971"/>
      <c r="E353" s="732"/>
      <c r="F353" s="732"/>
      <c r="G353" s="752"/>
      <c r="H353" s="752"/>
      <c r="I353" s="752"/>
      <c r="J353" s="752"/>
      <c r="K353" s="732"/>
      <c r="L353" s="752"/>
      <c r="M353" s="752"/>
      <c r="N353" s="752"/>
      <c r="O353" s="732"/>
      <c r="P353" s="732"/>
      <c r="Q353" s="732"/>
      <c r="R353" s="732"/>
      <c r="S353" s="732"/>
      <c r="T353" s="732"/>
      <c r="U353" s="732"/>
      <c r="V353" s="865"/>
    </row>
    <row r="354" s="1" customFormat="1" spans="4:22">
      <c r="D354" s="971"/>
      <c r="E354" s="732"/>
      <c r="F354" s="732"/>
      <c r="G354" s="752"/>
      <c r="H354" s="752"/>
      <c r="I354" s="752"/>
      <c r="J354" s="752"/>
      <c r="K354" s="732"/>
      <c r="L354" s="752"/>
      <c r="M354" s="752"/>
      <c r="N354" s="752"/>
      <c r="O354" s="732"/>
      <c r="P354" s="732"/>
      <c r="Q354" s="732"/>
      <c r="R354" s="732"/>
      <c r="S354" s="732"/>
      <c r="T354" s="732"/>
      <c r="U354" s="732"/>
      <c r="V354" s="865"/>
    </row>
    <row r="355" s="1" customFormat="1" spans="4:22">
      <c r="D355" s="971"/>
      <c r="E355" s="732"/>
      <c r="F355" s="732"/>
      <c r="G355" s="752"/>
      <c r="H355" s="752"/>
      <c r="I355" s="752"/>
      <c r="J355" s="752"/>
      <c r="K355" s="732"/>
      <c r="L355" s="752"/>
      <c r="M355" s="752"/>
      <c r="N355" s="752"/>
      <c r="O355" s="732"/>
      <c r="P355" s="732"/>
      <c r="Q355" s="732"/>
      <c r="R355" s="732"/>
      <c r="S355" s="732"/>
      <c r="T355" s="732"/>
      <c r="U355" s="732"/>
      <c r="V355" s="865"/>
    </row>
    <row r="356" s="1" customFormat="1" spans="4:22">
      <c r="D356" s="971"/>
      <c r="E356" s="732"/>
      <c r="F356" s="732"/>
      <c r="G356" s="752"/>
      <c r="H356" s="752"/>
      <c r="I356" s="752"/>
      <c r="J356" s="752"/>
      <c r="K356" s="732"/>
      <c r="L356" s="752"/>
      <c r="M356" s="752"/>
      <c r="N356" s="752"/>
      <c r="O356" s="732"/>
      <c r="P356" s="732"/>
      <c r="Q356" s="732"/>
      <c r="R356" s="732"/>
      <c r="S356" s="732"/>
      <c r="T356" s="732"/>
      <c r="U356" s="732"/>
      <c r="V356" s="865"/>
    </row>
    <row r="357" s="1" customFormat="1" ht="13.8" spans="1:22">
      <c r="A357" s="17" t="s">
        <v>0</v>
      </c>
      <c r="B357" s="17"/>
      <c r="C357" s="17"/>
      <c r="D357" s="17"/>
      <c r="E357" s="17"/>
      <c r="F357" s="17"/>
      <c r="G357" s="17"/>
      <c r="H357" s="17"/>
      <c r="I357" s="17"/>
      <c r="J357" s="17"/>
      <c r="K357" s="225"/>
      <c r="L357" s="222"/>
      <c r="M357" s="222"/>
      <c r="N357" s="222"/>
      <c r="V357" s="778"/>
    </row>
    <row r="358" s="1" customFormat="1" ht="13.8" spans="1:22">
      <c r="A358" s="17" t="s">
        <v>91</v>
      </c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V358" s="778"/>
    </row>
    <row r="359" s="1" customFormat="1" ht="13.8" spans="1:22">
      <c r="A359" s="17" t="s">
        <v>11</v>
      </c>
      <c r="B359" s="17"/>
      <c r="C359" s="17"/>
      <c r="D359" s="17"/>
      <c r="E359" s="17"/>
      <c r="F359" s="17"/>
      <c r="G359" s="17"/>
      <c r="H359" s="17"/>
      <c r="I359" s="17"/>
      <c r="J359" s="17"/>
      <c r="K359" s="225"/>
      <c r="L359" s="222"/>
      <c r="M359" s="222"/>
      <c r="N359" s="222"/>
      <c r="V359" s="778"/>
    </row>
    <row r="360" s="1" customFormat="1" ht="13.8" spans="1:22">
      <c r="A360" s="17" t="s">
        <v>2</v>
      </c>
      <c r="B360" s="17"/>
      <c r="C360" s="17"/>
      <c r="D360" s="17"/>
      <c r="E360" s="17"/>
      <c r="F360" s="17"/>
      <c r="G360" s="17"/>
      <c r="H360" s="17"/>
      <c r="I360" s="17"/>
      <c r="J360" s="17"/>
      <c r="K360" s="225"/>
      <c r="L360" s="222"/>
      <c r="M360" s="222"/>
      <c r="N360" s="222"/>
      <c r="V360" s="778"/>
    </row>
    <row r="361" s="1" customFormat="1" ht="14.55" spans="1:22">
      <c r="A361" s="17" t="s">
        <v>3</v>
      </c>
      <c r="B361" s="17"/>
      <c r="C361" s="17"/>
      <c r="D361" s="17"/>
      <c r="E361" s="17"/>
      <c r="F361" s="17"/>
      <c r="G361" s="17"/>
      <c r="H361" s="17"/>
      <c r="I361" s="17"/>
      <c r="J361" s="17"/>
      <c r="K361" s="225"/>
      <c r="L361" s="222"/>
      <c r="M361" s="222"/>
      <c r="N361" s="222"/>
      <c r="V361" s="829" t="s">
        <v>155</v>
      </c>
    </row>
    <row r="362" s="1" customFormat="1" ht="14.55" spans="1:22">
      <c r="A362" s="18"/>
      <c r="B362" s="19"/>
      <c r="C362" s="19"/>
      <c r="D362" s="23"/>
      <c r="E362" s="22" t="s">
        <v>5</v>
      </c>
      <c r="F362" s="23"/>
      <c r="G362" s="24" t="s">
        <v>6</v>
      </c>
      <c r="H362" s="165"/>
      <c r="I362" s="165"/>
      <c r="J362" s="165"/>
      <c r="K362" s="165"/>
      <c r="L362" s="165"/>
      <c r="M362" s="165"/>
      <c r="N362" s="165"/>
      <c r="O362" s="165"/>
      <c r="P362" s="165"/>
      <c r="Q362" s="165"/>
      <c r="R362" s="165"/>
      <c r="S362" s="165"/>
      <c r="T362" s="165"/>
      <c r="U362" s="165"/>
      <c r="V362" s="763"/>
    </row>
    <row r="363" s="1" customFormat="1" ht="13.8" spans="1:22">
      <c r="A363" s="25"/>
      <c r="B363" s="6"/>
      <c r="C363" s="6"/>
      <c r="D363" s="249"/>
      <c r="E363" s="28" t="s">
        <v>7</v>
      </c>
      <c r="F363" s="28" t="s">
        <v>8</v>
      </c>
      <c r="G363" s="29" t="s">
        <v>9</v>
      </c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778"/>
    </row>
    <row r="364" s="1" customFormat="1" ht="13.8" spans="1:22">
      <c r="A364" s="30" t="s">
        <v>10</v>
      </c>
      <c r="B364" s="31"/>
      <c r="C364" s="691"/>
      <c r="D364" s="28" t="s">
        <v>11</v>
      </c>
      <c r="E364" s="28" t="s">
        <v>12</v>
      </c>
      <c r="F364" s="28" t="s">
        <v>13</v>
      </c>
      <c r="G364" s="972" t="s">
        <v>18</v>
      </c>
      <c r="H364" s="28"/>
      <c r="I364" s="27"/>
      <c r="J364" s="27"/>
      <c r="K364" s="168"/>
      <c r="L364" s="170"/>
      <c r="M364" s="169"/>
      <c r="N364" s="170"/>
      <c r="O364" s="28"/>
      <c r="P364" s="28"/>
      <c r="Q364" s="36"/>
      <c r="R364" s="167"/>
      <c r="S364" s="754"/>
      <c r="T364" s="754"/>
      <c r="U364" s="989" t="s">
        <v>29</v>
      </c>
      <c r="V364" s="834"/>
    </row>
    <row r="365" s="1" customFormat="1" ht="13.8" spans="1:22">
      <c r="A365" s="34"/>
      <c r="D365" s="28" t="s">
        <v>15</v>
      </c>
      <c r="E365" s="28" t="s">
        <v>16</v>
      </c>
      <c r="F365" s="28" t="s">
        <v>17</v>
      </c>
      <c r="G365" s="973"/>
      <c r="H365" s="28" t="s">
        <v>19</v>
      </c>
      <c r="I365" s="27" t="s">
        <v>20</v>
      </c>
      <c r="J365" s="27"/>
      <c r="K365" s="169" t="s">
        <v>21</v>
      </c>
      <c r="L365" s="170" t="s">
        <v>22</v>
      </c>
      <c r="M365" s="734" t="s">
        <v>23</v>
      </c>
      <c r="N365" s="28" t="s">
        <v>24</v>
      </c>
      <c r="O365" s="28" t="s">
        <v>93</v>
      </c>
      <c r="P365" s="28" t="s">
        <v>26</v>
      </c>
      <c r="Q365" s="756" t="s">
        <v>27</v>
      </c>
      <c r="R365" s="757" t="s">
        <v>14</v>
      </c>
      <c r="S365" s="758" t="s">
        <v>28</v>
      </c>
      <c r="T365" s="754"/>
      <c r="U365" s="990"/>
      <c r="V365" s="834" t="s">
        <v>30</v>
      </c>
    </row>
    <row r="366" s="1" customFormat="1" ht="14.55" spans="1:22">
      <c r="A366" s="37"/>
      <c r="B366" s="38"/>
      <c r="C366" s="38"/>
      <c r="D366" s="230"/>
      <c r="E366" s="41" t="s">
        <v>31</v>
      </c>
      <c r="F366" s="42"/>
      <c r="G366" s="974"/>
      <c r="H366" s="42"/>
      <c r="I366" s="368"/>
      <c r="J366" s="368"/>
      <c r="K366" s="42"/>
      <c r="L366" s="175"/>
      <c r="M366" s="174"/>
      <c r="N366" s="735"/>
      <c r="O366" s="692"/>
      <c r="P366" s="230"/>
      <c r="Q366" s="759"/>
      <c r="R366" s="760" t="s">
        <v>76</v>
      </c>
      <c r="S366" s="761"/>
      <c r="T366" s="761"/>
      <c r="U366" s="991"/>
      <c r="V366" s="837"/>
    </row>
    <row r="367" s="3" customFormat="1" ht="14.55" spans="1:22">
      <c r="A367" s="695"/>
      <c r="B367" s="49" t="s">
        <v>156</v>
      </c>
      <c r="C367" s="317"/>
      <c r="D367" s="807" t="s">
        <v>46</v>
      </c>
      <c r="E367" s="89">
        <v>0</v>
      </c>
      <c r="F367" s="89">
        <f>SUM(H367:U367)</f>
        <v>0</v>
      </c>
      <c r="G367" s="822"/>
      <c r="H367" s="822"/>
      <c r="I367" s="978"/>
      <c r="J367" s="983"/>
      <c r="K367" s="376"/>
      <c r="L367" s="822"/>
      <c r="M367" s="822"/>
      <c r="N367" s="822"/>
      <c r="O367" s="89"/>
      <c r="P367" s="89"/>
      <c r="Q367" s="300"/>
      <c r="R367" s="89"/>
      <c r="S367" s="89"/>
      <c r="T367" s="89"/>
      <c r="U367" s="300"/>
      <c r="V367" s="779">
        <f>E367-F367</f>
        <v>0</v>
      </c>
    </row>
    <row r="368" s="1" customFormat="1" ht="13.8" spans="1:22">
      <c r="A368" s="697"/>
      <c r="B368" s="80"/>
      <c r="C368" s="342"/>
      <c r="D368" s="920" t="s">
        <v>37</v>
      </c>
      <c r="E368" s="856"/>
      <c r="F368" s="84">
        <f>SUM(H368:U368)</f>
        <v>0</v>
      </c>
      <c r="G368" s="201"/>
      <c r="H368" s="201"/>
      <c r="I368" s="941"/>
      <c r="J368" s="201"/>
      <c r="K368" s="785"/>
      <c r="L368" s="201"/>
      <c r="M368" s="201"/>
      <c r="N368" s="201"/>
      <c r="O368" s="84"/>
      <c r="P368" s="84"/>
      <c r="Q368" s="786"/>
      <c r="R368" s="84"/>
      <c r="S368" s="84"/>
      <c r="T368" s="84"/>
      <c r="U368" s="786"/>
      <c r="V368" s="790">
        <f>E368-F368</f>
        <v>0</v>
      </c>
    </row>
    <row r="369" s="1" customFormat="1" ht="13.8" spans="1:22">
      <c r="A369" s="697"/>
      <c r="B369" s="80"/>
      <c r="C369" s="342"/>
      <c r="D369" s="920"/>
      <c r="E369" s="936">
        <f t="shared" ref="E369:V369" si="72">SUM(E367:E368)</f>
        <v>0</v>
      </c>
      <c r="F369" s="936">
        <f t="shared" si="72"/>
        <v>0</v>
      </c>
      <c r="G369" s="936">
        <f t="shared" si="72"/>
        <v>0</v>
      </c>
      <c r="H369" s="936">
        <f t="shared" si="72"/>
        <v>0</v>
      </c>
      <c r="I369" s="936">
        <f t="shared" si="72"/>
        <v>0</v>
      </c>
      <c r="J369" s="936"/>
      <c r="K369" s="948">
        <f t="shared" si="72"/>
        <v>0</v>
      </c>
      <c r="L369" s="936">
        <f t="shared" si="72"/>
        <v>0</v>
      </c>
      <c r="M369" s="936">
        <f t="shared" si="72"/>
        <v>0</v>
      </c>
      <c r="N369" s="936">
        <f t="shared" si="72"/>
        <v>0</v>
      </c>
      <c r="O369" s="936">
        <f t="shared" si="72"/>
        <v>0</v>
      </c>
      <c r="P369" s="936">
        <f t="shared" si="72"/>
        <v>0</v>
      </c>
      <c r="Q369" s="936">
        <f t="shared" si="72"/>
        <v>0</v>
      </c>
      <c r="R369" s="936">
        <f t="shared" si="72"/>
        <v>0</v>
      </c>
      <c r="S369" s="936"/>
      <c r="T369" s="936"/>
      <c r="U369" s="965">
        <f t="shared" si="72"/>
        <v>0</v>
      </c>
      <c r="V369" s="966">
        <f t="shared" si="72"/>
        <v>0</v>
      </c>
    </row>
    <row r="370" s="1" customFormat="1" spans="1:22">
      <c r="A370" s="697"/>
      <c r="B370" s="80"/>
      <c r="C370" s="342"/>
      <c r="D370" s="970"/>
      <c r="E370" s="84"/>
      <c r="F370" s="84"/>
      <c r="G370" s="201"/>
      <c r="H370" s="201"/>
      <c r="I370" s="941"/>
      <c r="J370" s="201"/>
      <c r="K370" s="785"/>
      <c r="L370" s="201"/>
      <c r="M370" s="201"/>
      <c r="N370" s="201"/>
      <c r="O370" s="84"/>
      <c r="P370" s="84"/>
      <c r="Q370" s="786"/>
      <c r="R370" s="84"/>
      <c r="S370" s="84"/>
      <c r="T370" s="84"/>
      <c r="U370" s="786"/>
      <c r="V370" s="863"/>
    </row>
    <row r="371" s="3" customFormat="1" ht="13.8" spans="1:22">
      <c r="A371" s="695"/>
      <c r="B371" s="49" t="s">
        <v>157</v>
      </c>
      <c r="C371" s="317"/>
      <c r="D371" s="807" t="s">
        <v>46</v>
      </c>
      <c r="E371" s="89">
        <v>0</v>
      </c>
      <c r="F371" s="89">
        <f>SUM(H371:U371)</f>
        <v>0</v>
      </c>
      <c r="G371" s="822"/>
      <c r="H371" s="822"/>
      <c r="I371" s="978"/>
      <c r="J371" s="822"/>
      <c r="K371" s="376"/>
      <c r="L371" s="822"/>
      <c r="M371" s="822"/>
      <c r="N371" s="822"/>
      <c r="O371" s="89"/>
      <c r="P371" s="89"/>
      <c r="Q371" s="300"/>
      <c r="R371" s="89"/>
      <c r="S371" s="89"/>
      <c r="T371" s="89"/>
      <c r="U371" s="300"/>
      <c r="V371" s="779">
        <f>E371-F371</f>
        <v>0</v>
      </c>
    </row>
    <row r="372" s="1" customFormat="1" ht="13.8" spans="1:22">
      <c r="A372" s="697"/>
      <c r="B372" s="80"/>
      <c r="C372" s="342"/>
      <c r="D372" s="920" t="s">
        <v>152</v>
      </c>
      <c r="E372" s="84"/>
      <c r="F372" s="84">
        <f>SUM(H372:U372)</f>
        <v>0</v>
      </c>
      <c r="G372" s="201"/>
      <c r="H372" s="201"/>
      <c r="I372" s="941"/>
      <c r="J372" s="201"/>
      <c r="K372" s="785"/>
      <c r="L372" s="201"/>
      <c r="M372" s="201"/>
      <c r="N372" s="201"/>
      <c r="O372" s="84"/>
      <c r="P372" s="84"/>
      <c r="Q372" s="786"/>
      <c r="R372" s="84"/>
      <c r="S372" s="84"/>
      <c r="T372" s="84"/>
      <c r="U372" s="786"/>
      <c r="V372" s="787">
        <f>E372-F372</f>
        <v>0</v>
      </c>
    </row>
    <row r="373" s="1" customFormat="1" ht="13.8" spans="1:22">
      <c r="A373" s="697"/>
      <c r="B373" s="80"/>
      <c r="C373" s="342"/>
      <c r="D373" s="920" t="s">
        <v>70</v>
      </c>
      <c r="E373" s="84"/>
      <c r="F373" s="84">
        <f>SUM(H373:U373)</f>
        <v>0</v>
      </c>
      <c r="G373" s="201"/>
      <c r="H373" s="201"/>
      <c r="I373" s="941"/>
      <c r="J373" s="201"/>
      <c r="K373" s="785"/>
      <c r="L373" s="201"/>
      <c r="M373" s="201"/>
      <c r="N373" s="201"/>
      <c r="O373" s="84"/>
      <c r="P373" s="84"/>
      <c r="Q373" s="786"/>
      <c r="R373" s="84"/>
      <c r="S373" s="84"/>
      <c r="T373" s="84"/>
      <c r="U373" s="786"/>
      <c r="V373" s="787">
        <f>E373-F373</f>
        <v>0</v>
      </c>
    </row>
    <row r="374" s="3" customFormat="1" ht="13.8" spans="1:22">
      <c r="A374" s="695"/>
      <c r="B374" s="49"/>
      <c r="C374" s="317"/>
      <c r="D374" s="807" t="s">
        <v>37</v>
      </c>
      <c r="E374" s="89"/>
      <c r="F374" s="89">
        <f>SUM(H374:U374)</f>
        <v>0</v>
      </c>
      <c r="G374" s="822"/>
      <c r="H374" s="822"/>
      <c r="I374" s="978"/>
      <c r="J374" s="822"/>
      <c r="K374" s="376"/>
      <c r="L374" s="822"/>
      <c r="M374" s="822"/>
      <c r="N374" s="822"/>
      <c r="O374" s="89"/>
      <c r="P374" s="89"/>
      <c r="Q374" s="300"/>
      <c r="R374" s="89"/>
      <c r="S374" s="89"/>
      <c r="T374" s="89"/>
      <c r="U374" s="300"/>
      <c r="V374" s="846">
        <f>E374-F374</f>
        <v>0</v>
      </c>
    </row>
    <row r="375" s="1" customFormat="1" ht="13.8" spans="1:22">
      <c r="A375" s="697"/>
      <c r="B375" s="80"/>
      <c r="C375" s="342"/>
      <c r="D375" s="920"/>
      <c r="E375" s="936">
        <f t="shared" ref="E375:V375" si="73">SUM(E371:E374)</f>
        <v>0</v>
      </c>
      <c r="F375" s="936">
        <f t="shared" si="73"/>
        <v>0</v>
      </c>
      <c r="G375" s="936">
        <f t="shared" si="73"/>
        <v>0</v>
      </c>
      <c r="H375" s="936">
        <f t="shared" si="73"/>
        <v>0</v>
      </c>
      <c r="I375" s="936">
        <f t="shared" si="73"/>
        <v>0</v>
      </c>
      <c r="J375" s="936"/>
      <c r="K375" s="948">
        <f t="shared" si="73"/>
        <v>0</v>
      </c>
      <c r="L375" s="936">
        <f t="shared" si="73"/>
        <v>0</v>
      </c>
      <c r="M375" s="936">
        <f t="shared" si="73"/>
        <v>0</v>
      </c>
      <c r="N375" s="936">
        <f t="shared" si="73"/>
        <v>0</v>
      </c>
      <c r="O375" s="936">
        <f t="shared" si="73"/>
        <v>0</v>
      </c>
      <c r="P375" s="936">
        <f t="shared" si="73"/>
        <v>0</v>
      </c>
      <c r="Q375" s="936">
        <f t="shared" si="73"/>
        <v>0</v>
      </c>
      <c r="R375" s="982">
        <f t="shared" si="73"/>
        <v>0</v>
      </c>
      <c r="S375" s="982"/>
      <c r="T375" s="982"/>
      <c r="U375" s="965">
        <f t="shared" si="73"/>
        <v>0</v>
      </c>
      <c r="V375" s="966">
        <f t="shared" si="73"/>
        <v>0</v>
      </c>
    </row>
    <row r="376" s="1" customFormat="1" ht="13.8" spans="1:22">
      <c r="A376" s="697"/>
      <c r="B376" s="80"/>
      <c r="C376" s="342"/>
      <c r="D376" s="920"/>
      <c r="E376" s="84"/>
      <c r="F376" s="84">
        <f>SUM(G376:U376)</f>
        <v>0</v>
      </c>
      <c r="G376" s="201"/>
      <c r="H376" s="201"/>
      <c r="I376" s="941"/>
      <c r="J376" s="201"/>
      <c r="K376" s="943"/>
      <c r="L376" s="201"/>
      <c r="M376" s="201"/>
      <c r="N376" s="201"/>
      <c r="O376" s="84"/>
      <c r="P376" s="201"/>
      <c r="Q376" s="992"/>
      <c r="R376" s="201"/>
      <c r="S376" s="201"/>
      <c r="T376" s="201"/>
      <c r="U376" s="786"/>
      <c r="V376" s="863">
        <f>E376-F376</f>
        <v>0</v>
      </c>
    </row>
    <row r="377" s="1" customFormat="1" ht="13.8" spans="1:22">
      <c r="A377" s="697"/>
      <c r="B377" s="80" t="s">
        <v>158</v>
      </c>
      <c r="C377" s="342"/>
      <c r="D377" s="920" t="s">
        <v>69</v>
      </c>
      <c r="E377" s="84"/>
      <c r="F377" s="84">
        <f>SUM(G377:U377)</f>
        <v>0</v>
      </c>
      <c r="G377" s="201"/>
      <c r="H377" s="201"/>
      <c r="I377" s="941"/>
      <c r="J377" s="201"/>
      <c r="K377" s="943"/>
      <c r="L377" s="201"/>
      <c r="M377" s="201"/>
      <c r="N377" s="201"/>
      <c r="O377" s="84"/>
      <c r="P377" s="201"/>
      <c r="Q377" s="786"/>
      <c r="R377" s="201"/>
      <c r="S377" s="201"/>
      <c r="T377" s="201"/>
      <c r="U377" s="786"/>
      <c r="V377" s="863">
        <f>E377-F377</f>
        <v>0</v>
      </c>
    </row>
    <row r="378" s="1" customFormat="1" ht="13.8" spans="1:22">
      <c r="A378" s="697"/>
      <c r="B378" s="80"/>
      <c r="C378" s="342"/>
      <c r="D378" s="920"/>
      <c r="E378" s="936">
        <f t="shared" ref="E378:V378" si="74">SUM(E377)</f>
        <v>0</v>
      </c>
      <c r="F378" s="936">
        <f t="shared" si="74"/>
        <v>0</v>
      </c>
      <c r="G378" s="936">
        <f t="shared" si="74"/>
        <v>0</v>
      </c>
      <c r="H378" s="936">
        <f t="shared" si="74"/>
        <v>0</v>
      </c>
      <c r="I378" s="936">
        <f t="shared" si="74"/>
        <v>0</v>
      </c>
      <c r="J378" s="936"/>
      <c r="K378" s="936">
        <f t="shared" si="74"/>
        <v>0</v>
      </c>
      <c r="L378" s="936">
        <f t="shared" si="74"/>
        <v>0</v>
      </c>
      <c r="M378" s="936">
        <f t="shared" si="74"/>
        <v>0</v>
      </c>
      <c r="N378" s="936">
        <f t="shared" si="74"/>
        <v>0</v>
      </c>
      <c r="O378" s="936">
        <f t="shared" si="74"/>
        <v>0</v>
      </c>
      <c r="P378" s="936">
        <f t="shared" si="74"/>
        <v>0</v>
      </c>
      <c r="Q378" s="936">
        <f t="shared" si="74"/>
        <v>0</v>
      </c>
      <c r="R378" s="936">
        <f t="shared" si="74"/>
        <v>0</v>
      </c>
      <c r="S378" s="936"/>
      <c r="T378" s="936"/>
      <c r="U378" s="965">
        <f t="shared" si="74"/>
        <v>0</v>
      </c>
      <c r="V378" s="993">
        <f t="shared" si="74"/>
        <v>0</v>
      </c>
    </row>
    <row r="379" s="1" customFormat="1" ht="14.55" spans="1:22">
      <c r="A379" s="724"/>
      <c r="B379" s="725"/>
      <c r="C379" s="726"/>
      <c r="D379" s="975"/>
      <c r="E379" s="976"/>
      <c r="F379" s="976"/>
      <c r="G379" s="977"/>
      <c r="H379" s="977"/>
      <c r="I379" s="984"/>
      <c r="J379" s="985"/>
      <c r="K379" s="986"/>
      <c r="L379" s="977"/>
      <c r="M379" s="977"/>
      <c r="N379" s="977"/>
      <c r="O379" s="976"/>
      <c r="P379" s="977"/>
      <c r="Q379" s="994"/>
      <c r="R379" s="977"/>
      <c r="S379" s="977"/>
      <c r="T379" s="977"/>
      <c r="U379" s="994"/>
      <c r="V379" s="995"/>
    </row>
    <row r="380" s="3" customFormat="1" ht="13.8" spans="1:22">
      <c r="A380" s="695"/>
      <c r="B380" s="49" t="s">
        <v>159</v>
      </c>
      <c r="C380" s="317"/>
      <c r="D380" s="807" t="s">
        <v>107</v>
      </c>
      <c r="E380" s="89">
        <v>0</v>
      </c>
      <c r="F380" s="89">
        <f t="shared" ref="F380:F385" si="75">SUM(G380:U380)</f>
        <v>0</v>
      </c>
      <c r="G380" s="822"/>
      <c r="H380" s="822"/>
      <c r="I380" s="978"/>
      <c r="J380" s="845"/>
      <c r="K380" s="987"/>
      <c r="L380" s="822"/>
      <c r="M380" s="822"/>
      <c r="N380" s="822"/>
      <c r="O380" s="89"/>
      <c r="P380" s="822"/>
      <c r="Q380" s="300"/>
      <c r="R380" s="822"/>
      <c r="S380" s="822"/>
      <c r="T380" s="822"/>
      <c r="U380" s="300"/>
      <c r="V380" s="779">
        <f t="shared" ref="V380:V381" si="76">E380-F380</f>
        <v>0</v>
      </c>
    </row>
    <row r="381" s="3" customFormat="1" ht="13.8" spans="1:22">
      <c r="A381" s="695"/>
      <c r="B381" s="49"/>
      <c r="C381" s="317"/>
      <c r="D381" s="807" t="s">
        <v>160</v>
      </c>
      <c r="E381" s="89">
        <v>0</v>
      </c>
      <c r="F381" s="89">
        <f t="shared" si="75"/>
        <v>0</v>
      </c>
      <c r="G381" s="822"/>
      <c r="H381" s="822"/>
      <c r="I381" s="978"/>
      <c r="J381" s="845"/>
      <c r="K381" s="987"/>
      <c r="L381" s="822"/>
      <c r="M381" s="822"/>
      <c r="N381" s="822"/>
      <c r="O381" s="89"/>
      <c r="P381" s="822"/>
      <c r="Q381" s="300"/>
      <c r="R381" s="822"/>
      <c r="S381" s="822"/>
      <c r="T381" s="822"/>
      <c r="U381" s="300"/>
      <c r="V381" s="779">
        <f t="shared" si="76"/>
        <v>0</v>
      </c>
    </row>
    <row r="382" s="3" customFormat="1" ht="13.8" spans="1:22">
      <c r="A382" s="695"/>
      <c r="B382" s="49"/>
      <c r="C382" s="317"/>
      <c r="D382" s="807" t="s">
        <v>46</v>
      </c>
      <c r="E382" s="89">
        <v>0</v>
      </c>
      <c r="F382" s="89">
        <f t="shared" si="75"/>
        <v>0</v>
      </c>
      <c r="G382" s="822"/>
      <c r="H382" s="822"/>
      <c r="I382" s="978"/>
      <c r="J382" s="845"/>
      <c r="K382" s="987"/>
      <c r="L382" s="822"/>
      <c r="M382" s="822"/>
      <c r="N382" s="822"/>
      <c r="O382" s="89"/>
      <c r="P382" s="822"/>
      <c r="Q382" s="300"/>
      <c r="R382" s="822"/>
      <c r="S382" s="822"/>
      <c r="T382" s="822"/>
      <c r="U382" s="300"/>
      <c r="V382" s="779">
        <f t="shared" ref="V382:V385" si="77">E382-F382</f>
        <v>0</v>
      </c>
    </row>
    <row r="383" s="3" customFormat="1" ht="13.8" spans="1:22">
      <c r="A383" s="695"/>
      <c r="B383" s="49"/>
      <c r="C383" s="317"/>
      <c r="D383" s="807" t="s">
        <v>37</v>
      </c>
      <c r="E383" s="89"/>
      <c r="F383" s="89">
        <f t="shared" si="75"/>
        <v>0</v>
      </c>
      <c r="G383" s="822"/>
      <c r="H383" s="822"/>
      <c r="I383" s="978"/>
      <c r="J383" s="845"/>
      <c r="K383" s="987"/>
      <c r="L383" s="822"/>
      <c r="M383" s="822"/>
      <c r="N383" s="822"/>
      <c r="O383" s="89"/>
      <c r="P383" s="822"/>
      <c r="Q383" s="300"/>
      <c r="R383" s="822"/>
      <c r="S383" s="822"/>
      <c r="T383" s="822"/>
      <c r="U383" s="300"/>
      <c r="V383" s="779">
        <f t="shared" si="77"/>
        <v>0</v>
      </c>
    </row>
    <row r="384" s="3" customFormat="1" ht="13.8" spans="1:22">
      <c r="A384" s="695"/>
      <c r="B384" s="49"/>
      <c r="C384" s="317"/>
      <c r="D384" s="807" t="s">
        <v>70</v>
      </c>
      <c r="E384" s="89"/>
      <c r="F384" s="89">
        <f t="shared" si="75"/>
        <v>0</v>
      </c>
      <c r="G384" s="822"/>
      <c r="H384" s="822"/>
      <c r="I384" s="978"/>
      <c r="J384" s="845"/>
      <c r="K384" s="987"/>
      <c r="L384" s="822"/>
      <c r="M384" s="822"/>
      <c r="N384" s="822"/>
      <c r="O384" s="89"/>
      <c r="P384" s="822"/>
      <c r="Q384" s="300"/>
      <c r="R384" s="822"/>
      <c r="S384" s="822"/>
      <c r="T384" s="822"/>
      <c r="U384" s="300"/>
      <c r="V384" s="779">
        <f t="shared" si="77"/>
        <v>0</v>
      </c>
    </row>
    <row r="385" s="1" customFormat="1" ht="13.8" spans="1:22">
      <c r="A385" s="697"/>
      <c r="B385" s="80"/>
      <c r="C385" s="342"/>
      <c r="D385" s="920" t="s">
        <v>69</v>
      </c>
      <c r="E385" s="84"/>
      <c r="F385" s="84">
        <f t="shared" si="75"/>
        <v>0</v>
      </c>
      <c r="G385" s="201"/>
      <c r="H385" s="201"/>
      <c r="I385" s="941"/>
      <c r="J385" s="943"/>
      <c r="K385" s="992"/>
      <c r="L385" s="201"/>
      <c r="M385" s="201"/>
      <c r="N385" s="201"/>
      <c r="O385" s="84"/>
      <c r="P385" s="201"/>
      <c r="Q385" s="786"/>
      <c r="R385" s="84"/>
      <c r="S385" s="84"/>
      <c r="T385" s="84"/>
      <c r="U385" s="786"/>
      <c r="V385" s="787">
        <f t="shared" si="77"/>
        <v>0</v>
      </c>
    </row>
    <row r="386" s="1" customFormat="1" ht="13.8" spans="1:22">
      <c r="A386" s="536"/>
      <c r="B386" s="143"/>
      <c r="C386" s="917"/>
      <c r="D386" s="996"/>
      <c r="E386" s="936">
        <f t="shared" ref="E386:R386" si="78">SUM(E380:E385)</f>
        <v>0</v>
      </c>
      <c r="F386" s="936">
        <f t="shared" si="78"/>
        <v>0</v>
      </c>
      <c r="G386" s="997">
        <f t="shared" si="78"/>
        <v>0</v>
      </c>
      <c r="H386" s="997">
        <f t="shared" si="78"/>
        <v>0</v>
      </c>
      <c r="I386" s="997">
        <f t="shared" si="78"/>
        <v>0</v>
      </c>
      <c r="J386" s="997"/>
      <c r="K386" s="997">
        <f t="shared" si="78"/>
        <v>0</v>
      </c>
      <c r="L386" s="997">
        <f t="shared" si="78"/>
        <v>0</v>
      </c>
      <c r="M386" s="997">
        <f t="shared" si="78"/>
        <v>0</v>
      </c>
      <c r="N386" s="997">
        <f t="shared" si="78"/>
        <v>0</v>
      </c>
      <c r="O386" s="997">
        <f t="shared" si="78"/>
        <v>0</v>
      </c>
      <c r="P386" s="997">
        <f t="shared" si="78"/>
        <v>0</v>
      </c>
      <c r="Q386" s="997">
        <f t="shared" si="78"/>
        <v>0</v>
      </c>
      <c r="R386" s="997">
        <f t="shared" si="78"/>
        <v>0</v>
      </c>
      <c r="S386" s="997"/>
      <c r="T386" s="997"/>
      <c r="U386" s="1021">
        <f>SUM(U380:U385)</f>
        <v>0</v>
      </c>
      <c r="V386" s="1053">
        <f>SUM(V380:V385)</f>
        <v>0</v>
      </c>
    </row>
    <row r="387" s="1" customFormat="1" ht="13.8" spans="1:22">
      <c r="A387" s="536"/>
      <c r="B387" s="143"/>
      <c r="C387" s="917"/>
      <c r="D387" s="996"/>
      <c r="E387" s="996"/>
      <c r="F387" s="996"/>
      <c r="G387" s="941"/>
      <c r="H387" s="201"/>
      <c r="I387" s="941"/>
      <c r="J387" s="943"/>
      <c r="K387" s="992"/>
      <c r="L387" s="201"/>
      <c r="M387" s="201"/>
      <c r="N387" s="201"/>
      <c r="O387" s="84"/>
      <c r="P387" s="201"/>
      <c r="Q387" s="786"/>
      <c r="R387" s="84"/>
      <c r="S387" s="84"/>
      <c r="T387" s="84"/>
      <c r="U387" s="786"/>
      <c r="V387" s="863"/>
    </row>
    <row r="388" s="1" customFormat="1" ht="13.8" spans="1:22">
      <c r="A388" s="536"/>
      <c r="B388" s="143" t="s">
        <v>161</v>
      </c>
      <c r="C388" s="917"/>
      <c r="D388" s="996" t="s">
        <v>46</v>
      </c>
      <c r="E388" s="998">
        <v>0</v>
      </c>
      <c r="F388" s="999">
        <f>SUM(G388:U388)</f>
        <v>0</v>
      </c>
      <c r="G388" s="1000"/>
      <c r="H388" s="1001"/>
      <c r="I388" s="1000"/>
      <c r="J388" s="752"/>
      <c r="K388" s="1038"/>
      <c r="L388" s="1001"/>
      <c r="M388" s="1001"/>
      <c r="N388" s="1001"/>
      <c r="O388" s="1023"/>
      <c r="P388" s="1001"/>
      <c r="Q388" s="1054"/>
      <c r="R388" s="1023">
        <v>0</v>
      </c>
      <c r="S388" s="1023"/>
      <c r="T388" s="1023"/>
      <c r="U388" s="1054"/>
      <c r="V388" s="865">
        <f>E388-F388</f>
        <v>0</v>
      </c>
    </row>
    <row r="389" s="6" customFormat="1" ht="13.8" spans="1:22">
      <c r="A389" s="711"/>
      <c r="B389" s="139"/>
      <c r="C389" s="712"/>
      <c r="D389" s="1002"/>
      <c r="E389" s="1003">
        <f>SUM(E388:E388)</f>
        <v>0</v>
      </c>
      <c r="F389" s="1003">
        <f t="shared" ref="F389:V389" si="79">SUM(F388:F388)</f>
        <v>0</v>
      </c>
      <c r="G389" s="1004">
        <f t="shared" si="79"/>
        <v>0</v>
      </c>
      <c r="H389" s="1003">
        <f t="shared" si="79"/>
        <v>0</v>
      </c>
      <c r="I389" s="1003">
        <f t="shared" si="79"/>
        <v>0</v>
      </c>
      <c r="J389" s="1003"/>
      <c r="K389" s="1003">
        <f t="shared" si="79"/>
        <v>0</v>
      </c>
      <c r="L389" s="1003">
        <f t="shared" si="79"/>
        <v>0</v>
      </c>
      <c r="M389" s="1003">
        <f t="shared" si="79"/>
        <v>0</v>
      </c>
      <c r="N389" s="1003">
        <f t="shared" si="79"/>
        <v>0</v>
      </c>
      <c r="O389" s="1003">
        <f t="shared" si="79"/>
        <v>0</v>
      </c>
      <c r="P389" s="1003">
        <f t="shared" si="79"/>
        <v>0</v>
      </c>
      <c r="Q389" s="1003">
        <f t="shared" si="79"/>
        <v>0</v>
      </c>
      <c r="R389" s="1003">
        <f t="shared" si="79"/>
        <v>0</v>
      </c>
      <c r="S389" s="1003">
        <f t="shared" si="79"/>
        <v>0</v>
      </c>
      <c r="T389" s="1003">
        <f t="shared" si="79"/>
        <v>0</v>
      </c>
      <c r="U389" s="1055">
        <f t="shared" si="79"/>
        <v>0</v>
      </c>
      <c r="V389" s="1056">
        <f t="shared" si="79"/>
        <v>0</v>
      </c>
    </row>
    <row r="390" s="1" customFormat="1" ht="13.8" spans="1:22">
      <c r="A390" s="536"/>
      <c r="B390" s="143" t="s">
        <v>162</v>
      </c>
      <c r="C390" s="917"/>
      <c r="D390" s="996"/>
      <c r="E390" s="996"/>
      <c r="F390" s="1005"/>
      <c r="G390" s="1006"/>
      <c r="H390" s="1006"/>
      <c r="I390" s="1039"/>
      <c r="J390" s="1040"/>
      <c r="K390" s="1041"/>
      <c r="L390" s="1006"/>
      <c r="M390" s="1006"/>
      <c r="N390" s="1006"/>
      <c r="O390" s="97"/>
      <c r="P390" s="1006"/>
      <c r="Q390" s="955"/>
      <c r="R390" s="97"/>
      <c r="S390" s="97"/>
      <c r="T390" s="97"/>
      <c r="U390" s="955"/>
      <c r="V390" s="1057"/>
    </row>
    <row r="391" s="9" customFormat="1" ht="13.8" spans="1:22">
      <c r="A391" s="1007"/>
      <c r="B391" s="1008"/>
      <c r="C391" s="1009"/>
      <c r="D391" s="1010" t="s">
        <v>37</v>
      </c>
      <c r="E391" s="1010"/>
      <c r="F391" s="1011">
        <f>SUM(G391:U391)</f>
        <v>0</v>
      </c>
      <c r="G391" s="1012">
        <v>0</v>
      </c>
      <c r="H391" s="1013">
        <v>0</v>
      </c>
      <c r="I391" s="1012">
        <v>0</v>
      </c>
      <c r="J391" s="1042"/>
      <c r="K391" s="1043">
        <v>0</v>
      </c>
      <c r="L391" s="1013">
        <v>0</v>
      </c>
      <c r="M391" s="1013">
        <v>0</v>
      </c>
      <c r="N391" s="1013">
        <v>0</v>
      </c>
      <c r="O391" s="458">
        <v>0</v>
      </c>
      <c r="P391" s="1013">
        <v>0</v>
      </c>
      <c r="Q391" s="885">
        <v>0</v>
      </c>
      <c r="R391" s="458">
        <v>0</v>
      </c>
      <c r="S391" s="458">
        <v>0</v>
      </c>
      <c r="T391" s="458">
        <v>0</v>
      </c>
      <c r="U391" s="885">
        <v>0</v>
      </c>
      <c r="V391" s="1058">
        <f>E391-F391</f>
        <v>0</v>
      </c>
    </row>
    <row r="392" s="3" customFormat="1" ht="13.8" spans="1:22">
      <c r="A392" s="801"/>
      <c r="B392" s="315"/>
      <c r="C392" s="1014"/>
      <c r="D392" s="807"/>
      <c r="E392" s="1015"/>
      <c r="F392" s="1016"/>
      <c r="G392" s="1006"/>
      <c r="H392" s="1006"/>
      <c r="I392" s="1039"/>
      <c r="J392" s="1040"/>
      <c r="K392" s="1041"/>
      <c r="L392" s="1006"/>
      <c r="M392" s="1006"/>
      <c r="N392" s="1006"/>
      <c r="O392" s="97"/>
      <c r="P392" s="1006"/>
      <c r="Q392" s="955"/>
      <c r="R392" s="97"/>
      <c r="S392" s="97"/>
      <c r="T392" s="97"/>
      <c r="U392" s="955"/>
      <c r="V392" s="1057"/>
    </row>
    <row r="393" s="3" customFormat="1" ht="13.8" spans="1:22">
      <c r="A393" s="801"/>
      <c r="B393" s="315"/>
      <c r="C393" s="1014"/>
      <c r="D393" s="1005"/>
      <c r="E393" s="1017"/>
      <c r="F393" s="1018"/>
      <c r="G393" s="945"/>
      <c r="H393" s="945"/>
      <c r="I393" s="1044"/>
      <c r="J393" s="1045"/>
      <c r="K393" s="1046"/>
      <c r="L393" s="945"/>
      <c r="M393" s="945"/>
      <c r="N393" s="945"/>
      <c r="O393" s="313"/>
      <c r="P393" s="945"/>
      <c r="Q393" s="1059"/>
      <c r="R393" s="313"/>
      <c r="S393" s="313"/>
      <c r="T393" s="313"/>
      <c r="U393" s="1059"/>
      <c r="V393" s="1060"/>
    </row>
    <row r="394" s="3" customFormat="1" ht="13.8" spans="1:22">
      <c r="A394" s="801"/>
      <c r="B394" s="315"/>
      <c r="C394" s="1014"/>
      <c r="D394" s="1005"/>
      <c r="E394" s="1019"/>
      <c r="F394" s="807"/>
      <c r="G394" s="822"/>
      <c r="H394" s="822"/>
      <c r="I394" s="978"/>
      <c r="J394" s="845"/>
      <c r="K394" s="987"/>
      <c r="L394" s="822"/>
      <c r="M394" s="822"/>
      <c r="N394" s="822"/>
      <c r="O394" s="89"/>
      <c r="P394" s="822"/>
      <c r="Q394" s="300"/>
      <c r="R394" s="89"/>
      <c r="S394" s="89"/>
      <c r="T394" s="89"/>
      <c r="U394" s="300"/>
      <c r="V394" s="1061"/>
    </row>
    <row r="395" s="3" customFormat="1" ht="13.8" spans="1:22">
      <c r="A395" s="801"/>
      <c r="B395" s="315" t="s">
        <v>163</v>
      </c>
      <c r="C395" s="1014"/>
      <c r="D395" s="1005" t="s">
        <v>40</v>
      </c>
      <c r="E395" s="1020"/>
      <c r="F395" s="93">
        <f>SUM(G395:U395)</f>
        <v>0</v>
      </c>
      <c r="G395" s="1006"/>
      <c r="H395" s="1006"/>
      <c r="I395" s="1039"/>
      <c r="J395" s="1040"/>
      <c r="K395" s="1041">
        <v>0</v>
      </c>
      <c r="L395" s="1006"/>
      <c r="M395" s="1006"/>
      <c r="N395" s="1006"/>
      <c r="O395" s="97"/>
      <c r="P395" s="1006"/>
      <c r="Q395" s="955"/>
      <c r="R395" s="97"/>
      <c r="S395" s="97"/>
      <c r="T395" s="97"/>
      <c r="U395" s="955"/>
      <c r="V395" s="846">
        <f>E395-F395</f>
        <v>0</v>
      </c>
    </row>
    <row r="396" s="3" customFormat="1" ht="13.8" spans="1:22">
      <c r="A396" s="801"/>
      <c r="B396" s="315"/>
      <c r="C396" s="1014"/>
      <c r="D396" s="1005" t="s">
        <v>46</v>
      </c>
      <c r="E396" s="1005"/>
      <c r="F396" s="300">
        <f t="shared" ref="F396:F397" si="80">SUM(G396:U396)</f>
        <v>0</v>
      </c>
      <c r="G396" s="822"/>
      <c r="H396" s="822"/>
      <c r="I396" s="978"/>
      <c r="J396" s="978"/>
      <c r="K396" s="987">
        <v>0</v>
      </c>
      <c r="L396" s="822"/>
      <c r="M396" s="822"/>
      <c r="N396" s="822"/>
      <c r="O396" s="89"/>
      <c r="P396" s="822"/>
      <c r="Q396" s="300"/>
      <c r="R396" s="89"/>
      <c r="S396" s="89"/>
      <c r="T396" s="89"/>
      <c r="U396" s="300"/>
      <c r="V396" s="779">
        <f t="shared" ref="V396:V397" si="81">E396-F396</f>
        <v>0</v>
      </c>
    </row>
    <row r="397" s="3" customFormat="1" ht="13.8" spans="1:22">
      <c r="A397" s="801"/>
      <c r="B397" s="315"/>
      <c r="C397" s="1014"/>
      <c r="D397" s="1005" t="s">
        <v>37</v>
      </c>
      <c r="E397" s="1005"/>
      <c r="F397" s="89">
        <f t="shared" si="80"/>
        <v>0</v>
      </c>
      <c r="G397" s="822"/>
      <c r="H397" s="822"/>
      <c r="I397" s="978"/>
      <c r="J397" s="845"/>
      <c r="K397" s="987">
        <v>0</v>
      </c>
      <c r="L397" s="822"/>
      <c r="M397" s="822"/>
      <c r="N397" s="822"/>
      <c r="O397" s="89"/>
      <c r="P397" s="822"/>
      <c r="Q397" s="300"/>
      <c r="R397" s="89"/>
      <c r="S397" s="89"/>
      <c r="T397" s="89"/>
      <c r="U397" s="300"/>
      <c r="V397" s="779">
        <f t="shared" si="81"/>
        <v>0</v>
      </c>
    </row>
    <row r="398" s="1" customFormat="1" ht="13.8" spans="1:23">
      <c r="A398" s="536"/>
      <c r="B398" s="143"/>
      <c r="C398" s="917"/>
      <c r="D398" s="996"/>
      <c r="E398" s="936">
        <f>SUM(E395:E397)</f>
        <v>0</v>
      </c>
      <c r="F398" s="1021">
        <f>SUM(F395:F397)</f>
        <v>0</v>
      </c>
      <c r="G398" s="936">
        <f t="shared" ref="G398:V398" si="82">SUM(G395:G397)</f>
        <v>0</v>
      </c>
      <c r="H398" s="936">
        <f t="shared" si="82"/>
        <v>0</v>
      </c>
      <c r="I398" s="936">
        <f t="shared" si="82"/>
        <v>0</v>
      </c>
      <c r="J398" s="936"/>
      <c r="K398" s="936">
        <f t="shared" si="82"/>
        <v>0</v>
      </c>
      <c r="L398" s="936">
        <f t="shared" si="82"/>
        <v>0</v>
      </c>
      <c r="M398" s="936">
        <f t="shared" si="82"/>
        <v>0</v>
      </c>
      <c r="N398" s="936">
        <f t="shared" si="82"/>
        <v>0</v>
      </c>
      <c r="O398" s="936">
        <f t="shared" si="82"/>
        <v>0</v>
      </c>
      <c r="P398" s="936">
        <f t="shared" si="82"/>
        <v>0</v>
      </c>
      <c r="Q398" s="936">
        <f t="shared" si="82"/>
        <v>0</v>
      </c>
      <c r="R398" s="936">
        <f t="shared" si="82"/>
        <v>0</v>
      </c>
      <c r="S398" s="936">
        <f t="shared" si="82"/>
        <v>0</v>
      </c>
      <c r="T398" s="936">
        <f t="shared" si="82"/>
        <v>0</v>
      </c>
      <c r="U398" s="965">
        <f t="shared" si="82"/>
        <v>0</v>
      </c>
      <c r="V398" s="1062">
        <f t="shared" si="82"/>
        <v>0</v>
      </c>
      <c r="W398" s="34"/>
    </row>
    <row r="399" s="1" customFormat="1" spans="1:22">
      <c r="A399" s="536"/>
      <c r="B399" s="143"/>
      <c r="C399" s="917"/>
      <c r="D399" s="1022"/>
      <c r="E399" s="1023"/>
      <c r="F399" s="84"/>
      <c r="G399" s="1001"/>
      <c r="H399" s="1001"/>
      <c r="I399" s="1000"/>
      <c r="J399" s="752"/>
      <c r="K399" s="1047"/>
      <c r="L399" s="1048"/>
      <c r="M399" s="1048"/>
      <c r="N399" s="1048"/>
      <c r="O399" s="1049"/>
      <c r="P399" s="1048"/>
      <c r="Q399" s="1063"/>
      <c r="R399" s="1049"/>
      <c r="S399" s="1023"/>
      <c r="T399" s="1023"/>
      <c r="U399" s="1054"/>
      <c r="V399" s="790"/>
    </row>
    <row r="400" s="1" customFormat="1" ht="13.8" spans="1:25">
      <c r="A400" s="697"/>
      <c r="B400" s="1024" t="s">
        <v>164</v>
      </c>
      <c r="C400" s="342"/>
      <c r="D400" s="929"/>
      <c r="E400" s="1025">
        <f>E398+E391+E389+E386+E378+E375+E369+E346+E334+E332+E324+E320+E314+E317</f>
        <v>707775</v>
      </c>
      <c r="F400" s="1025">
        <f>F398+F391+F389+F386+F378+F375+F369+F346+F334+F332+F324+F320+F317+F314</f>
        <v>567775</v>
      </c>
      <c r="G400" s="1025">
        <f>G398+G391+G389+G386+G378+G375+G369+G346+G334+G332+G324+G320+G317+G314</f>
        <v>0</v>
      </c>
      <c r="H400" s="1025">
        <f>H398+H391+H389+H386+H378+H375+H369+H346+H334+H332+H324+H320+H317+H314</f>
        <v>0</v>
      </c>
      <c r="I400" s="1025">
        <f>I398+I391+I389+I386+I378+I375+I369+I346+I334+I332+I324+I320+I317+I314</f>
        <v>0</v>
      </c>
      <c r="J400" s="1025"/>
      <c r="K400" s="1025">
        <f t="shared" ref="K400:V400" si="83">K398+K391+K389+K386+K378+K375+K369+K346+K334+K332+K324+K320+K317+K314</f>
        <v>0</v>
      </c>
      <c r="L400" s="1025">
        <f t="shared" si="83"/>
        <v>0</v>
      </c>
      <c r="M400" s="1025">
        <f t="shared" si="83"/>
        <v>0</v>
      </c>
      <c r="N400" s="1025">
        <f t="shared" si="83"/>
        <v>0</v>
      </c>
      <c r="O400" s="1025">
        <f t="shared" si="83"/>
        <v>0</v>
      </c>
      <c r="P400" s="1025">
        <f t="shared" si="83"/>
        <v>0</v>
      </c>
      <c r="Q400" s="1025">
        <f t="shared" si="83"/>
        <v>0</v>
      </c>
      <c r="R400" s="1025">
        <f t="shared" si="83"/>
        <v>0</v>
      </c>
      <c r="S400" s="1025">
        <f t="shared" si="83"/>
        <v>0</v>
      </c>
      <c r="T400" s="1025">
        <f t="shared" si="83"/>
        <v>0</v>
      </c>
      <c r="U400" s="1064">
        <f t="shared" si="83"/>
        <v>0</v>
      </c>
      <c r="V400" s="1065">
        <f t="shared" si="83"/>
        <v>140000</v>
      </c>
      <c r="X400" s="792"/>
      <c r="Y400" s="792"/>
    </row>
    <row r="401" s="1" customFormat="1" ht="13.8" spans="1:22">
      <c r="A401" s="697"/>
      <c r="B401" s="80"/>
      <c r="C401" s="342"/>
      <c r="D401" s="929"/>
      <c r="E401" s="1026"/>
      <c r="F401" s="1026"/>
      <c r="G401" s="1026"/>
      <c r="H401" s="1026"/>
      <c r="I401" s="1026"/>
      <c r="J401" s="1026"/>
      <c r="K401" s="1026"/>
      <c r="L401" s="1026"/>
      <c r="M401" s="1026"/>
      <c r="N401" s="1026"/>
      <c r="O401" s="1026"/>
      <c r="P401" s="1026"/>
      <c r="Q401" s="1026"/>
      <c r="R401" s="1026"/>
      <c r="S401" s="1026"/>
      <c r="T401" s="1026"/>
      <c r="U401" s="1066"/>
      <c r="V401" s="1067"/>
    </row>
    <row r="402" s="1" customFormat="1" ht="14.55" spans="1:25">
      <c r="A402" s="921"/>
      <c r="B402" s="1027" t="s">
        <v>165</v>
      </c>
      <c r="C402" s="923"/>
      <c r="D402" s="1028"/>
      <c r="E402" s="1029">
        <f>E33+E295+E400</f>
        <v>24075708.97</v>
      </c>
      <c r="F402" s="1029">
        <f>F33+F295+F400</f>
        <v>15823792.9</v>
      </c>
      <c r="G402" s="1029">
        <f>G33+G295+G400</f>
        <v>595745</v>
      </c>
      <c r="H402" s="1029">
        <f>H33+H295+H400</f>
        <v>324249</v>
      </c>
      <c r="I402" s="1029">
        <f>I33+I295+I400</f>
        <v>286960</v>
      </c>
      <c r="J402" s="1029"/>
      <c r="K402" s="1029">
        <f t="shared" ref="K402:V402" si="84">K33+K295+K400</f>
        <v>426800</v>
      </c>
      <c r="L402" s="1029">
        <f t="shared" si="84"/>
        <v>101979</v>
      </c>
      <c r="M402" s="1029">
        <f t="shared" si="84"/>
        <v>178335</v>
      </c>
      <c r="N402" s="1029">
        <f t="shared" si="84"/>
        <v>142200</v>
      </c>
      <c r="O402" s="1029">
        <f t="shared" si="84"/>
        <v>0</v>
      </c>
      <c r="P402" s="1029">
        <f t="shared" si="84"/>
        <v>0</v>
      </c>
      <c r="Q402" s="1029">
        <f t="shared" si="84"/>
        <v>0</v>
      </c>
      <c r="R402" s="1029">
        <f t="shared" si="84"/>
        <v>0</v>
      </c>
      <c r="S402" s="1029">
        <f t="shared" si="84"/>
        <v>0</v>
      </c>
      <c r="T402" s="1029">
        <f t="shared" si="84"/>
        <v>0</v>
      </c>
      <c r="U402" s="1068">
        <f t="shared" si="84"/>
        <v>0</v>
      </c>
      <c r="V402" s="1069">
        <f t="shared" si="84"/>
        <v>12525528.6</v>
      </c>
      <c r="X402" s="792"/>
      <c r="Y402" s="792"/>
    </row>
    <row r="403" s="684" customFormat="1" ht="14.55" spans="1:6">
      <c r="A403" s="1030"/>
      <c r="B403" s="1030"/>
      <c r="D403" s="1031"/>
      <c r="E403" s="1031"/>
      <c r="F403" s="1031"/>
    </row>
    <row r="404" s="684" customFormat="1" ht="13.8" spans="1:21">
      <c r="A404" s="1032"/>
      <c r="F404" s="1033"/>
      <c r="G404" s="1034"/>
      <c r="H404" s="1034"/>
      <c r="I404" s="1034"/>
      <c r="J404" s="1034"/>
      <c r="K404" s="1034"/>
      <c r="L404" s="1034"/>
      <c r="M404" s="1034"/>
      <c r="N404" s="1050"/>
      <c r="O404" s="1034"/>
      <c r="P404" s="1034"/>
      <c r="Q404" s="1034"/>
      <c r="U404" s="1034"/>
    </row>
    <row r="405" s="688" customFormat="1" ht="13.8" spans="5:22">
      <c r="E405" s="1035"/>
      <c r="F405" s="1036"/>
      <c r="I405" s="225"/>
      <c r="J405" s="225"/>
      <c r="L405" s="1035"/>
      <c r="M405" s="1051"/>
      <c r="N405" s="1052"/>
      <c r="O405" s="1035"/>
      <c r="P405" s="1035"/>
      <c r="R405" s="1035"/>
      <c r="S405" s="1035"/>
      <c r="T405" s="1035"/>
      <c r="U405" s="1035"/>
      <c r="V405" s="1035"/>
    </row>
    <row r="406" s="225" customFormat="1" ht="13.8" spans="1:22">
      <c r="A406" s="1037"/>
      <c r="B406" s="1037"/>
      <c r="E406" s="684"/>
      <c r="F406" s="1036"/>
      <c r="L406" s="684"/>
      <c r="M406" s="684"/>
      <c r="N406" s="222"/>
      <c r="R406" s="684"/>
      <c r="S406" s="684"/>
      <c r="T406" s="684"/>
      <c r="U406" s="684"/>
      <c r="V406" s="684"/>
    </row>
    <row r="407" s="1" customFormat="1" ht="13.8" spans="5:22">
      <c r="E407" s="225"/>
      <c r="F407" s="1036"/>
      <c r="G407" s="225"/>
      <c r="H407" s="225"/>
      <c r="I407" s="225"/>
      <c r="J407" s="225"/>
      <c r="K407" s="225"/>
      <c r="L407" s="222"/>
      <c r="M407" s="222"/>
      <c r="N407" s="222"/>
      <c r="P407" s="225"/>
      <c r="R407" s="684"/>
      <c r="S407" s="684"/>
      <c r="T407" s="684"/>
      <c r="U407" s="684"/>
      <c r="V407" s="222"/>
    </row>
    <row r="408" s="1" customFormat="1" ht="13.8" spans="5:22">
      <c r="E408" s="225"/>
      <c r="F408" s="225"/>
      <c r="G408" s="225"/>
      <c r="H408" s="225"/>
      <c r="I408" s="225"/>
      <c r="J408" s="225"/>
      <c r="K408" s="225"/>
      <c r="L408" s="222"/>
      <c r="M408" s="222"/>
      <c r="N408" s="222"/>
      <c r="V408" s="222"/>
    </row>
    <row r="409" s="1" customFormat="1" ht="13.8" spans="5:22">
      <c r="E409" s="225"/>
      <c r="F409" s="225"/>
      <c r="G409" s="225"/>
      <c r="H409" s="225"/>
      <c r="I409" s="225"/>
      <c r="J409" s="225"/>
      <c r="K409" s="225"/>
      <c r="L409" s="222"/>
      <c r="M409" s="222"/>
      <c r="N409" s="222"/>
      <c r="V409" s="222"/>
    </row>
    <row r="410" s="1" customFormat="1" ht="13.8" spans="5:22">
      <c r="E410" s="225"/>
      <c r="F410" s="225"/>
      <c r="G410" s="225"/>
      <c r="H410" s="225"/>
      <c r="I410" s="225"/>
      <c r="J410" s="225"/>
      <c r="K410" s="225"/>
      <c r="L410" s="222"/>
      <c r="M410" s="222"/>
      <c r="N410" s="222"/>
      <c r="V410" s="222"/>
    </row>
    <row r="411" s="1" customFormat="1" ht="13.8" spans="5:22">
      <c r="E411" s="225"/>
      <c r="F411" s="225"/>
      <c r="G411" s="225"/>
      <c r="H411" s="225"/>
      <c r="I411" s="225"/>
      <c r="J411" s="225"/>
      <c r="K411" s="225"/>
      <c r="L411" s="222"/>
      <c r="M411" s="222"/>
      <c r="N411" s="222"/>
      <c r="V411" s="222"/>
    </row>
    <row r="412" s="1" customFormat="1" ht="13.8" spans="5:22">
      <c r="E412" s="225"/>
      <c r="F412" s="225"/>
      <c r="G412" s="225"/>
      <c r="H412" s="225"/>
      <c r="I412" s="225"/>
      <c r="J412" s="225"/>
      <c r="K412" s="225"/>
      <c r="L412" s="222"/>
      <c r="M412" s="222"/>
      <c r="N412" s="222"/>
      <c r="V412" s="222"/>
    </row>
    <row r="413" s="1" customFormat="1" ht="13.8" spans="5:22">
      <c r="E413" s="225"/>
      <c r="F413" s="225"/>
      <c r="G413" s="225"/>
      <c r="H413" s="225"/>
      <c r="I413" s="225"/>
      <c r="J413" s="225"/>
      <c r="K413" s="225"/>
      <c r="L413" s="222"/>
      <c r="M413" s="222"/>
      <c r="N413" s="222"/>
      <c r="V413" s="222"/>
    </row>
    <row r="414" s="1" customFormat="1" ht="13.8" spans="5:22">
      <c r="E414" s="225"/>
      <c r="F414" s="225"/>
      <c r="G414" s="225"/>
      <c r="H414" s="225"/>
      <c r="I414" s="225"/>
      <c r="J414" s="225"/>
      <c r="K414" s="225"/>
      <c r="L414" s="222"/>
      <c r="M414" s="222"/>
      <c r="N414" s="222"/>
      <c r="V414" s="222"/>
    </row>
    <row r="415" s="1" customFormat="1" ht="13.8" spans="5:22">
      <c r="E415" s="225"/>
      <c r="F415" s="225"/>
      <c r="G415" s="225"/>
      <c r="H415" s="225"/>
      <c r="I415" s="225"/>
      <c r="J415" s="225"/>
      <c r="K415" s="225"/>
      <c r="L415" s="222"/>
      <c r="M415" s="222"/>
      <c r="N415" s="222"/>
      <c r="V415" s="222"/>
    </row>
    <row r="416" s="1" customFormat="1" ht="13.8" spans="5:22">
      <c r="E416" s="225"/>
      <c r="F416" s="225"/>
      <c r="G416" s="225"/>
      <c r="H416" s="225"/>
      <c r="I416" s="225"/>
      <c r="J416" s="225"/>
      <c r="K416" s="225"/>
      <c r="L416" s="222"/>
      <c r="M416" s="222"/>
      <c r="N416" s="222"/>
      <c r="V416" s="222"/>
    </row>
    <row r="417" s="1" customFormat="1" ht="13.8" spans="5:22">
      <c r="E417" s="225"/>
      <c r="F417" s="225"/>
      <c r="G417" s="225"/>
      <c r="H417" s="225"/>
      <c r="I417" s="225"/>
      <c r="J417" s="225"/>
      <c r="K417" s="225"/>
      <c r="L417" s="222"/>
      <c r="M417" s="222"/>
      <c r="N417" s="222"/>
      <c r="V417" s="222"/>
    </row>
    <row r="418" s="1" customFormat="1" ht="13.8" spans="5:22">
      <c r="E418" s="225"/>
      <c r="F418" s="225"/>
      <c r="G418" s="225"/>
      <c r="H418" s="225"/>
      <c r="I418" s="225"/>
      <c r="J418" s="225"/>
      <c r="K418" s="225"/>
      <c r="L418" s="222"/>
      <c r="M418" s="222"/>
      <c r="N418" s="222"/>
      <c r="V418" s="222"/>
    </row>
    <row r="419" s="1" customFormat="1" ht="13.8" spans="5:22">
      <c r="E419" s="225"/>
      <c r="F419" s="225"/>
      <c r="G419" s="225"/>
      <c r="H419" s="225"/>
      <c r="I419" s="225"/>
      <c r="J419" s="225"/>
      <c r="K419" s="225"/>
      <c r="L419" s="222"/>
      <c r="M419" s="222"/>
      <c r="N419" s="222"/>
      <c r="V419" s="222"/>
    </row>
    <row r="420" s="1" customFormat="1" ht="13.8" spans="5:22">
      <c r="E420" s="225"/>
      <c r="F420" s="225"/>
      <c r="G420" s="225"/>
      <c r="H420" s="225"/>
      <c r="I420" s="225"/>
      <c r="J420" s="225"/>
      <c r="K420" s="225"/>
      <c r="L420" s="222"/>
      <c r="M420" s="222"/>
      <c r="N420" s="222"/>
      <c r="V420" s="222"/>
    </row>
    <row r="421" s="1" customFormat="1" ht="13.8" spans="5:22">
      <c r="E421" s="225"/>
      <c r="F421" s="225"/>
      <c r="G421" s="225"/>
      <c r="H421" s="225"/>
      <c r="I421" s="225"/>
      <c r="J421" s="225"/>
      <c r="K421" s="225"/>
      <c r="L421" s="222"/>
      <c r="M421" s="222"/>
      <c r="N421" s="222"/>
      <c r="V421" s="222"/>
    </row>
    <row r="422" s="1" customFormat="1" ht="13.8" spans="5:22">
      <c r="E422" s="225"/>
      <c r="F422" s="225"/>
      <c r="G422" s="225"/>
      <c r="H422" s="225"/>
      <c r="I422" s="225"/>
      <c r="J422" s="225"/>
      <c r="K422" s="225"/>
      <c r="L422" s="222"/>
      <c r="M422" s="222"/>
      <c r="N422" s="222"/>
      <c r="V422" s="222"/>
    </row>
    <row r="423" s="1" customFormat="1" ht="13.8" spans="5:14">
      <c r="E423" s="225"/>
      <c r="F423" s="225"/>
      <c r="G423" s="225"/>
      <c r="H423" s="225"/>
      <c r="I423" s="225"/>
      <c r="J423" s="225"/>
      <c r="K423" s="225"/>
      <c r="L423" s="222"/>
      <c r="M423" s="222"/>
      <c r="N423" s="222"/>
    </row>
    <row r="424" s="1" customFormat="1" ht="13.8" spans="5:14">
      <c r="E424" s="225"/>
      <c r="F424" s="225"/>
      <c r="G424" s="225"/>
      <c r="H424" s="225"/>
      <c r="I424" s="225"/>
      <c r="J424" s="225"/>
      <c r="K424" s="225"/>
      <c r="L424" s="222"/>
      <c r="M424" s="222"/>
      <c r="N424" s="222"/>
    </row>
    <row r="425" s="1" customFormat="1" ht="13.8" spans="5:14">
      <c r="E425" s="225"/>
      <c r="F425" s="225"/>
      <c r="G425" s="225"/>
      <c r="H425" s="225"/>
      <c r="I425" s="225"/>
      <c r="J425" s="225"/>
      <c r="K425" s="225"/>
      <c r="L425" s="222"/>
      <c r="M425" s="222"/>
      <c r="N425" s="222"/>
    </row>
    <row r="426" s="1" customFormat="1" ht="13.8" spans="5:14">
      <c r="E426" s="225"/>
      <c r="F426" s="225"/>
      <c r="G426" s="225"/>
      <c r="H426" s="225"/>
      <c r="I426" s="225"/>
      <c r="J426" s="225"/>
      <c r="K426" s="225"/>
      <c r="L426" s="222"/>
      <c r="M426" s="222"/>
      <c r="N426" s="222"/>
    </row>
    <row r="427" s="1" customFormat="1" ht="13.8" spans="5:14">
      <c r="E427" s="225"/>
      <c r="F427" s="225"/>
      <c r="G427" s="225"/>
      <c r="H427" s="225"/>
      <c r="I427" s="225"/>
      <c r="J427" s="225"/>
      <c r="K427" s="225"/>
      <c r="L427" s="222"/>
      <c r="M427" s="222"/>
      <c r="N427" s="222"/>
    </row>
    <row r="428" s="1" customFormat="1" ht="13.8" spans="5:14">
      <c r="E428" s="225"/>
      <c r="F428" s="225"/>
      <c r="G428" s="225"/>
      <c r="H428" s="225"/>
      <c r="I428" s="225"/>
      <c r="J428" s="225"/>
      <c r="K428" s="225"/>
      <c r="L428" s="222"/>
      <c r="M428" s="222"/>
      <c r="N428" s="222"/>
    </row>
    <row r="429" s="1" customFormat="1" ht="13.8" spans="5:14">
      <c r="E429" s="225"/>
      <c r="F429" s="225"/>
      <c r="G429" s="225"/>
      <c r="H429" s="225"/>
      <c r="I429" s="225"/>
      <c r="J429" s="225"/>
      <c r="K429" s="225"/>
      <c r="L429" s="222"/>
      <c r="M429" s="222"/>
      <c r="N429" s="222"/>
    </row>
    <row r="430" s="1" customFormat="1" ht="13.8" spans="5:14">
      <c r="E430" s="225"/>
      <c r="F430" s="225"/>
      <c r="G430" s="225"/>
      <c r="H430" s="225"/>
      <c r="I430" s="225"/>
      <c r="J430" s="225"/>
      <c r="K430" s="225"/>
      <c r="L430" s="222"/>
      <c r="M430" s="222"/>
      <c r="N430" s="222"/>
    </row>
    <row r="431" s="1" customFormat="1" ht="13.8" spans="5:14">
      <c r="E431" s="225"/>
      <c r="F431" s="225"/>
      <c r="G431" s="225"/>
      <c r="H431" s="225"/>
      <c r="I431" s="225"/>
      <c r="J431" s="225"/>
      <c r="K431" s="225"/>
      <c r="L431" s="222"/>
      <c r="M431" s="222"/>
      <c r="N431" s="222"/>
    </row>
    <row r="432" s="1" customFormat="1" ht="13.8" spans="11:14">
      <c r="K432" s="225"/>
      <c r="L432" s="222"/>
      <c r="M432" s="222"/>
      <c r="N432" s="222"/>
    </row>
    <row r="433" s="1" customFormat="1" ht="13.8" spans="11:14">
      <c r="K433" s="225"/>
      <c r="L433" s="222"/>
      <c r="M433" s="222"/>
      <c r="N433" s="222"/>
    </row>
    <row r="434" s="1" customFormat="1" ht="13.8" spans="11:14">
      <c r="K434" s="225"/>
      <c r="L434" s="222"/>
      <c r="M434" s="222"/>
      <c r="N434" s="222"/>
    </row>
    <row r="435" s="1" customFormat="1" ht="13.8" spans="11:14">
      <c r="K435" s="225"/>
      <c r="L435" s="222"/>
      <c r="M435" s="222"/>
      <c r="N435" s="222"/>
    </row>
    <row r="436" s="1" customFormat="1" ht="13.8" spans="11:14">
      <c r="K436" s="225"/>
      <c r="L436" s="222"/>
      <c r="M436" s="222"/>
      <c r="N436" s="222"/>
    </row>
    <row r="437" s="1" customFormat="1" ht="13.8" spans="11:14">
      <c r="K437" s="225"/>
      <c r="L437" s="222"/>
      <c r="M437" s="222"/>
      <c r="N437" s="222"/>
    </row>
    <row r="438" s="1" customFormat="1" ht="13.8" spans="11:14">
      <c r="K438" s="225"/>
      <c r="L438" s="222"/>
      <c r="M438" s="222"/>
      <c r="N438" s="222"/>
    </row>
    <row r="439" s="1" customFormat="1" ht="13.8" spans="11:14">
      <c r="K439" s="225"/>
      <c r="L439" s="222"/>
      <c r="M439" s="222"/>
      <c r="N439" s="222"/>
    </row>
    <row r="440" s="1" customFormat="1" ht="13.8" spans="11:14">
      <c r="K440" s="225"/>
      <c r="L440" s="222"/>
      <c r="M440" s="222"/>
      <c r="N440" s="222"/>
    </row>
    <row r="441" s="1" customFormat="1" ht="13.8" spans="11:14">
      <c r="K441" s="225"/>
      <c r="L441" s="222"/>
      <c r="M441" s="222"/>
      <c r="N441" s="222"/>
    </row>
    <row r="442" s="1" customFormat="1" ht="13.8" spans="11:14">
      <c r="K442" s="225"/>
      <c r="L442" s="222"/>
      <c r="M442" s="222"/>
      <c r="N442" s="222"/>
    </row>
  </sheetData>
  <mergeCells count="55">
    <mergeCell ref="A2:I2"/>
    <mergeCell ref="A3:O3"/>
    <mergeCell ref="A4:I4"/>
    <mergeCell ref="A6:I6"/>
    <mergeCell ref="G7:U7"/>
    <mergeCell ref="G8:U8"/>
    <mergeCell ref="A9:C9"/>
    <mergeCell ref="A62:I62"/>
    <mergeCell ref="A63:O63"/>
    <mergeCell ref="A64:I64"/>
    <mergeCell ref="A66:I66"/>
    <mergeCell ref="G67:U67"/>
    <mergeCell ref="G68:U68"/>
    <mergeCell ref="A69:C69"/>
    <mergeCell ref="A117:I117"/>
    <mergeCell ref="A118:O118"/>
    <mergeCell ref="A119:I119"/>
    <mergeCell ref="A121:I121"/>
    <mergeCell ref="G122:U122"/>
    <mergeCell ref="G123:U123"/>
    <mergeCell ref="A124:C124"/>
    <mergeCell ref="B159:C159"/>
    <mergeCell ref="A164:I164"/>
    <mergeCell ref="A165:O165"/>
    <mergeCell ref="A166:I166"/>
    <mergeCell ref="A168:I168"/>
    <mergeCell ref="G169:U169"/>
    <mergeCell ref="G170:U170"/>
    <mergeCell ref="A171:C171"/>
    <mergeCell ref="A265:I265"/>
    <mergeCell ref="A266:O266"/>
    <mergeCell ref="A267:I267"/>
    <mergeCell ref="A269:I269"/>
    <mergeCell ref="G270:U270"/>
    <mergeCell ref="G271:U271"/>
    <mergeCell ref="A272:C272"/>
    <mergeCell ref="A300:I300"/>
    <mergeCell ref="A301:O301"/>
    <mergeCell ref="A302:I302"/>
    <mergeCell ref="A304:I304"/>
    <mergeCell ref="G305:U305"/>
    <mergeCell ref="G306:U306"/>
    <mergeCell ref="A307:C307"/>
    <mergeCell ref="A357:I357"/>
    <mergeCell ref="A358:O358"/>
    <mergeCell ref="A359:I359"/>
    <mergeCell ref="A361:I361"/>
    <mergeCell ref="G362:U362"/>
    <mergeCell ref="G363:U363"/>
    <mergeCell ref="A364:C364"/>
    <mergeCell ref="A403:B403"/>
    <mergeCell ref="D403:F403"/>
    <mergeCell ref="A406:B406"/>
    <mergeCell ref="G364:G366"/>
    <mergeCell ref="U364:U36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76"/>
  <sheetViews>
    <sheetView tabSelected="1" workbookViewId="0">
      <selection activeCell="I14" sqref="I14"/>
    </sheetView>
  </sheetViews>
  <sheetFormatPr defaultColWidth="9.13888888888889" defaultRowHeight="14.4"/>
  <cols>
    <col min="3" max="3" width="15.8518518518519" customWidth="1"/>
    <col min="4" max="4" width="7.13888888888889" customWidth="1"/>
    <col min="5" max="5" width="17.1388888888889" style="15" customWidth="1"/>
    <col min="6" max="6" width="16.1388888888889" style="15" customWidth="1"/>
    <col min="7" max="7" width="20" style="15" customWidth="1"/>
    <col min="8" max="8" width="17.4259259259259" style="15" customWidth="1"/>
    <col min="9" max="9" width="14.4259259259259" style="15" customWidth="1"/>
    <col min="10" max="10" width="14.287037037037" style="15" customWidth="1"/>
    <col min="11" max="11" width="20.5740740740741" style="15" customWidth="1"/>
    <col min="12" max="12" width="15.5740740740741" style="15" customWidth="1"/>
    <col min="13" max="13" width="15.712962962963" style="15" customWidth="1"/>
    <col min="14" max="14" width="15" style="15" customWidth="1"/>
    <col min="15" max="15" width="15.1388888888889" style="15" customWidth="1"/>
    <col min="16" max="16" width="16.712962962963" style="15" customWidth="1"/>
    <col min="17" max="17" width="14" customWidth="1"/>
    <col min="18" max="19" width="18.712962962963" customWidth="1"/>
    <col min="20" max="20" width="15" customWidth="1"/>
    <col min="21" max="21" width="14.8518518518519" customWidth="1"/>
    <col min="22" max="22" width="17" customWidth="1"/>
    <col min="24" max="24" width="18.1388888888889" customWidth="1"/>
    <col min="25" max="25" width="20.5740740740741" style="16" customWidth="1"/>
    <col min="26" max="26" width="18.1388888888889" customWidth="1"/>
  </cols>
  <sheetData>
    <row r="1" s="1" customFormat="1" ht="9" customHeight="1" spans="17:25">
      <c r="Q1" s="222"/>
      <c r="R1" s="222"/>
      <c r="S1" s="222"/>
      <c r="T1" s="222"/>
      <c r="Y1" s="225"/>
    </row>
    <row r="2" s="1" customFormat="1" ht="13.8" spans="1: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222"/>
      <c r="R2" s="222"/>
      <c r="S2" s="222"/>
      <c r="T2" s="222"/>
      <c r="Y2" s="225"/>
    </row>
    <row r="3" s="1" customFormat="1" ht="13.8" spans="1:25">
      <c r="A3" s="17" t="s">
        <v>91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222"/>
      <c r="R3" s="222"/>
      <c r="S3" s="222"/>
      <c r="T3" s="222"/>
      <c r="Y3" s="225"/>
    </row>
    <row r="4" s="1" customFormat="1" ht="13.8" spans="1:25">
      <c r="A4" s="17" t="s">
        <v>166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222"/>
      <c r="R4" s="222"/>
      <c r="S4" s="222"/>
      <c r="T4" s="222"/>
      <c r="V4" s="223"/>
      <c r="Y4" s="225"/>
    </row>
    <row r="5" s="1" customFormat="1" ht="13.8" spans="1:25">
      <c r="A5" s="17" t="s">
        <v>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222"/>
      <c r="R5" s="222"/>
      <c r="S5" s="222"/>
      <c r="T5" s="222"/>
      <c r="V5" s="223" t="s">
        <v>167</v>
      </c>
      <c r="Y5" s="225"/>
    </row>
    <row r="6" s="1" customFormat="1" ht="19.5" customHeight="1" spans="1:25">
      <c r="A6" s="17" t="s">
        <v>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222"/>
      <c r="R6" s="222"/>
      <c r="S6" s="222"/>
      <c r="T6" s="222"/>
      <c r="Y6" s="238"/>
    </row>
    <row r="7" s="1" customFormat="1" ht="14.55" spans="1:25">
      <c r="A7" s="18"/>
      <c r="B7" s="19"/>
      <c r="C7" s="19"/>
      <c r="D7" s="20"/>
      <c r="E7" s="21" t="s">
        <v>5</v>
      </c>
      <c r="F7" s="22"/>
      <c r="G7" s="23"/>
      <c r="H7" s="24" t="s">
        <v>6</v>
      </c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224"/>
      <c r="X7" s="225"/>
      <c r="Y7" s="238"/>
    </row>
    <row r="8" s="1" customFormat="1" ht="13.8" spans="1:25">
      <c r="A8" s="25"/>
      <c r="B8" s="6"/>
      <c r="C8" s="6"/>
      <c r="D8" s="26"/>
      <c r="E8" s="27" t="s">
        <v>7</v>
      </c>
      <c r="F8" s="28"/>
      <c r="G8" s="28" t="s">
        <v>8</v>
      </c>
      <c r="H8" s="29" t="s">
        <v>9</v>
      </c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226"/>
      <c r="X8" s="225"/>
      <c r="Y8" s="238"/>
    </row>
    <row r="9" s="1" customFormat="1" ht="13.8" spans="1:25">
      <c r="A9" s="30" t="s">
        <v>168</v>
      </c>
      <c r="B9" s="31"/>
      <c r="C9" s="31"/>
      <c r="D9" s="32"/>
      <c r="E9" s="27" t="s">
        <v>12</v>
      </c>
      <c r="F9" s="28" t="s">
        <v>169</v>
      </c>
      <c r="G9" s="28" t="s">
        <v>13</v>
      </c>
      <c r="H9" s="33"/>
      <c r="I9" s="28"/>
      <c r="J9" s="27"/>
      <c r="K9" s="167" t="s">
        <v>170</v>
      </c>
      <c r="L9" s="168"/>
      <c r="M9" s="168"/>
      <c r="N9" s="169"/>
      <c r="O9" s="170"/>
      <c r="P9" s="28"/>
      <c r="Q9" s="28"/>
      <c r="R9" s="28"/>
      <c r="S9" s="28" t="s">
        <v>14</v>
      </c>
      <c r="T9" s="227"/>
      <c r="U9" s="167"/>
      <c r="V9" s="228"/>
      <c r="X9" s="225"/>
      <c r="Y9" s="238"/>
    </row>
    <row r="10" s="1" customFormat="1" ht="13.8" spans="1:25">
      <c r="A10" s="34"/>
      <c r="D10" s="35"/>
      <c r="E10" s="27" t="s">
        <v>16</v>
      </c>
      <c r="F10" s="28"/>
      <c r="G10" s="28" t="s">
        <v>17</v>
      </c>
      <c r="H10" s="36" t="s">
        <v>18</v>
      </c>
      <c r="I10" s="28" t="s">
        <v>19</v>
      </c>
      <c r="J10" s="28" t="s">
        <v>171</v>
      </c>
      <c r="K10" s="28"/>
      <c r="L10" s="169" t="s">
        <v>21</v>
      </c>
      <c r="M10" s="169" t="s">
        <v>22</v>
      </c>
      <c r="N10" s="171" t="s">
        <v>23</v>
      </c>
      <c r="O10" s="169" t="s">
        <v>24</v>
      </c>
      <c r="P10" s="169" t="s">
        <v>25</v>
      </c>
      <c r="Q10" s="169" t="s">
        <v>172</v>
      </c>
      <c r="R10" s="229" t="s">
        <v>27</v>
      </c>
      <c r="S10" s="169" t="s">
        <v>76</v>
      </c>
      <c r="T10" s="169" t="s">
        <v>28</v>
      </c>
      <c r="U10" s="169" t="s">
        <v>29</v>
      </c>
      <c r="V10" s="228" t="s">
        <v>30</v>
      </c>
      <c r="X10" s="225"/>
      <c r="Y10" s="238"/>
    </row>
    <row r="11" s="1" customFormat="1" ht="15.15" spans="1:25">
      <c r="A11" s="37"/>
      <c r="B11" s="38"/>
      <c r="C11" s="38"/>
      <c r="D11" s="39"/>
      <c r="E11" s="40" t="s">
        <v>31</v>
      </c>
      <c r="F11" s="41"/>
      <c r="G11" s="42"/>
      <c r="H11" s="43"/>
      <c r="I11" s="42"/>
      <c r="J11" s="172"/>
      <c r="K11" s="173"/>
      <c r="L11" s="42"/>
      <c r="M11" s="42"/>
      <c r="N11" s="174"/>
      <c r="O11" s="175"/>
      <c r="P11" s="176"/>
      <c r="Q11" s="230"/>
      <c r="R11" s="176"/>
      <c r="S11" s="230"/>
      <c r="T11" s="231"/>
      <c r="U11" s="232"/>
      <c r="V11" s="233"/>
      <c r="X11" s="225"/>
      <c r="Y11" s="238"/>
    </row>
    <row r="12" s="2" customFormat="1" ht="14.55" spans="1:25">
      <c r="A12" s="44" t="s">
        <v>173</v>
      </c>
      <c r="D12" s="45"/>
      <c r="E12" s="46">
        <f>E21</f>
        <v>7103777.45</v>
      </c>
      <c r="F12" s="47">
        <f t="shared" ref="F12:V12" si="0">F21</f>
        <v>0</v>
      </c>
      <c r="G12" s="47">
        <f t="shared" si="0"/>
        <v>3509675.88</v>
      </c>
      <c r="H12" s="47">
        <f t="shared" si="0"/>
        <v>0</v>
      </c>
      <c r="I12" s="47">
        <f t="shared" si="0"/>
        <v>0</v>
      </c>
      <c r="J12" s="47">
        <f t="shared" si="0"/>
        <v>0</v>
      </c>
      <c r="K12" s="47"/>
      <c r="L12" s="47">
        <f t="shared" si="0"/>
        <v>13224</v>
      </c>
      <c r="M12" s="47">
        <f t="shared" si="0"/>
        <v>15529.75</v>
      </c>
      <c r="N12" s="47">
        <f t="shared" si="0"/>
        <v>72895.88</v>
      </c>
      <c r="O12" s="47">
        <f t="shared" si="0"/>
        <v>0</v>
      </c>
      <c r="P12" s="47">
        <f t="shared" si="0"/>
        <v>0</v>
      </c>
      <c r="Q12" s="47">
        <f t="shared" si="0"/>
        <v>0</v>
      </c>
      <c r="R12" s="47">
        <f t="shared" si="0"/>
        <v>0</v>
      </c>
      <c r="S12" s="47">
        <f t="shared" si="0"/>
        <v>0</v>
      </c>
      <c r="T12" s="47">
        <f t="shared" si="0"/>
        <v>0</v>
      </c>
      <c r="U12" s="234">
        <f t="shared" si="0"/>
        <v>0</v>
      </c>
      <c r="V12" s="235">
        <f t="shared" si="0"/>
        <v>3594101.57</v>
      </c>
      <c r="X12" s="225"/>
      <c r="Y12" s="280"/>
    </row>
    <row r="13" s="3" customFormat="1" spans="1:25">
      <c r="A13" s="48" t="s">
        <v>41</v>
      </c>
      <c r="B13" s="49"/>
      <c r="C13" s="49"/>
      <c r="D13" s="50"/>
      <c r="E13" s="51">
        <v>2000000</v>
      </c>
      <c r="F13" s="52" t="s">
        <v>174</v>
      </c>
      <c r="G13" s="53">
        <f>SUM(H13:U13)</f>
        <v>1528875</v>
      </c>
      <c r="H13" s="54"/>
      <c r="I13" s="54"/>
      <c r="J13" s="177"/>
      <c r="K13" s="177">
        <v>1461851.25</v>
      </c>
      <c r="L13" s="177">
        <v>9280</v>
      </c>
      <c r="M13" s="178">
        <v>6588.75</v>
      </c>
      <c r="N13" s="54">
        <v>51155</v>
      </c>
      <c r="O13" s="179"/>
      <c r="P13" s="179"/>
      <c r="Q13" s="178"/>
      <c r="R13" s="236"/>
      <c r="S13" s="54"/>
      <c r="T13" s="54"/>
      <c r="U13" s="54"/>
      <c r="V13" s="237">
        <f t="shared" ref="V13:V20" si="1">E13-G13</f>
        <v>471125</v>
      </c>
      <c r="X13" s="238"/>
      <c r="Y13" s="56"/>
    </row>
    <row r="14" s="3" customFormat="1" spans="1:25">
      <c r="A14" s="55"/>
      <c r="C14" s="56"/>
      <c r="D14" s="57"/>
      <c r="E14" s="58">
        <v>4487201.23</v>
      </c>
      <c r="F14" s="59" t="s">
        <v>175</v>
      </c>
      <c r="G14" s="60">
        <f>SUM(H14:U14)</f>
        <v>1574857.25</v>
      </c>
      <c r="H14" s="61" t="s">
        <v>176</v>
      </c>
      <c r="I14" s="62" t="s">
        <v>176</v>
      </c>
      <c r="J14" s="180"/>
      <c r="K14" s="180">
        <v>1546175</v>
      </c>
      <c r="L14" s="180">
        <v>3248</v>
      </c>
      <c r="M14" s="62">
        <v>7530</v>
      </c>
      <c r="N14" s="62">
        <v>17904.25</v>
      </c>
      <c r="O14" s="181"/>
      <c r="P14" s="181"/>
      <c r="Q14" s="62"/>
      <c r="R14" s="162"/>
      <c r="S14" s="62"/>
      <c r="T14" s="62"/>
      <c r="U14" s="62"/>
      <c r="V14" s="239">
        <f t="shared" si="1"/>
        <v>2912343.98</v>
      </c>
      <c r="X14" s="238"/>
      <c r="Y14" s="56"/>
    </row>
    <row r="15" s="3" customFormat="1" spans="1:25">
      <c r="A15" s="55"/>
      <c r="C15" s="56"/>
      <c r="D15" s="57"/>
      <c r="E15" s="58">
        <v>16576.22</v>
      </c>
      <c r="F15" s="59" t="s">
        <v>177</v>
      </c>
      <c r="G15" s="60">
        <f>SUM(H15:U15)</f>
        <v>5943.63</v>
      </c>
      <c r="H15" s="62"/>
      <c r="I15" s="62"/>
      <c r="J15" s="180"/>
      <c r="K15" s="180"/>
      <c r="L15" s="180">
        <v>696</v>
      </c>
      <c r="M15" s="62">
        <v>1411</v>
      </c>
      <c r="N15" s="62">
        <v>3836.63</v>
      </c>
      <c r="O15" s="181"/>
      <c r="P15" s="181"/>
      <c r="Q15" s="62"/>
      <c r="R15" s="133"/>
      <c r="S15" s="62"/>
      <c r="T15" s="62"/>
      <c r="U15" s="62"/>
      <c r="V15" s="240">
        <f t="shared" si="1"/>
        <v>10632.59</v>
      </c>
      <c r="W15" s="241"/>
      <c r="X15" s="238"/>
      <c r="Y15" s="56"/>
    </row>
    <row r="16" s="3" customFormat="1" spans="1:25">
      <c r="A16" s="55"/>
      <c r="C16" s="56"/>
      <c r="D16" s="57"/>
      <c r="E16" s="58">
        <v>300000</v>
      </c>
      <c r="F16" s="59" t="s">
        <v>178</v>
      </c>
      <c r="G16" s="60">
        <f>SUM(H16:U16)</f>
        <v>200000</v>
      </c>
      <c r="H16" s="62"/>
      <c r="I16" s="62"/>
      <c r="J16" s="180"/>
      <c r="K16" s="180">
        <v>200000</v>
      </c>
      <c r="L16" s="180"/>
      <c r="M16" s="62"/>
      <c r="N16" s="62"/>
      <c r="O16" s="181"/>
      <c r="P16" s="181"/>
      <c r="Q16" s="62"/>
      <c r="R16" s="133"/>
      <c r="S16" s="62"/>
      <c r="T16" s="62"/>
      <c r="U16" s="62"/>
      <c r="V16" s="240">
        <f t="shared" si="1"/>
        <v>100000</v>
      </c>
      <c r="W16" s="241"/>
      <c r="X16" s="238"/>
      <c r="Y16" s="56"/>
    </row>
    <row r="17" s="3" customFormat="1" spans="1:25">
      <c r="A17" s="55"/>
      <c r="C17" s="56"/>
      <c r="D17" s="57"/>
      <c r="E17" s="58">
        <v>300000</v>
      </c>
      <c r="F17" s="59" t="s">
        <v>179</v>
      </c>
      <c r="G17" s="60">
        <f t="shared" ref="G17:G20" si="2">SUM(H17:U17)</f>
        <v>200000</v>
      </c>
      <c r="H17" s="62"/>
      <c r="I17" s="62"/>
      <c r="J17" s="180"/>
      <c r="K17" s="180">
        <v>200000</v>
      </c>
      <c r="L17" s="180"/>
      <c r="M17" s="62"/>
      <c r="N17" s="62"/>
      <c r="O17" s="181"/>
      <c r="P17" s="181"/>
      <c r="Q17" s="62"/>
      <c r="R17" s="133"/>
      <c r="S17" s="62"/>
      <c r="T17" s="62"/>
      <c r="U17" s="62"/>
      <c r="V17" s="240">
        <f t="shared" si="1"/>
        <v>100000</v>
      </c>
      <c r="W17" s="241"/>
      <c r="X17" s="238"/>
      <c r="Y17" s="56"/>
    </row>
    <row r="18" s="3" customFormat="1" spans="1:25">
      <c r="A18" s="55"/>
      <c r="C18" s="56"/>
      <c r="D18" s="57"/>
      <c r="E18" s="58"/>
      <c r="F18" s="59" t="s">
        <v>152</v>
      </c>
      <c r="G18" s="60">
        <f t="shared" si="2"/>
        <v>0</v>
      </c>
      <c r="H18" s="62"/>
      <c r="I18" s="62"/>
      <c r="J18" s="180"/>
      <c r="K18" s="180"/>
      <c r="L18" s="180"/>
      <c r="M18" s="62"/>
      <c r="N18" s="62"/>
      <c r="O18" s="181"/>
      <c r="P18" s="181"/>
      <c r="Q18" s="62"/>
      <c r="R18" s="133"/>
      <c r="S18" s="62"/>
      <c r="T18" s="62"/>
      <c r="U18" s="62"/>
      <c r="V18" s="240">
        <f t="shared" si="1"/>
        <v>0</v>
      </c>
      <c r="W18" s="241"/>
      <c r="X18" s="238"/>
      <c r="Y18" s="56"/>
    </row>
    <row r="19" s="3" customFormat="1" spans="1:25">
      <c r="A19" s="55"/>
      <c r="C19" s="56"/>
      <c r="D19" s="57"/>
      <c r="E19" s="58"/>
      <c r="F19" s="59" t="s">
        <v>54</v>
      </c>
      <c r="G19" s="60">
        <f t="shared" si="2"/>
        <v>0</v>
      </c>
      <c r="H19" s="62"/>
      <c r="I19" s="62"/>
      <c r="J19" s="180"/>
      <c r="K19" s="180"/>
      <c r="L19" s="180"/>
      <c r="M19" s="62"/>
      <c r="N19" s="62"/>
      <c r="O19" s="181"/>
      <c r="P19" s="181"/>
      <c r="Q19" s="62"/>
      <c r="R19" s="133"/>
      <c r="S19" s="62"/>
      <c r="T19" s="62"/>
      <c r="U19" s="62"/>
      <c r="V19" s="240">
        <f t="shared" si="1"/>
        <v>0</v>
      </c>
      <c r="W19" s="241"/>
      <c r="X19" s="238"/>
      <c r="Y19" s="56"/>
    </row>
    <row r="20" s="3" customFormat="1" ht="13.8" spans="1:25">
      <c r="A20" s="55"/>
      <c r="C20" s="56"/>
      <c r="D20" s="57"/>
      <c r="E20" s="63"/>
      <c r="F20" s="52" t="s">
        <v>180</v>
      </c>
      <c r="G20" s="64">
        <f t="shared" si="2"/>
        <v>0</v>
      </c>
      <c r="H20" s="65"/>
      <c r="I20" s="182"/>
      <c r="J20" s="183"/>
      <c r="K20" s="184"/>
      <c r="L20" s="183"/>
      <c r="M20" s="182"/>
      <c r="N20" s="182"/>
      <c r="O20" s="185"/>
      <c r="P20" s="185"/>
      <c r="Q20" s="242"/>
      <c r="R20" s="182"/>
      <c r="S20" s="182"/>
      <c r="T20" s="182"/>
      <c r="U20" s="182"/>
      <c r="V20" s="243">
        <f t="shared" si="1"/>
        <v>0</v>
      </c>
      <c r="X20" s="238"/>
      <c r="Y20" s="56"/>
    </row>
    <row r="21" s="4" customFormat="1" ht="13.2" spans="1:25">
      <c r="A21" s="66"/>
      <c r="C21" s="67"/>
      <c r="D21" s="68"/>
      <c r="E21" s="69">
        <f t="shared" ref="E21:G21" si="3">SUM(E13:E20)</f>
        <v>7103777.45</v>
      </c>
      <c r="F21" s="70">
        <f t="shared" si="3"/>
        <v>0</v>
      </c>
      <c r="G21" s="70">
        <f t="shared" si="3"/>
        <v>3509675.88</v>
      </c>
      <c r="H21" s="71">
        <f t="shared" ref="H21:V21" si="4">SUM(H13:H20)</f>
        <v>0</v>
      </c>
      <c r="I21" s="71">
        <f t="shared" si="4"/>
        <v>0</v>
      </c>
      <c r="J21" s="186">
        <f t="shared" si="4"/>
        <v>0</v>
      </c>
      <c r="K21" s="71">
        <f t="shared" si="4"/>
        <v>3408026.25</v>
      </c>
      <c r="L21" s="71">
        <f t="shared" si="4"/>
        <v>13224</v>
      </c>
      <c r="M21" s="71">
        <f t="shared" si="4"/>
        <v>15529.75</v>
      </c>
      <c r="N21" s="71">
        <f t="shared" si="4"/>
        <v>72895.88</v>
      </c>
      <c r="O21" s="71">
        <f t="shared" si="4"/>
        <v>0</v>
      </c>
      <c r="P21" s="71">
        <f t="shared" si="4"/>
        <v>0</v>
      </c>
      <c r="Q21" s="186">
        <f t="shared" si="4"/>
        <v>0</v>
      </c>
      <c r="R21" s="71">
        <f t="shared" si="4"/>
        <v>0</v>
      </c>
      <c r="S21" s="186">
        <f t="shared" si="4"/>
        <v>0</v>
      </c>
      <c r="T21" s="71">
        <f t="shared" si="4"/>
        <v>0</v>
      </c>
      <c r="U21" s="186">
        <f t="shared" si="4"/>
        <v>0</v>
      </c>
      <c r="V21" s="244">
        <f t="shared" si="4"/>
        <v>3594101.57</v>
      </c>
      <c r="X21" s="245"/>
      <c r="Y21" s="281"/>
    </row>
    <row r="22" s="2" customFormat="1" ht="13.8" spans="1:25">
      <c r="A22" s="44" t="s">
        <v>181</v>
      </c>
      <c r="D22" s="45"/>
      <c r="E22" s="72"/>
      <c r="F22" s="73"/>
      <c r="G22" s="73"/>
      <c r="H22" s="73"/>
      <c r="I22" s="73"/>
      <c r="J22" s="72"/>
      <c r="K22" s="72"/>
      <c r="L22" s="72"/>
      <c r="M22" s="73"/>
      <c r="N22" s="73"/>
      <c r="O22" s="187"/>
      <c r="P22" s="187"/>
      <c r="Q22" s="246"/>
      <c r="R22" s="246"/>
      <c r="S22" s="246"/>
      <c r="T22" s="246"/>
      <c r="U22" s="246"/>
      <c r="V22" s="247"/>
      <c r="X22" s="225"/>
      <c r="Y22" s="238"/>
    </row>
    <row r="23" s="2" customFormat="1" ht="13.8" spans="1:25">
      <c r="A23" s="44" t="s">
        <v>182</v>
      </c>
      <c r="D23" s="45"/>
      <c r="E23" s="74">
        <f>E32+E38+E47+E50+E61+E67+E77+E79+E86+E92+E98+E100+E115+E121+E130+E132+E141+E143+E148+E155+E160+E162+E169+E177+E183+E199+E202+E215+E150+E195+E126</f>
        <v>18440308.61</v>
      </c>
      <c r="F23" s="75"/>
      <c r="G23" s="75">
        <f ca="1">G32+G38+G47+G50+G61+G67+G77+G79+G86+G92+G98+G100+G115+G121+G130+G132+G141+G143+G148+G155+G160+G162+G169+G177+G183+G199+G202+G215+G150+G195+G126</f>
        <v>0</v>
      </c>
      <c r="H23" s="75">
        <f ca="1">H32+H38+H47+H50+H61+H67+H77+H79+H86+H92+H98+H100+H115+H121+H130+H132+H141+H143+H148+H155+H160+H162+H169+H177+H183+H199+H202+H215+H150+H195+H126</f>
        <v>0</v>
      </c>
      <c r="I23" s="75">
        <f ca="1">I32+I38+I47+I50+I61+I67+I77+I79+I86+I92+I98+I100+I115+I121+I130+I132+I141+I143+I148+I155+I160+I162+I169+I177+I183+I199+I202+I215+I150+I195+I126</f>
        <v>0</v>
      </c>
      <c r="J23" s="75">
        <f ca="1">J32+J38+J47+J50+J61+J67+J77+J79+J86+J92+J98+J100+J115+J121+J130+J132+J141+J143+J148+J155+J160+J162+J169+J177+J183+J199+J202+J215+J150+J195+J126</f>
        <v>0</v>
      </c>
      <c r="K23" s="75"/>
      <c r="L23" s="75">
        <f ca="1" t="shared" ref="L23:U23" si="5">L32+L38+L47+L50+L61+L67+L77+L79+L86+L92+L98+L100+L115+L121+L130+L132+L141+L143+L148+L155+L160+L162+L169+L177+L183+L199+L202+L215+L150+L195+L126</f>
        <v>0</v>
      </c>
      <c r="M23" s="75">
        <f ca="1" t="shared" si="5"/>
        <v>0</v>
      </c>
      <c r="N23" s="75">
        <f ca="1" t="shared" si="5"/>
        <v>0</v>
      </c>
      <c r="O23" s="75">
        <f ca="1" t="shared" si="5"/>
        <v>0</v>
      </c>
      <c r="P23" s="75">
        <f ca="1" t="shared" si="5"/>
        <v>0</v>
      </c>
      <c r="Q23" s="75">
        <f ca="1" t="shared" si="5"/>
        <v>0</v>
      </c>
      <c r="R23" s="75">
        <f ca="1" t="shared" si="5"/>
        <v>0</v>
      </c>
      <c r="S23" s="75">
        <f ca="1" t="shared" si="5"/>
        <v>0</v>
      </c>
      <c r="T23" s="75">
        <f ca="1" t="shared" si="5"/>
        <v>0</v>
      </c>
      <c r="U23" s="75">
        <f ca="1" t="shared" si="5"/>
        <v>0</v>
      </c>
      <c r="V23" s="248">
        <f ca="1">E23-G23</f>
        <v>10943733</v>
      </c>
      <c r="W23" s="44"/>
      <c r="X23" s="225">
        <f>V32+V38+V47+V50+V61+V67+V77+V79+V86+V92+V98+V100+V115+V121+V128+V132+V141+V148+V150+V155+V160+V162+V164+V169+V177+V183+V199+V202+V215</f>
        <v>9417232.21</v>
      </c>
      <c r="Y23" s="238"/>
    </row>
    <row r="24" s="1" customFormat="1" ht="13.8" spans="1:25">
      <c r="A24" s="34"/>
      <c r="D24" s="35"/>
      <c r="E24" s="76"/>
      <c r="F24" s="77"/>
      <c r="G24" s="77"/>
      <c r="H24" s="77"/>
      <c r="I24" s="77"/>
      <c r="J24" s="76"/>
      <c r="K24" s="76"/>
      <c r="L24" s="76"/>
      <c r="M24" s="77"/>
      <c r="N24" s="77"/>
      <c r="O24" s="188"/>
      <c r="P24" s="188"/>
      <c r="Q24" s="249"/>
      <c r="R24" s="249"/>
      <c r="S24" s="249"/>
      <c r="T24" s="249"/>
      <c r="U24" s="249"/>
      <c r="V24" s="250">
        <f>E24-G24</f>
        <v>0</v>
      </c>
      <c r="X24" s="225"/>
      <c r="Y24" s="238"/>
    </row>
    <row r="25" s="1" customFormat="1" ht="13.8" spans="1:25">
      <c r="A25" s="78" t="s">
        <v>183</v>
      </c>
      <c r="B25" s="79"/>
      <c r="C25" s="80"/>
      <c r="D25" s="81"/>
      <c r="E25" s="82">
        <v>500000</v>
      </c>
      <c r="F25" s="83" t="s">
        <v>174</v>
      </c>
      <c r="G25" s="84">
        <f t="shared" ref="G25:G31" si="6">SUM(H25:U25)</f>
        <v>200000</v>
      </c>
      <c r="H25" s="84"/>
      <c r="I25" s="84"/>
      <c r="J25" s="82"/>
      <c r="K25" s="82">
        <v>200000</v>
      </c>
      <c r="L25" s="189"/>
      <c r="M25" s="107"/>
      <c r="N25" s="107"/>
      <c r="O25" s="190"/>
      <c r="P25" s="191"/>
      <c r="Q25" s="251"/>
      <c r="R25" s="251"/>
      <c r="S25" s="107"/>
      <c r="T25" s="251"/>
      <c r="U25" s="251"/>
      <c r="V25" s="250">
        <f t="shared" ref="V25:V46" si="7">E25-G25</f>
        <v>300000</v>
      </c>
      <c r="X25" s="225"/>
      <c r="Y25" s="238"/>
    </row>
    <row r="26" s="5" customFormat="1" ht="13.8" spans="1:25">
      <c r="A26" s="85"/>
      <c r="B26" s="86"/>
      <c r="D26" s="87"/>
      <c r="E26" s="88">
        <v>100000</v>
      </c>
      <c r="F26" s="59" t="s">
        <v>175</v>
      </c>
      <c r="G26" s="89">
        <f t="shared" si="6"/>
        <v>100000</v>
      </c>
      <c r="H26" s="89"/>
      <c r="I26" s="89"/>
      <c r="J26" s="88"/>
      <c r="K26" s="88">
        <v>100000</v>
      </c>
      <c r="L26" s="62"/>
      <c r="M26" s="192"/>
      <c r="N26" s="192"/>
      <c r="O26" s="193"/>
      <c r="P26" s="194"/>
      <c r="Q26" s="252"/>
      <c r="R26" s="252"/>
      <c r="S26" s="192"/>
      <c r="T26" s="252"/>
      <c r="U26" s="252"/>
      <c r="V26" s="250">
        <f t="shared" si="7"/>
        <v>0</v>
      </c>
      <c r="X26" s="253"/>
      <c r="Y26" s="253"/>
    </row>
    <row r="27" s="3" customFormat="1" ht="13.8" spans="1:25">
      <c r="A27" s="90"/>
      <c r="B27" s="91"/>
      <c r="D27" s="57"/>
      <c r="E27" s="88">
        <v>181640</v>
      </c>
      <c r="F27" s="92" t="s">
        <v>177</v>
      </c>
      <c r="G27" s="89">
        <f t="shared" si="6"/>
        <v>100000</v>
      </c>
      <c r="H27" s="89"/>
      <c r="I27" s="89"/>
      <c r="J27" s="88"/>
      <c r="K27" s="88">
        <v>100000</v>
      </c>
      <c r="L27" s="62"/>
      <c r="M27" s="60"/>
      <c r="N27" s="60"/>
      <c r="O27" s="195"/>
      <c r="P27" s="195"/>
      <c r="Q27" s="60"/>
      <c r="R27" s="60"/>
      <c r="S27" s="60"/>
      <c r="T27" s="254"/>
      <c r="U27" s="254"/>
      <c r="V27" s="255">
        <f t="shared" si="7"/>
        <v>81640</v>
      </c>
      <c r="X27" s="238"/>
      <c r="Y27" s="238"/>
    </row>
    <row r="28" s="3" customFormat="1" ht="13.8" spans="1:25">
      <c r="A28" s="90"/>
      <c r="B28" s="91"/>
      <c r="C28" s="56"/>
      <c r="D28" s="57"/>
      <c r="E28" s="88">
        <v>200000</v>
      </c>
      <c r="F28" s="92" t="s">
        <v>178</v>
      </c>
      <c r="G28" s="93">
        <f t="shared" si="6"/>
        <v>200000</v>
      </c>
      <c r="H28" s="94"/>
      <c r="I28" s="89"/>
      <c r="J28" s="88"/>
      <c r="K28" s="88">
        <v>200000</v>
      </c>
      <c r="L28" s="62"/>
      <c r="M28" s="60"/>
      <c r="N28" s="60"/>
      <c r="O28" s="195"/>
      <c r="P28" s="195"/>
      <c r="Q28" s="60"/>
      <c r="R28" s="60"/>
      <c r="S28" s="60"/>
      <c r="T28" s="60"/>
      <c r="U28" s="254"/>
      <c r="V28" s="255">
        <f t="shared" si="7"/>
        <v>0</v>
      </c>
      <c r="X28" s="238"/>
      <c r="Y28" s="238"/>
    </row>
    <row r="29" s="3" customFormat="1" ht="13.8" spans="1:25">
      <c r="A29" s="90"/>
      <c r="B29" s="91"/>
      <c r="C29" s="56"/>
      <c r="D29" s="57"/>
      <c r="E29" s="88">
        <v>400000</v>
      </c>
      <c r="F29" s="92" t="s">
        <v>179</v>
      </c>
      <c r="G29" s="93">
        <f t="shared" si="6"/>
        <v>200000</v>
      </c>
      <c r="H29" s="89"/>
      <c r="I29" s="89"/>
      <c r="J29" s="88"/>
      <c r="K29" s="88">
        <v>200000</v>
      </c>
      <c r="L29" s="62"/>
      <c r="M29" s="60"/>
      <c r="N29" s="60"/>
      <c r="O29" s="195"/>
      <c r="P29" s="195"/>
      <c r="Q29" s="60"/>
      <c r="R29" s="60"/>
      <c r="S29" s="256"/>
      <c r="T29" s="60"/>
      <c r="U29" s="254"/>
      <c r="V29" s="255">
        <f t="shared" si="7"/>
        <v>200000</v>
      </c>
      <c r="X29" s="238"/>
      <c r="Y29" s="238"/>
    </row>
    <row r="30" s="3" customFormat="1" ht="13.8" spans="1:25">
      <c r="A30" s="90"/>
      <c r="B30" s="91"/>
      <c r="C30" s="56"/>
      <c r="D30" s="57"/>
      <c r="E30" s="88">
        <v>99023.88</v>
      </c>
      <c r="F30" s="92" t="s">
        <v>184</v>
      </c>
      <c r="G30" s="89">
        <f t="shared" si="6"/>
        <v>35000</v>
      </c>
      <c r="H30" s="89"/>
      <c r="I30" s="89"/>
      <c r="J30" s="88"/>
      <c r="K30" s="88">
        <v>35000</v>
      </c>
      <c r="L30" s="62"/>
      <c r="M30" s="60"/>
      <c r="N30" s="60"/>
      <c r="O30" s="195"/>
      <c r="P30" s="195"/>
      <c r="Q30" s="60"/>
      <c r="R30" s="60"/>
      <c r="S30" s="254"/>
      <c r="T30" s="60"/>
      <c r="U30" s="254"/>
      <c r="V30" s="255">
        <f t="shared" si="7"/>
        <v>64023.88</v>
      </c>
      <c r="X30" s="238"/>
      <c r="Y30" s="238"/>
    </row>
    <row r="31" s="3" customFormat="1" ht="13.8" spans="1:25">
      <c r="A31" s="90"/>
      <c r="B31" s="91"/>
      <c r="C31" s="56"/>
      <c r="D31" s="57"/>
      <c r="E31" s="95">
        <v>400000</v>
      </c>
      <c r="F31" s="96" t="s">
        <v>180</v>
      </c>
      <c r="G31" s="89">
        <f t="shared" si="6"/>
        <v>155621</v>
      </c>
      <c r="H31" s="97"/>
      <c r="I31" s="97"/>
      <c r="J31" s="95"/>
      <c r="K31" s="95">
        <v>150000</v>
      </c>
      <c r="L31" s="109">
        <f>1856</f>
        <v>1856</v>
      </c>
      <c r="M31" s="196">
        <v>3765</v>
      </c>
      <c r="N31" s="196"/>
      <c r="O31" s="197"/>
      <c r="P31" s="197"/>
      <c r="Q31" s="196"/>
      <c r="R31" s="196"/>
      <c r="S31" s="257"/>
      <c r="T31" s="257"/>
      <c r="U31" s="257"/>
      <c r="V31" s="255">
        <f t="shared" si="7"/>
        <v>244379</v>
      </c>
      <c r="X31" s="238"/>
      <c r="Y31" s="238"/>
    </row>
    <row r="32" s="6" customFormat="1" ht="13.8" spans="1:25">
      <c r="A32" s="98"/>
      <c r="B32" s="99"/>
      <c r="D32" s="26"/>
      <c r="E32" s="100">
        <f>SUM(E25:E31)</f>
        <v>1880663.88</v>
      </c>
      <c r="F32" s="101"/>
      <c r="G32" s="102">
        <f t="shared" ref="G32:V32" si="8">SUM(G25:G31)</f>
        <v>990621</v>
      </c>
      <c r="H32" s="102">
        <f t="shared" si="8"/>
        <v>0</v>
      </c>
      <c r="I32" s="102">
        <f t="shared" si="8"/>
        <v>0</v>
      </c>
      <c r="J32" s="102">
        <f t="shared" si="8"/>
        <v>0</v>
      </c>
      <c r="K32" s="102">
        <f t="shared" si="8"/>
        <v>985000</v>
      </c>
      <c r="L32" s="101">
        <f t="shared" si="8"/>
        <v>1856</v>
      </c>
      <c r="M32" s="101">
        <f t="shared" si="8"/>
        <v>3765</v>
      </c>
      <c r="N32" s="101">
        <f t="shared" si="8"/>
        <v>0</v>
      </c>
      <c r="O32" s="101">
        <f t="shared" si="8"/>
        <v>0</v>
      </c>
      <c r="P32" s="101">
        <f t="shared" si="8"/>
        <v>0</v>
      </c>
      <c r="Q32" s="101">
        <f t="shared" si="8"/>
        <v>0</v>
      </c>
      <c r="R32" s="101">
        <f t="shared" si="8"/>
        <v>0</v>
      </c>
      <c r="S32" s="101">
        <f t="shared" si="8"/>
        <v>0</v>
      </c>
      <c r="T32" s="101">
        <f t="shared" si="8"/>
        <v>0</v>
      </c>
      <c r="U32" s="101">
        <f t="shared" si="8"/>
        <v>0</v>
      </c>
      <c r="V32" s="258">
        <f t="shared" si="8"/>
        <v>890042.88</v>
      </c>
      <c r="W32" s="25"/>
      <c r="X32" s="259"/>
      <c r="Y32" s="282"/>
    </row>
    <row r="33" s="1" customFormat="1" ht="13.8" spans="1:25">
      <c r="A33" s="103"/>
      <c r="B33" s="104"/>
      <c r="D33" s="35"/>
      <c r="E33" s="105"/>
      <c r="F33" s="106"/>
      <c r="G33" s="106"/>
      <c r="H33" s="106"/>
      <c r="I33" s="106"/>
      <c r="J33" s="105"/>
      <c r="K33" s="105"/>
      <c r="L33" s="105"/>
      <c r="M33" s="106"/>
      <c r="N33" s="106"/>
      <c r="O33" s="106"/>
      <c r="P33" s="106"/>
      <c r="Q33" s="106"/>
      <c r="R33" s="106"/>
      <c r="S33" s="106"/>
      <c r="T33" s="106"/>
      <c r="U33" s="106"/>
      <c r="V33" s="260"/>
      <c r="W33" s="34"/>
      <c r="X33" s="261"/>
      <c r="Y33" s="261"/>
    </row>
    <row r="34" s="1" customFormat="1" spans="1:25">
      <c r="A34" s="78" t="s">
        <v>73</v>
      </c>
      <c r="B34" s="79"/>
      <c r="C34" s="80"/>
      <c r="D34" s="81"/>
      <c r="E34" s="62"/>
      <c r="F34" s="83" t="s">
        <v>174</v>
      </c>
      <c r="G34" s="107">
        <f>SUM(H34:U34)</f>
        <v>0</v>
      </c>
      <c r="H34" s="108"/>
      <c r="I34" s="108"/>
      <c r="J34" s="198"/>
      <c r="K34" s="198"/>
      <c r="L34" s="198"/>
      <c r="M34" s="108"/>
      <c r="N34" s="108"/>
      <c r="O34" s="199"/>
      <c r="P34" s="199"/>
      <c r="Q34" s="108"/>
      <c r="R34" s="108"/>
      <c r="S34" s="108"/>
      <c r="T34" s="108"/>
      <c r="U34" s="108"/>
      <c r="V34" s="250">
        <f t="shared" si="7"/>
        <v>0</v>
      </c>
      <c r="X34" s="225"/>
      <c r="Y34" s="238"/>
    </row>
    <row r="35" s="1" customFormat="1" spans="1:25">
      <c r="A35" s="78"/>
      <c r="B35" s="79"/>
      <c r="C35" s="80"/>
      <c r="D35" s="81"/>
      <c r="E35" s="109"/>
      <c r="F35" s="110" t="s">
        <v>175</v>
      </c>
      <c r="G35" s="77">
        <f>SUM(H35:U35)</f>
        <v>0</v>
      </c>
      <c r="H35" s="111"/>
      <c r="I35" s="111"/>
      <c r="J35" s="126"/>
      <c r="K35" s="126"/>
      <c r="L35" s="126"/>
      <c r="M35" s="111"/>
      <c r="N35" s="111"/>
      <c r="O35" s="200"/>
      <c r="P35" s="200"/>
      <c r="Q35" s="111"/>
      <c r="R35" s="111"/>
      <c r="S35" s="111"/>
      <c r="T35" s="111"/>
      <c r="U35" s="111"/>
      <c r="V35" s="262">
        <f t="shared" si="7"/>
        <v>0</v>
      </c>
      <c r="X35" s="225"/>
      <c r="Y35" s="238"/>
    </row>
    <row r="36" s="7" customFormat="1" ht="13.8" spans="1:25">
      <c r="A36" s="112"/>
      <c r="B36" s="113"/>
      <c r="C36" s="114"/>
      <c r="D36" s="115"/>
      <c r="E36" s="82">
        <v>200000</v>
      </c>
      <c r="F36" s="116" t="s">
        <v>178</v>
      </c>
      <c r="G36" s="84">
        <f>SUM(H36:U36)</f>
        <v>103765</v>
      </c>
      <c r="H36" s="84"/>
      <c r="I36" s="84"/>
      <c r="J36" s="82"/>
      <c r="K36" s="82">
        <v>100000</v>
      </c>
      <c r="L36" s="82"/>
      <c r="M36" s="84">
        <v>3765</v>
      </c>
      <c r="N36" s="84"/>
      <c r="O36" s="201"/>
      <c r="P36" s="201"/>
      <c r="Q36" s="84"/>
      <c r="R36" s="84"/>
      <c r="S36" s="84"/>
      <c r="T36" s="84"/>
      <c r="U36" s="84"/>
      <c r="V36" s="250">
        <f t="shared" si="7"/>
        <v>96235</v>
      </c>
      <c r="X36" s="263"/>
      <c r="Y36" s="283"/>
    </row>
    <row r="37" s="1" customFormat="1" spans="1:25">
      <c r="A37" s="78"/>
      <c r="B37" s="79"/>
      <c r="C37" s="80"/>
      <c r="D37" s="81"/>
      <c r="E37" s="109"/>
      <c r="F37" s="110" t="s">
        <v>179</v>
      </c>
      <c r="G37" s="117">
        <f>SUM(H37:U37)</f>
        <v>0</v>
      </c>
      <c r="H37" s="111"/>
      <c r="I37" s="111"/>
      <c r="J37" s="126"/>
      <c r="K37" s="126"/>
      <c r="L37" s="126"/>
      <c r="M37" s="111"/>
      <c r="N37" s="77"/>
      <c r="O37" s="200"/>
      <c r="P37" s="200"/>
      <c r="Q37" s="111"/>
      <c r="R37" s="111"/>
      <c r="S37" s="77"/>
      <c r="T37" s="111"/>
      <c r="U37" s="111"/>
      <c r="V37" s="264">
        <f t="shared" si="7"/>
        <v>0</v>
      </c>
      <c r="X37" s="225"/>
      <c r="Y37" s="238"/>
    </row>
    <row r="38" s="4" customFormat="1" ht="13.2" spans="1:25">
      <c r="A38" s="118"/>
      <c r="B38" s="119"/>
      <c r="C38" s="120"/>
      <c r="D38" s="121"/>
      <c r="E38" s="122">
        <f>SUM(E34:E37)</f>
        <v>200000</v>
      </c>
      <c r="F38" s="123"/>
      <c r="G38" s="123">
        <f t="shared" ref="G38:V38" si="9">SUM(G34:G37)</f>
        <v>103765</v>
      </c>
      <c r="H38" s="123">
        <f t="shared" si="9"/>
        <v>0</v>
      </c>
      <c r="I38" s="123">
        <f t="shared" si="9"/>
        <v>0</v>
      </c>
      <c r="J38" s="123">
        <f t="shared" si="9"/>
        <v>0</v>
      </c>
      <c r="K38" s="123">
        <f t="shared" si="9"/>
        <v>100000</v>
      </c>
      <c r="L38" s="123">
        <f t="shared" si="9"/>
        <v>0</v>
      </c>
      <c r="M38" s="123">
        <f t="shared" si="9"/>
        <v>3765</v>
      </c>
      <c r="N38" s="123">
        <f t="shared" si="9"/>
        <v>0</v>
      </c>
      <c r="O38" s="123">
        <f t="shared" si="9"/>
        <v>0</v>
      </c>
      <c r="P38" s="123">
        <f t="shared" si="9"/>
        <v>0</v>
      </c>
      <c r="Q38" s="123">
        <f t="shared" si="9"/>
        <v>0</v>
      </c>
      <c r="R38" s="123">
        <f t="shared" si="9"/>
        <v>0</v>
      </c>
      <c r="S38" s="123">
        <f t="shared" si="9"/>
        <v>0</v>
      </c>
      <c r="T38" s="123">
        <f t="shared" si="9"/>
        <v>0</v>
      </c>
      <c r="U38" s="123">
        <f t="shared" si="9"/>
        <v>0</v>
      </c>
      <c r="V38" s="265">
        <f t="shared" si="9"/>
        <v>96235</v>
      </c>
      <c r="X38" s="245"/>
      <c r="Y38" s="281"/>
    </row>
    <row r="39" s="1" customFormat="1" ht="13.8" spans="1:25">
      <c r="A39" s="78"/>
      <c r="B39" s="79"/>
      <c r="C39" s="80"/>
      <c r="D39" s="81"/>
      <c r="E39" s="124"/>
      <c r="F39" s="125"/>
      <c r="G39" s="125"/>
      <c r="H39" s="125"/>
      <c r="I39" s="125"/>
      <c r="J39" s="202"/>
      <c r="K39" s="202"/>
      <c r="L39" s="202"/>
      <c r="M39" s="125"/>
      <c r="N39" s="125"/>
      <c r="O39" s="125"/>
      <c r="P39" s="125"/>
      <c r="Q39" s="125"/>
      <c r="R39" s="125"/>
      <c r="S39" s="125"/>
      <c r="T39" s="125"/>
      <c r="U39" s="125"/>
      <c r="V39" s="262"/>
      <c r="X39" s="261"/>
      <c r="Y39" s="261"/>
    </row>
    <row r="40" s="1" customFormat="1" spans="1:25">
      <c r="A40" s="78" t="s">
        <v>77</v>
      </c>
      <c r="B40" s="79"/>
      <c r="C40" s="80"/>
      <c r="D40" s="81"/>
      <c r="E40" s="126">
        <v>300000</v>
      </c>
      <c r="F40" s="127" t="s">
        <v>174</v>
      </c>
      <c r="G40" s="128">
        <f>SUM(H40:U40)</f>
        <v>100000</v>
      </c>
      <c r="H40" s="111"/>
      <c r="I40" s="111"/>
      <c r="J40" s="126"/>
      <c r="K40" s="126">
        <v>100000</v>
      </c>
      <c r="L40" s="126"/>
      <c r="M40" s="111"/>
      <c r="N40" s="111"/>
      <c r="O40" s="111"/>
      <c r="P40" s="200"/>
      <c r="Q40" s="111"/>
      <c r="R40" s="111"/>
      <c r="S40" s="111"/>
      <c r="T40" s="111"/>
      <c r="U40" s="111"/>
      <c r="V40" s="250">
        <f t="shared" si="7"/>
        <v>200000</v>
      </c>
      <c r="X40" s="225"/>
      <c r="Y40" s="238"/>
    </row>
    <row r="41" s="3" customFormat="1" spans="1:25">
      <c r="A41" s="129"/>
      <c r="B41" s="130"/>
      <c r="C41" s="131"/>
      <c r="D41" s="132"/>
      <c r="E41" s="133">
        <v>50000</v>
      </c>
      <c r="F41" s="92" t="s">
        <v>177</v>
      </c>
      <c r="G41" s="89">
        <f>SUM(H41:U41)</f>
        <v>50000</v>
      </c>
      <c r="H41" s="134"/>
      <c r="I41" s="134"/>
      <c r="J41" s="133"/>
      <c r="K41" s="133">
        <v>50000</v>
      </c>
      <c r="L41" s="133"/>
      <c r="M41" s="134"/>
      <c r="N41" s="60"/>
      <c r="O41" s="134"/>
      <c r="P41" s="203"/>
      <c r="Q41" s="134"/>
      <c r="R41" s="134"/>
      <c r="S41" s="134"/>
      <c r="T41" s="134"/>
      <c r="U41" s="134"/>
      <c r="V41" s="250">
        <f t="shared" si="7"/>
        <v>0</v>
      </c>
      <c r="X41" s="238"/>
      <c r="Y41" s="238"/>
    </row>
    <row r="42" s="3" customFormat="1" spans="1:25">
      <c r="A42" s="90"/>
      <c r="B42" s="91"/>
      <c r="D42" s="57"/>
      <c r="E42" s="133">
        <v>100000</v>
      </c>
      <c r="F42" s="59" t="s">
        <v>175</v>
      </c>
      <c r="G42" s="89">
        <f>SUM(H42:U42)</f>
        <v>100000</v>
      </c>
      <c r="H42" s="134"/>
      <c r="I42" s="134"/>
      <c r="J42" s="133"/>
      <c r="K42" s="133">
        <v>100000</v>
      </c>
      <c r="L42" s="133"/>
      <c r="M42" s="134"/>
      <c r="N42" s="60"/>
      <c r="O42" s="134"/>
      <c r="P42" s="203"/>
      <c r="Q42" s="134"/>
      <c r="R42" s="134"/>
      <c r="S42" s="134"/>
      <c r="T42" s="134"/>
      <c r="U42" s="134"/>
      <c r="V42" s="250">
        <f t="shared" si="7"/>
        <v>0</v>
      </c>
      <c r="X42" s="238"/>
      <c r="Y42" s="238"/>
    </row>
    <row r="43" s="3" customFormat="1" spans="1:25">
      <c r="A43" s="90"/>
      <c r="B43" s="91"/>
      <c r="D43" s="57"/>
      <c r="E43" s="133">
        <v>350000</v>
      </c>
      <c r="F43" s="134" t="s">
        <v>178</v>
      </c>
      <c r="G43" s="89">
        <f>SUM(H43:U43)</f>
        <v>300000</v>
      </c>
      <c r="H43" s="134"/>
      <c r="I43" s="134"/>
      <c r="J43" s="133"/>
      <c r="K43" s="133">
        <v>300000</v>
      </c>
      <c r="L43" s="133"/>
      <c r="M43" s="134"/>
      <c r="N43" s="134"/>
      <c r="O43" s="134"/>
      <c r="P43" s="203"/>
      <c r="Q43" s="134"/>
      <c r="R43" s="134"/>
      <c r="S43" s="60"/>
      <c r="T43" s="134"/>
      <c r="U43" s="134"/>
      <c r="V43" s="255">
        <f t="shared" si="7"/>
        <v>50000</v>
      </c>
      <c r="X43" s="238"/>
      <c r="Y43" s="238"/>
    </row>
    <row r="44" s="3" customFormat="1" spans="1:25">
      <c r="A44" s="90"/>
      <c r="B44" s="91"/>
      <c r="D44" s="57"/>
      <c r="E44" s="133">
        <v>300000</v>
      </c>
      <c r="F44" s="134" t="s">
        <v>179</v>
      </c>
      <c r="G44" s="89">
        <f>SUM(I44:U44)</f>
        <v>100000</v>
      </c>
      <c r="I44" s="134"/>
      <c r="J44" s="133"/>
      <c r="K44" s="133">
        <v>100000</v>
      </c>
      <c r="L44" s="133"/>
      <c r="M44" s="134"/>
      <c r="N44" s="60"/>
      <c r="O44" s="134"/>
      <c r="P44" s="203"/>
      <c r="Q44" s="134"/>
      <c r="R44" s="134"/>
      <c r="S44" s="60"/>
      <c r="T44" s="206"/>
      <c r="U44" s="134"/>
      <c r="V44" s="255">
        <f t="shared" si="7"/>
        <v>200000</v>
      </c>
      <c r="X44" s="238"/>
      <c r="Y44" s="238"/>
    </row>
    <row r="45" s="3" customFormat="1" spans="1:25">
      <c r="A45" s="90"/>
      <c r="B45" s="91"/>
      <c r="D45" s="57"/>
      <c r="E45" s="133"/>
      <c r="F45" s="134" t="s">
        <v>184</v>
      </c>
      <c r="G45" s="89">
        <f>SUM(H45:U45)</f>
        <v>0</v>
      </c>
      <c r="H45" s="134"/>
      <c r="I45" s="134"/>
      <c r="J45" s="133"/>
      <c r="K45" s="133"/>
      <c r="L45" s="133"/>
      <c r="M45" s="134"/>
      <c r="N45" s="134"/>
      <c r="O45" s="134"/>
      <c r="P45" s="203"/>
      <c r="Q45" s="134"/>
      <c r="R45" s="134"/>
      <c r="S45" s="134"/>
      <c r="T45" s="206"/>
      <c r="U45" s="134"/>
      <c r="V45" s="255">
        <f t="shared" si="7"/>
        <v>0</v>
      </c>
      <c r="X45" s="238"/>
      <c r="Y45" s="238"/>
    </row>
    <row r="46" s="3" customFormat="1" spans="1:25">
      <c r="A46" s="90"/>
      <c r="B46" s="91"/>
      <c r="D46" s="57"/>
      <c r="E46" s="135">
        <v>200000</v>
      </c>
      <c r="F46" s="136" t="s">
        <v>180</v>
      </c>
      <c r="G46" s="93">
        <f>SUM(H46:U46)</f>
        <v>50000</v>
      </c>
      <c r="H46" s="136"/>
      <c r="I46" s="136"/>
      <c r="J46" s="109"/>
      <c r="K46" s="95">
        <v>50000</v>
      </c>
      <c r="L46" s="109"/>
      <c r="M46" s="196"/>
      <c r="N46" s="196"/>
      <c r="O46" s="196"/>
      <c r="P46" s="197"/>
      <c r="Q46" s="196"/>
      <c r="R46" s="196"/>
      <c r="S46" s="196"/>
      <c r="T46" s="56"/>
      <c r="U46" s="196"/>
      <c r="V46" s="255">
        <f t="shared" si="7"/>
        <v>150000</v>
      </c>
      <c r="Y46" s="238"/>
    </row>
    <row r="47" s="6" customFormat="1" ht="13.8" spans="1:25">
      <c r="A47" s="137"/>
      <c r="B47" s="138"/>
      <c r="C47" s="139"/>
      <c r="D47" s="140"/>
      <c r="E47" s="100">
        <f>SUM(E40:E46)</f>
        <v>1300000</v>
      </c>
      <c r="F47" s="102">
        <f t="shared" ref="F47:V47" si="10">SUM(F40:F46)</f>
        <v>0</v>
      </c>
      <c r="G47" s="102">
        <f t="shared" si="10"/>
        <v>700000</v>
      </c>
      <c r="H47" s="102">
        <f t="shared" si="10"/>
        <v>0</v>
      </c>
      <c r="I47" s="102">
        <f t="shared" si="10"/>
        <v>0</v>
      </c>
      <c r="J47" s="102">
        <f t="shared" si="10"/>
        <v>0</v>
      </c>
      <c r="K47" s="102">
        <f t="shared" si="10"/>
        <v>700000</v>
      </c>
      <c r="L47" s="102">
        <f t="shared" si="10"/>
        <v>0</v>
      </c>
      <c r="M47" s="102">
        <f t="shared" si="10"/>
        <v>0</v>
      </c>
      <c r="N47" s="102">
        <f t="shared" si="10"/>
        <v>0</v>
      </c>
      <c r="O47" s="102">
        <f t="shared" si="10"/>
        <v>0</v>
      </c>
      <c r="P47" s="102">
        <f t="shared" si="10"/>
        <v>0</v>
      </c>
      <c r="Q47" s="102">
        <f t="shared" si="10"/>
        <v>0</v>
      </c>
      <c r="R47" s="102">
        <f t="shared" si="10"/>
        <v>0</v>
      </c>
      <c r="S47" s="102">
        <f t="shared" si="10"/>
        <v>0</v>
      </c>
      <c r="T47" s="102">
        <f t="shared" si="10"/>
        <v>0</v>
      </c>
      <c r="U47" s="102">
        <f t="shared" si="10"/>
        <v>0</v>
      </c>
      <c r="V47" s="266">
        <f t="shared" si="10"/>
        <v>600000</v>
      </c>
      <c r="X47" s="259"/>
      <c r="Y47" s="282"/>
    </row>
    <row r="48" s="1" customFormat="1" spans="1:25">
      <c r="A48" s="141"/>
      <c r="B48" s="142"/>
      <c r="C48" s="143"/>
      <c r="D48" s="144"/>
      <c r="E48" s="145"/>
      <c r="F48" s="146"/>
      <c r="G48" s="106"/>
      <c r="H48" s="146"/>
      <c r="I48" s="146"/>
      <c r="J48" s="145"/>
      <c r="K48" s="145"/>
      <c r="L48" s="145"/>
      <c r="M48" s="146"/>
      <c r="N48" s="146"/>
      <c r="O48" s="146"/>
      <c r="P48" s="146"/>
      <c r="Q48" s="146"/>
      <c r="R48" s="146"/>
      <c r="S48" s="146"/>
      <c r="T48" s="215"/>
      <c r="U48" s="146"/>
      <c r="V48" s="267"/>
      <c r="X48" s="261"/>
      <c r="Y48" s="261"/>
    </row>
    <row r="49" s="1" customFormat="1" spans="1:25">
      <c r="A49" s="141"/>
      <c r="B49" s="142"/>
      <c r="C49" s="143"/>
      <c r="D49" s="144"/>
      <c r="E49" s="147"/>
      <c r="F49" s="148"/>
      <c r="G49" s="149"/>
      <c r="H49" s="148"/>
      <c r="I49" s="148"/>
      <c r="J49" s="147"/>
      <c r="K49" s="147"/>
      <c r="L49" s="147"/>
      <c r="M49" s="148"/>
      <c r="N49" s="148"/>
      <c r="O49" s="148"/>
      <c r="P49" s="148"/>
      <c r="Q49" s="148"/>
      <c r="R49" s="148"/>
      <c r="S49" s="148"/>
      <c r="T49" s="268"/>
      <c r="U49" s="148"/>
      <c r="V49" s="269"/>
      <c r="X49" s="261"/>
      <c r="Y49" s="261"/>
    </row>
    <row r="50" s="3" customFormat="1" spans="1:25">
      <c r="A50" s="48" t="s">
        <v>185</v>
      </c>
      <c r="B50" s="150"/>
      <c r="C50" s="49"/>
      <c r="D50" s="50"/>
      <c r="E50" s="135"/>
      <c r="F50" s="151" t="s">
        <v>174</v>
      </c>
      <c r="G50" s="152">
        <f>SUM(H50:U50)</f>
        <v>0</v>
      </c>
      <c r="H50" s="153"/>
      <c r="I50" s="135"/>
      <c r="J50" s="135"/>
      <c r="K50" s="135"/>
      <c r="L50" s="135">
        <v>0</v>
      </c>
      <c r="M50" s="136"/>
      <c r="N50" s="136"/>
      <c r="O50" s="153"/>
      <c r="P50" s="204"/>
      <c r="Q50" s="136"/>
      <c r="R50" s="136"/>
      <c r="S50" s="136"/>
      <c r="T50" s="270"/>
      <c r="U50" s="136"/>
      <c r="V50" s="271">
        <f>E50-G50</f>
        <v>0</v>
      </c>
      <c r="X50" s="238"/>
      <c r="Y50" s="238"/>
    </row>
    <row r="51" s="3" customFormat="1" ht="13.8" spans="1:25">
      <c r="A51" s="48"/>
      <c r="B51" s="130"/>
      <c r="C51" s="131"/>
      <c r="D51" s="132"/>
      <c r="E51" s="100">
        <f>E50</f>
        <v>0</v>
      </c>
      <c r="F51" s="154"/>
      <c r="G51" s="101">
        <f>G50</f>
        <v>0</v>
      </c>
      <c r="H51" s="101">
        <f t="shared" ref="H51:V51" si="11">H50</f>
        <v>0</v>
      </c>
      <c r="I51" s="101">
        <f t="shared" si="11"/>
        <v>0</v>
      </c>
      <c r="J51" s="101">
        <f t="shared" si="11"/>
        <v>0</v>
      </c>
      <c r="K51" s="101">
        <f t="shared" si="11"/>
        <v>0</v>
      </c>
      <c r="L51" s="101">
        <f t="shared" si="11"/>
        <v>0</v>
      </c>
      <c r="M51" s="101">
        <f t="shared" si="11"/>
        <v>0</v>
      </c>
      <c r="N51" s="101">
        <f t="shared" si="11"/>
        <v>0</v>
      </c>
      <c r="O51" s="101">
        <f t="shared" si="11"/>
        <v>0</v>
      </c>
      <c r="P51" s="101">
        <f t="shared" si="11"/>
        <v>0</v>
      </c>
      <c r="Q51" s="101">
        <f t="shared" si="11"/>
        <v>0</v>
      </c>
      <c r="R51" s="101">
        <f t="shared" si="11"/>
        <v>0</v>
      </c>
      <c r="S51" s="101">
        <f t="shared" si="11"/>
        <v>0</v>
      </c>
      <c r="T51" s="101">
        <f t="shared" si="11"/>
        <v>0</v>
      </c>
      <c r="U51" s="101">
        <f t="shared" si="11"/>
        <v>0</v>
      </c>
      <c r="V51" s="272">
        <f t="shared" si="11"/>
        <v>0</v>
      </c>
      <c r="W51" s="241"/>
      <c r="X51" s="238"/>
      <c r="Y51" s="238"/>
    </row>
    <row r="52" s="3" customFormat="1" ht="13.8" spans="1:25">
      <c r="A52" s="48"/>
      <c r="B52" s="130"/>
      <c r="C52" s="131"/>
      <c r="D52" s="131"/>
      <c r="E52" s="155"/>
      <c r="F52" s="154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273"/>
      <c r="W52" s="241"/>
      <c r="X52" s="238"/>
      <c r="Y52" s="238"/>
    </row>
    <row r="53" s="3" customFormat="1" ht="13.8" spans="1:25">
      <c r="A53" s="48"/>
      <c r="B53" s="130"/>
      <c r="C53" s="131"/>
      <c r="D53" s="132"/>
      <c r="E53" s="156"/>
      <c r="F53" s="157"/>
      <c r="G53" s="158"/>
      <c r="H53" s="159"/>
      <c r="I53" s="159"/>
      <c r="J53" s="159"/>
      <c r="K53" s="159"/>
      <c r="L53" s="159"/>
      <c r="M53" s="159"/>
      <c r="N53" s="159"/>
      <c r="O53" s="159"/>
      <c r="P53" s="205"/>
      <c r="Q53" s="159"/>
      <c r="R53" s="159"/>
      <c r="S53" s="159"/>
      <c r="T53" s="159"/>
      <c r="U53" s="159"/>
      <c r="V53" s="274">
        <f t="shared" ref="V53:V60" si="12">E53-G53</f>
        <v>0</v>
      </c>
      <c r="X53" s="238"/>
      <c r="Y53" s="238"/>
    </row>
    <row r="54" s="3" customFormat="1" spans="1:25">
      <c r="A54" s="48" t="s">
        <v>186</v>
      </c>
      <c r="B54" s="130"/>
      <c r="C54" s="131"/>
      <c r="D54" s="132"/>
      <c r="E54" s="133">
        <v>50000</v>
      </c>
      <c r="F54" s="134" t="s">
        <v>178</v>
      </c>
      <c r="G54" s="89">
        <f t="shared" ref="G54:G60" si="13">SUM(H54:U54)</f>
        <v>50000</v>
      </c>
      <c r="H54" s="134"/>
      <c r="I54" s="134"/>
      <c r="J54" s="134"/>
      <c r="K54" s="134">
        <v>50000</v>
      </c>
      <c r="L54" s="206"/>
      <c r="M54" s="134"/>
      <c r="N54" s="207"/>
      <c r="O54" s="203"/>
      <c r="P54" s="195"/>
      <c r="Q54" s="60"/>
      <c r="R54" s="60"/>
      <c r="S54" s="60"/>
      <c r="T54" s="62"/>
      <c r="U54" s="60"/>
      <c r="V54" s="275">
        <f t="shared" si="12"/>
        <v>0</v>
      </c>
      <c r="X54" s="238"/>
      <c r="Y54" s="238"/>
    </row>
    <row r="55" s="3" customFormat="1" spans="1:25">
      <c r="A55" s="90"/>
      <c r="B55" s="91"/>
      <c r="D55" s="57"/>
      <c r="E55" s="133">
        <v>200000</v>
      </c>
      <c r="F55" s="134" t="s">
        <v>179</v>
      </c>
      <c r="G55" s="89">
        <f t="shared" si="13"/>
        <v>103765</v>
      </c>
      <c r="H55" s="134"/>
      <c r="I55" s="134"/>
      <c r="J55" s="133"/>
      <c r="K55" s="206">
        <v>100000</v>
      </c>
      <c r="L55" s="208"/>
      <c r="M55" s="208">
        <v>3765</v>
      </c>
      <c r="N55" s="209"/>
      <c r="O55" s="195"/>
      <c r="P55" s="195"/>
      <c r="Q55" s="60"/>
      <c r="R55" s="60"/>
      <c r="S55" s="60"/>
      <c r="T55" s="60"/>
      <c r="U55" s="60"/>
      <c r="V55" s="255">
        <f t="shared" si="12"/>
        <v>96235</v>
      </c>
      <c r="X55" s="238"/>
      <c r="Y55" s="238"/>
    </row>
    <row r="56" s="3" customFormat="1" spans="1:25">
      <c r="A56" s="90"/>
      <c r="B56" s="91"/>
      <c r="D56" s="57"/>
      <c r="E56" s="133">
        <v>200000</v>
      </c>
      <c r="F56" s="134" t="s">
        <v>187</v>
      </c>
      <c r="G56" s="89">
        <f t="shared" si="13"/>
        <v>100000</v>
      </c>
      <c r="H56" s="134"/>
      <c r="I56" s="134"/>
      <c r="J56" s="133"/>
      <c r="K56" s="206">
        <v>100000</v>
      </c>
      <c r="L56" s="208"/>
      <c r="M56" s="208"/>
      <c r="N56" s="209"/>
      <c r="O56" s="195"/>
      <c r="P56" s="195"/>
      <c r="Q56" s="60"/>
      <c r="R56" s="60"/>
      <c r="S56" s="60"/>
      <c r="T56" s="60"/>
      <c r="U56" s="60"/>
      <c r="V56" s="255">
        <f t="shared" si="12"/>
        <v>100000</v>
      </c>
      <c r="X56" s="238"/>
      <c r="Y56" s="238"/>
    </row>
    <row r="57" s="5" customFormat="1" ht="13.8" spans="1:25">
      <c r="A57" s="85"/>
      <c r="B57" s="86"/>
      <c r="D57" s="87"/>
      <c r="E57" s="95">
        <v>100000</v>
      </c>
      <c r="F57" s="97" t="s">
        <v>188</v>
      </c>
      <c r="G57" s="97">
        <f t="shared" si="13"/>
        <v>100000</v>
      </c>
      <c r="H57" s="97"/>
      <c r="I57" s="97"/>
      <c r="J57" s="95"/>
      <c r="K57" s="94">
        <v>100000</v>
      </c>
      <c r="L57" s="210"/>
      <c r="M57" s="210"/>
      <c r="N57" s="211"/>
      <c r="O57" s="212"/>
      <c r="P57" s="212"/>
      <c r="Q57" s="276"/>
      <c r="R57" s="276"/>
      <c r="S57" s="276"/>
      <c r="T57" s="276"/>
      <c r="U57" s="276"/>
      <c r="V57" s="277">
        <f t="shared" si="12"/>
        <v>0</v>
      </c>
      <c r="X57" s="253"/>
      <c r="Y57" s="253"/>
    </row>
    <row r="58" s="3" customFormat="1" spans="1:25">
      <c r="A58" s="90"/>
      <c r="B58" s="91"/>
      <c r="D58" s="57"/>
      <c r="E58" s="133">
        <v>642291</v>
      </c>
      <c r="F58" s="160" t="s">
        <v>174</v>
      </c>
      <c r="G58" s="89">
        <f t="shared" si="13"/>
        <v>100000</v>
      </c>
      <c r="H58" s="134"/>
      <c r="I58" s="134"/>
      <c r="J58" s="133"/>
      <c r="K58" s="206">
        <v>100000</v>
      </c>
      <c r="L58" s="208"/>
      <c r="M58" s="208"/>
      <c r="N58" s="209"/>
      <c r="O58" s="195"/>
      <c r="P58" s="195"/>
      <c r="Q58" s="60"/>
      <c r="R58" s="60"/>
      <c r="S58" s="60"/>
      <c r="T58" s="60"/>
      <c r="U58" s="60"/>
      <c r="V58" s="255">
        <f t="shared" si="12"/>
        <v>542291</v>
      </c>
      <c r="X58" s="238"/>
      <c r="Y58" s="238"/>
    </row>
    <row r="59" s="3" customFormat="1" spans="1:25">
      <c r="A59" s="90"/>
      <c r="B59" s="91"/>
      <c r="D59" s="57"/>
      <c r="E59" s="133">
        <v>423900</v>
      </c>
      <c r="F59" s="134" t="s">
        <v>184</v>
      </c>
      <c r="G59" s="89">
        <f t="shared" si="13"/>
        <v>205621</v>
      </c>
      <c r="H59" s="134"/>
      <c r="I59" s="60"/>
      <c r="J59" s="133"/>
      <c r="K59" s="206">
        <v>200000</v>
      </c>
      <c r="L59" s="209">
        <v>1856</v>
      </c>
      <c r="M59" s="208">
        <v>3765</v>
      </c>
      <c r="N59" s="209"/>
      <c r="O59" s="195"/>
      <c r="P59" s="195"/>
      <c r="Q59" s="60"/>
      <c r="R59" s="60"/>
      <c r="S59" s="60"/>
      <c r="T59" s="60"/>
      <c r="U59" s="60"/>
      <c r="V59" s="255">
        <f t="shared" si="12"/>
        <v>218279</v>
      </c>
      <c r="X59" s="238"/>
      <c r="Y59" s="238"/>
    </row>
    <row r="60" s="3" customFormat="1" spans="1:25">
      <c r="A60" s="90"/>
      <c r="B60" s="91"/>
      <c r="D60" s="57"/>
      <c r="E60" s="135">
        <v>500000</v>
      </c>
      <c r="F60" s="136" t="s">
        <v>180</v>
      </c>
      <c r="G60" s="97">
        <f t="shared" si="13"/>
        <v>209230</v>
      </c>
      <c r="H60" s="136">
        <v>50520</v>
      </c>
      <c r="I60" s="136">
        <v>33050</v>
      </c>
      <c r="J60" s="95">
        <v>25660</v>
      </c>
      <c r="K60" s="94">
        <v>100000</v>
      </c>
      <c r="L60" s="213"/>
      <c r="M60" s="214"/>
      <c r="N60" s="213"/>
      <c r="O60" s="197"/>
      <c r="P60" s="197"/>
      <c r="Q60" s="196"/>
      <c r="R60" s="196"/>
      <c r="S60" s="196"/>
      <c r="T60" s="196"/>
      <c r="U60" s="196"/>
      <c r="V60" s="278">
        <f t="shared" si="12"/>
        <v>290770</v>
      </c>
      <c r="X60" s="238"/>
      <c r="Y60" s="238"/>
    </row>
    <row r="61" s="6" customFormat="1" ht="13.8" spans="1:25">
      <c r="A61" s="137"/>
      <c r="B61" s="138"/>
      <c r="C61" s="139"/>
      <c r="D61" s="140"/>
      <c r="E61" s="100">
        <f>SUM(E54:E60)</f>
        <v>2116191</v>
      </c>
      <c r="F61" s="102">
        <f t="shared" ref="F61:V61" si="14">SUM(F54:F60)</f>
        <v>0</v>
      </c>
      <c r="G61" s="102">
        <f t="shared" si="14"/>
        <v>868616</v>
      </c>
      <c r="H61" s="102">
        <f t="shared" si="14"/>
        <v>50520</v>
      </c>
      <c r="I61" s="102">
        <f t="shared" si="14"/>
        <v>33050</v>
      </c>
      <c r="J61" s="102">
        <f t="shared" si="14"/>
        <v>25660</v>
      </c>
      <c r="K61" s="102">
        <f t="shared" si="14"/>
        <v>750000</v>
      </c>
      <c r="L61" s="102"/>
      <c r="M61" s="102"/>
      <c r="N61" s="102"/>
      <c r="O61" s="102"/>
      <c r="P61" s="102"/>
      <c r="Q61" s="102"/>
      <c r="R61" s="102"/>
      <c r="S61" s="102"/>
      <c r="T61" s="102"/>
      <c r="U61" s="102">
        <f t="shared" si="14"/>
        <v>0</v>
      </c>
      <c r="V61" s="266">
        <f t="shared" si="14"/>
        <v>1247575</v>
      </c>
      <c r="X61" s="259"/>
      <c r="Y61" s="282"/>
    </row>
    <row r="62" s="1" customFormat="1" spans="1:25">
      <c r="A62" s="103"/>
      <c r="B62" s="104"/>
      <c r="D62" s="35"/>
      <c r="E62" s="145"/>
      <c r="F62" s="146"/>
      <c r="G62" s="146"/>
      <c r="H62" s="146"/>
      <c r="I62" s="146"/>
      <c r="J62" s="145"/>
      <c r="K62" s="215"/>
      <c r="L62" s="216"/>
      <c r="M62" s="146"/>
      <c r="N62" s="216"/>
      <c r="O62" s="146"/>
      <c r="P62" s="146"/>
      <c r="Q62" s="146"/>
      <c r="R62" s="146"/>
      <c r="S62" s="146"/>
      <c r="T62" s="146"/>
      <c r="U62" s="146"/>
      <c r="V62" s="279"/>
      <c r="X62" s="261"/>
      <c r="Y62" s="261"/>
    </row>
    <row r="63" s="1" customFormat="1" spans="1:25">
      <c r="A63" s="161" t="s">
        <v>189</v>
      </c>
      <c r="B63" s="104"/>
      <c r="D63" s="35"/>
      <c r="E63" s="162">
        <v>200000</v>
      </c>
      <c r="F63" s="163" t="s">
        <v>179</v>
      </c>
      <c r="G63" s="164">
        <f>SUM(H63:U63)</f>
        <v>1856</v>
      </c>
      <c r="H63" s="164"/>
      <c r="I63" s="164"/>
      <c r="J63" s="217"/>
      <c r="K63" s="218"/>
      <c r="L63" s="219">
        <v>1856</v>
      </c>
      <c r="M63" s="164"/>
      <c r="N63" s="219"/>
      <c r="O63" s="164"/>
      <c r="P63" s="164"/>
      <c r="Q63" s="164"/>
      <c r="R63" s="164"/>
      <c r="S63" s="164"/>
      <c r="T63" s="164"/>
      <c r="U63" s="219"/>
      <c r="V63" s="250">
        <f t="shared" ref="V63:V66" si="15">E63-G63</f>
        <v>198144</v>
      </c>
      <c r="X63" s="225"/>
      <c r="Y63" s="238"/>
    </row>
    <row r="64" s="1" customFormat="1" spans="1:25">
      <c r="A64" s="103"/>
      <c r="B64" s="104"/>
      <c r="D64" s="35"/>
      <c r="E64" s="133">
        <v>50000</v>
      </c>
      <c r="F64" s="108" t="s">
        <v>178</v>
      </c>
      <c r="G64" s="107">
        <f t="shared" ref="G64:G66" si="16">SUM(H64:U64)</f>
        <v>1856</v>
      </c>
      <c r="H64" s="107"/>
      <c r="I64" s="107"/>
      <c r="J64" s="189"/>
      <c r="K64" s="220"/>
      <c r="L64" s="221">
        <f>1856</f>
        <v>1856</v>
      </c>
      <c r="M64" s="107"/>
      <c r="N64" s="221"/>
      <c r="O64" s="107"/>
      <c r="P64" s="107"/>
      <c r="Q64" s="107"/>
      <c r="R64" s="107"/>
      <c r="S64" s="107"/>
      <c r="T64" s="107"/>
      <c r="U64" s="107"/>
      <c r="V64" s="250">
        <f t="shared" si="15"/>
        <v>48144</v>
      </c>
      <c r="X64" s="225"/>
      <c r="Y64" s="238"/>
    </row>
    <row r="65" s="3" customFormat="1" spans="1:25">
      <c r="A65" s="90"/>
      <c r="B65" s="91"/>
      <c r="D65" s="57"/>
      <c r="E65" s="135"/>
      <c r="F65" s="136" t="s">
        <v>190</v>
      </c>
      <c r="G65" s="77">
        <f t="shared" si="16"/>
        <v>0</v>
      </c>
      <c r="H65" s="196"/>
      <c r="I65" s="196"/>
      <c r="J65" s="109"/>
      <c r="K65" s="56"/>
      <c r="L65" s="213"/>
      <c r="M65" s="196">
        <v>0</v>
      </c>
      <c r="N65" s="213"/>
      <c r="O65" s="196"/>
      <c r="P65" s="196"/>
      <c r="Q65" s="196"/>
      <c r="R65" s="196"/>
      <c r="S65" s="196">
        <v>0</v>
      </c>
      <c r="T65" s="196"/>
      <c r="U65" s="196"/>
      <c r="V65" s="277">
        <f t="shared" si="15"/>
        <v>0</v>
      </c>
      <c r="X65" s="238"/>
      <c r="Y65" s="238"/>
    </row>
    <row r="66" s="3" customFormat="1" spans="1:25">
      <c r="A66" s="90"/>
      <c r="B66" s="91"/>
      <c r="D66" s="57"/>
      <c r="E66" s="284">
        <v>100000</v>
      </c>
      <c r="F66" s="285" t="s">
        <v>180</v>
      </c>
      <c r="G66" s="286">
        <f t="shared" si="16"/>
        <v>50000</v>
      </c>
      <c r="H66" s="286"/>
      <c r="I66" s="286"/>
      <c r="J66" s="348"/>
      <c r="K66" s="349">
        <v>50000</v>
      </c>
      <c r="L66" s="350"/>
      <c r="M66" s="65">
        <v>0</v>
      </c>
      <c r="N66" s="350"/>
      <c r="O66" s="65"/>
      <c r="P66" s="65"/>
      <c r="Q66" s="65"/>
      <c r="R66" s="65"/>
      <c r="S66" s="65">
        <v>0</v>
      </c>
      <c r="T66" s="65"/>
      <c r="U66" s="65"/>
      <c r="V66" s="388">
        <f t="shared" si="15"/>
        <v>50000</v>
      </c>
      <c r="X66" s="238"/>
      <c r="Y66" s="238"/>
    </row>
    <row r="67" s="6" customFormat="1" ht="13.8" spans="1:25">
      <c r="A67" s="98"/>
      <c r="B67" s="287"/>
      <c r="C67" s="288"/>
      <c r="D67" s="289"/>
      <c r="E67" s="290">
        <f>SUM(E63:E66)</f>
        <v>350000</v>
      </c>
      <c r="F67" s="291">
        <f t="shared" ref="F67:V67" si="17">SUM(F63:F66)</f>
        <v>0</v>
      </c>
      <c r="G67" s="291">
        <f t="shared" si="17"/>
        <v>53712</v>
      </c>
      <c r="H67" s="291">
        <f t="shared" si="17"/>
        <v>0</v>
      </c>
      <c r="I67" s="291">
        <f t="shared" si="17"/>
        <v>0</v>
      </c>
      <c r="J67" s="291">
        <f t="shared" si="17"/>
        <v>0</v>
      </c>
      <c r="K67" s="291">
        <f t="shared" si="17"/>
        <v>50000</v>
      </c>
      <c r="L67" s="351">
        <f t="shared" si="17"/>
        <v>3712</v>
      </c>
      <c r="M67" s="291">
        <f t="shared" si="17"/>
        <v>0</v>
      </c>
      <c r="N67" s="291">
        <f t="shared" si="17"/>
        <v>0</v>
      </c>
      <c r="O67" s="291">
        <f t="shared" si="17"/>
        <v>0</v>
      </c>
      <c r="P67" s="291">
        <f t="shared" si="17"/>
        <v>0</v>
      </c>
      <c r="Q67" s="291">
        <f t="shared" si="17"/>
        <v>0</v>
      </c>
      <c r="R67" s="291">
        <f t="shared" si="17"/>
        <v>0</v>
      </c>
      <c r="S67" s="291">
        <f t="shared" si="17"/>
        <v>0</v>
      </c>
      <c r="T67" s="291">
        <f t="shared" si="17"/>
        <v>0</v>
      </c>
      <c r="U67" s="291">
        <f t="shared" si="17"/>
        <v>0</v>
      </c>
      <c r="V67" s="389">
        <f t="shared" si="17"/>
        <v>296288</v>
      </c>
      <c r="X67" s="259"/>
      <c r="Y67" s="282"/>
    </row>
    <row r="68" s="1" customFormat="1" spans="1:25">
      <c r="A68" s="103"/>
      <c r="B68" s="292"/>
      <c r="C68" s="293"/>
      <c r="D68" s="294"/>
      <c r="E68" s="295"/>
      <c r="F68" s="145"/>
      <c r="G68" s="146"/>
      <c r="H68" s="146"/>
      <c r="I68" s="146"/>
      <c r="J68" s="145"/>
      <c r="K68" s="215"/>
      <c r="L68" s="216"/>
      <c r="M68" s="146"/>
      <c r="N68" s="146"/>
      <c r="O68" s="145"/>
      <c r="P68" s="146"/>
      <c r="Q68" s="146"/>
      <c r="R68" s="146"/>
      <c r="S68" s="146"/>
      <c r="T68" s="146"/>
      <c r="U68" s="146"/>
      <c r="V68" s="390"/>
      <c r="X68" s="261"/>
      <c r="Y68" s="261"/>
    </row>
    <row r="69" s="3" customFormat="1" spans="1:25">
      <c r="A69" s="48" t="s">
        <v>191</v>
      </c>
      <c r="B69" s="150"/>
      <c r="C69" s="49"/>
      <c r="D69" s="50"/>
      <c r="E69" s="296">
        <v>250000</v>
      </c>
      <c r="F69" s="297" t="s">
        <v>187</v>
      </c>
      <c r="G69" s="89">
        <f t="shared" ref="G69:G76" si="18">SUM(H69:U69)</f>
        <v>100000</v>
      </c>
      <c r="H69" s="134"/>
      <c r="I69" s="134"/>
      <c r="J69" s="133"/>
      <c r="K69" s="206">
        <v>100000</v>
      </c>
      <c r="L69" s="208"/>
      <c r="M69" s="134"/>
      <c r="N69" s="60"/>
      <c r="O69" s="181"/>
      <c r="P69" s="195"/>
      <c r="Q69" s="60"/>
      <c r="R69" s="60"/>
      <c r="S69" s="60"/>
      <c r="T69" s="60"/>
      <c r="U69" s="209"/>
      <c r="V69" s="255">
        <f t="shared" ref="V69:V97" si="19">E69-G69</f>
        <v>150000</v>
      </c>
      <c r="X69" s="238"/>
      <c r="Y69" s="238"/>
    </row>
    <row r="70" s="3" customFormat="1" spans="1:25">
      <c r="A70" s="129"/>
      <c r="B70" s="130"/>
      <c r="C70" s="131"/>
      <c r="D70" s="132"/>
      <c r="E70" s="298"/>
      <c r="F70" s="299" t="s">
        <v>190</v>
      </c>
      <c r="G70" s="89">
        <f t="shared" si="18"/>
        <v>0</v>
      </c>
      <c r="H70" s="109"/>
      <c r="I70" s="109"/>
      <c r="J70" s="109"/>
      <c r="K70" s="56"/>
      <c r="L70" s="213"/>
      <c r="M70" s="196"/>
      <c r="N70" s="196"/>
      <c r="O70" s="109"/>
      <c r="P70" s="109"/>
      <c r="Q70" s="109"/>
      <c r="R70" s="109"/>
      <c r="S70" s="109"/>
      <c r="T70" s="196"/>
      <c r="U70" s="109"/>
      <c r="V70" s="255">
        <f t="shared" si="19"/>
        <v>0</v>
      </c>
      <c r="X70" s="238"/>
      <c r="Y70" s="238"/>
    </row>
    <row r="71" s="3" customFormat="1" spans="1:25">
      <c r="A71" s="129"/>
      <c r="B71" s="130"/>
      <c r="C71" s="131"/>
      <c r="D71" s="132"/>
      <c r="E71" s="298">
        <f>500000+200000+200000</f>
        <v>900000</v>
      </c>
      <c r="F71" s="63" t="s">
        <v>174</v>
      </c>
      <c r="G71" s="97">
        <f t="shared" si="18"/>
        <v>300000</v>
      </c>
      <c r="H71" s="61"/>
      <c r="I71" s="61"/>
      <c r="J71" s="61"/>
      <c r="K71" s="352">
        <v>300000</v>
      </c>
      <c r="L71" s="353"/>
      <c r="M71" s="152"/>
      <c r="N71" s="152"/>
      <c r="O71" s="61"/>
      <c r="P71" s="61"/>
      <c r="Q71" s="61"/>
      <c r="R71" s="61"/>
      <c r="S71" s="61"/>
      <c r="T71" s="152"/>
      <c r="U71" s="61"/>
      <c r="V71" s="255">
        <f t="shared" si="19"/>
        <v>600000</v>
      </c>
      <c r="X71" s="238"/>
      <c r="Y71" s="238"/>
    </row>
    <row r="72" s="3" customFormat="1" spans="1:25">
      <c r="A72" s="129"/>
      <c r="B72" s="130"/>
      <c r="C72" s="131"/>
      <c r="D72" s="132"/>
      <c r="E72" s="298">
        <f>100000+150000+150000</f>
        <v>400000</v>
      </c>
      <c r="F72" s="88" t="s">
        <v>188</v>
      </c>
      <c r="G72" s="300">
        <f t="shared" si="18"/>
        <v>200000</v>
      </c>
      <c r="H72" s="60"/>
      <c r="I72" s="61"/>
      <c r="J72" s="61"/>
      <c r="K72" s="352">
        <v>200000</v>
      </c>
      <c r="L72" s="353"/>
      <c r="M72" s="152"/>
      <c r="N72" s="152"/>
      <c r="O72" s="61"/>
      <c r="P72" s="61"/>
      <c r="Q72" s="61"/>
      <c r="R72" s="61"/>
      <c r="S72" s="61"/>
      <c r="T72" s="152"/>
      <c r="U72" s="61"/>
      <c r="V72" s="255">
        <f t="shared" si="19"/>
        <v>200000</v>
      </c>
      <c r="X72" s="238"/>
      <c r="Y72" s="238"/>
    </row>
    <row r="73" s="3" customFormat="1" spans="1:25">
      <c r="A73" s="129"/>
      <c r="B73" s="130"/>
      <c r="C73" s="131"/>
      <c r="D73" s="132"/>
      <c r="E73" s="296">
        <f>200000+33923.88</f>
        <v>233923.88</v>
      </c>
      <c r="F73" s="301" t="s">
        <v>178</v>
      </c>
      <c r="G73" s="97">
        <f t="shared" si="18"/>
        <v>0</v>
      </c>
      <c r="H73" s="134"/>
      <c r="I73" s="134"/>
      <c r="J73" s="133"/>
      <c r="K73" s="206"/>
      <c r="L73" s="208"/>
      <c r="M73" s="134"/>
      <c r="N73" s="60"/>
      <c r="O73" s="203"/>
      <c r="P73" s="195"/>
      <c r="Q73" s="60"/>
      <c r="R73" s="60"/>
      <c r="S73" s="60"/>
      <c r="T73" s="60"/>
      <c r="U73" s="60"/>
      <c r="V73" s="255">
        <f t="shared" si="19"/>
        <v>233923.88</v>
      </c>
      <c r="X73" s="238"/>
      <c r="Y73" s="238"/>
    </row>
    <row r="74" s="3" customFormat="1" spans="1:25">
      <c r="A74" s="90"/>
      <c r="B74" s="91"/>
      <c r="D74" s="57"/>
      <c r="E74" s="296">
        <f>200000+70000+96450</f>
        <v>366450</v>
      </c>
      <c r="F74" s="133" t="s">
        <v>179</v>
      </c>
      <c r="G74" s="89">
        <f t="shared" si="18"/>
        <v>200000</v>
      </c>
      <c r="H74" s="134"/>
      <c r="I74" s="134"/>
      <c r="J74" s="133"/>
      <c r="K74" s="206">
        <v>200000</v>
      </c>
      <c r="L74" s="208"/>
      <c r="M74" s="134"/>
      <c r="N74" s="60"/>
      <c r="O74" s="354"/>
      <c r="P74" s="195"/>
      <c r="Q74" s="60"/>
      <c r="R74" s="60"/>
      <c r="S74" s="60"/>
      <c r="T74" s="60"/>
      <c r="U74" s="60"/>
      <c r="V74" s="255">
        <f t="shared" si="19"/>
        <v>166450</v>
      </c>
      <c r="X74" s="238"/>
      <c r="Y74" s="238"/>
    </row>
    <row r="75" s="3" customFormat="1" spans="1:25">
      <c r="A75" s="90"/>
      <c r="B75" s="91"/>
      <c r="D75" s="57"/>
      <c r="E75" s="133">
        <f>300000+50000+50000</f>
        <v>400000</v>
      </c>
      <c r="F75" s="134" t="s">
        <v>180</v>
      </c>
      <c r="G75" s="89">
        <f t="shared" si="18"/>
        <v>364425.5</v>
      </c>
      <c r="H75" s="134"/>
      <c r="I75" s="134"/>
      <c r="J75" s="133"/>
      <c r="K75" s="206">
        <v>150000</v>
      </c>
      <c r="L75" s="208">
        <v>42774</v>
      </c>
      <c r="M75" s="134">
        <v>128877.5</v>
      </c>
      <c r="N75" s="60">
        <v>42774</v>
      </c>
      <c r="O75" s="354"/>
      <c r="P75" s="195"/>
      <c r="Q75" s="60"/>
      <c r="R75" s="60"/>
      <c r="S75" s="60"/>
      <c r="T75" s="60"/>
      <c r="U75" s="60"/>
      <c r="V75" s="255">
        <f t="shared" si="19"/>
        <v>35574.5</v>
      </c>
      <c r="X75" s="238"/>
      <c r="Y75" s="238"/>
    </row>
    <row r="76" s="3" customFormat="1" spans="1:25">
      <c r="A76" s="90"/>
      <c r="B76" s="91"/>
      <c r="D76" s="57"/>
      <c r="E76" s="135">
        <f>197545+50000</f>
        <v>247545</v>
      </c>
      <c r="F76" s="136" t="s">
        <v>184</v>
      </c>
      <c r="G76" s="97">
        <f t="shared" si="18"/>
        <v>197545</v>
      </c>
      <c r="H76" s="136"/>
      <c r="I76" s="136"/>
      <c r="J76" s="135"/>
      <c r="K76" s="270">
        <v>197545</v>
      </c>
      <c r="L76" s="214"/>
      <c r="M76" s="136"/>
      <c r="N76" s="65"/>
      <c r="O76" s="355"/>
      <c r="P76" s="197"/>
      <c r="Q76" s="196"/>
      <c r="R76" s="196"/>
      <c r="S76" s="196"/>
      <c r="T76" s="64"/>
      <c r="U76" s="196"/>
      <c r="V76" s="255">
        <f t="shared" si="19"/>
        <v>50000</v>
      </c>
      <c r="X76" s="238"/>
      <c r="Y76" s="238"/>
    </row>
    <row r="77" s="6" customFormat="1" ht="13.8" spans="1:25">
      <c r="A77" s="137"/>
      <c r="B77" s="138"/>
      <c r="C77" s="139"/>
      <c r="D77" s="140"/>
      <c r="E77" s="302">
        <f t="shared" ref="E77:U77" si="20">SUM(E69:E76)</f>
        <v>2797918.88</v>
      </c>
      <c r="F77" s="102">
        <f t="shared" si="20"/>
        <v>0</v>
      </c>
      <c r="G77" s="102">
        <f t="shared" si="20"/>
        <v>1361970.5</v>
      </c>
      <c r="H77" s="102">
        <f t="shared" si="20"/>
        <v>0</v>
      </c>
      <c r="I77" s="102">
        <f t="shared" si="20"/>
        <v>0</v>
      </c>
      <c r="J77" s="102">
        <f t="shared" si="20"/>
        <v>0</v>
      </c>
      <c r="K77" s="102">
        <f t="shared" si="20"/>
        <v>1147545</v>
      </c>
      <c r="L77" s="356">
        <f t="shared" si="20"/>
        <v>42774</v>
      </c>
      <c r="M77" s="102">
        <f t="shared" si="20"/>
        <v>128877.5</v>
      </c>
      <c r="N77" s="336">
        <f t="shared" si="20"/>
        <v>42774</v>
      </c>
      <c r="O77" s="102">
        <f t="shared" si="20"/>
        <v>0</v>
      </c>
      <c r="P77" s="102">
        <f t="shared" si="20"/>
        <v>0</v>
      </c>
      <c r="Q77" s="102">
        <f t="shared" si="20"/>
        <v>0</v>
      </c>
      <c r="R77" s="102">
        <f t="shared" si="20"/>
        <v>0</v>
      </c>
      <c r="S77" s="102">
        <f t="shared" si="20"/>
        <v>0</v>
      </c>
      <c r="T77" s="102">
        <f t="shared" si="20"/>
        <v>0</v>
      </c>
      <c r="U77" s="102">
        <f t="shared" si="20"/>
        <v>0</v>
      </c>
      <c r="V77" s="391">
        <f t="shared" si="19"/>
        <v>1435948.38</v>
      </c>
      <c r="X77" s="259"/>
      <c r="Y77" s="282"/>
    </row>
    <row r="78" s="1" customFormat="1" spans="1:25">
      <c r="A78" s="141"/>
      <c r="B78" s="142"/>
      <c r="C78" s="143"/>
      <c r="D78" s="144"/>
      <c r="E78" s="303"/>
      <c r="F78" s="304"/>
      <c r="G78" s="304"/>
      <c r="H78" s="304"/>
      <c r="I78" s="304"/>
      <c r="J78" s="303"/>
      <c r="K78" s="357"/>
      <c r="L78" s="358"/>
      <c r="M78" s="304"/>
      <c r="N78" s="358"/>
      <c r="O78" s="304"/>
      <c r="P78" s="304"/>
      <c r="Q78" s="304"/>
      <c r="R78" s="304"/>
      <c r="S78" s="304"/>
      <c r="T78" s="304"/>
      <c r="U78" s="304"/>
      <c r="V78" s="392"/>
      <c r="X78" s="261"/>
      <c r="Y78" s="261"/>
    </row>
    <row r="79" s="3" customFormat="1" spans="1:25">
      <c r="A79" s="48" t="s">
        <v>115</v>
      </c>
      <c r="B79" s="49"/>
      <c r="C79" s="49"/>
      <c r="D79" s="50"/>
      <c r="E79" s="135">
        <v>200000</v>
      </c>
      <c r="F79" s="136" t="s">
        <v>180</v>
      </c>
      <c r="G79" s="97">
        <f>SUM(H79:U79)</f>
        <v>100000</v>
      </c>
      <c r="H79" s="136"/>
      <c r="I79" s="136"/>
      <c r="J79" s="135"/>
      <c r="K79" s="270">
        <v>100000</v>
      </c>
      <c r="L79" s="214">
        <v>0</v>
      </c>
      <c r="M79" s="136">
        <v>0</v>
      </c>
      <c r="N79" s="214"/>
      <c r="O79" s="359">
        <v>0</v>
      </c>
      <c r="P79" s="197"/>
      <c r="Q79" s="196"/>
      <c r="R79" s="196"/>
      <c r="S79" s="196"/>
      <c r="T79" s="196"/>
      <c r="U79" s="196"/>
      <c r="V79" s="255">
        <f t="shared" si="19"/>
        <v>100000</v>
      </c>
      <c r="Y79" s="238"/>
    </row>
    <row r="80" s="3" customFormat="1" spans="1:25">
      <c r="A80" s="48"/>
      <c r="B80" s="49"/>
      <c r="C80" s="49"/>
      <c r="D80" s="50"/>
      <c r="E80" s="133">
        <v>150000</v>
      </c>
      <c r="F80" s="134" t="s">
        <v>179</v>
      </c>
      <c r="G80" s="89">
        <f t="shared" ref="G80:G83" si="21">SUM(H80:U80)</f>
        <v>50000</v>
      </c>
      <c r="H80" s="134"/>
      <c r="I80" s="134"/>
      <c r="J80" s="133"/>
      <c r="K80" s="206">
        <v>50000</v>
      </c>
      <c r="L80" s="208"/>
      <c r="M80" s="208"/>
      <c r="N80" s="208"/>
      <c r="O80" s="203"/>
      <c r="P80" s="195"/>
      <c r="Q80" s="60"/>
      <c r="R80" s="60"/>
      <c r="S80" s="60"/>
      <c r="T80" s="60"/>
      <c r="U80" s="60"/>
      <c r="V80" s="255">
        <f t="shared" si="19"/>
        <v>100000</v>
      </c>
      <c r="Y80" s="238"/>
    </row>
    <row r="81" s="3" customFormat="1" spans="1:25">
      <c r="A81" s="48"/>
      <c r="B81" s="49"/>
      <c r="C81" s="49"/>
      <c r="D81" s="50"/>
      <c r="E81" s="133">
        <v>400000</v>
      </c>
      <c r="F81" s="134" t="s">
        <v>190</v>
      </c>
      <c r="G81" s="89">
        <f t="shared" si="21"/>
        <v>0</v>
      </c>
      <c r="H81" s="134"/>
      <c r="I81" s="134"/>
      <c r="J81" s="133"/>
      <c r="K81" s="206"/>
      <c r="L81" s="208"/>
      <c r="M81" s="208"/>
      <c r="N81" s="208"/>
      <c r="O81" s="203"/>
      <c r="P81" s="195"/>
      <c r="Q81" s="60"/>
      <c r="R81" s="60"/>
      <c r="S81" s="60"/>
      <c r="T81" s="60"/>
      <c r="U81" s="60"/>
      <c r="V81" s="255">
        <f t="shared" si="19"/>
        <v>400000</v>
      </c>
      <c r="Y81" s="238"/>
    </row>
    <row r="82" s="3" customFormat="1" spans="1:25">
      <c r="A82" s="48"/>
      <c r="B82" s="49"/>
      <c r="C82" s="49"/>
      <c r="D82" s="50"/>
      <c r="E82" s="133">
        <v>400000</v>
      </c>
      <c r="F82" s="134" t="s">
        <v>190</v>
      </c>
      <c r="G82" s="89">
        <f t="shared" si="21"/>
        <v>201624</v>
      </c>
      <c r="H82" s="134"/>
      <c r="I82" s="134"/>
      <c r="J82" s="133"/>
      <c r="K82" s="206">
        <v>200000</v>
      </c>
      <c r="L82" s="208">
        <v>1624</v>
      </c>
      <c r="M82" s="208"/>
      <c r="N82" s="208"/>
      <c r="O82" s="203"/>
      <c r="P82" s="195"/>
      <c r="Q82" s="60"/>
      <c r="R82" s="60"/>
      <c r="S82" s="60"/>
      <c r="T82" s="60"/>
      <c r="U82" s="60"/>
      <c r="V82" s="255">
        <f t="shared" si="19"/>
        <v>198376</v>
      </c>
      <c r="Y82" s="238"/>
    </row>
    <row r="83" s="3" customFormat="1" spans="1:25">
      <c r="A83" s="48"/>
      <c r="B83" s="49"/>
      <c r="C83" s="49"/>
      <c r="D83" s="50"/>
      <c r="E83" s="305">
        <v>100000</v>
      </c>
      <c r="F83" s="306" t="s">
        <v>178</v>
      </c>
      <c r="G83" s="307">
        <f t="shared" si="21"/>
        <v>0</v>
      </c>
      <c r="H83" s="306"/>
      <c r="I83" s="306"/>
      <c r="J83" s="305"/>
      <c r="K83" s="360"/>
      <c r="L83" s="361"/>
      <c r="M83" s="361"/>
      <c r="N83" s="361"/>
      <c r="O83" s="362"/>
      <c r="P83" s="363"/>
      <c r="Q83" s="64"/>
      <c r="R83" s="64"/>
      <c r="S83" s="64"/>
      <c r="T83" s="64"/>
      <c r="U83" s="64"/>
      <c r="V83" s="277">
        <f t="shared" si="19"/>
        <v>100000</v>
      </c>
      <c r="Y83" s="238"/>
    </row>
    <row r="84" s="8" customFormat="1" ht="13.2" spans="1:25">
      <c r="A84" s="308"/>
      <c r="B84" s="309"/>
      <c r="C84" s="309"/>
      <c r="D84" s="310"/>
      <c r="E84" s="100">
        <f>SUM(E79:E83)</f>
        <v>1250000</v>
      </c>
      <c r="F84" s="102"/>
      <c r="G84" s="102">
        <f>SUM(G79:G83)</f>
        <v>351624</v>
      </c>
      <c r="H84" s="102">
        <f t="shared" ref="H84:V84" si="22">SUM(H79:H83)</f>
        <v>0</v>
      </c>
      <c r="I84" s="102">
        <f t="shared" si="22"/>
        <v>0</v>
      </c>
      <c r="J84" s="102">
        <f t="shared" si="22"/>
        <v>0</v>
      </c>
      <c r="K84" s="102">
        <f t="shared" si="22"/>
        <v>350000</v>
      </c>
      <c r="L84" s="102">
        <f t="shared" si="22"/>
        <v>1624</v>
      </c>
      <c r="M84" s="102">
        <f t="shared" si="22"/>
        <v>0</v>
      </c>
      <c r="N84" s="102">
        <f t="shared" si="22"/>
        <v>0</v>
      </c>
      <c r="O84" s="102">
        <f t="shared" si="22"/>
        <v>0</v>
      </c>
      <c r="P84" s="102">
        <f t="shared" si="22"/>
        <v>0</v>
      </c>
      <c r="Q84" s="102">
        <f t="shared" si="22"/>
        <v>0</v>
      </c>
      <c r="R84" s="102">
        <f t="shared" si="22"/>
        <v>0</v>
      </c>
      <c r="S84" s="102">
        <f t="shared" si="22"/>
        <v>0</v>
      </c>
      <c r="T84" s="102">
        <f t="shared" si="22"/>
        <v>0</v>
      </c>
      <c r="U84" s="102">
        <f t="shared" si="22"/>
        <v>0</v>
      </c>
      <c r="V84" s="102">
        <f t="shared" si="22"/>
        <v>898376</v>
      </c>
      <c r="Y84" s="281"/>
    </row>
    <row r="85" s="1" customFormat="1" spans="1:25">
      <c r="A85" s="78"/>
      <c r="B85" s="80"/>
      <c r="C85" s="80"/>
      <c r="D85" s="81"/>
      <c r="E85" s="311"/>
      <c r="F85" s="146"/>
      <c r="G85" s="312"/>
      <c r="H85" s="146"/>
      <c r="I85" s="146"/>
      <c r="J85" s="145"/>
      <c r="K85" s="215"/>
      <c r="L85" s="216"/>
      <c r="M85" s="216"/>
      <c r="N85" s="216"/>
      <c r="O85" s="364"/>
      <c r="P85" s="365"/>
      <c r="Q85" s="106"/>
      <c r="R85" s="106"/>
      <c r="S85" s="106"/>
      <c r="T85" s="106"/>
      <c r="U85" s="106"/>
      <c r="V85" s="393"/>
      <c r="Y85" s="261"/>
    </row>
    <row r="86" s="3" customFormat="1" spans="1:25">
      <c r="A86" s="48" t="s">
        <v>192</v>
      </c>
      <c r="B86" s="49"/>
      <c r="C86" s="49"/>
      <c r="D86" s="50"/>
      <c r="E86" s="133">
        <v>200000</v>
      </c>
      <c r="F86" s="134" t="s">
        <v>180</v>
      </c>
      <c r="G86" s="89">
        <f>SUM(H86:U86)</f>
        <v>133915</v>
      </c>
      <c r="H86" s="134">
        <v>0</v>
      </c>
      <c r="I86" s="134">
        <v>0</v>
      </c>
      <c r="J86" s="133">
        <v>0</v>
      </c>
      <c r="K86" s="206">
        <v>133915</v>
      </c>
      <c r="L86" s="208">
        <v>0</v>
      </c>
      <c r="M86" s="208">
        <v>0</v>
      </c>
      <c r="N86" s="208"/>
      <c r="O86" s="203"/>
      <c r="P86" s="195"/>
      <c r="Q86" s="60"/>
      <c r="R86" s="60"/>
      <c r="S86" s="152"/>
      <c r="T86" s="195"/>
      <c r="U86" s="60"/>
      <c r="V86" s="255">
        <f t="shared" si="19"/>
        <v>66085</v>
      </c>
      <c r="Y86" s="238"/>
    </row>
    <row r="87" s="3" customFormat="1" spans="1:25">
      <c r="A87" s="48"/>
      <c r="B87" s="49"/>
      <c r="C87" s="49"/>
      <c r="D87" s="50"/>
      <c r="E87" s="133">
        <v>467983.12</v>
      </c>
      <c r="F87" s="134" t="s">
        <v>184</v>
      </c>
      <c r="G87" s="89">
        <f t="shared" ref="G87:G89" si="23">SUM(H87:U87)</f>
        <v>351370</v>
      </c>
      <c r="H87" s="134"/>
      <c r="I87" s="134"/>
      <c r="J87" s="133"/>
      <c r="K87" s="206">
        <v>351370</v>
      </c>
      <c r="L87" s="208"/>
      <c r="M87" s="208"/>
      <c r="N87" s="208"/>
      <c r="O87" s="203"/>
      <c r="P87" s="195"/>
      <c r="Q87" s="60"/>
      <c r="R87" s="60"/>
      <c r="S87" s="60"/>
      <c r="T87" s="195"/>
      <c r="U87" s="60"/>
      <c r="V87" s="255">
        <f t="shared" si="19"/>
        <v>116613.12</v>
      </c>
      <c r="Y87" s="238"/>
    </row>
    <row r="88" s="3" customFormat="1" spans="1:25">
      <c r="A88" s="48"/>
      <c r="B88" s="49"/>
      <c r="C88" s="49"/>
      <c r="D88" s="50"/>
      <c r="E88" s="133">
        <v>150000</v>
      </c>
      <c r="F88" s="134" t="s">
        <v>179</v>
      </c>
      <c r="G88" s="89">
        <f t="shared" si="23"/>
        <v>126715</v>
      </c>
      <c r="H88" s="134"/>
      <c r="I88" s="134"/>
      <c r="J88" s="133"/>
      <c r="K88" s="206">
        <v>126715</v>
      </c>
      <c r="L88" s="208"/>
      <c r="M88" s="208"/>
      <c r="N88" s="208"/>
      <c r="O88" s="203"/>
      <c r="P88" s="195"/>
      <c r="Q88" s="60"/>
      <c r="R88" s="60"/>
      <c r="S88" s="60"/>
      <c r="T88" s="195"/>
      <c r="U88" s="60"/>
      <c r="V88" s="255">
        <f t="shared" si="19"/>
        <v>23285</v>
      </c>
      <c r="Y88" s="238"/>
    </row>
    <row r="89" s="3" customFormat="1" spans="1:25">
      <c r="A89" s="48"/>
      <c r="B89" s="49"/>
      <c r="C89" s="49"/>
      <c r="D89" s="50"/>
      <c r="E89" s="305">
        <v>200000</v>
      </c>
      <c r="F89" s="306" t="s">
        <v>178</v>
      </c>
      <c r="G89" s="307">
        <f t="shared" si="23"/>
        <v>0</v>
      </c>
      <c r="H89" s="306"/>
      <c r="I89" s="306"/>
      <c r="J89" s="305"/>
      <c r="K89" s="360"/>
      <c r="L89" s="361"/>
      <c r="M89" s="361"/>
      <c r="N89" s="361"/>
      <c r="O89" s="362"/>
      <c r="P89" s="363"/>
      <c r="Q89" s="64"/>
      <c r="R89" s="64"/>
      <c r="S89" s="64"/>
      <c r="T89" s="363"/>
      <c r="U89" s="64"/>
      <c r="V89" s="255">
        <f t="shared" si="19"/>
        <v>200000</v>
      </c>
      <c r="Y89" s="238"/>
    </row>
    <row r="90" s="8" customFormat="1" ht="13.2" spans="1:25">
      <c r="A90" s="308"/>
      <c r="B90" s="309"/>
      <c r="C90" s="309"/>
      <c r="D90" s="310"/>
      <c r="E90" s="100">
        <f>SUM(E86:E89)</f>
        <v>1017983.12</v>
      </c>
      <c r="F90" s="102"/>
      <c r="G90" s="102">
        <f>SUM(G86:G89)</f>
        <v>612000</v>
      </c>
      <c r="H90" s="102">
        <f t="shared" ref="H90:V90" si="24">SUM(H86:H89)</f>
        <v>0</v>
      </c>
      <c r="I90" s="102">
        <f t="shared" si="24"/>
        <v>0</v>
      </c>
      <c r="J90" s="102">
        <f t="shared" si="24"/>
        <v>0</v>
      </c>
      <c r="K90" s="102">
        <f t="shared" si="24"/>
        <v>612000</v>
      </c>
      <c r="L90" s="102">
        <f t="shared" si="24"/>
        <v>0</v>
      </c>
      <c r="M90" s="102">
        <f t="shared" si="24"/>
        <v>0</v>
      </c>
      <c r="N90" s="102">
        <f t="shared" si="24"/>
        <v>0</v>
      </c>
      <c r="O90" s="102">
        <f t="shared" si="24"/>
        <v>0</v>
      </c>
      <c r="P90" s="102">
        <f t="shared" si="24"/>
        <v>0</v>
      </c>
      <c r="Q90" s="102">
        <f t="shared" si="24"/>
        <v>0</v>
      </c>
      <c r="R90" s="102">
        <f t="shared" si="24"/>
        <v>0</v>
      </c>
      <c r="S90" s="102">
        <f t="shared" si="24"/>
        <v>0</v>
      </c>
      <c r="T90" s="102">
        <f t="shared" si="24"/>
        <v>0</v>
      </c>
      <c r="U90" s="102">
        <f t="shared" si="24"/>
        <v>0</v>
      </c>
      <c r="V90" s="102">
        <f t="shared" si="24"/>
        <v>405983.12</v>
      </c>
      <c r="Y90" s="281"/>
    </row>
    <row r="91" s="1" customFormat="1" spans="1:25">
      <c r="A91" s="78"/>
      <c r="B91" s="80"/>
      <c r="C91" s="80"/>
      <c r="D91" s="81"/>
      <c r="E91" s="311"/>
      <c r="F91" s="146"/>
      <c r="G91" s="106"/>
      <c r="H91" s="146"/>
      <c r="I91" s="146"/>
      <c r="J91" s="145"/>
      <c r="K91" s="215"/>
      <c r="L91" s="216"/>
      <c r="M91" s="216"/>
      <c r="N91" s="216"/>
      <c r="O91" s="364"/>
      <c r="P91" s="365"/>
      <c r="Q91" s="106"/>
      <c r="R91" s="106"/>
      <c r="S91" s="106"/>
      <c r="T91" s="365"/>
      <c r="U91" s="106"/>
      <c r="V91" s="393"/>
      <c r="Y91" s="261"/>
    </row>
    <row r="92" s="3" customFormat="1" spans="1:25">
      <c r="A92" s="48" t="s">
        <v>193</v>
      </c>
      <c r="B92" s="49"/>
      <c r="C92" s="49"/>
      <c r="D92" s="50"/>
      <c r="E92" s="133"/>
      <c r="F92" s="134" t="s">
        <v>180</v>
      </c>
      <c r="G92" s="60">
        <f>SUM(H92:U92)</f>
        <v>0</v>
      </c>
      <c r="H92" s="134"/>
      <c r="I92" s="134"/>
      <c r="J92" s="133"/>
      <c r="K92" s="206"/>
      <c r="L92" s="208">
        <v>0</v>
      </c>
      <c r="M92" s="208">
        <v>0</v>
      </c>
      <c r="N92" s="209"/>
      <c r="O92" s="203"/>
      <c r="P92" s="195"/>
      <c r="Q92" s="60"/>
      <c r="R92" s="60"/>
      <c r="S92" s="60"/>
      <c r="T92" s="195"/>
      <c r="U92" s="60"/>
      <c r="V92" s="255">
        <f>E92-G92</f>
        <v>0</v>
      </c>
      <c r="X92" s="238"/>
      <c r="Y92" s="238"/>
    </row>
    <row r="93" s="3" customFormat="1" spans="1:25">
      <c r="A93" s="48" t="s">
        <v>194</v>
      </c>
      <c r="B93" s="49"/>
      <c r="C93" s="49"/>
      <c r="D93" s="50"/>
      <c r="E93" s="133">
        <v>200000</v>
      </c>
      <c r="F93" s="136" t="s">
        <v>180</v>
      </c>
      <c r="G93" s="97">
        <f t="shared" ref="G93:G97" si="25">SUM(H93:U93)</f>
        <v>200000</v>
      </c>
      <c r="H93" s="134"/>
      <c r="I93" s="134"/>
      <c r="J93" s="133"/>
      <c r="K93" s="134">
        <v>200000</v>
      </c>
      <c r="L93" s="133"/>
      <c r="M93" s="133"/>
      <c r="N93" s="133"/>
      <c r="O93" s="354"/>
      <c r="P93" s="181"/>
      <c r="Q93" s="62"/>
      <c r="R93" s="62"/>
      <c r="S93" s="62"/>
      <c r="T93" s="181"/>
      <c r="U93" s="62"/>
      <c r="V93" s="239">
        <f t="shared" si="19"/>
        <v>0</v>
      </c>
      <c r="X93" s="238"/>
      <c r="Y93" s="238"/>
    </row>
    <row r="94" s="3" customFormat="1" spans="1:25">
      <c r="A94" s="129"/>
      <c r="B94" s="131"/>
      <c r="C94" s="131"/>
      <c r="D94" s="132"/>
      <c r="E94" s="135">
        <v>10800</v>
      </c>
      <c r="F94" s="153" t="s">
        <v>178</v>
      </c>
      <c r="G94" s="313">
        <f t="shared" si="25"/>
        <v>0</v>
      </c>
      <c r="H94" s="136"/>
      <c r="I94" s="136"/>
      <c r="J94" s="135"/>
      <c r="K94" s="136"/>
      <c r="L94" s="133"/>
      <c r="M94" s="133"/>
      <c r="N94" s="133"/>
      <c r="O94" s="354"/>
      <c r="P94" s="181"/>
      <c r="Q94" s="62"/>
      <c r="R94" s="62"/>
      <c r="S94" s="62"/>
      <c r="T94" s="181"/>
      <c r="U94" s="62"/>
      <c r="V94" s="394">
        <f t="shared" si="19"/>
        <v>10800</v>
      </c>
      <c r="X94" s="238"/>
      <c r="Y94" s="238"/>
    </row>
    <row r="95" s="3" customFormat="1" spans="1:25">
      <c r="A95" s="129"/>
      <c r="B95" s="131"/>
      <c r="C95" s="131"/>
      <c r="D95" s="132"/>
      <c r="E95" s="162">
        <v>360000</v>
      </c>
      <c r="F95" s="313" t="s">
        <v>188</v>
      </c>
      <c r="G95" s="300">
        <f t="shared" si="25"/>
        <v>100000</v>
      </c>
      <c r="H95" s="208"/>
      <c r="I95" s="134"/>
      <c r="J95" s="134"/>
      <c r="K95" s="134">
        <v>100000</v>
      </c>
      <c r="L95" s="133"/>
      <c r="M95" s="133"/>
      <c r="N95" s="133"/>
      <c r="O95" s="354"/>
      <c r="P95" s="181"/>
      <c r="Q95" s="62"/>
      <c r="R95" s="62"/>
      <c r="S95" s="62"/>
      <c r="T95" s="181"/>
      <c r="U95" s="62"/>
      <c r="V95" s="394">
        <f t="shared" si="19"/>
        <v>260000</v>
      </c>
      <c r="X95" s="238"/>
      <c r="Y95" s="238"/>
    </row>
    <row r="96" s="3" customFormat="1" spans="1:25">
      <c r="A96" s="129"/>
      <c r="B96" s="131"/>
      <c r="C96" s="131"/>
      <c r="D96" s="132"/>
      <c r="E96" s="162">
        <v>150000</v>
      </c>
      <c r="F96" s="160" t="s">
        <v>174</v>
      </c>
      <c r="G96" s="89">
        <f t="shared" si="25"/>
        <v>50000</v>
      </c>
      <c r="H96" s="134"/>
      <c r="I96" s="134"/>
      <c r="J96" s="134"/>
      <c r="K96" s="134">
        <v>50000</v>
      </c>
      <c r="L96" s="133"/>
      <c r="M96" s="133"/>
      <c r="N96" s="133"/>
      <c r="O96" s="354"/>
      <c r="P96" s="181"/>
      <c r="Q96" s="62"/>
      <c r="R96" s="62"/>
      <c r="S96" s="62"/>
      <c r="T96" s="181"/>
      <c r="U96" s="62"/>
      <c r="V96" s="394">
        <f t="shared" si="19"/>
        <v>100000</v>
      </c>
      <c r="X96" s="238"/>
      <c r="Y96" s="238"/>
    </row>
    <row r="97" s="3" customFormat="1" spans="1:25">
      <c r="A97" s="129"/>
      <c r="B97" s="131"/>
      <c r="C97" s="131"/>
      <c r="D97" s="132"/>
      <c r="E97" s="284">
        <v>11000</v>
      </c>
      <c r="F97" s="314" t="s">
        <v>179</v>
      </c>
      <c r="G97" s="97">
        <f t="shared" si="25"/>
        <v>7200</v>
      </c>
      <c r="H97" s="314"/>
      <c r="I97" s="314"/>
      <c r="J97" s="301"/>
      <c r="K97" s="306">
        <v>7200</v>
      </c>
      <c r="L97" s="284">
        <v>0</v>
      </c>
      <c r="M97" s="206">
        <v>0</v>
      </c>
      <c r="N97" s="209"/>
      <c r="O97" s="366"/>
      <c r="P97" s="185"/>
      <c r="Q97" s="182"/>
      <c r="R97" s="182"/>
      <c r="S97" s="182"/>
      <c r="T97" s="185"/>
      <c r="U97" s="182"/>
      <c r="V97" s="394">
        <f t="shared" si="19"/>
        <v>3800</v>
      </c>
      <c r="X97" s="238"/>
      <c r="Y97" s="238"/>
    </row>
    <row r="98" s="6" customFormat="1" ht="13.8" spans="1:25">
      <c r="A98" s="137"/>
      <c r="B98" s="139"/>
      <c r="C98" s="139"/>
      <c r="D98" s="140"/>
      <c r="E98" s="100">
        <f t="shared" ref="E98:V98" si="26">SUM(E93:E97)</f>
        <v>731800</v>
      </c>
      <c r="F98" s="102">
        <f t="shared" si="26"/>
        <v>0</v>
      </c>
      <c r="G98" s="102">
        <f t="shared" si="26"/>
        <v>357200</v>
      </c>
      <c r="H98" s="102">
        <f t="shared" si="26"/>
        <v>0</v>
      </c>
      <c r="I98" s="102">
        <f t="shared" si="26"/>
        <v>0</v>
      </c>
      <c r="J98" s="102">
        <f t="shared" si="26"/>
        <v>0</v>
      </c>
      <c r="K98" s="102">
        <f t="shared" si="26"/>
        <v>357200</v>
      </c>
      <c r="L98" s="102">
        <f t="shared" si="26"/>
        <v>0</v>
      </c>
      <c r="M98" s="102">
        <f t="shared" si="26"/>
        <v>0</v>
      </c>
      <c r="N98" s="102">
        <f t="shared" si="26"/>
        <v>0</v>
      </c>
      <c r="O98" s="102">
        <f t="shared" si="26"/>
        <v>0</v>
      </c>
      <c r="P98" s="102">
        <f t="shared" si="26"/>
        <v>0</v>
      </c>
      <c r="Q98" s="102">
        <f t="shared" si="26"/>
        <v>0</v>
      </c>
      <c r="R98" s="102">
        <f t="shared" si="26"/>
        <v>0</v>
      </c>
      <c r="S98" s="102">
        <f t="shared" si="26"/>
        <v>0</v>
      </c>
      <c r="T98" s="102">
        <f t="shared" si="26"/>
        <v>0</v>
      </c>
      <c r="U98" s="102">
        <f t="shared" si="26"/>
        <v>0</v>
      </c>
      <c r="V98" s="266">
        <f t="shared" si="26"/>
        <v>374600</v>
      </c>
      <c r="X98" s="259"/>
      <c r="Y98" s="282"/>
    </row>
    <row r="99" s="1" customFormat="1" spans="1:25">
      <c r="A99" s="141"/>
      <c r="B99" s="143"/>
      <c r="C99" s="143"/>
      <c r="D99" s="144"/>
      <c r="E99" s="145"/>
      <c r="F99" s="145"/>
      <c r="G99" s="146"/>
      <c r="H99" s="146"/>
      <c r="I99" s="146"/>
      <c r="J99" s="145"/>
      <c r="K99" s="146"/>
      <c r="L99" s="215"/>
      <c r="M99" s="216"/>
      <c r="N99" s="216"/>
      <c r="O99" s="146"/>
      <c r="P99" s="146"/>
      <c r="Q99" s="146"/>
      <c r="R99" s="146"/>
      <c r="S99" s="146"/>
      <c r="T99" s="146"/>
      <c r="U99" s="146"/>
      <c r="V99" s="267"/>
      <c r="X99" s="261"/>
      <c r="Y99" s="261"/>
    </row>
    <row r="100" s="3" customFormat="1" spans="1:25">
      <c r="A100" s="48" t="s">
        <v>195</v>
      </c>
      <c r="B100" s="315"/>
      <c r="C100" s="315"/>
      <c r="D100" s="316"/>
      <c r="E100" s="62"/>
      <c r="F100" s="317" t="s">
        <v>180</v>
      </c>
      <c r="G100" s="60">
        <f>SUM(H100:U100)</f>
        <v>0</v>
      </c>
      <c r="H100" s="134"/>
      <c r="I100" s="134"/>
      <c r="J100" s="133"/>
      <c r="K100" s="134"/>
      <c r="L100" s="206"/>
      <c r="M100" s="208"/>
      <c r="N100" s="208"/>
      <c r="O100" s="134"/>
      <c r="P100" s="60"/>
      <c r="Q100" s="60"/>
      <c r="R100" s="60"/>
      <c r="S100" s="60"/>
      <c r="T100" s="60"/>
      <c r="U100" s="60"/>
      <c r="V100" s="255">
        <f>E100-G100</f>
        <v>0</v>
      </c>
      <c r="X100" s="238"/>
      <c r="Y100" s="238"/>
    </row>
    <row r="101" s="1" customFormat="1" spans="1:25">
      <c r="A101" s="318"/>
      <c r="D101" s="35"/>
      <c r="E101" s="56"/>
      <c r="F101" s="56"/>
      <c r="G101" s="270"/>
      <c r="H101" s="270"/>
      <c r="I101" s="270"/>
      <c r="J101" s="270"/>
      <c r="K101" s="270"/>
      <c r="L101" s="270"/>
      <c r="M101" s="270"/>
      <c r="N101" s="270"/>
      <c r="O101" s="270"/>
      <c r="P101" s="56"/>
      <c r="Q101" s="56"/>
      <c r="R101" s="56"/>
      <c r="S101" s="56"/>
      <c r="T101" s="56"/>
      <c r="U101" s="56"/>
      <c r="V101" s="395"/>
      <c r="X101" s="225"/>
      <c r="Y101" s="238"/>
    </row>
    <row r="102" s="1" customFormat="1" spans="1:25">
      <c r="A102" s="318"/>
      <c r="D102" s="35"/>
      <c r="E102" s="56"/>
      <c r="F102" s="56"/>
      <c r="G102" s="270"/>
      <c r="H102" s="270"/>
      <c r="I102" s="270"/>
      <c r="J102" s="270"/>
      <c r="K102" s="270"/>
      <c r="L102" s="270"/>
      <c r="M102" s="270"/>
      <c r="N102" s="270"/>
      <c r="O102" s="270"/>
      <c r="P102" s="56"/>
      <c r="Q102" s="56"/>
      <c r="R102" s="56"/>
      <c r="S102" s="56"/>
      <c r="T102" s="56"/>
      <c r="U102" s="56"/>
      <c r="V102" s="395"/>
      <c r="X102" s="225"/>
      <c r="Y102" s="238"/>
    </row>
    <row r="103" s="1" customFormat="1" ht="17.25" customHeight="1" spans="1:25">
      <c r="A103" s="17" t="s">
        <v>0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222"/>
      <c r="R103" s="222"/>
      <c r="S103" s="222"/>
      <c r="T103" s="222"/>
      <c r="X103" s="225"/>
      <c r="Y103" s="238"/>
    </row>
    <row r="104" s="1" customFormat="1" ht="17.25" customHeight="1" spans="1:25">
      <c r="A104" s="17" t="s">
        <v>91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222"/>
      <c r="R104" s="222"/>
      <c r="S104" s="222"/>
      <c r="T104" s="222"/>
      <c r="X104" s="225"/>
      <c r="Y104" s="238"/>
    </row>
    <row r="105" s="1" customFormat="1" ht="17.25" customHeight="1" spans="1:25">
      <c r="A105" s="17" t="s">
        <v>166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222"/>
      <c r="R105" s="222"/>
      <c r="S105" s="222"/>
      <c r="T105" s="222"/>
      <c r="V105" s="223"/>
      <c r="X105" s="225"/>
      <c r="Y105" s="238"/>
    </row>
    <row r="106" s="1" customFormat="1" ht="17.25" customHeight="1" spans="1:25">
      <c r="A106" s="17" t="s">
        <v>2</v>
      </c>
      <c r="B106" s="17"/>
      <c r="C106" s="17"/>
      <c r="D106" s="319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222"/>
      <c r="R106" s="222"/>
      <c r="S106" s="222"/>
      <c r="T106" s="222"/>
      <c r="V106" s="223" t="s">
        <v>196</v>
      </c>
      <c r="X106" s="225"/>
      <c r="Y106" s="238"/>
    </row>
    <row r="107" s="1" customFormat="1" ht="17.25" customHeight="1" spans="1:25">
      <c r="A107" s="17" t="s">
        <v>3</v>
      </c>
      <c r="B107" s="17"/>
      <c r="C107" s="17"/>
      <c r="D107" s="319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222"/>
      <c r="R107" s="222"/>
      <c r="S107" s="222"/>
      <c r="T107" s="222"/>
      <c r="X107" s="225"/>
      <c r="Y107" s="238"/>
    </row>
    <row r="108" s="1" customFormat="1" ht="17.25" customHeight="1" spans="1:25">
      <c r="A108" s="18"/>
      <c r="B108" s="19"/>
      <c r="C108" s="19"/>
      <c r="D108" s="20"/>
      <c r="E108" s="21" t="s">
        <v>5</v>
      </c>
      <c r="F108" s="22"/>
      <c r="G108" s="23"/>
      <c r="H108" s="24" t="s">
        <v>6</v>
      </c>
      <c r="I108" s="165"/>
      <c r="J108" s="165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224"/>
      <c r="X108" s="225"/>
      <c r="Y108" s="238"/>
    </row>
    <row r="109" s="1" customFormat="1" ht="17.25" customHeight="1" spans="1:25">
      <c r="A109" s="25"/>
      <c r="B109" s="6"/>
      <c r="C109" s="6"/>
      <c r="D109" s="26"/>
      <c r="E109" s="27" t="s">
        <v>7</v>
      </c>
      <c r="F109" s="28"/>
      <c r="G109" s="28" t="s">
        <v>8</v>
      </c>
      <c r="H109" s="29" t="s">
        <v>9</v>
      </c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226"/>
      <c r="X109" s="225"/>
      <c r="Y109" s="238"/>
    </row>
    <row r="110" s="1" customFormat="1" ht="17.25" customHeight="1" spans="1:25">
      <c r="A110" s="30" t="s">
        <v>168</v>
      </c>
      <c r="B110" s="31"/>
      <c r="C110" s="31"/>
      <c r="D110" s="31"/>
      <c r="E110" s="320" t="s">
        <v>12</v>
      </c>
      <c r="F110" s="28" t="s">
        <v>169</v>
      </c>
      <c r="G110" s="28" t="s">
        <v>13</v>
      </c>
      <c r="H110" s="28"/>
      <c r="I110" s="28"/>
      <c r="J110" s="27"/>
      <c r="K110" s="167" t="s">
        <v>170</v>
      </c>
      <c r="L110" s="168"/>
      <c r="M110" s="168"/>
      <c r="N110" s="169"/>
      <c r="O110" s="170"/>
      <c r="P110" s="28"/>
      <c r="Q110" s="28"/>
      <c r="R110" s="28"/>
      <c r="S110" s="28" t="s">
        <v>14</v>
      </c>
      <c r="T110" s="227"/>
      <c r="U110" s="167"/>
      <c r="V110" s="228"/>
      <c r="X110" s="225"/>
      <c r="Y110" s="238"/>
    </row>
    <row r="111" s="1" customFormat="1" ht="17.25" customHeight="1" spans="1:25">
      <c r="A111" s="34"/>
      <c r="D111" s="35"/>
      <c r="E111" s="27" t="s">
        <v>16</v>
      </c>
      <c r="F111" s="28"/>
      <c r="G111" s="28" t="s">
        <v>17</v>
      </c>
      <c r="H111" s="28" t="s">
        <v>18</v>
      </c>
      <c r="I111" s="28" t="s">
        <v>19</v>
      </c>
      <c r="J111" s="27" t="s">
        <v>20</v>
      </c>
      <c r="K111" s="28"/>
      <c r="L111" s="169" t="s">
        <v>21</v>
      </c>
      <c r="M111" s="169" t="s">
        <v>22</v>
      </c>
      <c r="N111" s="367" t="s">
        <v>23</v>
      </c>
      <c r="O111" s="169" t="s">
        <v>197</v>
      </c>
      <c r="P111" s="169" t="s">
        <v>25</v>
      </c>
      <c r="Q111" s="169" t="s">
        <v>172</v>
      </c>
      <c r="R111" s="169" t="s">
        <v>27</v>
      </c>
      <c r="S111" s="169" t="s">
        <v>76</v>
      </c>
      <c r="T111" s="169" t="s">
        <v>28</v>
      </c>
      <c r="U111" s="169" t="s">
        <v>29</v>
      </c>
      <c r="V111" s="228" t="s">
        <v>30</v>
      </c>
      <c r="X111" s="225"/>
      <c r="Y111" s="238"/>
    </row>
    <row r="112" s="1" customFormat="1" ht="15.15" spans="1:25">
      <c r="A112" s="37"/>
      <c r="B112" s="38"/>
      <c r="C112" s="38"/>
      <c r="D112" s="39"/>
      <c r="E112" s="40" t="s">
        <v>31</v>
      </c>
      <c r="F112" s="41"/>
      <c r="G112" s="42"/>
      <c r="H112" s="42"/>
      <c r="I112" s="42"/>
      <c r="J112" s="368"/>
      <c r="K112" s="173"/>
      <c r="L112" s="42"/>
      <c r="M112" s="42"/>
      <c r="N112" s="174"/>
      <c r="O112" s="175"/>
      <c r="P112" s="176"/>
      <c r="Q112" s="230"/>
      <c r="R112" s="396"/>
      <c r="S112" s="230"/>
      <c r="T112" s="231"/>
      <c r="U112" s="232"/>
      <c r="V112" s="233"/>
      <c r="X112" s="225"/>
      <c r="Y112" s="238"/>
    </row>
    <row r="113" s="3" customFormat="1" ht="15.15" spans="1:25">
      <c r="A113" s="48" t="s">
        <v>198</v>
      </c>
      <c r="B113" s="49"/>
      <c r="C113" s="49"/>
      <c r="D113" s="50"/>
      <c r="E113" s="62"/>
      <c r="F113" s="317" t="s">
        <v>180</v>
      </c>
      <c r="G113" s="53">
        <f>SUM(H113:U113)</f>
        <v>0</v>
      </c>
      <c r="H113" s="314"/>
      <c r="I113" s="314"/>
      <c r="J113" s="301"/>
      <c r="K113" s="369"/>
      <c r="L113" s="370"/>
      <c r="M113" s="371"/>
      <c r="N113" s="372"/>
      <c r="O113" s="373"/>
      <c r="P113" s="373"/>
      <c r="Q113" s="314"/>
      <c r="R113" s="314"/>
      <c r="S113" s="314"/>
      <c r="T113" s="314"/>
      <c r="U113" s="314"/>
      <c r="V113" s="255">
        <f t="shared" ref="V113:V114" si="27">E113-G113</f>
        <v>0</v>
      </c>
      <c r="X113" s="238"/>
      <c r="Y113" s="238"/>
    </row>
    <row r="114" s="1" customFormat="1" ht="13.8" spans="1:25">
      <c r="A114" s="78"/>
      <c r="B114" s="80"/>
      <c r="C114" s="80"/>
      <c r="D114" s="81"/>
      <c r="E114" s="217"/>
      <c r="F114" s="321" t="s">
        <v>179</v>
      </c>
      <c r="G114" s="77">
        <f>SUM(H114:U114)</f>
        <v>0</v>
      </c>
      <c r="H114" s="76"/>
      <c r="I114" s="344"/>
      <c r="J114" s="344"/>
      <c r="L114" s="77"/>
      <c r="M114" s="344"/>
      <c r="N114" s="76"/>
      <c r="O114" s="76"/>
      <c r="P114" s="344"/>
      <c r="Q114" s="344"/>
      <c r="R114" s="76"/>
      <c r="S114" s="344"/>
      <c r="T114" s="76"/>
      <c r="U114" s="76"/>
      <c r="V114" s="250">
        <f t="shared" si="27"/>
        <v>0</v>
      </c>
      <c r="X114" s="225"/>
      <c r="Y114" s="238"/>
    </row>
    <row r="115" s="1" customFormat="1" ht="13.8" spans="1:25">
      <c r="A115" s="78"/>
      <c r="B115" s="80"/>
      <c r="C115" s="80"/>
      <c r="D115" s="81"/>
      <c r="E115" s="322">
        <f>SUM(E113:E114)</f>
        <v>0</v>
      </c>
      <c r="F115" s="323">
        <f t="shared" ref="F115:V115" si="28">SUM(F113:F114)</f>
        <v>0</v>
      </c>
      <c r="G115" s="323">
        <f t="shared" si="28"/>
        <v>0</v>
      </c>
      <c r="H115" s="323">
        <f t="shared" si="28"/>
        <v>0</v>
      </c>
      <c r="I115" s="323">
        <f t="shared" si="28"/>
        <v>0</v>
      </c>
      <c r="J115" s="323">
        <f t="shared" si="28"/>
        <v>0</v>
      </c>
      <c r="K115" s="323">
        <f t="shared" si="28"/>
        <v>0</v>
      </c>
      <c r="L115" s="323">
        <f t="shared" si="28"/>
        <v>0</v>
      </c>
      <c r="M115" s="323">
        <f t="shared" si="28"/>
        <v>0</v>
      </c>
      <c r="N115" s="323">
        <f t="shared" si="28"/>
        <v>0</v>
      </c>
      <c r="O115" s="323">
        <f t="shared" si="28"/>
        <v>0</v>
      </c>
      <c r="P115" s="323">
        <f t="shared" si="28"/>
        <v>0</v>
      </c>
      <c r="Q115" s="323">
        <f t="shared" si="28"/>
        <v>0</v>
      </c>
      <c r="R115" s="323">
        <f t="shared" si="28"/>
        <v>0</v>
      </c>
      <c r="S115" s="323">
        <f t="shared" si="28"/>
        <v>0</v>
      </c>
      <c r="T115" s="323">
        <f t="shared" si="28"/>
        <v>0</v>
      </c>
      <c r="U115" s="323">
        <f t="shared" si="28"/>
        <v>0</v>
      </c>
      <c r="V115" s="397">
        <f t="shared" si="28"/>
        <v>0</v>
      </c>
      <c r="X115" s="225"/>
      <c r="Y115" s="238"/>
    </row>
    <row r="116" s="1" customFormat="1" ht="13.8" spans="1:25">
      <c r="A116" s="78"/>
      <c r="B116" s="80"/>
      <c r="C116" s="80"/>
      <c r="D116" s="81"/>
      <c r="E116" s="124"/>
      <c r="F116" s="324"/>
      <c r="G116" s="325"/>
      <c r="H116" s="125"/>
      <c r="I116" s="125"/>
      <c r="J116" s="202"/>
      <c r="K116" s="374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392"/>
      <c r="X116" s="261"/>
      <c r="Y116" s="261"/>
    </row>
    <row r="117" s="1" customFormat="1" spans="1:25">
      <c r="A117" s="78" t="s">
        <v>94</v>
      </c>
      <c r="B117" s="80"/>
      <c r="C117" s="80"/>
      <c r="D117" s="81"/>
      <c r="E117" s="326">
        <v>50000</v>
      </c>
      <c r="F117" s="198" t="s">
        <v>199</v>
      </c>
      <c r="G117" s="82">
        <f>SUM(H117:U117)</f>
        <v>10000</v>
      </c>
      <c r="H117" s="126"/>
      <c r="I117" s="111"/>
      <c r="J117" s="126"/>
      <c r="K117" s="375">
        <v>10000</v>
      </c>
      <c r="L117" s="111"/>
      <c r="M117" s="111"/>
      <c r="N117" s="111"/>
      <c r="O117" s="200"/>
      <c r="P117" s="200"/>
      <c r="Q117" s="111"/>
      <c r="R117" s="111"/>
      <c r="S117" s="111"/>
      <c r="T117" s="111"/>
      <c r="U117" s="111"/>
      <c r="V117" s="264">
        <f t="shared" ref="V117:V120" si="29">E117-G117</f>
        <v>40000</v>
      </c>
      <c r="X117" s="225"/>
      <c r="Y117" s="238"/>
    </row>
    <row r="118" s="3" customFormat="1" spans="1:25">
      <c r="A118" s="48"/>
      <c r="B118" s="49"/>
      <c r="C118" s="49"/>
      <c r="D118" s="50"/>
      <c r="E118" s="327"/>
      <c r="F118" s="135" t="s">
        <v>177</v>
      </c>
      <c r="G118" s="88">
        <f>SUM(H118:U118)</f>
        <v>0</v>
      </c>
      <c r="H118" s="62"/>
      <c r="I118" s="317"/>
      <c r="J118" s="317"/>
      <c r="K118" s="49"/>
      <c r="L118" s="254"/>
      <c r="M118" s="60"/>
      <c r="N118" s="60"/>
      <c r="O118" s="62"/>
      <c r="P118" s="62"/>
      <c r="Q118" s="317"/>
      <c r="R118" s="62"/>
      <c r="S118" s="62"/>
      <c r="T118" s="62"/>
      <c r="U118" s="62"/>
      <c r="V118" s="255">
        <f t="shared" si="29"/>
        <v>0</v>
      </c>
      <c r="X118" s="238"/>
      <c r="Y118" s="238"/>
    </row>
    <row r="119" s="3" customFormat="1" ht="13.8" spans="1:25">
      <c r="A119" s="48"/>
      <c r="B119" s="49"/>
      <c r="C119" s="49"/>
      <c r="D119" s="50"/>
      <c r="E119" s="328">
        <v>50000</v>
      </c>
      <c r="F119" s="317" t="s">
        <v>178</v>
      </c>
      <c r="G119" s="95">
        <f>SUM(H119:U119)</f>
        <v>49900</v>
      </c>
      <c r="H119" s="62"/>
      <c r="I119" s="62"/>
      <c r="J119" s="62"/>
      <c r="K119" s="376">
        <v>49900</v>
      </c>
      <c r="L119" s="60"/>
      <c r="M119" s="62"/>
      <c r="N119" s="62"/>
      <c r="O119" s="317"/>
      <c r="P119" s="62"/>
      <c r="Q119" s="317"/>
      <c r="R119" s="62"/>
      <c r="S119" s="62"/>
      <c r="T119" s="62"/>
      <c r="U119" s="317"/>
      <c r="V119" s="255">
        <f t="shared" si="29"/>
        <v>100</v>
      </c>
      <c r="X119" s="238"/>
      <c r="Y119" s="56"/>
    </row>
    <row r="120" s="1" customFormat="1" ht="13.8" spans="1:25">
      <c r="A120" s="78"/>
      <c r="B120" s="80"/>
      <c r="C120" s="80"/>
      <c r="D120" s="81"/>
      <c r="E120" s="329"/>
      <c r="F120" s="330" t="s">
        <v>179</v>
      </c>
      <c r="G120" s="331">
        <f>SUM(H120:U120)</f>
        <v>0</v>
      </c>
      <c r="H120" s="332"/>
      <c r="I120" s="217"/>
      <c r="J120" s="217"/>
      <c r="K120" s="377"/>
      <c r="L120" s="164"/>
      <c r="M120" s="378"/>
      <c r="N120" s="217"/>
      <c r="O120" s="378"/>
      <c r="P120" s="378"/>
      <c r="Q120" s="378"/>
      <c r="R120" s="217"/>
      <c r="S120" s="217"/>
      <c r="T120" s="378"/>
      <c r="U120" s="378"/>
      <c r="V120" s="250">
        <f t="shared" si="29"/>
        <v>0</v>
      </c>
      <c r="X120" s="225"/>
      <c r="Y120" s="398"/>
    </row>
    <row r="121" s="6" customFormat="1" ht="13.8" spans="1:25">
      <c r="A121" s="333"/>
      <c r="B121" s="334"/>
      <c r="C121" s="334"/>
      <c r="D121" s="335"/>
      <c r="E121" s="302">
        <f>SUM(E117:E120)</f>
        <v>100000</v>
      </c>
      <c r="F121" s="101">
        <f t="shared" ref="F121:U121" si="30">SUM(F118:F120)</f>
        <v>0</v>
      </c>
      <c r="G121" s="336">
        <f>SUM(G117:G120)</f>
        <v>59900</v>
      </c>
      <c r="H121" s="101">
        <f t="shared" si="30"/>
        <v>0</v>
      </c>
      <c r="I121" s="101">
        <f t="shared" si="30"/>
        <v>0</v>
      </c>
      <c r="J121" s="101">
        <f t="shared" si="30"/>
        <v>0</v>
      </c>
      <c r="K121" s="102">
        <f>SUM(K117:K120)</f>
        <v>59900</v>
      </c>
      <c r="L121" s="101">
        <f t="shared" si="30"/>
        <v>0</v>
      </c>
      <c r="M121" s="101">
        <f t="shared" si="30"/>
        <v>0</v>
      </c>
      <c r="N121" s="101">
        <f t="shared" si="30"/>
        <v>0</v>
      </c>
      <c r="O121" s="101">
        <f t="shared" si="30"/>
        <v>0</v>
      </c>
      <c r="P121" s="101">
        <f t="shared" si="30"/>
        <v>0</v>
      </c>
      <c r="Q121" s="101">
        <f t="shared" si="30"/>
        <v>0</v>
      </c>
      <c r="R121" s="101">
        <f t="shared" si="30"/>
        <v>0</v>
      </c>
      <c r="S121" s="101">
        <f t="shared" si="30"/>
        <v>0</v>
      </c>
      <c r="T121" s="101">
        <f t="shared" si="30"/>
        <v>0</v>
      </c>
      <c r="U121" s="101">
        <f t="shared" si="30"/>
        <v>0</v>
      </c>
      <c r="V121" s="391">
        <f>SUM(V117:V120)</f>
        <v>40100</v>
      </c>
      <c r="X121" s="259"/>
      <c r="Y121" s="282"/>
    </row>
    <row r="122" s="1" customFormat="1" ht="13.8" spans="1:25">
      <c r="A122" s="78"/>
      <c r="B122" s="80"/>
      <c r="C122" s="80"/>
      <c r="D122" s="81"/>
      <c r="E122" s="337"/>
      <c r="F122" s="338"/>
      <c r="G122" s="338"/>
      <c r="H122" s="338"/>
      <c r="I122" s="338"/>
      <c r="J122" s="337"/>
      <c r="K122" s="379"/>
      <c r="L122" s="338"/>
      <c r="M122" s="380"/>
      <c r="N122" s="380"/>
      <c r="O122" s="338"/>
      <c r="P122" s="338"/>
      <c r="Q122" s="338"/>
      <c r="R122" s="338"/>
      <c r="S122" s="338"/>
      <c r="T122" s="338"/>
      <c r="U122" s="338"/>
      <c r="V122" s="392"/>
      <c r="X122" s="261"/>
      <c r="Y122" s="261"/>
    </row>
    <row r="123" s="1" customFormat="1" ht="13.8" spans="1:25">
      <c r="A123" s="78"/>
      <c r="B123" s="80"/>
      <c r="C123" s="80"/>
      <c r="D123" s="81"/>
      <c r="E123" s="339"/>
      <c r="F123" s="339"/>
      <c r="G123" s="340"/>
      <c r="H123" s="340"/>
      <c r="I123" s="340"/>
      <c r="J123" s="339"/>
      <c r="K123" s="381"/>
      <c r="L123" s="340"/>
      <c r="M123" s="382"/>
      <c r="N123" s="382"/>
      <c r="O123" s="340"/>
      <c r="P123" s="340"/>
      <c r="Q123" s="340"/>
      <c r="R123" s="340"/>
      <c r="S123" s="340"/>
      <c r="T123" s="340"/>
      <c r="U123" s="340"/>
      <c r="V123" s="262"/>
      <c r="X123" s="261"/>
      <c r="Y123" s="261"/>
    </row>
    <row r="124" s="1" customFormat="1" spans="1:25">
      <c r="A124" s="78" t="s">
        <v>200</v>
      </c>
      <c r="B124" s="80"/>
      <c r="C124" s="80"/>
      <c r="D124" s="81"/>
      <c r="E124" s="341"/>
      <c r="F124" s="342" t="s">
        <v>180</v>
      </c>
      <c r="G124" s="149">
        <f>SUM(H124:U124)</f>
        <v>0</v>
      </c>
      <c r="H124" s="149"/>
      <c r="I124" s="148"/>
      <c r="J124" s="147"/>
      <c r="K124" s="268"/>
      <c r="L124" s="148"/>
      <c r="M124" s="383"/>
      <c r="N124" s="384"/>
      <c r="O124" s="385"/>
      <c r="P124" s="385"/>
      <c r="Q124" s="149"/>
      <c r="R124" s="149"/>
      <c r="S124" s="148"/>
      <c r="T124" s="148"/>
      <c r="U124" s="148"/>
      <c r="V124" s="250">
        <f>E124-G124</f>
        <v>0</v>
      </c>
      <c r="X124" s="261"/>
      <c r="Y124" s="261"/>
    </row>
    <row r="125" s="1" customFormat="1" spans="1:25">
      <c r="A125" s="78"/>
      <c r="B125" s="80"/>
      <c r="C125" s="80"/>
      <c r="D125" s="81"/>
      <c r="E125" s="343"/>
      <c r="F125" s="344" t="s">
        <v>179</v>
      </c>
      <c r="G125" s="64">
        <f t="shared" ref="G125" si="31">SUM(H125:U125)</f>
        <v>0</v>
      </c>
      <c r="H125" s="306"/>
      <c r="I125" s="306"/>
      <c r="J125" s="305"/>
      <c r="K125" s="360"/>
      <c r="L125" s="306"/>
      <c r="M125" s="361"/>
      <c r="N125" s="386"/>
      <c r="O125" s="363"/>
      <c r="P125" s="363"/>
      <c r="Q125" s="64"/>
      <c r="R125" s="64"/>
      <c r="S125" s="64"/>
      <c r="T125" s="306"/>
      <c r="U125" s="306"/>
      <c r="V125" s="264">
        <f t="shared" ref="V125" si="32">E125-G125</f>
        <v>0</v>
      </c>
      <c r="Y125" s="238"/>
    </row>
    <row r="126" s="1" customFormat="1" ht="13.8" spans="1:25">
      <c r="A126" s="78"/>
      <c r="B126" s="80"/>
      <c r="C126" s="80"/>
      <c r="D126" s="81"/>
      <c r="E126" s="345">
        <f>SUM(E124:E125)</f>
        <v>0</v>
      </c>
      <c r="F126" s="346">
        <f ca="1" t="shared" ref="F126:U126" si="33">SUM(F124:F126)</f>
        <v>0</v>
      </c>
      <c r="G126" s="346">
        <f ca="1" t="shared" si="33"/>
        <v>0</v>
      </c>
      <c r="H126" s="346">
        <f ca="1" t="shared" si="33"/>
        <v>0</v>
      </c>
      <c r="I126" s="346">
        <f ca="1" t="shared" si="33"/>
        <v>0</v>
      </c>
      <c r="J126" s="346">
        <f ca="1" t="shared" si="33"/>
        <v>0</v>
      </c>
      <c r="K126" s="346">
        <f ca="1" t="shared" si="33"/>
        <v>0</v>
      </c>
      <c r="L126" s="346">
        <f ca="1" t="shared" si="33"/>
        <v>0</v>
      </c>
      <c r="M126" s="346">
        <f ca="1" t="shared" si="33"/>
        <v>0</v>
      </c>
      <c r="N126" s="346">
        <f ca="1" t="shared" si="33"/>
        <v>0</v>
      </c>
      <c r="O126" s="346">
        <f ca="1" t="shared" si="33"/>
        <v>0</v>
      </c>
      <c r="P126" s="346">
        <f ca="1" t="shared" si="33"/>
        <v>0</v>
      </c>
      <c r="Q126" s="346">
        <f ca="1" t="shared" si="33"/>
        <v>0</v>
      </c>
      <c r="R126" s="346">
        <f ca="1" t="shared" si="33"/>
        <v>0</v>
      </c>
      <c r="S126" s="346">
        <f ca="1" t="shared" si="33"/>
        <v>0</v>
      </c>
      <c r="T126" s="346">
        <f ca="1" t="shared" si="33"/>
        <v>0</v>
      </c>
      <c r="U126" s="346">
        <f ca="1" t="shared" si="33"/>
        <v>0</v>
      </c>
      <c r="V126" s="397">
        <f>SUM(V124:V125)</f>
        <v>0</v>
      </c>
      <c r="X126" s="261"/>
      <c r="Y126" s="261"/>
    </row>
    <row r="127" s="1" customFormat="1" ht="13.8" spans="1:25">
      <c r="A127" s="78"/>
      <c r="B127" s="80"/>
      <c r="C127" s="80"/>
      <c r="D127" s="81"/>
      <c r="E127" s="105"/>
      <c r="F127" s="339"/>
      <c r="G127" s="106"/>
      <c r="H127" s="106"/>
      <c r="I127" s="106"/>
      <c r="J127" s="105"/>
      <c r="K127" s="387"/>
      <c r="L127" s="106"/>
      <c r="M127" s="260"/>
      <c r="N127" s="260"/>
      <c r="O127" s="106"/>
      <c r="P127" s="106"/>
      <c r="Q127" s="106"/>
      <c r="R127" s="106"/>
      <c r="S127" s="106"/>
      <c r="T127" s="106"/>
      <c r="U127" s="106"/>
      <c r="V127" s="393"/>
      <c r="X127" s="261"/>
      <c r="Y127" s="261"/>
    </row>
    <row r="128" s="1" customFormat="1" spans="1:25">
      <c r="A128" s="78" t="s">
        <v>201</v>
      </c>
      <c r="B128" s="80"/>
      <c r="C128" s="80"/>
      <c r="D128" s="81"/>
      <c r="E128" s="347"/>
      <c r="F128" s="251" t="s">
        <v>178</v>
      </c>
      <c r="G128" s="149">
        <f>SUM(H128:U128)</f>
        <v>0</v>
      </c>
      <c r="H128" s="149"/>
      <c r="I128" s="148"/>
      <c r="J128" s="147"/>
      <c r="K128" s="268"/>
      <c r="L128" s="148"/>
      <c r="M128" s="383"/>
      <c r="N128" s="384"/>
      <c r="O128" s="385"/>
      <c r="P128" s="385"/>
      <c r="Q128" s="149"/>
      <c r="R128" s="149"/>
      <c r="S128" s="148"/>
      <c r="T128" s="148"/>
      <c r="U128" s="148"/>
      <c r="V128" s="250">
        <f>E128-G128</f>
        <v>0</v>
      </c>
      <c r="X128" s="261"/>
      <c r="Y128" s="261"/>
    </row>
    <row r="129" s="1" customFormat="1" spans="1:25">
      <c r="A129" s="78"/>
      <c r="B129" s="80"/>
      <c r="C129" s="80"/>
      <c r="D129" s="81"/>
      <c r="E129" s="343"/>
      <c r="F129" s="344" t="s">
        <v>179</v>
      </c>
      <c r="G129" s="64">
        <f t="shared" ref="G129" si="34">SUM(H129:U129)</f>
        <v>0</v>
      </c>
      <c r="H129" s="306"/>
      <c r="I129" s="306"/>
      <c r="J129" s="305"/>
      <c r="K129" s="360"/>
      <c r="L129" s="306"/>
      <c r="M129" s="361"/>
      <c r="N129" s="386"/>
      <c r="O129" s="363"/>
      <c r="P129" s="363"/>
      <c r="Q129" s="64"/>
      <c r="R129" s="64"/>
      <c r="S129" s="64"/>
      <c r="T129" s="306"/>
      <c r="U129" s="306"/>
      <c r="V129" s="264">
        <f t="shared" ref="V129" si="35">E129-G129</f>
        <v>0</v>
      </c>
      <c r="Y129" s="238"/>
    </row>
    <row r="130" s="1" customFormat="1" ht="13.8" spans="1:25">
      <c r="A130" s="78"/>
      <c r="B130" s="80"/>
      <c r="C130" s="80"/>
      <c r="D130" s="81"/>
      <c r="E130" s="345">
        <f>SUM(E128:E129)</f>
        <v>0</v>
      </c>
      <c r="F130" s="346">
        <f ca="1" t="shared" ref="F130:U130" si="36">SUM(F128:F130)</f>
        <v>0</v>
      </c>
      <c r="G130" s="346">
        <f ca="1" t="shared" si="36"/>
        <v>0</v>
      </c>
      <c r="H130" s="346">
        <f ca="1" t="shared" si="36"/>
        <v>0</v>
      </c>
      <c r="I130" s="346">
        <f ca="1" t="shared" si="36"/>
        <v>0</v>
      </c>
      <c r="J130" s="346">
        <f ca="1" t="shared" si="36"/>
        <v>0</v>
      </c>
      <c r="K130" s="346">
        <f ca="1" t="shared" si="36"/>
        <v>0</v>
      </c>
      <c r="L130" s="346">
        <f ca="1" t="shared" si="36"/>
        <v>0</v>
      </c>
      <c r="M130" s="346">
        <f ca="1" t="shared" si="36"/>
        <v>0</v>
      </c>
      <c r="N130" s="346">
        <f ca="1" t="shared" si="36"/>
        <v>0</v>
      </c>
      <c r="O130" s="346">
        <f ca="1" t="shared" si="36"/>
        <v>0</v>
      </c>
      <c r="P130" s="346">
        <f ca="1" t="shared" si="36"/>
        <v>0</v>
      </c>
      <c r="Q130" s="346">
        <f ca="1" t="shared" si="36"/>
        <v>0</v>
      </c>
      <c r="R130" s="346">
        <f ca="1" t="shared" si="36"/>
        <v>0</v>
      </c>
      <c r="S130" s="346">
        <f ca="1" t="shared" si="36"/>
        <v>0</v>
      </c>
      <c r="T130" s="346">
        <f ca="1" t="shared" si="36"/>
        <v>0</v>
      </c>
      <c r="U130" s="346">
        <f ca="1" t="shared" si="36"/>
        <v>0</v>
      </c>
      <c r="V130" s="397">
        <f>SUM(V128:V129)</f>
        <v>0</v>
      </c>
      <c r="X130" s="225"/>
      <c r="Y130" s="238"/>
    </row>
    <row r="131" s="1" customFormat="1" ht="13.8" spans="1:25">
      <c r="A131" s="78"/>
      <c r="B131" s="80"/>
      <c r="C131" s="80"/>
      <c r="D131" s="81"/>
      <c r="E131" s="105"/>
      <c r="F131" s="106"/>
      <c r="G131" s="106"/>
      <c r="H131" s="106"/>
      <c r="I131" s="106"/>
      <c r="J131" s="105"/>
      <c r="K131" s="387"/>
      <c r="L131" s="106"/>
      <c r="M131" s="260"/>
      <c r="N131" s="260"/>
      <c r="O131" s="106"/>
      <c r="P131" s="106"/>
      <c r="Q131" s="106"/>
      <c r="R131" s="106"/>
      <c r="S131" s="106"/>
      <c r="T131" s="106"/>
      <c r="U131" s="106"/>
      <c r="V131" s="393"/>
      <c r="X131" s="261"/>
      <c r="Y131" s="261"/>
    </row>
    <row r="132" s="3" customFormat="1" spans="1:25">
      <c r="A132" s="48" t="s">
        <v>129</v>
      </c>
      <c r="B132" s="49"/>
      <c r="C132" s="49"/>
      <c r="D132" s="50"/>
      <c r="E132" s="62"/>
      <c r="F132" s="133" t="s">
        <v>180</v>
      </c>
      <c r="G132" s="60">
        <f>SUM(H132:U132)</f>
        <v>0</v>
      </c>
      <c r="H132" s="60"/>
      <c r="I132" s="134"/>
      <c r="J132" s="133"/>
      <c r="K132" s="206"/>
      <c r="L132" s="134"/>
      <c r="M132" s="208">
        <v>0</v>
      </c>
      <c r="N132" s="209"/>
      <c r="O132" s="195"/>
      <c r="P132" s="195"/>
      <c r="Q132" s="60"/>
      <c r="R132" s="60"/>
      <c r="S132" s="134"/>
      <c r="T132" s="134"/>
      <c r="U132" s="134"/>
      <c r="V132" s="255">
        <f>E132-G132</f>
        <v>0</v>
      </c>
      <c r="Y132" s="238"/>
    </row>
    <row r="133" s="3" customFormat="1" spans="1:25">
      <c r="A133" s="48"/>
      <c r="B133" s="49"/>
      <c r="C133" s="49"/>
      <c r="D133" s="50"/>
      <c r="E133" s="88">
        <v>200000</v>
      </c>
      <c r="F133" s="314" t="s">
        <v>190</v>
      </c>
      <c r="G133" s="93">
        <f t="shared" ref="G133:G134" si="37">SUM(H133:U133)</f>
        <v>200000</v>
      </c>
      <c r="H133" s="399"/>
      <c r="I133" s="314"/>
      <c r="J133" s="301"/>
      <c r="K133" s="369">
        <v>200000</v>
      </c>
      <c r="L133" s="314"/>
      <c r="M133" s="371"/>
      <c r="N133" s="372"/>
      <c r="O133" s="447"/>
      <c r="P133" s="447"/>
      <c r="Q133" s="399"/>
      <c r="R133" s="399"/>
      <c r="S133" s="314"/>
      <c r="T133" s="314"/>
      <c r="U133" s="314"/>
      <c r="V133" s="255">
        <f t="shared" ref="V133:V134" si="38">E133-G133</f>
        <v>0</v>
      </c>
      <c r="Y133" s="238"/>
    </row>
    <row r="134" s="3" customFormat="1" spans="1:25">
      <c r="A134" s="48"/>
      <c r="B134" s="49"/>
      <c r="C134" s="49"/>
      <c r="D134" s="50"/>
      <c r="E134" s="95">
        <v>600000</v>
      </c>
      <c r="F134" s="97" t="s">
        <v>184</v>
      </c>
      <c r="G134" s="196">
        <f t="shared" si="37"/>
        <v>0</v>
      </c>
      <c r="H134" s="196"/>
      <c r="I134" s="136"/>
      <c r="J134" s="135"/>
      <c r="K134" s="270"/>
      <c r="L134" s="136"/>
      <c r="M134" s="214"/>
      <c r="N134" s="213"/>
      <c r="O134" s="197"/>
      <c r="P134" s="197"/>
      <c r="Q134" s="196"/>
      <c r="R134" s="196"/>
      <c r="S134" s="136"/>
      <c r="T134" s="136"/>
      <c r="U134" s="153"/>
      <c r="V134" s="255">
        <f t="shared" si="38"/>
        <v>600000</v>
      </c>
      <c r="Y134" s="238"/>
    </row>
    <row r="135" s="9" customFormat="1" ht="13.8" spans="1:25">
      <c r="A135" s="400"/>
      <c r="B135" s="401"/>
      <c r="C135" s="401"/>
      <c r="D135" s="402"/>
      <c r="E135" s="100">
        <f>E132+E133+E134</f>
        <v>800000</v>
      </c>
      <c r="F135" s="403"/>
      <c r="G135" s="404">
        <f>G132+G133+G134</f>
        <v>200000</v>
      </c>
      <c r="H135" s="405">
        <f t="shared" ref="H135:V135" si="39">H132+H133+H134</f>
        <v>0</v>
      </c>
      <c r="I135" s="102">
        <f t="shared" si="39"/>
        <v>0</v>
      </c>
      <c r="J135" s="102">
        <f t="shared" si="39"/>
        <v>0</v>
      </c>
      <c r="K135" s="102">
        <f t="shared" si="39"/>
        <v>200000</v>
      </c>
      <c r="L135" s="448">
        <f t="shared" si="39"/>
        <v>0</v>
      </c>
      <c r="M135" s="449">
        <f t="shared" si="39"/>
        <v>0</v>
      </c>
      <c r="N135" s="449">
        <f t="shared" si="39"/>
        <v>0</v>
      </c>
      <c r="O135" s="449">
        <f t="shared" si="39"/>
        <v>0</v>
      </c>
      <c r="P135" s="449">
        <f t="shared" si="39"/>
        <v>0</v>
      </c>
      <c r="Q135" s="449">
        <f t="shared" si="39"/>
        <v>0</v>
      </c>
      <c r="R135" s="449">
        <f t="shared" si="39"/>
        <v>0</v>
      </c>
      <c r="S135" s="449">
        <f t="shared" si="39"/>
        <v>0</v>
      </c>
      <c r="T135" s="449">
        <f t="shared" si="39"/>
        <v>0</v>
      </c>
      <c r="U135" s="475">
        <f t="shared" si="39"/>
        <v>0</v>
      </c>
      <c r="V135" s="476">
        <f t="shared" si="39"/>
        <v>600000</v>
      </c>
      <c r="Y135" s="282"/>
    </row>
    <row r="136" s="3" customFormat="1" spans="1:25">
      <c r="A136" s="48"/>
      <c r="B136" s="49"/>
      <c r="C136" s="49"/>
      <c r="D136" s="50"/>
      <c r="E136" s="109"/>
      <c r="F136" s="97"/>
      <c r="G136" s="196"/>
      <c r="H136" s="196"/>
      <c r="I136" s="136"/>
      <c r="J136" s="135"/>
      <c r="K136" s="270"/>
      <c r="L136" s="136"/>
      <c r="M136" s="214"/>
      <c r="N136" s="213"/>
      <c r="O136" s="197"/>
      <c r="P136" s="197"/>
      <c r="Q136" s="196"/>
      <c r="R136" s="196"/>
      <c r="S136" s="136"/>
      <c r="T136" s="136"/>
      <c r="U136" s="314"/>
      <c r="V136" s="477"/>
      <c r="Y136" s="238"/>
    </row>
    <row r="137" s="3" customFormat="1" spans="1:25">
      <c r="A137" s="48" t="s">
        <v>202</v>
      </c>
      <c r="B137" s="49"/>
      <c r="C137" s="49"/>
      <c r="D137" s="50"/>
      <c r="E137" s="88">
        <v>978597.04</v>
      </c>
      <c r="F137" s="89" t="s">
        <v>180</v>
      </c>
      <c r="G137" s="89">
        <f>SUM(H137:U137)</f>
        <v>200000</v>
      </c>
      <c r="H137" s="60"/>
      <c r="I137" s="134"/>
      <c r="J137" s="133"/>
      <c r="K137" s="206">
        <v>200000</v>
      </c>
      <c r="L137" s="134"/>
      <c r="M137" s="208"/>
      <c r="N137" s="209"/>
      <c r="O137" s="195"/>
      <c r="P137" s="195"/>
      <c r="Q137" s="60"/>
      <c r="R137" s="60"/>
      <c r="S137" s="60"/>
      <c r="T137" s="134"/>
      <c r="U137" s="134"/>
      <c r="V137" s="394">
        <f>E137-G137</f>
        <v>778597.04</v>
      </c>
      <c r="Y137" s="238"/>
    </row>
    <row r="138" s="3" customFormat="1" spans="1:25">
      <c r="A138" s="48"/>
      <c r="B138" s="49"/>
      <c r="C138" s="49"/>
      <c r="D138" s="50"/>
      <c r="E138" s="109"/>
      <c r="F138" s="136" t="s">
        <v>187</v>
      </c>
      <c r="G138" s="196">
        <f>SUM(H138:U138)</f>
        <v>0</v>
      </c>
      <c r="H138" s="136"/>
      <c r="I138" s="136"/>
      <c r="J138" s="135"/>
      <c r="K138" s="270"/>
      <c r="L138" s="136"/>
      <c r="M138" s="214"/>
      <c r="N138" s="213"/>
      <c r="O138" s="197"/>
      <c r="P138" s="197"/>
      <c r="Q138" s="196"/>
      <c r="R138" s="196"/>
      <c r="S138" s="196"/>
      <c r="T138" s="136"/>
      <c r="U138" s="136"/>
      <c r="V138" s="394">
        <f t="shared" ref="V138:V140" si="40">E138-G138</f>
        <v>0</v>
      </c>
      <c r="Y138" s="238"/>
    </row>
    <row r="139" s="3" customFormat="1" spans="1:25">
      <c r="A139" s="48"/>
      <c r="B139" s="49"/>
      <c r="C139" s="49"/>
      <c r="D139" s="50"/>
      <c r="E139" s="62"/>
      <c r="F139" s="134" t="s">
        <v>190</v>
      </c>
      <c r="G139" s="60">
        <f t="shared" ref="G139:G140" si="41">SUM(H139:U139)</f>
        <v>0</v>
      </c>
      <c r="H139" s="134"/>
      <c r="I139" s="134"/>
      <c r="J139" s="133"/>
      <c r="K139" s="206"/>
      <c r="L139" s="134"/>
      <c r="M139" s="208"/>
      <c r="N139" s="209"/>
      <c r="O139" s="195"/>
      <c r="P139" s="195"/>
      <c r="Q139" s="60"/>
      <c r="R139" s="60"/>
      <c r="S139" s="60"/>
      <c r="T139" s="134"/>
      <c r="U139" s="134"/>
      <c r="V139" s="394">
        <f t="shared" si="40"/>
        <v>0</v>
      </c>
      <c r="Y139" s="238"/>
    </row>
    <row r="140" s="3" customFormat="1" spans="1:25">
      <c r="A140" s="48"/>
      <c r="B140" s="49"/>
      <c r="C140" s="49"/>
      <c r="D140" s="50"/>
      <c r="E140" s="343"/>
      <c r="F140" s="306" t="s">
        <v>179</v>
      </c>
      <c r="G140" s="64">
        <f t="shared" si="41"/>
        <v>0</v>
      </c>
      <c r="H140" s="306"/>
      <c r="I140" s="306"/>
      <c r="J140" s="305"/>
      <c r="K140" s="360"/>
      <c r="L140" s="306"/>
      <c r="M140" s="361"/>
      <c r="N140" s="386"/>
      <c r="O140" s="363"/>
      <c r="P140" s="363"/>
      <c r="Q140" s="64"/>
      <c r="R140" s="64"/>
      <c r="S140" s="64"/>
      <c r="T140" s="306"/>
      <c r="U140" s="306"/>
      <c r="V140" s="394">
        <f t="shared" si="40"/>
        <v>0</v>
      </c>
      <c r="Y140" s="238"/>
    </row>
    <row r="141" s="6" customFormat="1" ht="13.8" spans="1:25">
      <c r="A141" s="333"/>
      <c r="B141" s="334"/>
      <c r="C141" s="334"/>
      <c r="D141" s="335"/>
      <c r="E141" s="100">
        <f>SUM(E137:E140)</f>
        <v>978597.04</v>
      </c>
      <c r="F141" s="102">
        <f t="shared" ref="F141:V141" si="42">SUM(F137:F140)</f>
        <v>0</v>
      </c>
      <c r="G141" s="102">
        <f t="shared" si="42"/>
        <v>200000</v>
      </c>
      <c r="H141" s="101">
        <f t="shared" si="42"/>
        <v>0</v>
      </c>
      <c r="I141" s="101">
        <f t="shared" si="42"/>
        <v>0</v>
      </c>
      <c r="J141" s="101">
        <f t="shared" si="42"/>
        <v>0</v>
      </c>
      <c r="K141" s="101">
        <f t="shared" si="42"/>
        <v>200000</v>
      </c>
      <c r="L141" s="101">
        <f t="shared" si="42"/>
        <v>0</v>
      </c>
      <c r="M141" s="101">
        <f t="shared" si="42"/>
        <v>0</v>
      </c>
      <c r="N141" s="101">
        <f t="shared" si="42"/>
        <v>0</v>
      </c>
      <c r="O141" s="101">
        <f t="shared" si="42"/>
        <v>0</v>
      </c>
      <c r="P141" s="101">
        <f t="shared" si="42"/>
        <v>0</v>
      </c>
      <c r="Q141" s="101">
        <f t="shared" si="42"/>
        <v>0</v>
      </c>
      <c r="R141" s="101">
        <f t="shared" si="42"/>
        <v>0</v>
      </c>
      <c r="S141" s="101">
        <f t="shared" si="42"/>
        <v>0</v>
      </c>
      <c r="T141" s="101">
        <f t="shared" si="42"/>
        <v>0</v>
      </c>
      <c r="U141" s="101">
        <f t="shared" si="42"/>
        <v>0</v>
      </c>
      <c r="V141" s="478">
        <f t="shared" si="42"/>
        <v>778597.04</v>
      </c>
      <c r="Y141" s="282"/>
    </row>
    <row r="142" s="1" customFormat="1" ht="13.8" spans="1:25">
      <c r="A142" s="78"/>
      <c r="B142" s="80"/>
      <c r="C142" s="80"/>
      <c r="D142" s="81"/>
      <c r="E142" s="105"/>
      <c r="F142" s="106"/>
      <c r="G142" s="106"/>
      <c r="H142" s="106"/>
      <c r="I142" s="106"/>
      <c r="J142" s="106"/>
      <c r="K142" s="260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479"/>
      <c r="Y142" s="261"/>
    </row>
    <row r="143" s="3" customFormat="1" spans="1:25">
      <c r="A143" s="406" t="s">
        <v>203</v>
      </c>
      <c r="B143" s="407"/>
      <c r="C143" s="407"/>
      <c r="D143" s="408"/>
      <c r="E143" s="62"/>
      <c r="F143" s="134" t="s">
        <v>184</v>
      </c>
      <c r="G143" s="60">
        <f>SUM(H143:U143)</f>
        <v>0</v>
      </c>
      <c r="H143" s="60"/>
      <c r="I143" s="60"/>
      <c r="J143" s="60"/>
      <c r="K143" s="209"/>
      <c r="L143" s="60">
        <v>0</v>
      </c>
      <c r="M143" s="60"/>
      <c r="N143" s="60"/>
      <c r="O143" s="60"/>
      <c r="P143" s="60"/>
      <c r="Q143" s="60"/>
      <c r="R143" s="60"/>
      <c r="S143" s="60"/>
      <c r="T143" s="60"/>
      <c r="U143" s="60"/>
      <c r="V143" s="480">
        <f>E143-G143</f>
        <v>0</v>
      </c>
      <c r="Y143" s="238"/>
    </row>
    <row r="144" s="3" customFormat="1" spans="1:25">
      <c r="A144" s="406" t="s">
        <v>204</v>
      </c>
      <c r="B144" s="407"/>
      <c r="C144" s="407"/>
      <c r="D144" s="407"/>
      <c r="E144" s="409"/>
      <c r="F144" s="136" t="s">
        <v>190</v>
      </c>
      <c r="G144" s="196">
        <f>SUM(H144:U144)</f>
        <v>0</v>
      </c>
      <c r="H144" s="196"/>
      <c r="I144" s="196"/>
      <c r="J144" s="109"/>
      <c r="K144" s="56"/>
      <c r="L144" s="196"/>
      <c r="M144" s="213"/>
      <c r="N144" s="213"/>
      <c r="O144" s="196"/>
      <c r="P144" s="196"/>
      <c r="Q144" s="196"/>
      <c r="R144" s="196"/>
      <c r="S144" s="197"/>
      <c r="T144" s="196"/>
      <c r="U144" s="196"/>
      <c r="V144" s="239">
        <f t="shared" ref="V144:V147" si="43">E144-G144</f>
        <v>0</v>
      </c>
      <c r="Y144" s="238"/>
    </row>
    <row r="145" s="3" customFormat="1" spans="1:25">
      <c r="A145" s="406"/>
      <c r="B145" s="407"/>
      <c r="C145" s="407"/>
      <c r="D145" s="408"/>
      <c r="E145" s="62"/>
      <c r="F145" s="134" t="s">
        <v>187</v>
      </c>
      <c r="G145" s="60">
        <f>SUM(H145:U145)</f>
        <v>0</v>
      </c>
      <c r="H145" s="60"/>
      <c r="I145" s="60"/>
      <c r="J145" s="62"/>
      <c r="K145" s="207"/>
      <c r="L145" s="60"/>
      <c r="M145" s="209"/>
      <c r="N145" s="209"/>
      <c r="O145" s="60"/>
      <c r="P145" s="60"/>
      <c r="Q145" s="60"/>
      <c r="R145" s="60"/>
      <c r="S145" s="195"/>
      <c r="T145" s="60"/>
      <c r="U145" s="60"/>
      <c r="V145" s="394">
        <f t="shared" si="43"/>
        <v>0</v>
      </c>
      <c r="Y145" s="238"/>
    </row>
    <row r="146" s="3" customFormat="1" spans="1:25">
      <c r="A146" s="406"/>
      <c r="B146" s="407"/>
      <c r="C146" s="407"/>
      <c r="D146" s="408"/>
      <c r="E146" s="410"/>
      <c r="F146" s="314" t="s">
        <v>180</v>
      </c>
      <c r="G146" s="399">
        <f>SUM(H146:U146)</f>
        <v>0</v>
      </c>
      <c r="H146" s="399"/>
      <c r="I146" s="399"/>
      <c r="J146" s="410"/>
      <c r="K146" s="450"/>
      <c r="L146" s="399"/>
      <c r="M146" s="372"/>
      <c r="N146" s="372"/>
      <c r="O146" s="399"/>
      <c r="P146" s="399"/>
      <c r="Q146" s="399"/>
      <c r="R146" s="399"/>
      <c r="S146" s="481"/>
      <c r="T146" s="399"/>
      <c r="U146" s="399"/>
      <c r="V146" s="394">
        <f t="shared" si="43"/>
        <v>0</v>
      </c>
      <c r="Y146" s="238"/>
    </row>
    <row r="147" s="3" customFormat="1" spans="1:25">
      <c r="A147" s="406"/>
      <c r="B147" s="407"/>
      <c r="C147" s="407"/>
      <c r="D147" s="408"/>
      <c r="E147" s="343"/>
      <c r="F147" s="306" t="s">
        <v>184</v>
      </c>
      <c r="G147" s="64">
        <f>SUM(H147:U147)</f>
        <v>0</v>
      </c>
      <c r="H147" s="64"/>
      <c r="I147" s="64"/>
      <c r="J147" s="343"/>
      <c r="K147" s="398"/>
      <c r="L147" s="64"/>
      <c r="M147" s="386"/>
      <c r="N147" s="386"/>
      <c r="O147" s="64"/>
      <c r="P147" s="64"/>
      <c r="Q147" s="64"/>
      <c r="R147" s="64"/>
      <c r="S147" s="363"/>
      <c r="T147" s="64"/>
      <c r="U147" s="64"/>
      <c r="V147" s="255">
        <f t="shared" si="43"/>
        <v>0</v>
      </c>
      <c r="Y147" s="238"/>
    </row>
    <row r="148" s="6" customFormat="1" ht="13.8" spans="1:25">
      <c r="A148" s="411"/>
      <c r="B148" s="412"/>
      <c r="C148" s="412"/>
      <c r="D148" s="413"/>
      <c r="E148" s="414">
        <f>SUM(E144:E147)</f>
        <v>0</v>
      </c>
      <c r="F148" s="101">
        <f t="shared" ref="F148:V148" si="44">SUM(F144:F147)</f>
        <v>0</v>
      </c>
      <c r="G148" s="101">
        <f t="shared" si="44"/>
        <v>0</v>
      </c>
      <c r="H148" s="101">
        <f t="shared" si="44"/>
        <v>0</v>
      </c>
      <c r="I148" s="101">
        <f t="shared" si="44"/>
        <v>0</v>
      </c>
      <c r="J148" s="101">
        <f t="shared" si="44"/>
        <v>0</v>
      </c>
      <c r="K148" s="101">
        <f t="shared" si="44"/>
        <v>0</v>
      </c>
      <c r="L148" s="101">
        <f t="shared" si="44"/>
        <v>0</v>
      </c>
      <c r="M148" s="101">
        <f t="shared" si="44"/>
        <v>0</v>
      </c>
      <c r="N148" s="101">
        <f t="shared" si="44"/>
        <v>0</v>
      </c>
      <c r="O148" s="101">
        <f t="shared" si="44"/>
        <v>0</v>
      </c>
      <c r="P148" s="101">
        <f t="shared" si="44"/>
        <v>0</v>
      </c>
      <c r="Q148" s="101">
        <f t="shared" si="44"/>
        <v>0</v>
      </c>
      <c r="R148" s="101">
        <f t="shared" si="44"/>
        <v>0</v>
      </c>
      <c r="S148" s="101">
        <f t="shared" si="44"/>
        <v>0</v>
      </c>
      <c r="T148" s="101">
        <f t="shared" si="44"/>
        <v>0</v>
      </c>
      <c r="U148" s="101">
        <f t="shared" si="44"/>
        <v>0</v>
      </c>
      <c r="V148" s="482">
        <f t="shared" si="44"/>
        <v>0</v>
      </c>
      <c r="Y148" s="282"/>
    </row>
    <row r="149" s="1" customFormat="1" ht="13.8" spans="1:25">
      <c r="A149" s="415"/>
      <c r="B149" s="416"/>
      <c r="C149" s="416"/>
      <c r="D149" s="417"/>
      <c r="E149" s="418"/>
      <c r="F149" s="419"/>
      <c r="G149" s="419"/>
      <c r="H149" s="419"/>
      <c r="I149" s="419"/>
      <c r="J149" s="418"/>
      <c r="K149" s="451"/>
      <c r="L149" s="419"/>
      <c r="M149" s="452"/>
      <c r="N149" s="452"/>
      <c r="O149" s="419"/>
      <c r="P149" s="419"/>
      <c r="Q149" s="419"/>
      <c r="R149" s="419"/>
      <c r="S149" s="419"/>
      <c r="T149" s="419"/>
      <c r="U149" s="419"/>
      <c r="V149" s="483"/>
      <c r="Y149" s="261"/>
    </row>
    <row r="150" s="3" customFormat="1" ht="13.8" spans="1:25">
      <c r="A150" s="420" t="s">
        <v>205</v>
      </c>
      <c r="B150" s="421"/>
      <c r="C150" s="421"/>
      <c r="D150" s="422"/>
      <c r="E150" s="423">
        <v>300000</v>
      </c>
      <c r="F150" s="93" t="s">
        <v>184</v>
      </c>
      <c r="G150" s="93">
        <f>SUM(H150:U150)</f>
        <v>200000</v>
      </c>
      <c r="H150" s="93"/>
      <c r="I150" s="93"/>
      <c r="J150" s="423"/>
      <c r="K150" s="453">
        <v>200000</v>
      </c>
      <c r="L150" s="93"/>
      <c r="M150" s="372"/>
      <c r="N150" s="372"/>
      <c r="O150" s="399"/>
      <c r="P150" s="399"/>
      <c r="Q150" s="399"/>
      <c r="R150" s="399"/>
      <c r="S150" s="447"/>
      <c r="T150" s="399"/>
      <c r="U150" s="399"/>
      <c r="V150" s="255">
        <f t="shared" ref="V150:V152" si="45">E150-G150</f>
        <v>100000</v>
      </c>
      <c r="Y150" s="238"/>
    </row>
    <row r="151" s="3" customFormat="1" ht="13.8" spans="1:25">
      <c r="A151" s="420"/>
      <c r="B151" s="421"/>
      <c r="C151" s="421"/>
      <c r="D151" s="422"/>
      <c r="E151" s="88">
        <v>1000000</v>
      </c>
      <c r="F151" s="89" t="s">
        <v>190</v>
      </c>
      <c r="G151" s="89">
        <f t="shared" ref="G151:G152" si="46">SUM(H151:U151)</f>
        <v>523172.14</v>
      </c>
      <c r="H151" s="89"/>
      <c r="I151" s="89"/>
      <c r="J151" s="88"/>
      <c r="K151" s="376">
        <f>100000+380925.63+30000</f>
        <v>510925.63</v>
      </c>
      <c r="L151" s="89"/>
      <c r="M151" s="209">
        <v>3294.38</v>
      </c>
      <c r="N151" s="209">
        <v>8952.13</v>
      </c>
      <c r="O151" s="60"/>
      <c r="P151" s="60"/>
      <c r="Q151" s="60"/>
      <c r="R151" s="60"/>
      <c r="S151" s="195"/>
      <c r="T151" s="60"/>
      <c r="U151" s="60"/>
      <c r="V151" s="255">
        <f t="shared" si="45"/>
        <v>476827.86</v>
      </c>
      <c r="Y151" s="238"/>
    </row>
    <row r="152" s="3" customFormat="1" ht="13.8" spans="1:25">
      <c r="A152" s="420"/>
      <c r="B152" s="421"/>
      <c r="C152" s="421"/>
      <c r="D152" s="422"/>
      <c r="E152" s="424">
        <v>185328.12</v>
      </c>
      <c r="F152" s="307" t="s">
        <v>178</v>
      </c>
      <c r="G152" s="307">
        <f t="shared" si="46"/>
        <v>0</v>
      </c>
      <c r="H152" s="307"/>
      <c r="I152" s="307"/>
      <c r="J152" s="424"/>
      <c r="K152" s="454"/>
      <c r="L152" s="307"/>
      <c r="M152" s="386"/>
      <c r="N152" s="386"/>
      <c r="O152" s="64"/>
      <c r="P152" s="64"/>
      <c r="Q152" s="64"/>
      <c r="R152" s="64"/>
      <c r="S152" s="363"/>
      <c r="T152" s="64"/>
      <c r="U152" s="64"/>
      <c r="V152" s="255">
        <f t="shared" si="45"/>
        <v>185328.12</v>
      </c>
      <c r="Y152" s="238"/>
    </row>
    <row r="153" s="3" customFormat="1" ht="13.8" spans="1:25">
      <c r="A153" s="420"/>
      <c r="B153" s="421"/>
      <c r="C153" s="421"/>
      <c r="D153" s="422"/>
      <c r="E153" s="100">
        <f>SUM(E150:E152)</f>
        <v>1485328.12</v>
      </c>
      <c r="F153" s="102"/>
      <c r="G153" s="102">
        <f>SUM(G150:G152)</f>
        <v>723172.14</v>
      </c>
      <c r="H153" s="102">
        <f t="shared" ref="H153:V153" si="47">SUM(H150:H152)</f>
        <v>0</v>
      </c>
      <c r="I153" s="102">
        <f t="shared" si="47"/>
        <v>0</v>
      </c>
      <c r="J153" s="102">
        <f t="shared" si="47"/>
        <v>0</v>
      </c>
      <c r="K153" s="102">
        <f t="shared" si="47"/>
        <v>710925.63</v>
      </c>
      <c r="L153" s="102">
        <f t="shared" si="47"/>
        <v>0</v>
      </c>
      <c r="M153" s="102">
        <f t="shared" si="47"/>
        <v>3294.38</v>
      </c>
      <c r="N153" s="102">
        <f t="shared" si="47"/>
        <v>8952.13</v>
      </c>
      <c r="O153" s="102">
        <f t="shared" si="47"/>
        <v>0</v>
      </c>
      <c r="P153" s="102">
        <f t="shared" si="47"/>
        <v>0</v>
      </c>
      <c r="Q153" s="102">
        <f t="shared" si="47"/>
        <v>0</v>
      </c>
      <c r="R153" s="102">
        <f t="shared" si="47"/>
        <v>0</v>
      </c>
      <c r="S153" s="102">
        <f t="shared" si="47"/>
        <v>0</v>
      </c>
      <c r="T153" s="102">
        <f t="shared" si="47"/>
        <v>0</v>
      </c>
      <c r="U153" s="102">
        <f t="shared" si="47"/>
        <v>0</v>
      </c>
      <c r="V153" s="356">
        <f t="shared" si="47"/>
        <v>762155.98</v>
      </c>
      <c r="W153" s="241"/>
      <c r="Y153" s="238"/>
    </row>
    <row r="154" s="3" customFormat="1" ht="13.8" spans="1:25">
      <c r="A154" s="420"/>
      <c r="B154" s="421"/>
      <c r="C154" s="421"/>
      <c r="D154" s="422"/>
      <c r="E154" s="423"/>
      <c r="F154" s="93"/>
      <c r="G154" s="93"/>
      <c r="H154" s="93"/>
      <c r="I154" s="93"/>
      <c r="J154" s="423"/>
      <c r="K154" s="453"/>
      <c r="L154" s="93"/>
      <c r="M154" s="372"/>
      <c r="N154" s="372"/>
      <c r="O154" s="399"/>
      <c r="P154" s="399"/>
      <c r="Q154" s="399"/>
      <c r="R154" s="399"/>
      <c r="S154" s="447"/>
      <c r="T154" s="399"/>
      <c r="U154" s="399"/>
      <c r="V154" s="278"/>
      <c r="Y154" s="238"/>
    </row>
    <row r="155" s="3" customFormat="1" ht="13.8" spans="1:25">
      <c r="A155" s="406" t="s">
        <v>206</v>
      </c>
      <c r="B155" s="407"/>
      <c r="C155" s="407"/>
      <c r="D155" s="408"/>
      <c r="E155" s="424">
        <v>50000</v>
      </c>
      <c r="F155" s="307" t="s">
        <v>180</v>
      </c>
      <c r="G155" s="307">
        <f>SUM(H155:U155)</f>
        <v>0</v>
      </c>
      <c r="H155" s="307"/>
      <c r="I155" s="307">
        <f>SUM(I140:I148)</f>
        <v>0</v>
      </c>
      <c r="J155" s="424"/>
      <c r="K155" s="454"/>
      <c r="L155" s="307"/>
      <c r="M155" s="64"/>
      <c r="N155" s="386"/>
      <c r="O155" s="64"/>
      <c r="P155" s="64"/>
      <c r="Q155" s="64"/>
      <c r="R155" s="64"/>
      <c r="S155" s="363"/>
      <c r="T155" s="64"/>
      <c r="U155" s="64"/>
      <c r="V155" s="484">
        <f>E155-G155</f>
        <v>50000</v>
      </c>
      <c r="Y155" s="238"/>
    </row>
    <row r="156" s="9" customFormat="1" ht="13.8" spans="1:25">
      <c r="A156" s="425"/>
      <c r="B156" s="426"/>
      <c r="C156" s="426"/>
      <c r="D156" s="427"/>
      <c r="E156" s="428">
        <f>E155</f>
        <v>50000</v>
      </c>
      <c r="F156" s="102"/>
      <c r="G156" s="101">
        <f>G155</f>
        <v>0</v>
      </c>
      <c r="H156" s="101">
        <f t="shared" ref="H156:V156" si="48">H155</f>
        <v>0</v>
      </c>
      <c r="I156" s="101">
        <f t="shared" si="48"/>
        <v>0</v>
      </c>
      <c r="J156" s="101">
        <f t="shared" si="48"/>
        <v>0</v>
      </c>
      <c r="K156" s="101">
        <f t="shared" si="48"/>
        <v>0</v>
      </c>
      <c r="L156" s="101">
        <f t="shared" si="48"/>
        <v>0</v>
      </c>
      <c r="M156" s="101">
        <f t="shared" si="48"/>
        <v>0</v>
      </c>
      <c r="N156" s="101">
        <f t="shared" si="48"/>
        <v>0</v>
      </c>
      <c r="O156" s="101">
        <f t="shared" si="48"/>
        <v>0</v>
      </c>
      <c r="P156" s="101">
        <f t="shared" si="48"/>
        <v>0</v>
      </c>
      <c r="Q156" s="101">
        <f t="shared" si="48"/>
        <v>0</v>
      </c>
      <c r="R156" s="101">
        <f t="shared" si="48"/>
        <v>0</v>
      </c>
      <c r="S156" s="101">
        <f t="shared" si="48"/>
        <v>0</v>
      </c>
      <c r="T156" s="101">
        <f t="shared" si="48"/>
        <v>0</v>
      </c>
      <c r="U156" s="101">
        <f t="shared" si="48"/>
        <v>0</v>
      </c>
      <c r="V156" s="482">
        <f t="shared" si="48"/>
        <v>50000</v>
      </c>
      <c r="Y156" s="282"/>
    </row>
    <row r="157" s="3" customFormat="1" spans="1:25">
      <c r="A157" s="406"/>
      <c r="B157" s="407"/>
      <c r="C157" s="407"/>
      <c r="D157" s="408"/>
      <c r="E157" s="109"/>
      <c r="F157" s="429"/>
      <c r="G157" s="430">
        <f>SUM(H157:U157)</f>
        <v>0</v>
      </c>
      <c r="H157" s="430"/>
      <c r="I157" s="430"/>
      <c r="J157" s="178"/>
      <c r="K157" s="455"/>
      <c r="L157" s="430"/>
      <c r="M157" s="430"/>
      <c r="N157" s="456"/>
      <c r="O157" s="430"/>
      <c r="P157" s="430"/>
      <c r="Q157" s="430"/>
      <c r="R157" s="430"/>
      <c r="S157" s="485"/>
      <c r="T157" s="430"/>
      <c r="U157" s="430"/>
      <c r="V157" s="277"/>
      <c r="Y157" s="238"/>
    </row>
    <row r="158" s="3" customFormat="1" spans="1:25">
      <c r="A158" s="406" t="s">
        <v>207</v>
      </c>
      <c r="B158" s="407"/>
      <c r="C158" s="407"/>
      <c r="D158" s="407"/>
      <c r="E158" s="409"/>
      <c r="F158" s="134" t="s">
        <v>179</v>
      </c>
      <c r="G158" s="60">
        <f>SUM(H158:U158)</f>
        <v>0</v>
      </c>
      <c r="H158" s="60"/>
      <c r="I158" s="60"/>
      <c r="J158" s="62"/>
      <c r="K158" s="207"/>
      <c r="L158" s="60"/>
      <c r="M158" s="60"/>
      <c r="N158" s="209"/>
      <c r="O158" s="60"/>
      <c r="P158" s="60"/>
      <c r="Q158" s="60"/>
      <c r="R158" s="60"/>
      <c r="S158" s="195"/>
      <c r="T158" s="60"/>
      <c r="U158" s="209"/>
      <c r="V158" s="255">
        <f t="shared" ref="V158:V159" si="49">E158-G158</f>
        <v>0</v>
      </c>
      <c r="Y158" s="238"/>
    </row>
    <row r="159" s="3" customFormat="1" spans="1:25">
      <c r="A159" s="406"/>
      <c r="B159" s="407"/>
      <c r="C159" s="407"/>
      <c r="D159" s="408"/>
      <c r="E159" s="109"/>
      <c r="F159" s="136" t="s">
        <v>184</v>
      </c>
      <c r="G159" s="196">
        <f>SUM(H159:U159)</f>
        <v>0</v>
      </c>
      <c r="H159" s="196"/>
      <c r="I159" s="196"/>
      <c r="J159" s="109"/>
      <c r="K159" s="56"/>
      <c r="L159" s="196"/>
      <c r="M159" s="196"/>
      <c r="N159" s="213"/>
      <c r="O159" s="196"/>
      <c r="P159" s="196"/>
      <c r="Q159" s="196"/>
      <c r="R159" s="196"/>
      <c r="S159" s="197"/>
      <c r="T159" s="196"/>
      <c r="U159" s="196"/>
      <c r="V159" s="486">
        <f t="shared" si="49"/>
        <v>0</v>
      </c>
      <c r="Y159" s="238"/>
    </row>
    <row r="160" s="1" customFormat="1" ht="13.8" spans="1:25">
      <c r="A160" s="415"/>
      <c r="B160" s="416"/>
      <c r="C160" s="416"/>
      <c r="D160" s="417"/>
      <c r="E160" s="345">
        <f>SUM(E158:E159)</f>
        <v>0</v>
      </c>
      <c r="F160" s="346">
        <f t="shared" ref="F160:V160" si="50">SUM(F158:F159)</f>
        <v>0</v>
      </c>
      <c r="G160" s="346">
        <f t="shared" si="50"/>
        <v>0</v>
      </c>
      <c r="H160" s="346">
        <f t="shared" si="50"/>
        <v>0</v>
      </c>
      <c r="I160" s="346">
        <f t="shared" si="50"/>
        <v>0</v>
      </c>
      <c r="J160" s="346">
        <f t="shared" si="50"/>
        <v>0</v>
      </c>
      <c r="K160" s="346">
        <f t="shared" si="50"/>
        <v>0</v>
      </c>
      <c r="L160" s="346">
        <f t="shared" si="50"/>
        <v>0</v>
      </c>
      <c r="M160" s="346">
        <f t="shared" si="50"/>
        <v>0</v>
      </c>
      <c r="N160" s="346">
        <f t="shared" si="50"/>
        <v>0</v>
      </c>
      <c r="O160" s="346">
        <f t="shared" si="50"/>
        <v>0</v>
      </c>
      <c r="P160" s="346">
        <f t="shared" si="50"/>
        <v>0</v>
      </c>
      <c r="Q160" s="346">
        <f t="shared" si="50"/>
        <v>0</v>
      </c>
      <c r="R160" s="346">
        <f t="shared" si="50"/>
        <v>0</v>
      </c>
      <c r="S160" s="346">
        <f t="shared" si="50"/>
        <v>0</v>
      </c>
      <c r="T160" s="346">
        <f t="shared" si="50"/>
        <v>0</v>
      </c>
      <c r="U160" s="346">
        <f t="shared" si="50"/>
        <v>0</v>
      </c>
      <c r="V160" s="487">
        <f t="shared" si="50"/>
        <v>0</v>
      </c>
      <c r="Y160" s="238"/>
    </row>
    <row r="161" s="1" customFormat="1" ht="13.8" spans="1:25">
      <c r="A161" s="415"/>
      <c r="B161" s="416"/>
      <c r="C161" s="416"/>
      <c r="D161" s="417"/>
      <c r="E161" s="418"/>
      <c r="F161" s="419"/>
      <c r="G161" s="419"/>
      <c r="H161" s="419"/>
      <c r="I161" s="419"/>
      <c r="J161" s="418"/>
      <c r="K161" s="451"/>
      <c r="L161" s="419"/>
      <c r="M161" s="419"/>
      <c r="N161" s="452"/>
      <c r="O161" s="419"/>
      <c r="P161" s="419"/>
      <c r="Q161" s="419"/>
      <c r="R161" s="419"/>
      <c r="S161" s="419"/>
      <c r="T161" s="419"/>
      <c r="U161" s="419"/>
      <c r="V161" s="488"/>
      <c r="Y161" s="261"/>
    </row>
    <row r="162" s="1" customFormat="1" spans="1:25">
      <c r="A162" s="415" t="s">
        <v>208</v>
      </c>
      <c r="B162" s="416"/>
      <c r="C162" s="416"/>
      <c r="D162" s="416"/>
      <c r="E162" s="409"/>
      <c r="F162" s="136" t="s">
        <v>180</v>
      </c>
      <c r="G162" s="196">
        <f>SUM(H162:U162)</f>
        <v>0</v>
      </c>
      <c r="H162" s="136"/>
      <c r="I162" s="136"/>
      <c r="J162" s="135"/>
      <c r="K162" s="270"/>
      <c r="L162" s="136"/>
      <c r="M162" s="136"/>
      <c r="N162" s="214"/>
      <c r="O162" s="136"/>
      <c r="P162" s="457"/>
      <c r="Q162" s="136"/>
      <c r="R162" s="136"/>
      <c r="S162" s="136"/>
      <c r="T162" s="136"/>
      <c r="U162" s="136"/>
      <c r="V162" s="277">
        <f t="shared" ref="V162:V214" si="51">E162-G162</f>
        <v>0</v>
      </c>
      <c r="Y162" s="238"/>
    </row>
    <row r="163" s="1" customFormat="1" spans="1:25">
      <c r="A163" s="415"/>
      <c r="B163" s="416"/>
      <c r="C163" s="416"/>
      <c r="D163" s="417"/>
      <c r="E163" s="88">
        <v>150000</v>
      </c>
      <c r="F163" s="134" t="s">
        <v>190</v>
      </c>
      <c r="G163" s="89">
        <f>SUM(H163:U163)</f>
        <v>150000</v>
      </c>
      <c r="H163" s="89"/>
      <c r="I163" s="89"/>
      <c r="J163" s="88"/>
      <c r="K163" s="376">
        <v>150000</v>
      </c>
      <c r="L163" s="134"/>
      <c r="M163" s="208"/>
      <c r="N163" s="208"/>
      <c r="O163" s="134"/>
      <c r="P163" s="458"/>
      <c r="Q163" s="134"/>
      <c r="R163" s="134"/>
      <c r="S163" s="134"/>
      <c r="T163" s="134"/>
      <c r="U163" s="134"/>
      <c r="V163" s="486">
        <f t="shared" si="51"/>
        <v>0</v>
      </c>
      <c r="Y163" s="238"/>
    </row>
    <row r="164" s="1" customFormat="1" spans="1:25">
      <c r="A164" s="415"/>
      <c r="B164" s="416"/>
      <c r="C164" s="416"/>
      <c r="D164" s="417"/>
      <c r="E164" s="424"/>
      <c r="F164" s="306" t="s">
        <v>184</v>
      </c>
      <c r="G164" s="307">
        <f>SUM(H164:U164)</f>
        <v>0</v>
      </c>
      <c r="H164" s="307"/>
      <c r="I164" s="307"/>
      <c r="J164" s="424"/>
      <c r="K164" s="454"/>
      <c r="L164" s="306"/>
      <c r="M164" s="361"/>
      <c r="N164" s="361"/>
      <c r="O164" s="306"/>
      <c r="P164" s="459"/>
      <c r="Q164" s="306"/>
      <c r="R164" s="306"/>
      <c r="S164" s="306"/>
      <c r="T164" s="306"/>
      <c r="U164" s="306"/>
      <c r="V164" s="388">
        <f t="shared" si="51"/>
        <v>0</v>
      </c>
      <c r="Y164" s="238"/>
    </row>
    <row r="165" s="6" customFormat="1" ht="13.8" spans="1:25">
      <c r="A165" s="411"/>
      <c r="B165" s="412"/>
      <c r="C165" s="412"/>
      <c r="D165" s="413"/>
      <c r="E165" s="100">
        <f>SUM(E162:E164)</f>
        <v>150000</v>
      </c>
      <c r="F165" s="101">
        <f t="shared" ref="F165:V165" si="52">SUM(F162:F164)</f>
        <v>0</v>
      </c>
      <c r="G165" s="102">
        <f t="shared" si="52"/>
        <v>150000</v>
      </c>
      <c r="H165" s="102">
        <f t="shared" si="52"/>
        <v>0</v>
      </c>
      <c r="I165" s="102">
        <f t="shared" si="52"/>
        <v>0</v>
      </c>
      <c r="J165" s="102">
        <f t="shared" si="52"/>
        <v>0</v>
      </c>
      <c r="K165" s="102">
        <f t="shared" si="52"/>
        <v>150000</v>
      </c>
      <c r="L165" s="101">
        <f t="shared" si="52"/>
        <v>0</v>
      </c>
      <c r="M165" s="101">
        <f t="shared" si="52"/>
        <v>0</v>
      </c>
      <c r="N165" s="101">
        <f t="shared" si="52"/>
        <v>0</v>
      </c>
      <c r="O165" s="101">
        <f t="shared" si="52"/>
        <v>0</v>
      </c>
      <c r="P165" s="101">
        <f t="shared" si="52"/>
        <v>0</v>
      </c>
      <c r="Q165" s="101">
        <f t="shared" si="52"/>
        <v>0</v>
      </c>
      <c r="R165" s="101">
        <f t="shared" si="52"/>
        <v>0</v>
      </c>
      <c r="S165" s="101">
        <f t="shared" si="52"/>
        <v>0</v>
      </c>
      <c r="T165" s="101">
        <f t="shared" si="52"/>
        <v>0</v>
      </c>
      <c r="U165" s="101">
        <f t="shared" si="52"/>
        <v>0</v>
      </c>
      <c r="V165" s="482">
        <f t="shared" si="52"/>
        <v>0</v>
      </c>
      <c r="Y165" s="282"/>
    </row>
    <row r="166" s="1" customFormat="1" spans="1:25">
      <c r="A166" s="415"/>
      <c r="B166" s="416"/>
      <c r="C166" s="416"/>
      <c r="D166" s="417"/>
      <c r="E166" s="410"/>
      <c r="F166" s="314"/>
      <c r="G166" s="399"/>
      <c r="H166" s="314"/>
      <c r="I166" s="314"/>
      <c r="J166" s="314"/>
      <c r="K166" s="314"/>
      <c r="L166" s="314"/>
      <c r="M166" s="371"/>
      <c r="N166" s="371"/>
      <c r="O166" s="314"/>
      <c r="P166" s="159"/>
      <c r="Q166" s="314"/>
      <c r="R166" s="314"/>
      <c r="S166" s="314"/>
      <c r="T166" s="314"/>
      <c r="U166" s="314"/>
      <c r="V166" s="278"/>
      <c r="Y166" s="238"/>
    </row>
    <row r="167" s="3" customFormat="1" spans="1:25">
      <c r="A167" s="406" t="s">
        <v>209</v>
      </c>
      <c r="B167" s="407"/>
      <c r="C167" s="407"/>
      <c r="D167" s="407"/>
      <c r="E167" s="409"/>
      <c r="F167" s="314" t="s">
        <v>178</v>
      </c>
      <c r="G167" s="399">
        <f>SUM(H167:U167)</f>
        <v>0</v>
      </c>
      <c r="H167" s="314"/>
      <c r="I167" s="314"/>
      <c r="J167" s="301"/>
      <c r="K167" s="369"/>
      <c r="L167" s="314"/>
      <c r="M167" s="314"/>
      <c r="N167" s="314"/>
      <c r="O167" s="314"/>
      <c r="P167" s="159"/>
      <c r="Q167" s="314"/>
      <c r="R167" s="314"/>
      <c r="S167" s="399"/>
      <c r="T167" s="314"/>
      <c r="U167" s="314"/>
      <c r="V167" s="278">
        <f>E167-G167</f>
        <v>0</v>
      </c>
      <c r="Y167" s="238"/>
    </row>
    <row r="168" s="3" customFormat="1" spans="1:25">
      <c r="A168" s="406"/>
      <c r="B168" s="431"/>
      <c r="C168" s="431"/>
      <c r="D168" s="408"/>
      <c r="E168" s="343"/>
      <c r="F168" s="306" t="s">
        <v>180</v>
      </c>
      <c r="G168" s="64">
        <f>SUM(H168:U168)</f>
        <v>0</v>
      </c>
      <c r="H168" s="306"/>
      <c r="I168" s="306"/>
      <c r="J168" s="306"/>
      <c r="K168" s="306"/>
      <c r="L168" s="306"/>
      <c r="M168" s="306"/>
      <c r="N168" s="306"/>
      <c r="O168" s="306"/>
      <c r="P168" s="306"/>
      <c r="Q168" s="306"/>
      <c r="R168" s="306"/>
      <c r="S168" s="306"/>
      <c r="T168" s="306"/>
      <c r="U168" s="306"/>
      <c r="V168" s="484">
        <f t="shared" si="51"/>
        <v>0</v>
      </c>
      <c r="Y168" s="238"/>
    </row>
    <row r="169" s="1" customFormat="1" ht="13.8" spans="1:25">
      <c r="A169" s="415"/>
      <c r="B169" s="432"/>
      <c r="C169" s="432"/>
      <c r="D169" s="433"/>
      <c r="E169" s="345">
        <f>SUM(E167:E168)</f>
        <v>0</v>
      </c>
      <c r="F169" s="346">
        <f t="shared" ref="F169:G169" si="53">SUM(F167:F168)</f>
        <v>0</v>
      </c>
      <c r="G169" s="346">
        <f t="shared" si="53"/>
        <v>0</v>
      </c>
      <c r="H169" s="346">
        <f t="shared" ref="H169:V169" si="54">SUM(H167:H168)</f>
        <v>0</v>
      </c>
      <c r="I169" s="346">
        <f t="shared" si="54"/>
        <v>0</v>
      </c>
      <c r="J169" s="346">
        <f t="shared" si="54"/>
        <v>0</v>
      </c>
      <c r="K169" s="346">
        <f t="shared" si="54"/>
        <v>0</v>
      </c>
      <c r="L169" s="346">
        <f t="shared" si="54"/>
        <v>0</v>
      </c>
      <c r="M169" s="346">
        <f t="shared" si="54"/>
        <v>0</v>
      </c>
      <c r="N169" s="346">
        <f t="shared" si="54"/>
        <v>0</v>
      </c>
      <c r="O169" s="346">
        <f t="shared" si="54"/>
        <v>0</v>
      </c>
      <c r="P169" s="345">
        <f t="shared" si="54"/>
        <v>0</v>
      </c>
      <c r="Q169" s="346">
        <f t="shared" si="54"/>
        <v>0</v>
      </c>
      <c r="R169" s="346">
        <f t="shared" si="54"/>
        <v>0</v>
      </c>
      <c r="S169" s="346">
        <f t="shared" si="54"/>
        <v>0</v>
      </c>
      <c r="T169" s="346">
        <f t="shared" si="54"/>
        <v>0</v>
      </c>
      <c r="U169" s="346">
        <f t="shared" si="54"/>
        <v>0</v>
      </c>
      <c r="V169" s="487">
        <f t="shared" si="54"/>
        <v>0</v>
      </c>
      <c r="Y169" s="238"/>
    </row>
    <row r="170" s="1" customFormat="1" ht="13.8" spans="1:25">
      <c r="A170" s="415"/>
      <c r="B170" s="432"/>
      <c r="C170" s="432"/>
      <c r="D170" s="433"/>
      <c r="E170" s="105"/>
      <c r="F170" s="106"/>
      <c r="G170" s="106"/>
      <c r="H170" s="106"/>
      <c r="I170" s="106"/>
      <c r="J170" s="106"/>
      <c r="K170" s="382"/>
      <c r="L170" s="338"/>
      <c r="M170" s="337"/>
      <c r="N170" s="337"/>
      <c r="O170" s="418"/>
      <c r="P170" s="337"/>
      <c r="Q170" s="337"/>
      <c r="R170" s="337"/>
      <c r="S170" s="337"/>
      <c r="T170" s="337"/>
      <c r="U170" s="337"/>
      <c r="V170" s="489"/>
      <c r="Y170" s="261"/>
    </row>
    <row r="171" s="1" customFormat="1" spans="1:25">
      <c r="A171" s="78" t="s">
        <v>128</v>
      </c>
      <c r="B171" s="293"/>
      <c r="C171" s="293"/>
      <c r="D171" s="294"/>
      <c r="E171" s="133">
        <v>150000</v>
      </c>
      <c r="F171" s="134" t="s">
        <v>178</v>
      </c>
      <c r="G171" s="89">
        <f>SUM(H171:U171)</f>
        <v>150000</v>
      </c>
      <c r="H171" s="134"/>
      <c r="I171" s="134"/>
      <c r="J171" s="134"/>
      <c r="K171" s="134">
        <v>150000</v>
      </c>
      <c r="L171" s="198"/>
      <c r="M171" s="198"/>
      <c r="N171" s="198"/>
      <c r="O171" s="460"/>
      <c r="P171" s="461"/>
      <c r="Q171" s="189"/>
      <c r="R171" s="189"/>
      <c r="S171" s="189"/>
      <c r="T171" s="189"/>
      <c r="U171" s="189"/>
      <c r="V171" s="490">
        <f t="shared" si="51"/>
        <v>0</v>
      </c>
      <c r="Y171" s="238"/>
    </row>
    <row r="172" s="1" customFormat="1" spans="1:25">
      <c r="A172" s="103"/>
      <c r="D172" s="35"/>
      <c r="E172" s="135">
        <v>200000</v>
      </c>
      <c r="F172" s="136" t="s">
        <v>179</v>
      </c>
      <c r="G172" s="97">
        <f t="shared" ref="G172:G176" si="55">SUM(H172:U172)</f>
        <v>0</v>
      </c>
      <c r="H172" s="136"/>
      <c r="I172" s="136"/>
      <c r="J172" s="135"/>
      <c r="K172" s="136"/>
      <c r="L172" s="198"/>
      <c r="M172" s="198"/>
      <c r="N172" s="198"/>
      <c r="O172" s="460"/>
      <c r="P172" s="461"/>
      <c r="Q172" s="189"/>
      <c r="R172" s="189"/>
      <c r="S172" s="189"/>
      <c r="T172" s="189"/>
      <c r="U172" s="189"/>
      <c r="V172" s="490">
        <f t="shared" si="51"/>
        <v>200000</v>
      </c>
      <c r="Y172" s="238"/>
    </row>
    <row r="173" s="1" customFormat="1" spans="1:25">
      <c r="A173" s="103"/>
      <c r="D173" s="35"/>
      <c r="E173" s="133"/>
      <c r="F173" s="89" t="s">
        <v>210</v>
      </c>
      <c r="G173" s="89">
        <f t="shared" si="55"/>
        <v>0</v>
      </c>
      <c r="H173" s="134"/>
      <c r="I173" s="134"/>
      <c r="J173" s="134"/>
      <c r="K173" s="134"/>
      <c r="L173" s="198"/>
      <c r="M173" s="198"/>
      <c r="N173" s="198"/>
      <c r="O173" s="460"/>
      <c r="P173" s="461"/>
      <c r="Q173" s="189"/>
      <c r="R173" s="189"/>
      <c r="S173" s="189"/>
      <c r="T173" s="189"/>
      <c r="U173" s="189"/>
      <c r="V173" s="490"/>
      <c r="Y173" s="238"/>
    </row>
    <row r="174" s="1" customFormat="1" spans="1:25">
      <c r="A174" s="103"/>
      <c r="D174" s="35"/>
      <c r="E174" s="135">
        <v>150000</v>
      </c>
      <c r="F174" s="136" t="s">
        <v>187</v>
      </c>
      <c r="G174" s="97">
        <f t="shared" si="55"/>
        <v>0</v>
      </c>
      <c r="H174" s="136"/>
      <c r="I174" s="136"/>
      <c r="J174" s="136"/>
      <c r="K174" s="136"/>
      <c r="L174" s="462"/>
      <c r="M174" s="462"/>
      <c r="N174" s="462"/>
      <c r="O174" s="460"/>
      <c r="P174" s="461"/>
      <c r="Q174" s="189"/>
      <c r="R174" s="189"/>
      <c r="S174" s="189"/>
      <c r="T174" s="189"/>
      <c r="U174" s="189"/>
      <c r="V174" s="490">
        <f t="shared" si="51"/>
        <v>150000</v>
      </c>
      <c r="Y174" s="238"/>
    </row>
    <row r="175" s="1" customFormat="1" spans="1:25">
      <c r="A175" s="103"/>
      <c r="D175" s="35"/>
      <c r="E175" s="133">
        <v>600000</v>
      </c>
      <c r="F175" s="134" t="s">
        <v>184</v>
      </c>
      <c r="G175" s="89">
        <f t="shared" si="55"/>
        <v>200000</v>
      </c>
      <c r="H175" s="134"/>
      <c r="I175" s="134"/>
      <c r="J175" s="133"/>
      <c r="K175" s="134">
        <v>200000</v>
      </c>
      <c r="L175" s="198"/>
      <c r="M175" s="198"/>
      <c r="N175" s="198"/>
      <c r="O175" s="460"/>
      <c r="P175" s="461"/>
      <c r="Q175" s="189"/>
      <c r="R175" s="189"/>
      <c r="S175" s="189"/>
      <c r="T175" s="189"/>
      <c r="U175" s="189"/>
      <c r="V175" s="490">
        <f t="shared" si="51"/>
        <v>400000</v>
      </c>
      <c r="Y175" s="238"/>
    </row>
    <row r="176" s="1" customFormat="1" spans="1:25">
      <c r="A176" s="434"/>
      <c r="D176" s="35"/>
      <c r="E176" s="305">
        <v>200000</v>
      </c>
      <c r="F176" s="306" t="s">
        <v>180</v>
      </c>
      <c r="G176" s="307">
        <f t="shared" si="55"/>
        <v>200000</v>
      </c>
      <c r="H176" s="306"/>
      <c r="I176" s="306"/>
      <c r="J176" s="306"/>
      <c r="K176" s="306">
        <v>200000</v>
      </c>
      <c r="L176" s="76"/>
      <c r="M176" s="463"/>
      <c r="N176" s="76"/>
      <c r="O176" s="464"/>
      <c r="P176" s="465"/>
      <c r="Q176" s="217"/>
      <c r="R176" s="217"/>
      <c r="S176" s="491"/>
      <c r="T176" s="491"/>
      <c r="U176" s="217"/>
      <c r="V176" s="492">
        <f t="shared" si="51"/>
        <v>0</v>
      </c>
      <c r="Y176" s="238"/>
    </row>
    <row r="177" s="6" customFormat="1" ht="13.8" spans="1:25">
      <c r="A177" s="435"/>
      <c r="B177" s="139"/>
      <c r="C177" s="139"/>
      <c r="D177" s="140"/>
      <c r="E177" s="100">
        <f>SUM(E171:E176)</f>
        <v>1300000</v>
      </c>
      <c r="F177" s="102">
        <f t="shared" ref="F177:V177" si="56">SUM(F171:F176)</f>
        <v>0</v>
      </c>
      <c r="G177" s="102">
        <f t="shared" si="56"/>
        <v>550000</v>
      </c>
      <c r="H177" s="102">
        <f t="shared" si="56"/>
        <v>0</v>
      </c>
      <c r="I177" s="102">
        <f t="shared" si="56"/>
        <v>0</v>
      </c>
      <c r="J177" s="102">
        <f t="shared" si="56"/>
        <v>0</v>
      </c>
      <c r="K177" s="102">
        <f t="shared" si="56"/>
        <v>550000</v>
      </c>
      <c r="L177" s="102">
        <f t="shared" si="56"/>
        <v>0</v>
      </c>
      <c r="M177" s="100">
        <f t="shared" si="56"/>
        <v>0</v>
      </c>
      <c r="N177" s="102">
        <f t="shared" si="56"/>
        <v>0</v>
      </c>
      <c r="O177" s="100">
        <f t="shared" si="56"/>
        <v>0</v>
      </c>
      <c r="P177" s="100">
        <f t="shared" si="56"/>
        <v>0</v>
      </c>
      <c r="Q177" s="100">
        <f t="shared" si="56"/>
        <v>0</v>
      </c>
      <c r="R177" s="100">
        <f t="shared" si="56"/>
        <v>0</v>
      </c>
      <c r="S177" s="100">
        <f t="shared" si="56"/>
        <v>0</v>
      </c>
      <c r="T177" s="102">
        <f t="shared" si="56"/>
        <v>0</v>
      </c>
      <c r="U177" s="102">
        <f t="shared" si="56"/>
        <v>0</v>
      </c>
      <c r="V177" s="403">
        <f t="shared" si="56"/>
        <v>750000</v>
      </c>
      <c r="W177" s="25"/>
      <c r="Y177" s="282"/>
    </row>
    <row r="178" s="1" customFormat="1" spans="1:25">
      <c r="A178" s="436"/>
      <c r="B178" s="143"/>
      <c r="C178" s="143"/>
      <c r="D178" s="144"/>
      <c r="E178" s="145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267"/>
      <c r="Y178" s="261"/>
    </row>
    <row r="179" s="1" customFormat="1" spans="1:25">
      <c r="A179" s="436"/>
      <c r="B179" s="143"/>
      <c r="C179" s="143"/>
      <c r="D179" s="144"/>
      <c r="E179" s="147"/>
      <c r="F179" s="148"/>
      <c r="G179" s="148"/>
      <c r="H179" s="148"/>
      <c r="I179" s="148"/>
      <c r="J179" s="147"/>
      <c r="K179" s="26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269"/>
      <c r="Y179" s="261"/>
    </row>
    <row r="180" s="1" customFormat="1" spans="1:25">
      <c r="A180" s="78" t="s">
        <v>211</v>
      </c>
      <c r="B180" s="79"/>
      <c r="C180" s="79"/>
      <c r="D180" s="437"/>
      <c r="E180" s="135"/>
      <c r="F180" s="136" t="s">
        <v>178</v>
      </c>
      <c r="G180" s="196">
        <f>SUM(H180:U180)</f>
        <v>0</v>
      </c>
      <c r="H180" s="136"/>
      <c r="I180" s="136"/>
      <c r="J180" s="136"/>
      <c r="K180" s="136"/>
      <c r="L180" s="111"/>
      <c r="M180" s="111"/>
      <c r="N180" s="111"/>
      <c r="O180" s="200"/>
      <c r="P180" s="466"/>
      <c r="Q180" s="77"/>
      <c r="R180" s="77"/>
      <c r="S180" s="77"/>
      <c r="T180" s="77"/>
      <c r="U180" s="77"/>
      <c r="V180" s="262">
        <f t="shared" si="51"/>
        <v>0</v>
      </c>
      <c r="Y180" s="238"/>
    </row>
    <row r="181" s="1" customFormat="1" spans="1:25">
      <c r="A181" s="161"/>
      <c r="B181" s="292"/>
      <c r="C181" s="292"/>
      <c r="D181" s="438"/>
      <c r="E181" s="133"/>
      <c r="F181" s="134" t="s">
        <v>179</v>
      </c>
      <c r="G181" s="60">
        <f>SUM(H181:U181)</f>
        <v>0</v>
      </c>
      <c r="H181" s="60"/>
      <c r="I181" s="134"/>
      <c r="J181" s="134"/>
      <c r="K181" s="134"/>
      <c r="L181" s="108"/>
      <c r="M181" s="108"/>
      <c r="N181" s="108"/>
      <c r="O181" s="199"/>
      <c r="P181" s="191"/>
      <c r="Q181" s="107"/>
      <c r="R181" s="107"/>
      <c r="S181" s="107"/>
      <c r="T181" s="107"/>
      <c r="U181" s="107"/>
      <c r="V181" s="250">
        <f t="shared" si="51"/>
        <v>0</v>
      </c>
      <c r="Y181" s="238"/>
    </row>
    <row r="182" s="1" customFormat="1" spans="1:25">
      <c r="A182" s="161"/>
      <c r="B182" s="292"/>
      <c r="C182" s="292"/>
      <c r="D182" s="438"/>
      <c r="E182" s="135"/>
      <c r="F182" s="136" t="s">
        <v>180</v>
      </c>
      <c r="G182" s="196">
        <f>SUM(H182:U182)</f>
        <v>0</v>
      </c>
      <c r="H182" s="136"/>
      <c r="I182" s="136"/>
      <c r="J182" s="135"/>
      <c r="K182" s="270"/>
      <c r="L182" s="467"/>
      <c r="M182" s="467"/>
      <c r="N182" s="468"/>
      <c r="O182" s="469"/>
      <c r="P182" s="470"/>
      <c r="Q182" s="468"/>
      <c r="R182" s="468"/>
      <c r="S182" s="468"/>
      <c r="T182" s="468"/>
      <c r="U182" s="468"/>
      <c r="V182" s="493">
        <f t="shared" si="51"/>
        <v>0</v>
      </c>
      <c r="Y182" s="238"/>
    </row>
    <row r="183" s="1" customFormat="1" spans="1:25">
      <c r="A183" s="141"/>
      <c r="B183" s="142"/>
      <c r="C183" s="142"/>
      <c r="D183" s="439"/>
      <c r="E183" s="440">
        <f>SUM(E180:E182)</f>
        <v>0</v>
      </c>
      <c r="F183" s="441">
        <f t="shared" ref="F183:V183" si="57">SUM(F180:F182)</f>
        <v>0</v>
      </c>
      <c r="G183" s="441">
        <f t="shared" si="57"/>
        <v>0</v>
      </c>
      <c r="H183" s="441">
        <f t="shared" si="57"/>
        <v>0</v>
      </c>
      <c r="I183" s="441">
        <f t="shared" si="57"/>
        <v>0</v>
      </c>
      <c r="J183" s="441">
        <f t="shared" si="57"/>
        <v>0</v>
      </c>
      <c r="K183" s="441">
        <f t="shared" si="57"/>
        <v>0</v>
      </c>
      <c r="L183" s="441">
        <f t="shared" si="57"/>
        <v>0</v>
      </c>
      <c r="M183" s="441">
        <f t="shared" si="57"/>
        <v>0</v>
      </c>
      <c r="N183" s="441">
        <f t="shared" si="57"/>
        <v>0</v>
      </c>
      <c r="O183" s="441">
        <f t="shared" si="57"/>
        <v>0</v>
      </c>
      <c r="P183" s="441">
        <f t="shared" si="57"/>
        <v>0</v>
      </c>
      <c r="Q183" s="441">
        <f t="shared" si="57"/>
        <v>0</v>
      </c>
      <c r="R183" s="441">
        <f t="shared" si="57"/>
        <v>0</v>
      </c>
      <c r="S183" s="441">
        <f t="shared" si="57"/>
        <v>0</v>
      </c>
      <c r="T183" s="441">
        <f t="shared" si="57"/>
        <v>0</v>
      </c>
      <c r="U183" s="441">
        <f t="shared" si="57"/>
        <v>0</v>
      </c>
      <c r="V183" s="494">
        <f t="shared" si="57"/>
        <v>0</v>
      </c>
      <c r="Y183" s="238"/>
    </row>
    <row r="184" s="1" customFormat="1" spans="1:25">
      <c r="A184" s="141"/>
      <c r="B184" s="142"/>
      <c r="C184" s="142"/>
      <c r="D184" s="439"/>
      <c r="E184" s="145"/>
      <c r="F184" s="146"/>
      <c r="G184" s="146"/>
      <c r="H184" s="146"/>
      <c r="I184" s="146"/>
      <c r="J184" s="145"/>
      <c r="K184" s="215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495"/>
      <c r="Y184" s="261"/>
    </row>
    <row r="185" s="3" customFormat="1" spans="1:25">
      <c r="A185" s="442" t="s">
        <v>212</v>
      </c>
      <c r="B185" s="443"/>
      <c r="C185" s="443"/>
      <c r="D185" s="444"/>
      <c r="E185" s="298">
        <v>100000</v>
      </c>
      <c r="F185" s="153" t="s">
        <v>177</v>
      </c>
      <c r="G185" s="153">
        <f>SUM(H185+I185+J185+K185+L185+M185+N185+O185+P185+Q185+R185+S185+T185+U185)</f>
        <v>100000</v>
      </c>
      <c r="H185" s="153"/>
      <c r="I185" s="153"/>
      <c r="J185" s="162"/>
      <c r="K185" s="471">
        <v>100000</v>
      </c>
      <c r="L185" s="153"/>
      <c r="M185" s="153"/>
      <c r="N185" s="153"/>
      <c r="O185" s="153"/>
      <c r="P185" s="153"/>
      <c r="Q185" s="153"/>
      <c r="R185" s="153"/>
      <c r="S185" s="153"/>
      <c r="T185" s="153"/>
      <c r="U185" s="496"/>
      <c r="V185" s="497"/>
      <c r="W185" s="241"/>
      <c r="Y185" s="238"/>
    </row>
    <row r="186" s="3" customFormat="1" ht="13.8" spans="1:25">
      <c r="A186" s="442"/>
      <c r="B186" s="443"/>
      <c r="C186" s="443"/>
      <c r="D186" s="444"/>
      <c r="E186" s="155">
        <f>E185</f>
        <v>100000</v>
      </c>
      <c r="F186" s="102"/>
      <c r="G186" s="102">
        <f>G185</f>
        <v>100000</v>
      </c>
      <c r="H186" s="102">
        <f t="shared" ref="H186:V186" si="58">H185</f>
        <v>0</v>
      </c>
      <c r="I186" s="102">
        <f t="shared" si="58"/>
        <v>0</v>
      </c>
      <c r="J186" s="102">
        <f t="shared" si="58"/>
        <v>0</v>
      </c>
      <c r="K186" s="102">
        <f t="shared" si="58"/>
        <v>100000</v>
      </c>
      <c r="L186" s="102">
        <f t="shared" si="58"/>
        <v>0</v>
      </c>
      <c r="M186" s="102">
        <f t="shared" si="58"/>
        <v>0</v>
      </c>
      <c r="N186" s="102">
        <f t="shared" si="58"/>
        <v>0</v>
      </c>
      <c r="O186" s="102">
        <f t="shared" si="58"/>
        <v>0</v>
      </c>
      <c r="P186" s="102">
        <f t="shared" si="58"/>
        <v>0</v>
      </c>
      <c r="Q186" s="102">
        <f t="shared" si="58"/>
        <v>0</v>
      </c>
      <c r="R186" s="102">
        <f t="shared" si="58"/>
        <v>0</v>
      </c>
      <c r="S186" s="102">
        <f t="shared" si="58"/>
        <v>0</v>
      </c>
      <c r="T186" s="102">
        <f t="shared" si="58"/>
        <v>0</v>
      </c>
      <c r="U186" s="102">
        <f t="shared" si="58"/>
        <v>0</v>
      </c>
      <c r="V186" s="266">
        <f t="shared" si="58"/>
        <v>0</v>
      </c>
      <c r="Y186" s="238"/>
    </row>
    <row r="187" s="3" customFormat="1" spans="1:25">
      <c r="A187" s="442"/>
      <c r="B187" s="443"/>
      <c r="C187" s="443"/>
      <c r="D187" s="444"/>
      <c r="E187" s="236"/>
      <c r="F187" s="445"/>
      <c r="G187" s="445"/>
      <c r="H187" s="445"/>
      <c r="I187" s="445"/>
      <c r="J187" s="236"/>
      <c r="K187" s="472"/>
      <c r="L187" s="445"/>
      <c r="M187" s="445"/>
      <c r="N187" s="445"/>
      <c r="O187" s="445"/>
      <c r="P187" s="445"/>
      <c r="Q187" s="445"/>
      <c r="R187" s="445"/>
      <c r="S187" s="445"/>
      <c r="T187" s="445"/>
      <c r="U187" s="445"/>
      <c r="V187" s="498"/>
      <c r="Y187" s="238"/>
    </row>
    <row r="188" s="3" customFormat="1" spans="1:25">
      <c r="A188" s="442" t="s">
        <v>213</v>
      </c>
      <c r="B188" s="443"/>
      <c r="C188" s="443"/>
      <c r="D188" s="444"/>
      <c r="E188" s="305">
        <v>50000</v>
      </c>
      <c r="F188" s="306" t="s">
        <v>177</v>
      </c>
      <c r="G188" s="306">
        <f t="shared" ref="G188:G193" si="59">SUM(H188+I188+J188+K188+L188+M188+N188+O188+P188+Q188+R188+S188+T188+U188)</f>
        <v>0</v>
      </c>
      <c r="H188" s="306"/>
      <c r="I188" s="306"/>
      <c r="J188" s="305"/>
      <c r="K188" s="360"/>
      <c r="L188" s="306"/>
      <c r="M188" s="361"/>
      <c r="N188" s="361"/>
      <c r="O188" s="306"/>
      <c r="P188" s="306"/>
      <c r="Q188" s="306"/>
      <c r="R188" s="306"/>
      <c r="S188" s="306"/>
      <c r="T188" s="306"/>
      <c r="U188" s="306"/>
      <c r="V188" s="497">
        <f>E188-G188</f>
        <v>50000</v>
      </c>
      <c r="Y188" s="238"/>
    </row>
    <row r="189" s="3" customFormat="1" spans="1:25">
      <c r="A189" s="442"/>
      <c r="B189" s="443"/>
      <c r="C189" s="443"/>
      <c r="D189" s="444"/>
      <c r="E189" s="440">
        <f>E188</f>
        <v>50000</v>
      </c>
      <c r="F189" s="441"/>
      <c r="G189" s="441">
        <f>G188</f>
        <v>0</v>
      </c>
      <c r="H189" s="441">
        <f t="shared" ref="H189:V189" si="60">H188</f>
        <v>0</v>
      </c>
      <c r="I189" s="441">
        <f t="shared" si="60"/>
        <v>0</v>
      </c>
      <c r="J189" s="441">
        <f t="shared" si="60"/>
        <v>0</v>
      </c>
      <c r="K189" s="441">
        <f t="shared" si="60"/>
        <v>0</v>
      </c>
      <c r="L189" s="441">
        <f t="shared" si="60"/>
        <v>0</v>
      </c>
      <c r="M189" s="441">
        <f t="shared" si="60"/>
        <v>0</v>
      </c>
      <c r="N189" s="441">
        <f t="shared" si="60"/>
        <v>0</v>
      </c>
      <c r="O189" s="441">
        <f t="shared" si="60"/>
        <v>0</v>
      </c>
      <c r="P189" s="441">
        <f t="shared" si="60"/>
        <v>0</v>
      </c>
      <c r="Q189" s="441">
        <f t="shared" si="60"/>
        <v>0</v>
      </c>
      <c r="R189" s="441">
        <f t="shared" si="60"/>
        <v>0</v>
      </c>
      <c r="S189" s="441">
        <f t="shared" si="60"/>
        <v>0</v>
      </c>
      <c r="T189" s="441">
        <f t="shared" si="60"/>
        <v>0</v>
      </c>
      <c r="U189" s="499">
        <f t="shared" si="60"/>
        <v>0</v>
      </c>
      <c r="V189" s="500">
        <f t="shared" si="60"/>
        <v>50000</v>
      </c>
      <c r="Y189" s="238"/>
    </row>
    <row r="190" s="3" customFormat="1" spans="1:25">
      <c r="A190" s="442"/>
      <c r="B190" s="443"/>
      <c r="C190" s="443"/>
      <c r="D190" s="444"/>
      <c r="E190" s="446"/>
      <c r="F190" s="429"/>
      <c r="G190" s="429"/>
      <c r="H190" s="429"/>
      <c r="I190" s="429"/>
      <c r="J190" s="446"/>
      <c r="K190" s="473"/>
      <c r="L190" s="429"/>
      <c r="M190" s="474"/>
      <c r="N190" s="474"/>
      <c r="O190" s="429"/>
      <c r="P190" s="429"/>
      <c r="Q190" s="429"/>
      <c r="R190" s="429"/>
      <c r="S190" s="429"/>
      <c r="T190" s="429"/>
      <c r="U190" s="429"/>
      <c r="V190" s="501"/>
      <c r="Y190" s="238"/>
    </row>
    <row r="191" s="1" customFormat="1" spans="1:25">
      <c r="A191" s="78" t="s">
        <v>214</v>
      </c>
      <c r="B191" s="79"/>
      <c r="C191" s="79"/>
      <c r="D191" s="437"/>
      <c r="E191" s="133"/>
      <c r="F191" s="134" t="s">
        <v>178</v>
      </c>
      <c r="G191" s="134">
        <f t="shared" si="59"/>
        <v>0</v>
      </c>
      <c r="H191" s="134"/>
      <c r="I191" s="134"/>
      <c r="J191" s="133"/>
      <c r="K191" s="206"/>
      <c r="L191" s="134"/>
      <c r="M191" s="208"/>
      <c r="N191" s="208"/>
      <c r="O191" s="203"/>
      <c r="P191" s="195"/>
      <c r="Q191" s="60"/>
      <c r="R191" s="60"/>
      <c r="S191" s="60"/>
      <c r="T191" s="60"/>
      <c r="U191" s="60"/>
      <c r="V191" s="250">
        <f t="shared" ref="V191:V194" si="61">E191-G191</f>
        <v>0</v>
      </c>
      <c r="Y191" s="238"/>
    </row>
    <row r="192" s="1" customFormat="1" spans="1:25">
      <c r="A192" s="78"/>
      <c r="B192" s="79"/>
      <c r="C192" s="79"/>
      <c r="D192" s="437"/>
      <c r="E192" s="135"/>
      <c r="F192" s="136"/>
      <c r="G192" s="136"/>
      <c r="H192" s="136"/>
      <c r="I192" s="136"/>
      <c r="J192" s="135"/>
      <c r="K192" s="270"/>
      <c r="L192" s="136"/>
      <c r="M192" s="214"/>
      <c r="N192" s="134"/>
      <c r="O192" s="359"/>
      <c r="P192" s="197"/>
      <c r="Q192" s="196"/>
      <c r="R192" s="196"/>
      <c r="S192" s="196"/>
      <c r="T192" s="196"/>
      <c r="U192" s="196"/>
      <c r="V192" s="250">
        <f t="shared" si="61"/>
        <v>0</v>
      </c>
      <c r="Y192" s="238"/>
    </row>
    <row r="193" s="1" customFormat="1" spans="1:25">
      <c r="A193" s="502" t="s">
        <v>215</v>
      </c>
      <c r="B193" s="503"/>
      <c r="C193" s="503"/>
      <c r="D193" s="504"/>
      <c r="E193" s="133">
        <v>100000</v>
      </c>
      <c r="F193" s="134" t="s">
        <v>190</v>
      </c>
      <c r="G193" s="134">
        <f t="shared" si="59"/>
        <v>100000</v>
      </c>
      <c r="H193" s="134"/>
      <c r="I193" s="134"/>
      <c r="J193" s="133"/>
      <c r="K193" s="133">
        <v>100000</v>
      </c>
      <c r="L193" s="134"/>
      <c r="M193" s="208"/>
      <c r="N193" s="314"/>
      <c r="O193" s="203"/>
      <c r="P193" s="195"/>
      <c r="Q193" s="60"/>
      <c r="R193" s="60"/>
      <c r="S193" s="60"/>
      <c r="T193" s="60"/>
      <c r="U193" s="60"/>
      <c r="V193" s="250">
        <f t="shared" si="61"/>
        <v>0</v>
      </c>
      <c r="Y193" s="238"/>
    </row>
    <row r="194" s="1" customFormat="1" spans="1:25">
      <c r="A194" s="78"/>
      <c r="B194" s="79"/>
      <c r="C194" s="79"/>
      <c r="D194" s="437"/>
      <c r="E194" s="135"/>
      <c r="F194" s="136" t="s">
        <v>179</v>
      </c>
      <c r="G194" s="64">
        <f>SUM(H194:U194)</f>
        <v>0</v>
      </c>
      <c r="H194" s="136"/>
      <c r="I194" s="136"/>
      <c r="J194" s="135"/>
      <c r="K194" s="270"/>
      <c r="L194" s="136"/>
      <c r="M194" s="214"/>
      <c r="N194" s="214"/>
      <c r="O194" s="359"/>
      <c r="P194" s="197"/>
      <c r="Q194" s="196"/>
      <c r="R194" s="196"/>
      <c r="S194" s="196"/>
      <c r="T194" s="196"/>
      <c r="U194" s="196"/>
      <c r="V194" s="493">
        <f t="shared" si="61"/>
        <v>0</v>
      </c>
      <c r="Y194" s="238"/>
    </row>
    <row r="195" s="6" customFormat="1" ht="13.8" spans="1:25">
      <c r="A195" s="333"/>
      <c r="B195" s="505"/>
      <c r="C195" s="505"/>
      <c r="D195" s="506"/>
      <c r="E195" s="100">
        <f t="shared" ref="E195:V195" si="62">SUM(E191:E194)</f>
        <v>100000</v>
      </c>
      <c r="F195" s="102">
        <f t="shared" si="62"/>
        <v>0</v>
      </c>
      <c r="G195" s="102">
        <f t="shared" si="62"/>
        <v>100000</v>
      </c>
      <c r="H195" s="102">
        <f t="shared" si="62"/>
        <v>0</v>
      </c>
      <c r="I195" s="102">
        <f t="shared" si="62"/>
        <v>0</v>
      </c>
      <c r="J195" s="102">
        <f t="shared" si="62"/>
        <v>0</v>
      </c>
      <c r="K195" s="102">
        <f t="shared" si="62"/>
        <v>100000</v>
      </c>
      <c r="L195" s="102">
        <f t="shared" si="62"/>
        <v>0</v>
      </c>
      <c r="M195" s="102">
        <f t="shared" si="62"/>
        <v>0</v>
      </c>
      <c r="N195" s="102">
        <f t="shared" si="62"/>
        <v>0</v>
      </c>
      <c r="O195" s="102">
        <f t="shared" si="62"/>
        <v>0</v>
      </c>
      <c r="P195" s="102">
        <f t="shared" si="62"/>
        <v>0</v>
      </c>
      <c r="Q195" s="102">
        <f t="shared" si="62"/>
        <v>0</v>
      </c>
      <c r="R195" s="102">
        <f t="shared" si="62"/>
        <v>0</v>
      </c>
      <c r="S195" s="102">
        <f t="shared" si="62"/>
        <v>0</v>
      </c>
      <c r="T195" s="102">
        <f t="shared" si="62"/>
        <v>0</v>
      </c>
      <c r="U195" s="102">
        <f t="shared" si="62"/>
        <v>0</v>
      </c>
      <c r="V195" s="266">
        <f t="shared" si="62"/>
        <v>0</v>
      </c>
      <c r="Y195" s="282"/>
    </row>
    <row r="196" s="1" customFormat="1" spans="1:25">
      <c r="A196" s="78"/>
      <c r="B196" s="79"/>
      <c r="C196" s="79"/>
      <c r="D196" s="437"/>
      <c r="E196" s="145"/>
      <c r="F196" s="146"/>
      <c r="G196" s="146"/>
      <c r="H196" s="146"/>
      <c r="I196" s="146"/>
      <c r="J196" s="145"/>
      <c r="K196" s="215"/>
      <c r="L196" s="146"/>
      <c r="M196" s="216"/>
      <c r="N196" s="216"/>
      <c r="O196" s="146"/>
      <c r="P196" s="146"/>
      <c r="Q196" s="146"/>
      <c r="R196" s="146"/>
      <c r="S196" s="146"/>
      <c r="T196" s="146"/>
      <c r="U196" s="146"/>
      <c r="V196" s="565"/>
      <c r="Y196" s="261"/>
    </row>
    <row r="197" s="3" customFormat="1" spans="1:25">
      <c r="A197" s="48" t="s">
        <v>216</v>
      </c>
      <c r="B197" s="150"/>
      <c r="C197" s="150"/>
      <c r="D197" s="507"/>
      <c r="E197" s="133"/>
      <c r="F197" s="134" t="s">
        <v>178</v>
      </c>
      <c r="G197" s="60">
        <f>SUM(H197:U197)</f>
        <v>0</v>
      </c>
      <c r="H197" s="134"/>
      <c r="I197" s="134"/>
      <c r="J197" s="133"/>
      <c r="K197" s="206"/>
      <c r="L197" s="134"/>
      <c r="M197" s="208"/>
      <c r="N197" s="208"/>
      <c r="O197" s="203"/>
      <c r="P197" s="195"/>
      <c r="Q197" s="60"/>
      <c r="R197" s="60"/>
      <c r="S197" s="60"/>
      <c r="T197" s="60"/>
      <c r="U197" s="60"/>
      <c r="V197" s="394">
        <f t="shared" si="51"/>
        <v>0</v>
      </c>
      <c r="Y197" s="238"/>
    </row>
    <row r="198" s="3" customFormat="1" spans="1:25">
      <c r="A198" s="48"/>
      <c r="B198" s="150"/>
      <c r="C198" s="150"/>
      <c r="D198" s="507"/>
      <c r="E198" s="135"/>
      <c r="F198" s="136" t="s">
        <v>179</v>
      </c>
      <c r="G198" s="64">
        <f>SUM(H198:U198)</f>
        <v>0</v>
      </c>
      <c r="H198" s="136"/>
      <c r="I198" s="136"/>
      <c r="J198" s="135"/>
      <c r="K198" s="270"/>
      <c r="L198" s="136"/>
      <c r="M198" s="214"/>
      <c r="N198" s="214"/>
      <c r="O198" s="359"/>
      <c r="P198" s="197"/>
      <c r="Q198" s="196"/>
      <c r="R198" s="196"/>
      <c r="S198" s="196"/>
      <c r="T198" s="196"/>
      <c r="U198" s="196"/>
      <c r="V198" s="477">
        <f t="shared" si="51"/>
        <v>0</v>
      </c>
      <c r="Y198" s="238"/>
    </row>
    <row r="199" s="1" customFormat="1" spans="1:25">
      <c r="A199" s="78"/>
      <c r="B199" s="79"/>
      <c r="C199" s="79"/>
      <c r="D199" s="437"/>
      <c r="E199" s="440">
        <f>SUM(E197:E198)</f>
        <v>0</v>
      </c>
      <c r="F199" s="441">
        <f t="shared" ref="F199:V199" si="63">SUM(F197:F198)</f>
        <v>0</v>
      </c>
      <c r="G199" s="441">
        <f t="shared" si="63"/>
        <v>0</v>
      </c>
      <c r="H199" s="441">
        <f t="shared" si="63"/>
        <v>0</v>
      </c>
      <c r="I199" s="441">
        <f t="shared" si="63"/>
        <v>0</v>
      </c>
      <c r="J199" s="441">
        <f t="shared" si="63"/>
        <v>0</v>
      </c>
      <c r="K199" s="441">
        <f t="shared" si="63"/>
        <v>0</v>
      </c>
      <c r="L199" s="441">
        <f t="shared" si="63"/>
        <v>0</v>
      </c>
      <c r="M199" s="441">
        <f t="shared" si="63"/>
        <v>0</v>
      </c>
      <c r="N199" s="441">
        <f t="shared" si="63"/>
        <v>0</v>
      </c>
      <c r="O199" s="441">
        <f t="shared" si="63"/>
        <v>0</v>
      </c>
      <c r="P199" s="441">
        <f t="shared" si="63"/>
        <v>0</v>
      </c>
      <c r="Q199" s="441">
        <f t="shared" si="63"/>
        <v>0</v>
      </c>
      <c r="R199" s="441">
        <f t="shared" si="63"/>
        <v>0</v>
      </c>
      <c r="S199" s="441">
        <f t="shared" si="63"/>
        <v>0</v>
      </c>
      <c r="T199" s="441">
        <f t="shared" si="63"/>
        <v>0</v>
      </c>
      <c r="U199" s="441">
        <f t="shared" si="63"/>
        <v>0</v>
      </c>
      <c r="V199" s="566">
        <f t="shared" si="63"/>
        <v>0</v>
      </c>
      <c r="Y199" s="238"/>
    </row>
    <row r="200" s="1" customFormat="1" spans="1:25">
      <c r="A200" s="78"/>
      <c r="B200" s="79"/>
      <c r="C200" s="79"/>
      <c r="D200" s="437"/>
      <c r="E200" s="303"/>
      <c r="F200" s="508"/>
      <c r="G200" s="304"/>
      <c r="H200" s="508"/>
      <c r="I200" s="304"/>
      <c r="J200" s="304"/>
      <c r="K200" s="304"/>
      <c r="L200" s="304"/>
      <c r="M200" s="304"/>
      <c r="N200" s="304"/>
      <c r="O200" s="146"/>
      <c r="P200" s="304"/>
      <c r="Q200" s="567"/>
      <c r="R200" s="568"/>
      <c r="S200" s="304"/>
      <c r="T200" s="508"/>
      <c r="U200" s="304"/>
      <c r="V200" s="569"/>
      <c r="Y200" s="238"/>
    </row>
    <row r="201" s="1" customFormat="1" spans="1:25">
      <c r="A201" s="78" t="s">
        <v>217</v>
      </c>
      <c r="B201" s="79"/>
      <c r="C201" s="79"/>
      <c r="D201" s="437"/>
      <c r="E201" s="135"/>
      <c r="F201" s="111" t="s">
        <v>178</v>
      </c>
      <c r="G201" s="468">
        <f>SUM(H201:U201)</f>
        <v>0</v>
      </c>
      <c r="H201" s="77"/>
      <c r="I201" s="111"/>
      <c r="J201" s="126"/>
      <c r="K201" s="375"/>
      <c r="L201" s="111"/>
      <c r="M201" s="542"/>
      <c r="N201" s="542"/>
      <c r="O201" s="543"/>
      <c r="P201" s="466"/>
      <c r="Q201" s="77"/>
      <c r="R201" s="77"/>
      <c r="S201" s="77"/>
      <c r="T201" s="77"/>
      <c r="U201" s="77"/>
      <c r="V201" s="264">
        <f t="shared" si="51"/>
        <v>0</v>
      </c>
      <c r="Y201" s="238"/>
    </row>
    <row r="202" s="1" customFormat="1" spans="1:25">
      <c r="A202" s="78"/>
      <c r="B202" s="79"/>
      <c r="C202" s="79"/>
      <c r="D202" s="437"/>
      <c r="E202" s="440">
        <f>SUM(E201)</f>
        <v>0</v>
      </c>
      <c r="F202" s="441"/>
      <c r="G202" s="346">
        <f>SUM(G201)</f>
        <v>0</v>
      </c>
      <c r="H202" s="346">
        <f t="shared" ref="H202:V202" si="64">SUM(H201)</f>
        <v>0</v>
      </c>
      <c r="I202" s="346">
        <f t="shared" si="64"/>
        <v>0</v>
      </c>
      <c r="J202" s="346">
        <f t="shared" si="64"/>
        <v>0</v>
      </c>
      <c r="K202" s="346">
        <f t="shared" si="64"/>
        <v>0</v>
      </c>
      <c r="L202" s="346">
        <f t="shared" si="64"/>
        <v>0</v>
      </c>
      <c r="M202" s="346">
        <f t="shared" si="64"/>
        <v>0</v>
      </c>
      <c r="N202" s="346">
        <f t="shared" si="64"/>
        <v>0</v>
      </c>
      <c r="O202" s="346">
        <f t="shared" si="64"/>
        <v>0</v>
      </c>
      <c r="P202" s="346">
        <f t="shared" si="64"/>
        <v>0</v>
      </c>
      <c r="Q202" s="346">
        <f t="shared" si="64"/>
        <v>0</v>
      </c>
      <c r="R202" s="346">
        <f t="shared" si="64"/>
        <v>0</v>
      </c>
      <c r="S202" s="346">
        <f t="shared" si="64"/>
        <v>0</v>
      </c>
      <c r="T202" s="346">
        <f t="shared" si="64"/>
        <v>0</v>
      </c>
      <c r="U202" s="346">
        <f t="shared" si="64"/>
        <v>0</v>
      </c>
      <c r="V202" s="487">
        <f t="shared" si="64"/>
        <v>0</v>
      </c>
      <c r="Y202" s="238"/>
    </row>
    <row r="203" s="1" customFormat="1" spans="1:25">
      <c r="A203" s="161"/>
      <c r="B203" s="292"/>
      <c r="C203" s="292"/>
      <c r="D203" s="437"/>
      <c r="E203" s="145"/>
      <c r="F203" s="146"/>
      <c r="G203" s="106"/>
      <c r="H203" s="106"/>
      <c r="I203" s="106"/>
      <c r="J203" s="106"/>
      <c r="K203" s="260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255">
        <f t="shared" si="51"/>
        <v>0</v>
      </c>
      <c r="Y203" s="261"/>
    </row>
    <row r="204" s="1" customFormat="1" spans="1:25">
      <c r="A204" s="509" t="s">
        <v>218</v>
      </c>
      <c r="B204" s="510"/>
      <c r="C204" s="510"/>
      <c r="D204" s="510"/>
      <c r="E204" s="296">
        <v>15000</v>
      </c>
      <c r="F204" s="89" t="s">
        <v>180</v>
      </c>
      <c r="G204" s="60">
        <f t="shared" ref="G204:G214" si="65">SUM(H204:U204)</f>
        <v>0</v>
      </c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570">
        <f t="shared" si="51"/>
        <v>15000</v>
      </c>
      <c r="Y204" s="238"/>
    </row>
    <row r="205" s="1" customFormat="1" spans="1:25">
      <c r="A205" s="78"/>
      <c r="B205" s="104"/>
      <c r="C205" s="104"/>
      <c r="D205" s="511"/>
      <c r="E205" s="135"/>
      <c r="F205" s="136"/>
      <c r="G205" s="196">
        <f t="shared" si="65"/>
        <v>0</v>
      </c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570">
        <f t="shared" si="51"/>
        <v>0</v>
      </c>
      <c r="Y205" s="238"/>
    </row>
    <row r="206" s="3" customFormat="1" spans="1:25">
      <c r="A206" s="48" t="s">
        <v>138</v>
      </c>
      <c r="B206" s="512"/>
      <c r="C206" s="512"/>
      <c r="D206" s="513"/>
      <c r="E206" s="133">
        <v>103703.28</v>
      </c>
      <c r="F206" s="59" t="s">
        <v>177</v>
      </c>
      <c r="G206" s="89">
        <f t="shared" si="65"/>
        <v>68968.13</v>
      </c>
      <c r="H206" s="134"/>
      <c r="I206" s="134"/>
      <c r="J206" s="134"/>
      <c r="K206" s="134">
        <v>68968.13</v>
      </c>
      <c r="L206" s="134"/>
      <c r="M206" s="60"/>
      <c r="N206" s="60"/>
      <c r="O206" s="203"/>
      <c r="P206" s="195"/>
      <c r="Q206" s="60"/>
      <c r="R206" s="60"/>
      <c r="S206" s="60"/>
      <c r="T206" s="60"/>
      <c r="U206" s="60"/>
      <c r="V206" s="570">
        <f t="shared" si="51"/>
        <v>34735.15</v>
      </c>
      <c r="Y206" s="238"/>
    </row>
    <row r="207" s="3" customFormat="1" spans="1:25">
      <c r="A207" s="90"/>
      <c r="B207" s="512"/>
      <c r="C207" s="512"/>
      <c r="D207" s="513"/>
      <c r="E207" s="135">
        <v>600000</v>
      </c>
      <c r="F207" s="52" t="s">
        <v>219</v>
      </c>
      <c r="G207" s="97">
        <f t="shared" si="65"/>
        <v>200000</v>
      </c>
      <c r="H207" s="136"/>
      <c r="I207" s="136"/>
      <c r="J207" s="136"/>
      <c r="K207" s="136">
        <v>200000</v>
      </c>
      <c r="L207" s="136"/>
      <c r="M207" s="196"/>
      <c r="N207" s="196"/>
      <c r="O207" s="359"/>
      <c r="P207" s="197"/>
      <c r="Q207" s="196"/>
      <c r="R207" s="196"/>
      <c r="S207" s="196"/>
      <c r="T207" s="196"/>
      <c r="U207" s="196"/>
      <c r="V207" s="570">
        <f t="shared" si="51"/>
        <v>400000</v>
      </c>
      <c r="Y207" s="238"/>
    </row>
    <row r="208" s="5" customFormat="1" ht="13.8" spans="1:25">
      <c r="A208" s="85"/>
      <c r="B208" s="514"/>
      <c r="C208" s="514"/>
      <c r="D208" s="515"/>
      <c r="E208" s="88">
        <v>349702.77</v>
      </c>
      <c r="F208" s="59" t="s">
        <v>220</v>
      </c>
      <c r="G208" s="89">
        <f t="shared" si="65"/>
        <v>349702.77</v>
      </c>
      <c r="H208" s="89"/>
      <c r="I208" s="89"/>
      <c r="J208" s="89"/>
      <c r="K208" s="89">
        <v>349702.77</v>
      </c>
      <c r="L208" s="544"/>
      <c r="M208" s="544"/>
      <c r="N208" s="544"/>
      <c r="O208" s="545"/>
      <c r="P208" s="194"/>
      <c r="Q208" s="192"/>
      <c r="R208" s="192"/>
      <c r="S208" s="192"/>
      <c r="T208" s="192"/>
      <c r="U208" s="192"/>
      <c r="V208" s="570">
        <f t="shared" si="51"/>
        <v>0</v>
      </c>
      <c r="Y208" s="253"/>
    </row>
    <row r="209" s="3" customFormat="1" spans="1:25">
      <c r="A209" s="90"/>
      <c r="B209" s="512"/>
      <c r="C209" s="512"/>
      <c r="D209" s="513"/>
      <c r="E209" s="135">
        <v>50000</v>
      </c>
      <c r="F209" s="52" t="s">
        <v>190</v>
      </c>
      <c r="G209" s="97">
        <f t="shared" si="65"/>
        <v>60231</v>
      </c>
      <c r="H209" s="136"/>
      <c r="I209" s="136"/>
      <c r="J209" s="136"/>
      <c r="K209" s="136">
        <v>50000</v>
      </c>
      <c r="L209" s="546"/>
      <c r="M209" s="546"/>
      <c r="N209" s="546">
        <v>10231</v>
      </c>
      <c r="O209" s="359"/>
      <c r="P209" s="197"/>
      <c r="Q209" s="196"/>
      <c r="R209" s="196"/>
      <c r="S209" s="196"/>
      <c r="T209" s="196"/>
      <c r="U209" s="196"/>
      <c r="V209" s="570">
        <f t="shared" si="51"/>
        <v>-10231</v>
      </c>
      <c r="Y209" s="238"/>
    </row>
    <row r="210" s="3" customFormat="1" spans="1:25">
      <c r="A210" s="55"/>
      <c r="B210" s="512"/>
      <c r="C210" s="512"/>
      <c r="D210" s="513"/>
      <c r="E210" s="133">
        <v>678400</v>
      </c>
      <c r="F210" s="59" t="s">
        <v>178</v>
      </c>
      <c r="G210" s="89">
        <f t="shared" si="65"/>
        <v>494246</v>
      </c>
      <c r="H210" s="134"/>
      <c r="I210" s="134"/>
      <c r="J210" s="134"/>
      <c r="K210" s="134">
        <f>84015+400000</f>
        <v>484015</v>
      </c>
      <c r="L210" s="547"/>
      <c r="M210" s="547"/>
      <c r="N210" s="547">
        <v>10231</v>
      </c>
      <c r="O210" s="203"/>
      <c r="P210" s="195"/>
      <c r="Q210" s="60"/>
      <c r="R210" s="60"/>
      <c r="S210" s="60"/>
      <c r="T210" s="60"/>
      <c r="U210" s="60"/>
      <c r="V210" s="570">
        <f t="shared" si="51"/>
        <v>184154</v>
      </c>
      <c r="Y210" s="238"/>
    </row>
    <row r="211" s="3" customFormat="1" spans="1:25">
      <c r="A211" s="55"/>
      <c r="B211" s="512"/>
      <c r="C211" s="512"/>
      <c r="D211" s="513"/>
      <c r="E211" s="301">
        <v>661002</v>
      </c>
      <c r="F211" s="516" t="s">
        <v>179</v>
      </c>
      <c r="G211" s="93">
        <f t="shared" si="65"/>
        <v>410231</v>
      </c>
      <c r="H211" s="314"/>
      <c r="I211" s="314"/>
      <c r="J211" s="314"/>
      <c r="K211" s="314">
        <v>400000</v>
      </c>
      <c r="L211" s="548"/>
      <c r="M211" s="548"/>
      <c r="N211" s="548">
        <v>10231</v>
      </c>
      <c r="O211" s="373"/>
      <c r="P211" s="447"/>
      <c r="Q211" s="399"/>
      <c r="R211" s="399"/>
      <c r="S211" s="399"/>
      <c r="T211" s="399"/>
      <c r="U211" s="399"/>
      <c r="V211" s="571">
        <f t="shared" si="51"/>
        <v>250771</v>
      </c>
      <c r="Y211" s="238"/>
    </row>
    <row r="212" s="3" customFormat="1" spans="1:25">
      <c r="A212" s="55"/>
      <c r="B212" s="512"/>
      <c r="C212" s="512"/>
      <c r="D212" s="513"/>
      <c r="E212" s="301">
        <v>253877.76</v>
      </c>
      <c r="F212" s="516" t="s">
        <v>180</v>
      </c>
      <c r="G212" s="93">
        <f t="shared" si="65"/>
        <v>60231</v>
      </c>
      <c r="H212" s="314"/>
      <c r="I212" s="314"/>
      <c r="J212" s="314"/>
      <c r="K212" s="314">
        <v>50000</v>
      </c>
      <c r="L212" s="548"/>
      <c r="M212" s="548"/>
      <c r="N212" s="548">
        <v>10231</v>
      </c>
      <c r="O212" s="373"/>
      <c r="P212" s="447"/>
      <c r="Q212" s="399"/>
      <c r="R212" s="399"/>
      <c r="S212" s="399"/>
      <c r="T212" s="399"/>
      <c r="U212" s="399"/>
      <c r="V212" s="571">
        <f t="shared" si="51"/>
        <v>193646.76</v>
      </c>
      <c r="Y212" s="238"/>
    </row>
    <row r="213" s="3" customFormat="1" spans="1:25">
      <c r="A213" s="55"/>
      <c r="B213" s="512"/>
      <c r="C213" s="512"/>
      <c r="D213" s="513"/>
      <c r="E213" s="301">
        <v>200000</v>
      </c>
      <c r="F213" s="516" t="s">
        <v>184</v>
      </c>
      <c r="G213" s="93">
        <f t="shared" si="65"/>
        <v>200000</v>
      </c>
      <c r="H213" s="314"/>
      <c r="I213" s="314"/>
      <c r="J213" s="314"/>
      <c r="K213" s="314">
        <v>200000</v>
      </c>
      <c r="L213" s="548"/>
      <c r="M213" s="548"/>
      <c r="N213" s="548"/>
      <c r="O213" s="373"/>
      <c r="P213" s="447"/>
      <c r="Q213" s="399"/>
      <c r="R213" s="399"/>
      <c r="S213" s="399"/>
      <c r="T213" s="399"/>
      <c r="U213" s="399"/>
      <c r="V213" s="571">
        <f t="shared" si="51"/>
        <v>0</v>
      </c>
      <c r="Y213" s="238"/>
    </row>
    <row r="214" s="3" customFormat="1" spans="1:25">
      <c r="A214" s="55"/>
      <c r="B214" s="512"/>
      <c r="C214" s="512"/>
      <c r="D214" s="513"/>
      <c r="E214" s="135">
        <v>2938452</v>
      </c>
      <c r="F214" s="517" t="s">
        <v>221</v>
      </c>
      <c r="G214" s="97">
        <f t="shared" si="65"/>
        <v>1399767</v>
      </c>
      <c r="H214" s="136"/>
      <c r="I214" s="136"/>
      <c r="J214" s="136"/>
      <c r="K214" s="136">
        <v>1383915</v>
      </c>
      <c r="L214" s="546">
        <v>1856</v>
      </c>
      <c r="M214" s="546">
        <v>3765</v>
      </c>
      <c r="N214" s="546">
        <v>10231</v>
      </c>
      <c r="O214" s="196"/>
      <c r="P214" s="197"/>
      <c r="Q214" s="196"/>
      <c r="R214" s="196"/>
      <c r="S214" s="196"/>
      <c r="T214" s="196"/>
      <c r="U214" s="196"/>
      <c r="V214" s="572">
        <f t="shared" si="51"/>
        <v>1538685</v>
      </c>
      <c r="Y214" s="238"/>
    </row>
    <row r="215" s="6" customFormat="1" ht="13.8" spans="1:25">
      <c r="A215" s="98"/>
      <c r="B215" s="17"/>
      <c r="C215" s="17"/>
      <c r="D215" s="319"/>
      <c r="E215" s="100">
        <f>SUM(E206:E214)</f>
        <v>5835137.81</v>
      </c>
      <c r="F215" s="102"/>
      <c r="G215" s="102">
        <f t="shared" ref="G215:V215" si="66">SUM(G206:G214)</f>
        <v>3243376.9</v>
      </c>
      <c r="H215" s="102">
        <f t="shared" si="66"/>
        <v>0</v>
      </c>
      <c r="I215" s="102">
        <f t="shared" si="66"/>
        <v>0</v>
      </c>
      <c r="J215" s="102">
        <f t="shared" si="66"/>
        <v>0</v>
      </c>
      <c r="K215" s="102">
        <f t="shared" si="66"/>
        <v>3186600.9</v>
      </c>
      <c r="L215" s="102">
        <f t="shared" si="66"/>
        <v>1856</v>
      </c>
      <c r="M215" s="102">
        <f t="shared" si="66"/>
        <v>3765</v>
      </c>
      <c r="N215" s="102">
        <f t="shared" si="66"/>
        <v>51155</v>
      </c>
      <c r="O215" s="102">
        <f t="shared" si="66"/>
        <v>0</v>
      </c>
      <c r="P215" s="102">
        <f t="shared" si="66"/>
        <v>0</v>
      </c>
      <c r="Q215" s="102">
        <f t="shared" si="66"/>
        <v>0</v>
      </c>
      <c r="R215" s="102">
        <f t="shared" si="66"/>
        <v>0</v>
      </c>
      <c r="S215" s="102">
        <f t="shared" si="66"/>
        <v>0</v>
      </c>
      <c r="T215" s="102">
        <f t="shared" si="66"/>
        <v>0</v>
      </c>
      <c r="U215" s="102">
        <f t="shared" si="66"/>
        <v>0</v>
      </c>
      <c r="V215" s="266">
        <f t="shared" si="66"/>
        <v>2591760.91</v>
      </c>
      <c r="Y215" s="282"/>
    </row>
    <row r="216" s="10" customFormat="1" ht="13.8" spans="1:25">
      <c r="A216" s="518"/>
      <c r="B216" s="519"/>
      <c r="C216" s="519" t="s">
        <v>142</v>
      </c>
      <c r="D216" s="520"/>
      <c r="E216" s="521">
        <f>E32+E38+E47+E51+E61+E67+E77+E84+E90+E98+E115+E121+E126+E130+E135+E141+E148+E153+E156+E160+E165+E169+E177+E183+E186+E189+E195+E199+E202+E215</f>
        <v>22593619.85</v>
      </c>
      <c r="F216" s="522"/>
      <c r="G216" s="523">
        <f>G32+G38+G47+G61+G67+G77+G84+G90+G98+G121+G135+G141+G153+G165+G177+G186+G195+G215</f>
        <v>10725957.54</v>
      </c>
      <c r="H216" s="523">
        <f ca="1">H32+H38+H47+H51+H61+H67+H77+H84+H90+H98+H115+H121+H126+H130+H135+H141+H148+H153+H156+H160+H165+H169+H177+H183+H186+H189+H195+H199+H202+H215</f>
        <v>0</v>
      </c>
      <c r="I216" s="523">
        <f ca="1" t="shared" ref="I216:K216" si="67">I32+I38+I47+I51+I61+I67+I77+I84+I90+I98+I115+I121+I126+I130+I135+I141+I148+I153+I156+I160+I165+I169+I177+I183+I186+I189+I195+I199+I202+I215</f>
        <v>0</v>
      </c>
      <c r="J216" s="523">
        <f ca="1" t="shared" si="67"/>
        <v>0</v>
      </c>
      <c r="K216" s="523">
        <f ca="1" t="shared" si="67"/>
        <v>10299171.53</v>
      </c>
      <c r="L216" s="522"/>
      <c r="M216" s="549"/>
      <c r="N216" s="549"/>
      <c r="O216" s="550"/>
      <c r="P216" s="550"/>
      <c r="Q216" s="522"/>
      <c r="R216" s="522"/>
      <c r="S216" s="522"/>
      <c r="T216" s="522"/>
      <c r="U216" s="522"/>
      <c r="V216" s="573">
        <f>E216-G216</f>
        <v>11867662.31</v>
      </c>
      <c r="Y216" s="586"/>
    </row>
    <row r="217" s="1" customFormat="1" spans="4:25">
      <c r="D217" s="35"/>
      <c r="E217" s="375"/>
      <c r="F217" s="375"/>
      <c r="G217" s="375"/>
      <c r="H217" s="375"/>
      <c r="I217" s="375">
        <f ca="1">G32+G38+G47+G51+G61+G67+G77+G84+G90+G98+G115+G121+G126+G130+G135+G141+G148+G153+G156+G160+G165+G169+G177+G183+G186+G189+G195+G199+G202+G215</f>
        <v>0</v>
      </c>
      <c r="J217" s="375"/>
      <c r="K217" s="551"/>
      <c r="L217" s="375"/>
      <c r="M217" s="375"/>
      <c r="N217" s="375"/>
      <c r="O217" s="552"/>
      <c r="P217" s="552"/>
      <c r="Q217" s="375"/>
      <c r="R217" s="375"/>
      <c r="S217" s="375"/>
      <c r="T217" s="375"/>
      <c r="U217" s="375"/>
      <c r="V217" s="574"/>
      <c r="Y217" s="56"/>
    </row>
    <row r="218" s="1" customFormat="1" spans="4:25">
      <c r="D218" s="35"/>
      <c r="E218" s="375"/>
      <c r="F218" s="375"/>
      <c r="G218" s="375"/>
      <c r="H218" s="375"/>
      <c r="I218" s="375"/>
      <c r="J218" s="375"/>
      <c r="K218" s="551"/>
      <c r="L218" s="375"/>
      <c r="M218" s="375"/>
      <c r="N218" s="375"/>
      <c r="O218" s="552"/>
      <c r="P218" s="552"/>
      <c r="Q218" s="375"/>
      <c r="R218" s="375"/>
      <c r="S218" s="375"/>
      <c r="T218" s="375"/>
      <c r="U218" s="375"/>
      <c r="V218" s="574"/>
      <c r="Y218" s="56"/>
    </row>
    <row r="219" s="1" customFormat="1" spans="4:25">
      <c r="D219" s="35"/>
      <c r="E219" s="375"/>
      <c r="F219" s="375"/>
      <c r="G219" s="375"/>
      <c r="H219" s="375"/>
      <c r="I219" s="375"/>
      <c r="J219" s="375"/>
      <c r="K219" s="551"/>
      <c r="L219" s="375"/>
      <c r="M219" s="375"/>
      <c r="N219" s="375"/>
      <c r="O219" s="552"/>
      <c r="P219" s="552"/>
      <c r="Q219" s="375"/>
      <c r="R219" s="375"/>
      <c r="S219" s="375"/>
      <c r="T219" s="375"/>
      <c r="U219" s="375"/>
      <c r="V219" s="574"/>
      <c r="Y219" s="56"/>
    </row>
    <row r="220" s="1" customFormat="1" spans="4:25">
      <c r="D220" s="35"/>
      <c r="E220" s="375"/>
      <c r="F220" s="375"/>
      <c r="G220" s="375"/>
      <c r="H220" s="375"/>
      <c r="I220" s="375"/>
      <c r="J220" s="375"/>
      <c r="K220" s="375"/>
      <c r="L220" s="375"/>
      <c r="M220" s="375"/>
      <c r="N220" s="375"/>
      <c r="O220" s="552"/>
      <c r="P220" s="552"/>
      <c r="Q220" s="375"/>
      <c r="R220" s="375"/>
      <c r="S220" s="375"/>
      <c r="T220" s="375"/>
      <c r="U220" s="375"/>
      <c r="V220" s="574"/>
      <c r="Y220" s="56"/>
    </row>
    <row r="221" s="1" customFormat="1" spans="4:25">
      <c r="D221" s="35"/>
      <c r="E221" s="375"/>
      <c r="F221" s="375"/>
      <c r="G221" s="375"/>
      <c r="H221" s="375"/>
      <c r="I221" s="375"/>
      <c r="J221" s="375"/>
      <c r="K221" s="375"/>
      <c r="L221" s="375"/>
      <c r="M221" s="375"/>
      <c r="N221" s="375"/>
      <c r="O221" s="552"/>
      <c r="P221" s="552"/>
      <c r="Q221" s="375"/>
      <c r="R221" s="375"/>
      <c r="S221" s="375"/>
      <c r="T221" s="375"/>
      <c r="U221" s="375"/>
      <c r="V221" s="574"/>
      <c r="Y221" s="56"/>
    </row>
    <row r="222" s="1" customFormat="1" spans="4:25">
      <c r="D222" s="35"/>
      <c r="E222" s="375"/>
      <c r="F222" s="375"/>
      <c r="G222" s="375"/>
      <c r="H222" s="375"/>
      <c r="I222" s="375"/>
      <c r="J222" s="375"/>
      <c r="K222" s="375"/>
      <c r="L222" s="375"/>
      <c r="M222" s="375"/>
      <c r="N222" s="375"/>
      <c r="O222" s="552"/>
      <c r="P222" s="552"/>
      <c r="Q222" s="375"/>
      <c r="R222" s="375"/>
      <c r="S222" s="375"/>
      <c r="T222" s="375"/>
      <c r="U222" s="375"/>
      <c r="V222" s="574"/>
      <c r="Y222" s="56"/>
    </row>
    <row r="223" s="1" customFormat="1" spans="4:25">
      <c r="D223" s="35"/>
      <c r="E223" s="375"/>
      <c r="F223" s="375"/>
      <c r="G223" s="375"/>
      <c r="H223" s="375"/>
      <c r="I223" s="375"/>
      <c r="J223" s="375"/>
      <c r="K223" s="375"/>
      <c r="L223" s="375"/>
      <c r="M223" s="375"/>
      <c r="N223" s="375"/>
      <c r="O223" s="552"/>
      <c r="P223" s="552"/>
      <c r="Q223" s="375"/>
      <c r="R223" s="375"/>
      <c r="S223" s="375"/>
      <c r="T223" s="375"/>
      <c r="U223" s="375"/>
      <c r="V223" s="574"/>
      <c r="Y223" s="56"/>
    </row>
    <row r="224" s="1" customFormat="1" spans="4:25">
      <c r="D224" s="35"/>
      <c r="E224" s="375"/>
      <c r="F224" s="375"/>
      <c r="G224" s="375"/>
      <c r="H224" s="375"/>
      <c r="I224" s="375"/>
      <c r="J224" s="375"/>
      <c r="K224" s="375"/>
      <c r="L224" s="375"/>
      <c r="M224" s="375"/>
      <c r="N224" s="375"/>
      <c r="O224" s="552"/>
      <c r="P224" s="552"/>
      <c r="Q224" s="375"/>
      <c r="R224" s="375"/>
      <c r="S224" s="375"/>
      <c r="T224" s="375"/>
      <c r="U224" s="375"/>
      <c r="V224" s="574"/>
      <c r="Y224" s="56"/>
    </row>
    <row r="225" s="1" customFormat="1" spans="4:25">
      <c r="D225" s="35"/>
      <c r="E225" s="375"/>
      <c r="F225" s="375"/>
      <c r="G225" s="375"/>
      <c r="H225" s="375"/>
      <c r="I225" s="375"/>
      <c r="J225" s="375"/>
      <c r="K225" s="375"/>
      <c r="L225" s="375"/>
      <c r="M225" s="375"/>
      <c r="N225" s="375"/>
      <c r="O225" s="552"/>
      <c r="P225" s="552"/>
      <c r="Q225" s="375"/>
      <c r="R225" s="375"/>
      <c r="S225" s="375"/>
      <c r="T225" s="375"/>
      <c r="U225" s="375"/>
      <c r="V225" s="574"/>
      <c r="Y225" s="56"/>
    </row>
    <row r="226" s="1" customFormat="1" spans="4:25">
      <c r="D226" s="35"/>
      <c r="E226" s="375"/>
      <c r="F226" s="375"/>
      <c r="G226" s="375"/>
      <c r="H226" s="375"/>
      <c r="I226" s="375"/>
      <c r="J226" s="375"/>
      <c r="K226" s="375"/>
      <c r="L226" s="375"/>
      <c r="M226" s="375"/>
      <c r="N226" s="375"/>
      <c r="O226" s="552"/>
      <c r="P226" s="552"/>
      <c r="Q226" s="375"/>
      <c r="R226" s="375"/>
      <c r="S226" s="375"/>
      <c r="T226" s="375"/>
      <c r="U226" s="375"/>
      <c r="V226" s="574"/>
      <c r="Y226" s="56"/>
    </row>
    <row r="227" s="1" customFormat="1" spans="4:25">
      <c r="D227" s="35"/>
      <c r="E227" s="375"/>
      <c r="F227" s="375"/>
      <c r="G227" s="375"/>
      <c r="H227" s="375"/>
      <c r="I227" s="375"/>
      <c r="J227" s="375"/>
      <c r="K227" s="375"/>
      <c r="L227" s="375"/>
      <c r="M227" s="375"/>
      <c r="N227" s="375"/>
      <c r="O227" s="552"/>
      <c r="P227" s="552"/>
      <c r="Q227" s="375"/>
      <c r="R227" s="375"/>
      <c r="S227" s="375"/>
      <c r="T227" s="375"/>
      <c r="U227" s="375"/>
      <c r="V227" s="574"/>
      <c r="Y227" s="56"/>
    </row>
    <row r="228" s="1" customFormat="1" spans="4:25">
      <c r="D228" s="35"/>
      <c r="E228" s="375"/>
      <c r="F228" s="375"/>
      <c r="G228" s="375"/>
      <c r="H228" s="375"/>
      <c r="I228" s="375"/>
      <c r="J228" s="375"/>
      <c r="K228" s="375"/>
      <c r="L228" s="375"/>
      <c r="M228" s="375"/>
      <c r="N228" s="375"/>
      <c r="O228" s="552"/>
      <c r="P228" s="552"/>
      <c r="Q228" s="375"/>
      <c r="R228" s="375"/>
      <c r="S228" s="375"/>
      <c r="T228" s="375"/>
      <c r="U228" s="375"/>
      <c r="V228" s="574"/>
      <c r="Y228" s="56"/>
    </row>
    <row r="229" s="1" customFormat="1" spans="4:25">
      <c r="D229" s="35"/>
      <c r="E229" s="375"/>
      <c r="F229" s="375"/>
      <c r="G229" s="375"/>
      <c r="H229" s="375"/>
      <c r="I229" s="375"/>
      <c r="J229" s="375"/>
      <c r="K229" s="375"/>
      <c r="L229" s="375"/>
      <c r="M229" s="375"/>
      <c r="N229" s="375"/>
      <c r="O229" s="552"/>
      <c r="P229" s="552"/>
      <c r="Q229" s="375"/>
      <c r="R229" s="375"/>
      <c r="S229" s="375"/>
      <c r="T229" s="375"/>
      <c r="U229" s="375"/>
      <c r="V229" s="574"/>
      <c r="Y229" s="56"/>
    </row>
    <row r="230" s="1" customFormat="1" spans="4:25">
      <c r="D230" s="35"/>
      <c r="E230" s="524"/>
      <c r="F230" s="375"/>
      <c r="G230" s="375"/>
      <c r="H230" s="375"/>
      <c r="I230" s="375"/>
      <c r="J230" s="375"/>
      <c r="K230" s="375"/>
      <c r="L230" s="375"/>
      <c r="M230" s="375"/>
      <c r="N230" s="375"/>
      <c r="O230" s="552"/>
      <c r="P230" s="552"/>
      <c r="Q230" s="375"/>
      <c r="R230" s="375"/>
      <c r="S230" s="375"/>
      <c r="T230" s="375"/>
      <c r="U230" s="375"/>
      <c r="V230" s="574"/>
      <c r="Y230" s="56"/>
    </row>
    <row r="231" s="1" customFormat="1" ht="15.75" customHeight="1" spans="1:25">
      <c r="A231" s="17" t="s">
        <v>0</v>
      </c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222"/>
      <c r="R231" s="222"/>
      <c r="S231" s="222"/>
      <c r="T231" s="222"/>
      <c r="Y231" s="238"/>
    </row>
    <row r="232" s="1" customFormat="1" ht="15.75" customHeight="1" spans="1:25">
      <c r="A232" s="17" t="s">
        <v>91</v>
      </c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222"/>
      <c r="R232" s="222"/>
      <c r="S232" s="222"/>
      <c r="T232" s="222"/>
      <c r="Y232" s="238"/>
    </row>
    <row r="233" s="1" customFormat="1" ht="15.75" customHeight="1" spans="1:25">
      <c r="A233" s="17" t="s">
        <v>166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222"/>
      <c r="R233" s="222"/>
      <c r="S233" s="222"/>
      <c r="T233" s="222"/>
      <c r="V233" s="223"/>
      <c r="Y233" s="238"/>
    </row>
    <row r="234" s="1" customFormat="1" ht="15.75" customHeight="1" spans="1:25">
      <c r="A234" s="17" t="s">
        <v>2</v>
      </c>
      <c r="B234" s="17"/>
      <c r="C234" s="17"/>
      <c r="D234" s="319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222"/>
      <c r="R234" s="222"/>
      <c r="S234" s="222"/>
      <c r="T234" s="222"/>
      <c r="V234" s="223" t="s">
        <v>222</v>
      </c>
      <c r="Y234" s="238"/>
    </row>
    <row r="235" s="1" customFormat="1" ht="20.25" customHeight="1" spans="1:25">
      <c r="A235" s="17" t="s">
        <v>75</v>
      </c>
      <c r="B235" s="17"/>
      <c r="C235" s="17"/>
      <c r="D235" s="319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222"/>
      <c r="R235" s="222"/>
      <c r="S235" s="222"/>
      <c r="T235" s="222"/>
      <c r="Y235" s="238"/>
    </row>
    <row r="236" s="1" customFormat="1" ht="14.55" spans="1:25">
      <c r="A236" s="18"/>
      <c r="B236" s="19"/>
      <c r="C236" s="19"/>
      <c r="D236" s="20"/>
      <c r="E236" s="21" t="s">
        <v>5</v>
      </c>
      <c r="F236" s="22"/>
      <c r="G236" s="23"/>
      <c r="H236" s="24" t="s">
        <v>6</v>
      </c>
      <c r="I236" s="165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224"/>
      <c r="Y236" s="238"/>
    </row>
    <row r="237" s="1" customFormat="1" ht="13.8" spans="1:25">
      <c r="A237" s="25"/>
      <c r="B237" s="6"/>
      <c r="C237" s="6"/>
      <c r="D237" s="26"/>
      <c r="E237" s="27" t="s">
        <v>7</v>
      </c>
      <c r="F237" s="28"/>
      <c r="G237" s="28" t="s">
        <v>8</v>
      </c>
      <c r="H237" s="29" t="s">
        <v>9</v>
      </c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226"/>
      <c r="Y237" s="238"/>
    </row>
    <row r="238" s="1" customFormat="1" ht="13.8" spans="1:25">
      <c r="A238" s="30" t="s">
        <v>168</v>
      </c>
      <c r="B238" s="31"/>
      <c r="C238" s="31"/>
      <c r="D238" s="32"/>
      <c r="E238" s="27" t="s">
        <v>12</v>
      </c>
      <c r="F238" s="28" t="s">
        <v>169</v>
      </c>
      <c r="G238" s="28" t="s">
        <v>13</v>
      </c>
      <c r="H238" s="28"/>
      <c r="I238" s="28"/>
      <c r="J238" s="27"/>
      <c r="K238" s="27"/>
      <c r="L238" s="168"/>
      <c r="M238" s="168"/>
      <c r="N238" s="169"/>
      <c r="O238" s="170"/>
      <c r="P238" s="28"/>
      <c r="Q238" s="28"/>
      <c r="R238" s="28"/>
      <c r="S238" s="28" t="s">
        <v>14</v>
      </c>
      <c r="T238" s="575"/>
      <c r="U238" s="167"/>
      <c r="V238" s="228"/>
      <c r="X238" s="576"/>
      <c r="Y238" s="238"/>
    </row>
    <row r="239" s="1" customFormat="1" spans="1:25">
      <c r="A239" s="34"/>
      <c r="D239" s="35"/>
      <c r="E239" s="27" t="s">
        <v>16</v>
      </c>
      <c r="F239" s="28"/>
      <c r="G239" s="28" t="s">
        <v>17</v>
      </c>
      <c r="H239" s="28" t="s">
        <v>18</v>
      </c>
      <c r="I239" s="28" t="s">
        <v>19</v>
      </c>
      <c r="J239" s="27" t="s">
        <v>20</v>
      </c>
      <c r="K239" s="27"/>
      <c r="L239" s="169" t="s">
        <v>21</v>
      </c>
      <c r="M239" s="169" t="s">
        <v>22</v>
      </c>
      <c r="N239" s="367" t="s">
        <v>23</v>
      </c>
      <c r="O239" s="169" t="s">
        <v>24</v>
      </c>
      <c r="P239" s="169" t="s">
        <v>25</v>
      </c>
      <c r="Q239" s="169" t="s">
        <v>172</v>
      </c>
      <c r="R239" s="367" t="s">
        <v>27</v>
      </c>
      <c r="S239" s="169" t="s">
        <v>76</v>
      </c>
      <c r="T239" s="577"/>
      <c r="U239" s="169" t="s">
        <v>29</v>
      </c>
      <c r="V239" s="228" t="s">
        <v>30</v>
      </c>
      <c r="X239" s="578"/>
      <c r="Y239" s="238"/>
    </row>
    <row r="240" s="1" customFormat="1" ht="15.15" spans="1:25">
      <c r="A240" s="37"/>
      <c r="B240" s="38"/>
      <c r="C240" s="38"/>
      <c r="D240" s="39"/>
      <c r="E240" s="40" t="s">
        <v>31</v>
      </c>
      <c r="F240" s="41"/>
      <c r="G240" s="42"/>
      <c r="H240" s="42"/>
      <c r="I240" s="42"/>
      <c r="J240" s="368"/>
      <c r="K240" s="553"/>
      <c r="L240" s="42"/>
      <c r="M240" s="42"/>
      <c r="N240" s="174"/>
      <c r="O240" s="175"/>
      <c r="P240" s="176"/>
      <c r="Q240" s="230"/>
      <c r="R240" s="579"/>
      <c r="S240" s="230"/>
      <c r="T240" s="580"/>
      <c r="U240" s="232"/>
      <c r="V240" s="233"/>
      <c r="X240" s="581"/>
      <c r="Y240" s="238"/>
    </row>
    <row r="241" s="2" customFormat="1" ht="14.55" spans="1:25">
      <c r="A241" s="525" t="s">
        <v>223</v>
      </c>
      <c r="B241" s="526"/>
      <c r="C241" s="526"/>
      <c r="D241" s="527"/>
      <c r="E241" s="528">
        <f>E243+E246+E252+E260+E264+E268+E273+E274+E242</f>
        <v>421145.5</v>
      </c>
      <c r="F241" s="529"/>
      <c r="G241" s="529">
        <f t="shared" ref="G241:S241" si="68">G243+G246+G252+G260+G264+G268+G273+G274+G242</f>
        <v>0</v>
      </c>
      <c r="H241" s="529">
        <f t="shared" si="68"/>
        <v>0</v>
      </c>
      <c r="I241" s="529">
        <f t="shared" si="68"/>
        <v>0</v>
      </c>
      <c r="J241" s="529">
        <f t="shared" si="68"/>
        <v>0</v>
      </c>
      <c r="K241" s="529">
        <f t="shared" si="68"/>
        <v>0</v>
      </c>
      <c r="L241" s="529">
        <f t="shared" si="68"/>
        <v>0</v>
      </c>
      <c r="M241" s="529">
        <f t="shared" si="68"/>
        <v>0</v>
      </c>
      <c r="N241" s="529">
        <f t="shared" si="68"/>
        <v>0</v>
      </c>
      <c r="O241" s="529">
        <f t="shared" si="68"/>
        <v>0</v>
      </c>
      <c r="P241" s="529">
        <f t="shared" si="68"/>
        <v>0</v>
      </c>
      <c r="Q241" s="529">
        <f t="shared" si="68"/>
        <v>0</v>
      </c>
      <c r="R241" s="529">
        <f t="shared" si="68"/>
        <v>0</v>
      </c>
      <c r="S241" s="529">
        <f t="shared" si="68"/>
        <v>0</v>
      </c>
      <c r="T241" s="529">
        <f>T243+T246+T252+T264+T268+T273+T274+T242+T260</f>
        <v>0</v>
      </c>
      <c r="U241" s="529">
        <f>U243+U246+U252+U264+U268+U273+U274+U242</f>
        <v>0</v>
      </c>
      <c r="V241" s="582">
        <f>E241-G241</f>
        <v>421145.5</v>
      </c>
      <c r="Y241" s="280"/>
    </row>
    <row r="242" s="11" customFormat="1" spans="1:25">
      <c r="A242" s="48" t="s">
        <v>149</v>
      </c>
      <c r="B242" s="530"/>
      <c r="C242" s="530"/>
      <c r="D242" s="531"/>
      <c r="E242" s="236">
        <v>271145.5</v>
      </c>
      <c r="F242" s="445" t="s">
        <v>190</v>
      </c>
      <c r="G242" s="532">
        <f>SUM(H242:U242)</f>
        <v>0</v>
      </c>
      <c r="H242" s="532"/>
      <c r="I242" s="532"/>
      <c r="J242" s="554"/>
      <c r="K242" s="555"/>
      <c r="L242" s="532"/>
      <c r="M242" s="556"/>
      <c r="N242" s="556"/>
      <c r="O242" s="532"/>
      <c r="P242" s="532"/>
      <c r="Q242" s="532"/>
      <c r="R242" s="532"/>
      <c r="S242" s="532"/>
      <c r="T242" s="555"/>
      <c r="U242" s="532"/>
      <c r="V242" s="583">
        <f>E242-G242</f>
        <v>271145.5</v>
      </c>
      <c r="Y242" s="280"/>
    </row>
    <row r="243" s="3" customFormat="1" spans="1:25">
      <c r="A243" s="48" t="s">
        <v>224</v>
      </c>
      <c r="B243" s="49"/>
      <c r="C243" s="49"/>
      <c r="D243" s="50"/>
      <c r="E243" s="301"/>
      <c r="F243" s="314" t="s">
        <v>184</v>
      </c>
      <c r="G243" s="533">
        <f>SUM(H243:U243)</f>
        <v>0</v>
      </c>
      <c r="H243" s="314"/>
      <c r="I243" s="314"/>
      <c r="J243" s="557"/>
      <c r="K243" s="558"/>
      <c r="L243" s="373"/>
      <c r="M243" s="371"/>
      <c r="N243" s="371"/>
      <c r="O243" s="373"/>
      <c r="P243" s="373"/>
      <c r="Q243" s="314"/>
      <c r="R243" s="314"/>
      <c r="S243" s="314"/>
      <c r="T243" s="369"/>
      <c r="U243" s="314"/>
      <c r="V243" s="278">
        <f>E243-G243</f>
        <v>0</v>
      </c>
      <c r="Y243" s="238"/>
    </row>
    <row r="244" s="1" customFormat="1" spans="1:25">
      <c r="A244" s="78" t="s">
        <v>225</v>
      </c>
      <c r="B244" s="80"/>
      <c r="C244" s="80"/>
      <c r="D244" s="81"/>
      <c r="E244" s="126"/>
      <c r="F244" s="200" t="s">
        <v>221</v>
      </c>
      <c r="G244" s="117">
        <f>SUM(H244:U244)</f>
        <v>0</v>
      </c>
      <c r="H244" s="108"/>
      <c r="I244" s="108"/>
      <c r="J244" s="460"/>
      <c r="K244" s="559"/>
      <c r="L244" s="199"/>
      <c r="M244" s="560"/>
      <c r="N244" s="560"/>
      <c r="O244" s="199"/>
      <c r="P244" s="199"/>
      <c r="Q244" s="108"/>
      <c r="R244" s="108"/>
      <c r="S244" s="108"/>
      <c r="T244" s="584"/>
      <c r="U244" s="108"/>
      <c r="V244" s="264">
        <f>E244-G244</f>
        <v>0</v>
      </c>
      <c r="Y244" s="238"/>
    </row>
    <row r="245" s="1" customFormat="1" spans="1:25">
      <c r="A245" s="78"/>
      <c r="B245" s="80"/>
      <c r="C245" s="80"/>
      <c r="D245" s="81"/>
      <c r="E245" s="126"/>
      <c r="F245" s="200" t="s">
        <v>190</v>
      </c>
      <c r="G245" s="117">
        <f>SUM(H245:U245)</f>
        <v>0</v>
      </c>
      <c r="H245" s="111"/>
      <c r="I245" s="111"/>
      <c r="J245" s="561"/>
      <c r="K245" s="552"/>
      <c r="L245" s="200"/>
      <c r="M245" s="542"/>
      <c r="N245" s="542"/>
      <c r="O245" s="200"/>
      <c r="P245" s="200"/>
      <c r="Q245" s="111"/>
      <c r="R245" s="111"/>
      <c r="S245" s="111"/>
      <c r="T245" s="375"/>
      <c r="U245" s="111"/>
      <c r="V245" s="262">
        <f>E245-G245</f>
        <v>0</v>
      </c>
      <c r="Y245" s="238"/>
    </row>
    <row r="246" s="1" customFormat="1" spans="1:25">
      <c r="A246" s="78"/>
      <c r="B246" s="80"/>
      <c r="C246" s="80"/>
      <c r="D246" s="81"/>
      <c r="E246" s="440">
        <f>SUM(E244:E245)</f>
        <v>0</v>
      </c>
      <c r="F246" s="534"/>
      <c r="G246" s="346">
        <f>SUM(G244:G244)</f>
        <v>0</v>
      </c>
      <c r="H246" s="346">
        <f>SUM(H244:H244)</f>
        <v>0</v>
      </c>
      <c r="I246" s="346">
        <f>SUM(I244:I245)</f>
        <v>0</v>
      </c>
      <c r="J246" s="346">
        <f>SUM(J244:J244)</f>
        <v>0</v>
      </c>
      <c r="K246" s="346">
        <f>SUM(K244:K244)</f>
        <v>0</v>
      </c>
      <c r="L246" s="346">
        <f>SUM(L244:L244)</f>
        <v>0</v>
      </c>
      <c r="M246" s="346">
        <f>SUM(M244:M244)</f>
        <v>0</v>
      </c>
      <c r="N246" s="346">
        <f>SUM(N244:N245)</f>
        <v>0</v>
      </c>
      <c r="O246" s="346">
        <f>SUM(O244)</f>
        <v>0</v>
      </c>
      <c r="P246" s="346">
        <f>SUM(P244:P244)</f>
        <v>0</v>
      </c>
      <c r="Q246" s="346">
        <f>SUM(Q244)</f>
        <v>0</v>
      </c>
      <c r="R246" s="346">
        <f>SUM(R244:R245)</f>
        <v>0</v>
      </c>
      <c r="S246" s="346">
        <f>SUM(S244:S244)</f>
        <v>0</v>
      </c>
      <c r="T246" s="346">
        <f>SUM(T244:T244)</f>
        <v>0</v>
      </c>
      <c r="U246" s="346">
        <f>SUM(U244:U244)</f>
        <v>0</v>
      </c>
      <c r="V246" s="487">
        <f>SUM(V244:V244)</f>
        <v>0</v>
      </c>
      <c r="Y246" s="238"/>
    </row>
    <row r="247" s="1" customFormat="1" spans="1:25">
      <c r="A247" s="78" t="s">
        <v>151</v>
      </c>
      <c r="B247" s="80"/>
      <c r="C247" s="80"/>
      <c r="D247" s="81"/>
      <c r="E247" s="198"/>
      <c r="F247" s="108" t="s">
        <v>184</v>
      </c>
      <c r="G247" s="107">
        <f>SUM(I247:U247)</f>
        <v>0</v>
      </c>
      <c r="I247" s="108"/>
      <c r="J247" s="460"/>
      <c r="K247" s="559"/>
      <c r="L247" s="199"/>
      <c r="M247" s="560"/>
      <c r="N247" s="560"/>
      <c r="O247" s="199"/>
      <c r="P247" s="199"/>
      <c r="Q247" s="108"/>
      <c r="R247" s="108"/>
      <c r="S247" s="108"/>
      <c r="T247" s="584"/>
      <c r="U247" s="108"/>
      <c r="V247" s="250">
        <f>E247-G247</f>
        <v>0</v>
      </c>
      <c r="Y247" s="238"/>
    </row>
    <row r="248" s="1" customFormat="1" spans="1:25">
      <c r="A248" s="535"/>
      <c r="B248" s="293"/>
      <c r="C248" s="293"/>
      <c r="D248" s="294"/>
      <c r="E248" s="198"/>
      <c r="F248" s="108" t="s">
        <v>179</v>
      </c>
      <c r="G248" s="107">
        <f t="shared" ref="G248:G250" si="69">SUM(I248:U248)</f>
        <v>0</v>
      </c>
      <c r="H248" s="108"/>
      <c r="I248" s="108"/>
      <c r="J248" s="460"/>
      <c r="K248" s="559"/>
      <c r="L248" s="199"/>
      <c r="M248" s="560"/>
      <c r="N248" s="221"/>
      <c r="O248" s="199"/>
      <c r="P248" s="199"/>
      <c r="Q248" s="108"/>
      <c r="R248" s="108"/>
      <c r="S248" s="108"/>
      <c r="T248" s="584"/>
      <c r="U248" s="108"/>
      <c r="V248" s="250">
        <f>E248-G248</f>
        <v>0</v>
      </c>
      <c r="Y248" s="238"/>
    </row>
    <row r="249" s="3" customFormat="1" spans="1:25">
      <c r="A249" s="241"/>
      <c r="D249" s="57"/>
      <c r="E249" s="133"/>
      <c r="F249" s="134" t="s">
        <v>178</v>
      </c>
      <c r="G249" s="60">
        <f t="shared" si="69"/>
        <v>0</v>
      </c>
      <c r="H249" s="134"/>
      <c r="I249" s="134"/>
      <c r="J249" s="354"/>
      <c r="K249" s="562"/>
      <c r="L249" s="203"/>
      <c r="M249" s="208"/>
      <c r="N249" s="209"/>
      <c r="O249" s="203"/>
      <c r="P249" s="203"/>
      <c r="Q249" s="134"/>
      <c r="R249" s="134"/>
      <c r="S249" s="134"/>
      <c r="T249" s="206"/>
      <c r="U249" s="134"/>
      <c r="V249" s="255">
        <f t="shared" ref="V249:V251" si="70">E249-G249</f>
        <v>0</v>
      </c>
      <c r="Y249" s="238"/>
    </row>
    <row r="250" s="3" customFormat="1" spans="1:25">
      <c r="A250" s="241"/>
      <c r="D250" s="57"/>
      <c r="E250" s="135"/>
      <c r="F250" s="136" t="s">
        <v>210</v>
      </c>
      <c r="G250" s="196">
        <f t="shared" si="69"/>
        <v>0</v>
      </c>
      <c r="H250" s="136"/>
      <c r="I250" s="136"/>
      <c r="J250" s="204"/>
      <c r="K250" s="563"/>
      <c r="L250" s="359"/>
      <c r="M250" s="214"/>
      <c r="N250" s="213"/>
      <c r="O250" s="359"/>
      <c r="P250" s="359"/>
      <c r="Q250" s="136"/>
      <c r="R250" s="136"/>
      <c r="S250" s="136"/>
      <c r="T250" s="270"/>
      <c r="U250" s="136"/>
      <c r="V250" s="486">
        <f t="shared" si="70"/>
        <v>0</v>
      </c>
      <c r="Y250" s="238"/>
    </row>
    <row r="251" s="3" customFormat="1" spans="1:25">
      <c r="A251" s="241"/>
      <c r="D251" s="57"/>
      <c r="E251" s="162"/>
      <c r="F251" s="153" t="s">
        <v>180</v>
      </c>
      <c r="G251" s="152">
        <f>SUM(H251:U251)</f>
        <v>0</v>
      </c>
      <c r="H251" s="153"/>
      <c r="I251" s="153"/>
      <c r="J251" s="162"/>
      <c r="K251" s="471"/>
      <c r="L251" s="153"/>
      <c r="M251" s="496"/>
      <c r="N251" s="353"/>
      <c r="O251" s="355"/>
      <c r="P251" s="355"/>
      <c r="Q251" s="153"/>
      <c r="R251" s="153"/>
      <c r="S251" s="153"/>
      <c r="T251" s="471"/>
      <c r="U251" s="153"/>
      <c r="V251" s="486">
        <f t="shared" si="70"/>
        <v>0</v>
      </c>
      <c r="Y251" s="238"/>
    </row>
    <row r="252" s="1" customFormat="1" spans="1:25">
      <c r="A252" s="536"/>
      <c r="B252" s="143"/>
      <c r="C252" s="143"/>
      <c r="D252" s="144"/>
      <c r="E252" s="440">
        <f>SUM(E248:E251)</f>
        <v>0</v>
      </c>
      <c r="F252" s="441"/>
      <c r="G252" s="346">
        <f t="shared" ref="G252:V252" si="71">SUM(G247:G251)</f>
        <v>0</v>
      </c>
      <c r="H252" s="441">
        <f t="shared" si="71"/>
        <v>0</v>
      </c>
      <c r="I252" s="441">
        <f t="shared" si="71"/>
        <v>0</v>
      </c>
      <c r="J252" s="441">
        <f t="shared" si="71"/>
        <v>0</v>
      </c>
      <c r="K252" s="441">
        <f t="shared" si="71"/>
        <v>0</v>
      </c>
      <c r="L252" s="441">
        <f t="shared" si="71"/>
        <v>0</v>
      </c>
      <c r="M252" s="441">
        <f t="shared" si="71"/>
        <v>0</v>
      </c>
      <c r="N252" s="346">
        <f t="shared" si="71"/>
        <v>0</v>
      </c>
      <c r="O252" s="441">
        <f t="shared" si="71"/>
        <v>0</v>
      </c>
      <c r="P252" s="441">
        <f t="shared" si="71"/>
        <v>0</v>
      </c>
      <c r="Q252" s="441">
        <f t="shared" si="71"/>
        <v>0</v>
      </c>
      <c r="R252" s="102">
        <f t="shared" si="71"/>
        <v>0</v>
      </c>
      <c r="S252" s="441">
        <f t="shared" si="71"/>
        <v>0</v>
      </c>
      <c r="T252" s="441">
        <f t="shared" si="71"/>
        <v>0</v>
      </c>
      <c r="U252" s="441">
        <f t="shared" si="71"/>
        <v>0</v>
      </c>
      <c r="V252" s="494">
        <f t="shared" si="71"/>
        <v>0</v>
      </c>
      <c r="Y252" s="238"/>
    </row>
    <row r="253" spans="1:25">
      <c r="A253" s="537"/>
      <c r="D253" s="538"/>
      <c r="E253" s="539"/>
      <c r="F253" s="540"/>
      <c r="G253" s="541"/>
      <c r="H253" s="541"/>
      <c r="I253" s="564"/>
      <c r="J253" s="564"/>
      <c r="K253" s="540"/>
      <c r="L253" s="564"/>
      <c r="M253" s="564"/>
      <c r="N253" s="564"/>
      <c r="O253" s="564"/>
      <c r="P253" s="564"/>
      <c r="Q253" s="564"/>
      <c r="R253" s="564"/>
      <c r="S253" s="564"/>
      <c r="T253" s="540"/>
      <c r="U253" s="540"/>
      <c r="V253" s="585"/>
      <c r="Y253" s="587"/>
    </row>
    <row r="254" s="3" customFormat="1" spans="1:25">
      <c r="A254" s="48" t="s">
        <v>154</v>
      </c>
      <c r="B254" s="49"/>
      <c r="C254" s="49"/>
      <c r="D254" s="50"/>
      <c r="E254" s="133"/>
      <c r="F254" s="134" t="s">
        <v>190</v>
      </c>
      <c r="G254" s="60">
        <f t="shared" ref="G254:G259" si="72">SUM(H254:U254)</f>
        <v>0</v>
      </c>
      <c r="H254" s="134"/>
      <c r="I254" s="134"/>
      <c r="J254" s="133"/>
      <c r="K254" s="206"/>
      <c r="L254" s="134"/>
      <c r="M254" s="208"/>
      <c r="N254" s="209"/>
      <c r="O254" s="203"/>
      <c r="P254" s="203"/>
      <c r="Q254" s="134"/>
      <c r="R254" s="134"/>
      <c r="S254" s="134"/>
      <c r="T254" s="206"/>
      <c r="U254" s="208"/>
      <c r="V254" s="255">
        <f t="shared" ref="V254:V259" si="73">E254-G254</f>
        <v>0</v>
      </c>
      <c r="Y254" s="238"/>
    </row>
    <row r="255" s="3" customFormat="1" spans="1:25">
      <c r="A255" s="129"/>
      <c r="B255" s="131"/>
      <c r="C255" s="131"/>
      <c r="D255" s="132"/>
      <c r="E255" s="133"/>
      <c r="F255" s="134" t="s">
        <v>226</v>
      </c>
      <c r="G255" s="60">
        <f t="shared" si="72"/>
        <v>0</v>
      </c>
      <c r="H255" s="134"/>
      <c r="I255" s="134"/>
      <c r="J255" s="133"/>
      <c r="K255" s="206"/>
      <c r="L255" s="134"/>
      <c r="M255" s="208"/>
      <c r="N255" s="209"/>
      <c r="O255" s="203"/>
      <c r="P255" s="203"/>
      <c r="Q255" s="134"/>
      <c r="R255" s="134"/>
      <c r="S255" s="134"/>
      <c r="T255" s="206"/>
      <c r="U255" s="208"/>
      <c r="V255" s="255">
        <f t="shared" si="73"/>
        <v>0</v>
      </c>
      <c r="Y255" s="238"/>
    </row>
    <row r="256" s="3" customFormat="1" spans="1:25">
      <c r="A256" s="129"/>
      <c r="B256" s="131"/>
      <c r="C256" s="131"/>
      <c r="D256" s="132"/>
      <c r="E256" s="133"/>
      <c r="F256" s="134" t="s">
        <v>178</v>
      </c>
      <c r="G256" s="60">
        <f t="shared" si="72"/>
        <v>0</v>
      </c>
      <c r="H256" s="134"/>
      <c r="I256" s="134"/>
      <c r="J256" s="133"/>
      <c r="K256" s="206"/>
      <c r="L256" s="134"/>
      <c r="M256" s="208"/>
      <c r="N256" s="209"/>
      <c r="O256" s="203"/>
      <c r="P256" s="203"/>
      <c r="Q256" s="134"/>
      <c r="R256" s="134"/>
      <c r="S256" s="134"/>
      <c r="T256" s="206"/>
      <c r="U256" s="208"/>
      <c r="V256" s="255">
        <f t="shared" si="73"/>
        <v>0</v>
      </c>
      <c r="Y256" s="238"/>
    </row>
    <row r="257" s="3" customFormat="1" spans="1:25">
      <c r="A257" s="90"/>
      <c r="D257" s="57"/>
      <c r="E257" s="133"/>
      <c r="F257" s="134" t="s">
        <v>179</v>
      </c>
      <c r="G257" s="60">
        <f t="shared" si="72"/>
        <v>0</v>
      </c>
      <c r="H257" s="134"/>
      <c r="I257" s="134"/>
      <c r="J257" s="133"/>
      <c r="K257" s="206"/>
      <c r="L257" s="134"/>
      <c r="M257" s="208"/>
      <c r="N257" s="209"/>
      <c r="O257" s="203"/>
      <c r="P257" s="203"/>
      <c r="Q257" s="134"/>
      <c r="R257" s="134"/>
      <c r="S257" s="134"/>
      <c r="T257" s="206"/>
      <c r="U257" s="208"/>
      <c r="V257" s="255">
        <f t="shared" si="73"/>
        <v>0</v>
      </c>
      <c r="Y257" s="238"/>
    </row>
    <row r="258" s="3" customFormat="1" spans="1:25">
      <c r="A258" s="90"/>
      <c r="D258" s="57"/>
      <c r="E258" s="135"/>
      <c r="F258" s="136" t="s">
        <v>180</v>
      </c>
      <c r="G258" s="60">
        <f t="shared" si="72"/>
        <v>0</v>
      </c>
      <c r="H258" s="136"/>
      <c r="I258" s="136"/>
      <c r="J258" s="135"/>
      <c r="K258" s="270"/>
      <c r="L258" s="136"/>
      <c r="M258" s="214"/>
      <c r="N258" s="213"/>
      <c r="O258" s="359"/>
      <c r="P258" s="359"/>
      <c r="Q258" s="136"/>
      <c r="R258" s="136"/>
      <c r="S258" s="136"/>
      <c r="T258" s="270"/>
      <c r="U258" s="214"/>
      <c r="V258" s="255">
        <f t="shared" si="73"/>
        <v>0</v>
      </c>
      <c r="Y258" s="238"/>
    </row>
    <row r="259" s="1" customFormat="1" spans="1:25">
      <c r="A259" s="103"/>
      <c r="D259" s="35"/>
      <c r="E259" s="588"/>
      <c r="F259" s="589" t="s">
        <v>184</v>
      </c>
      <c r="G259" s="332">
        <f t="shared" si="72"/>
        <v>0</v>
      </c>
      <c r="H259" s="589"/>
      <c r="I259" s="589"/>
      <c r="J259" s="588"/>
      <c r="K259" s="644"/>
      <c r="L259" s="589"/>
      <c r="M259" s="645"/>
      <c r="N259" s="646"/>
      <c r="O259" s="543"/>
      <c r="P259" s="543"/>
      <c r="Q259" s="589"/>
      <c r="R259" s="589"/>
      <c r="S259" s="589"/>
      <c r="T259" s="644"/>
      <c r="U259" s="645"/>
      <c r="V259" s="659">
        <f t="shared" si="73"/>
        <v>0</v>
      </c>
      <c r="Y259" s="238"/>
    </row>
    <row r="260" s="1" customFormat="1" ht="13.8" spans="1:25">
      <c r="A260" s="141"/>
      <c r="B260" s="143"/>
      <c r="C260" s="143"/>
      <c r="D260" s="144"/>
      <c r="E260" s="100">
        <f>SUM(E254:E259)</f>
        <v>0</v>
      </c>
      <c r="F260" s="102"/>
      <c r="G260" s="102">
        <f t="shared" ref="G260:V260" si="74">SUM(G254:G259)</f>
        <v>0</v>
      </c>
      <c r="H260" s="102">
        <f t="shared" si="74"/>
        <v>0</v>
      </c>
      <c r="I260" s="102">
        <f t="shared" si="74"/>
        <v>0</v>
      </c>
      <c r="J260" s="102">
        <f t="shared" si="74"/>
        <v>0</v>
      </c>
      <c r="K260" s="102">
        <f t="shared" si="74"/>
        <v>0</v>
      </c>
      <c r="L260" s="102">
        <f t="shared" si="74"/>
        <v>0</v>
      </c>
      <c r="M260" s="102">
        <f t="shared" si="74"/>
        <v>0</v>
      </c>
      <c r="N260" s="101">
        <f t="shared" si="74"/>
        <v>0</v>
      </c>
      <c r="O260" s="102">
        <f t="shared" si="74"/>
        <v>0</v>
      </c>
      <c r="P260" s="102">
        <f t="shared" si="74"/>
        <v>0</v>
      </c>
      <c r="Q260" s="102">
        <f t="shared" si="74"/>
        <v>0</v>
      </c>
      <c r="R260" s="102">
        <f t="shared" si="74"/>
        <v>0</v>
      </c>
      <c r="S260" s="102">
        <f t="shared" si="74"/>
        <v>0</v>
      </c>
      <c r="T260" s="102">
        <f t="shared" si="74"/>
        <v>0</v>
      </c>
      <c r="U260" s="102">
        <f t="shared" si="74"/>
        <v>0</v>
      </c>
      <c r="V260" s="487">
        <f t="shared" si="74"/>
        <v>0</v>
      </c>
      <c r="Y260" s="238"/>
    </row>
    <row r="261" spans="1:25">
      <c r="A261" s="590" t="s">
        <v>157</v>
      </c>
      <c r="D261" s="538"/>
      <c r="E261" s="591"/>
      <c r="F261" s="592" t="s">
        <v>190</v>
      </c>
      <c r="G261" s="593">
        <f>SUM(H261:U261)</f>
        <v>0</v>
      </c>
      <c r="H261" s="592"/>
      <c r="I261" s="592"/>
      <c r="J261" s="592"/>
      <c r="K261" s="592"/>
      <c r="L261" s="541"/>
      <c r="M261" s="592"/>
      <c r="N261" s="647"/>
      <c r="O261" s="592"/>
      <c r="P261" s="592"/>
      <c r="Q261" s="592"/>
      <c r="R261" s="592"/>
      <c r="S261" s="592"/>
      <c r="T261" s="592"/>
      <c r="U261" s="592"/>
      <c r="V261" s="393">
        <f>E261-G261</f>
        <v>0</v>
      </c>
      <c r="Y261" s="587"/>
    </row>
    <row r="262" spans="1:25">
      <c r="A262" s="590"/>
      <c r="D262" s="538"/>
      <c r="E262" s="562"/>
      <c r="F262" s="594" t="s">
        <v>178</v>
      </c>
      <c r="G262" s="107"/>
      <c r="H262" s="594"/>
      <c r="I262" s="594"/>
      <c r="J262" s="594"/>
      <c r="K262" s="594"/>
      <c r="L262" s="199"/>
      <c r="M262" s="594"/>
      <c r="N262" s="648"/>
      <c r="O262" s="594"/>
      <c r="P262" s="594"/>
      <c r="Q262" s="594"/>
      <c r="R262" s="594"/>
      <c r="S262" s="594"/>
      <c r="T262" s="594"/>
      <c r="U262" s="594"/>
      <c r="V262" s="250"/>
      <c r="Y262" s="587"/>
    </row>
    <row r="263" spans="1:25">
      <c r="A263" s="590"/>
      <c r="D263" s="538"/>
      <c r="E263" s="595"/>
      <c r="F263" s="596" t="s">
        <v>179</v>
      </c>
      <c r="G263" s="468">
        <f>SUM(H263:U263)</f>
        <v>0</v>
      </c>
      <c r="H263" s="596"/>
      <c r="I263" s="596"/>
      <c r="J263" s="596"/>
      <c r="K263" s="543"/>
      <c r="L263" s="469"/>
      <c r="M263" s="596"/>
      <c r="N263" s="649"/>
      <c r="O263" s="596"/>
      <c r="P263" s="596"/>
      <c r="Q263" s="596"/>
      <c r="R263" s="596"/>
      <c r="S263" s="596"/>
      <c r="T263" s="596"/>
      <c r="U263" s="596"/>
      <c r="V263" s="262">
        <f>E263-G263</f>
        <v>0</v>
      </c>
      <c r="Y263" s="587"/>
    </row>
    <row r="264" spans="1:25">
      <c r="A264" s="590"/>
      <c r="B264" s="597"/>
      <c r="C264" s="597"/>
      <c r="D264" s="598"/>
      <c r="E264" s="599">
        <f>SUM(E261:E263)</f>
        <v>0</v>
      </c>
      <c r="F264" s="600"/>
      <c r="G264" s="601">
        <f t="shared" ref="G264:M264" si="75">SUM(G261:G263)</f>
        <v>0</v>
      </c>
      <c r="H264" s="601">
        <f t="shared" si="75"/>
        <v>0</v>
      </c>
      <c r="I264" s="601">
        <f t="shared" si="75"/>
        <v>0</v>
      </c>
      <c r="J264" s="601">
        <f t="shared" si="75"/>
        <v>0</v>
      </c>
      <c r="K264" s="601">
        <f t="shared" si="75"/>
        <v>0</v>
      </c>
      <c r="L264" s="650">
        <f t="shared" si="75"/>
        <v>0</v>
      </c>
      <c r="M264" s="601">
        <f t="shared" si="75"/>
        <v>0</v>
      </c>
      <c r="N264" s="601"/>
      <c r="O264" s="601">
        <f>SUM(O261:O263)</f>
        <v>0</v>
      </c>
      <c r="P264" s="601">
        <f>SUM(P261:P263)</f>
        <v>0</v>
      </c>
      <c r="Q264" s="601">
        <f>SUM(Q261:Q263)</f>
        <v>0</v>
      </c>
      <c r="R264" s="601">
        <f t="shared" ref="R264:V264" si="76">SUM(R261:R263)</f>
        <v>0</v>
      </c>
      <c r="S264" s="601">
        <f t="shared" si="76"/>
        <v>0</v>
      </c>
      <c r="T264" s="601">
        <f t="shared" si="76"/>
        <v>0</v>
      </c>
      <c r="U264" s="601">
        <f t="shared" si="76"/>
        <v>0</v>
      </c>
      <c r="V264" s="397">
        <f t="shared" si="76"/>
        <v>0</v>
      </c>
      <c r="Y264" s="587"/>
    </row>
    <row r="265" s="12" customFormat="1" spans="1:25">
      <c r="A265" s="602" t="s">
        <v>227</v>
      </c>
      <c r="B265" s="603"/>
      <c r="C265" s="603"/>
      <c r="D265" s="603"/>
      <c r="E265" s="604">
        <v>180000</v>
      </c>
      <c r="F265" s="605" t="s">
        <v>178</v>
      </c>
      <c r="G265" s="53">
        <f>SUM(H265:U265)</f>
        <v>0</v>
      </c>
      <c r="H265" s="606"/>
      <c r="I265" s="651"/>
      <c r="J265" s="651"/>
      <c r="K265" s="651"/>
      <c r="L265" s="620"/>
      <c r="M265" s="651"/>
      <c r="N265" s="651"/>
      <c r="O265" s="651"/>
      <c r="P265" s="651"/>
      <c r="Q265" s="651"/>
      <c r="R265" s="620"/>
      <c r="S265" s="651"/>
      <c r="T265" s="651"/>
      <c r="U265" s="651"/>
      <c r="V265" s="660">
        <f>E265-G265</f>
        <v>180000</v>
      </c>
      <c r="Y265" s="587"/>
    </row>
    <row r="266" spans="1:25">
      <c r="A266" s="590" t="s">
        <v>228</v>
      </c>
      <c r="B266" s="597"/>
      <c r="C266" s="597"/>
      <c r="D266" s="598"/>
      <c r="E266" s="563"/>
      <c r="F266" s="607" t="s">
        <v>184</v>
      </c>
      <c r="G266" s="196">
        <f>SUM(H266:U266)</f>
        <v>0</v>
      </c>
      <c r="H266" s="563"/>
      <c r="I266" s="359"/>
      <c r="J266" s="359"/>
      <c r="K266" s="607"/>
      <c r="L266" s="359"/>
      <c r="M266" s="359"/>
      <c r="N266" s="359"/>
      <c r="O266" s="359"/>
      <c r="P266" s="197"/>
      <c r="Q266" s="359"/>
      <c r="R266" s="359"/>
      <c r="S266" s="359"/>
      <c r="T266" s="607"/>
      <c r="U266" s="607"/>
      <c r="V266" s="277">
        <f>E266-G266</f>
        <v>0</v>
      </c>
      <c r="Y266" s="587"/>
    </row>
    <row r="267" spans="1:25">
      <c r="A267" s="590"/>
      <c r="B267" s="597"/>
      <c r="C267" s="597"/>
      <c r="D267" s="598"/>
      <c r="E267" s="608"/>
      <c r="F267" s="609" t="s">
        <v>190</v>
      </c>
      <c r="G267" s="152">
        <f>SUM(H267:U267)</f>
        <v>0</v>
      </c>
      <c r="H267" s="608"/>
      <c r="I267" s="355"/>
      <c r="J267" s="355"/>
      <c r="K267" s="609"/>
      <c r="L267" s="355"/>
      <c r="M267" s="355"/>
      <c r="N267" s="355"/>
      <c r="O267" s="355"/>
      <c r="P267" s="652"/>
      <c r="Q267" s="355"/>
      <c r="R267" s="355"/>
      <c r="S267" s="355"/>
      <c r="T267" s="609"/>
      <c r="U267" s="609"/>
      <c r="V267" s="486"/>
      <c r="Y267" s="587"/>
    </row>
    <row r="268" spans="1:25">
      <c r="A268" s="590"/>
      <c r="B268" s="597"/>
      <c r="C268" s="597"/>
      <c r="D268" s="598"/>
      <c r="E268" s="599">
        <f>SUM(E266:E267)</f>
        <v>0</v>
      </c>
      <c r="F268" s="600"/>
      <c r="G268" s="346">
        <f>SUM(G266:G267)</f>
        <v>0</v>
      </c>
      <c r="H268" s="599">
        <f>SUM(H266:H267)</f>
        <v>0</v>
      </c>
      <c r="I268" s="600">
        <f t="shared" ref="I268:V268" si="77">SUM(I266:I267)</f>
        <v>0</v>
      </c>
      <c r="J268" s="600">
        <f t="shared" si="77"/>
        <v>0</v>
      </c>
      <c r="K268" s="600">
        <f t="shared" si="77"/>
        <v>0</v>
      </c>
      <c r="L268" s="534">
        <f t="shared" si="77"/>
        <v>0</v>
      </c>
      <c r="M268" s="599">
        <f t="shared" si="77"/>
        <v>0</v>
      </c>
      <c r="N268" s="600">
        <f t="shared" si="77"/>
        <v>0</v>
      </c>
      <c r="O268" s="600">
        <f t="shared" si="77"/>
        <v>0</v>
      </c>
      <c r="P268" s="600">
        <f t="shared" si="77"/>
        <v>0</v>
      </c>
      <c r="Q268" s="600">
        <f t="shared" si="77"/>
        <v>0</v>
      </c>
      <c r="R268" s="600">
        <f t="shared" si="77"/>
        <v>0</v>
      </c>
      <c r="S268" s="600">
        <f t="shared" si="77"/>
        <v>0</v>
      </c>
      <c r="T268" s="600">
        <f t="shared" si="77"/>
        <v>0</v>
      </c>
      <c r="U268" s="534">
        <f t="shared" si="77"/>
        <v>0</v>
      </c>
      <c r="V268" s="599">
        <f t="shared" si="77"/>
        <v>0</v>
      </c>
      <c r="W268" s="537"/>
      <c r="Y268" s="681"/>
    </row>
    <row r="269" spans="1:25">
      <c r="A269" s="590" t="s">
        <v>229</v>
      </c>
      <c r="B269" s="597"/>
      <c r="C269" s="597"/>
      <c r="D269" s="598"/>
      <c r="E269" s="610"/>
      <c r="F269" s="611" t="s">
        <v>190</v>
      </c>
      <c r="G269" s="117">
        <f>SUM(H269:U269)</f>
        <v>0</v>
      </c>
      <c r="H269" s="612"/>
      <c r="I269" s="612"/>
      <c r="J269" s="612"/>
      <c r="K269" s="612"/>
      <c r="L269" s="612"/>
      <c r="M269" s="612"/>
      <c r="N269" s="653"/>
      <c r="O269" s="612"/>
      <c r="P269" s="612"/>
      <c r="Q269" s="612"/>
      <c r="R269" s="612"/>
      <c r="S269" s="612"/>
      <c r="T269" s="612"/>
      <c r="U269" s="612"/>
      <c r="V269" s="264">
        <f>E269-G269</f>
        <v>0</v>
      </c>
      <c r="Y269" s="587"/>
    </row>
    <row r="270" spans="1:25">
      <c r="A270" s="613"/>
      <c r="D270" s="538"/>
      <c r="E270" s="559"/>
      <c r="F270" s="594" t="s">
        <v>180</v>
      </c>
      <c r="G270" s="107">
        <f>SUM(H270:U270)</f>
        <v>0</v>
      </c>
      <c r="H270" s="199"/>
      <c r="I270" s="199"/>
      <c r="J270" s="199"/>
      <c r="K270" s="199"/>
      <c r="L270" s="199"/>
      <c r="M270" s="199"/>
      <c r="N270" s="191"/>
      <c r="O270" s="199"/>
      <c r="P270" s="199"/>
      <c r="Q270" s="199"/>
      <c r="R270" s="199"/>
      <c r="S270" s="199"/>
      <c r="T270" s="199"/>
      <c r="U270" s="199"/>
      <c r="V270" s="250">
        <f>E270-G270</f>
        <v>0</v>
      </c>
      <c r="Y270" s="587"/>
    </row>
    <row r="271" spans="1:25">
      <c r="A271" s="613"/>
      <c r="D271" s="538"/>
      <c r="E271" s="559"/>
      <c r="F271" s="594" t="s">
        <v>178</v>
      </c>
      <c r="G271" s="107">
        <f>SUM(H271:U271)</f>
        <v>0</v>
      </c>
      <c r="H271" s="199"/>
      <c r="I271" s="199"/>
      <c r="J271" s="199"/>
      <c r="K271" s="199"/>
      <c r="L271" s="199"/>
      <c r="M271" s="199"/>
      <c r="N271" s="191"/>
      <c r="O271" s="199"/>
      <c r="P271" s="199"/>
      <c r="Q271" s="199"/>
      <c r="R271" s="199"/>
      <c r="S271" s="199"/>
      <c r="T271" s="199"/>
      <c r="U271" s="199"/>
      <c r="V271" s="250">
        <f>E271-G271</f>
        <v>0</v>
      </c>
      <c r="Y271" s="587"/>
    </row>
    <row r="272" spans="1:25">
      <c r="A272" s="537"/>
      <c r="D272" s="538"/>
      <c r="E272" s="614"/>
      <c r="F272" s="596" t="s">
        <v>179</v>
      </c>
      <c r="G272" s="468">
        <f>SUM(H272:U272)</f>
        <v>0</v>
      </c>
      <c r="H272" s="469"/>
      <c r="I272" s="469"/>
      <c r="J272" s="469"/>
      <c r="K272" s="469"/>
      <c r="L272" s="469"/>
      <c r="M272" s="469"/>
      <c r="N272" s="469"/>
      <c r="O272" s="469"/>
      <c r="P272" s="469"/>
      <c r="Q272" s="469"/>
      <c r="R272" s="469"/>
      <c r="S272" s="469"/>
      <c r="T272" s="469"/>
      <c r="U272" s="469"/>
      <c r="V272" s="493">
        <f>E272-G272</f>
        <v>0</v>
      </c>
      <c r="Y272" s="587"/>
    </row>
    <row r="273" spans="1:25">
      <c r="A273" s="537"/>
      <c r="D273" s="538"/>
      <c r="E273" s="599">
        <f>SUM(E269:E272)</f>
        <v>0</v>
      </c>
      <c r="F273" s="600"/>
      <c r="G273" s="601">
        <f t="shared" ref="G273:V273" si="78">SUM(G269:G272)</f>
        <v>0</v>
      </c>
      <c r="H273" s="601">
        <f t="shared" si="78"/>
        <v>0</v>
      </c>
      <c r="I273" s="601">
        <f t="shared" si="78"/>
        <v>0</v>
      </c>
      <c r="J273" s="601">
        <f t="shared" si="78"/>
        <v>0</v>
      </c>
      <c r="K273" s="601">
        <f t="shared" si="78"/>
        <v>0</v>
      </c>
      <c r="L273" s="601">
        <f t="shared" si="78"/>
        <v>0</v>
      </c>
      <c r="M273" s="601">
        <f t="shared" si="78"/>
        <v>0</v>
      </c>
      <c r="N273" s="601">
        <f t="shared" si="78"/>
        <v>0</v>
      </c>
      <c r="O273" s="601">
        <f t="shared" si="78"/>
        <v>0</v>
      </c>
      <c r="P273" s="601">
        <f t="shared" si="78"/>
        <v>0</v>
      </c>
      <c r="Q273" s="601">
        <f t="shared" si="78"/>
        <v>0</v>
      </c>
      <c r="R273" s="601">
        <f t="shared" si="78"/>
        <v>0</v>
      </c>
      <c r="S273" s="601">
        <f t="shared" si="78"/>
        <v>0</v>
      </c>
      <c r="T273" s="601">
        <f t="shared" si="78"/>
        <v>0</v>
      </c>
      <c r="U273" s="601">
        <f t="shared" si="78"/>
        <v>0</v>
      </c>
      <c r="V273" s="661">
        <f t="shared" si="78"/>
        <v>0</v>
      </c>
      <c r="Y273" s="587"/>
    </row>
    <row r="274" s="12" customFormat="1" spans="1:25">
      <c r="A274" s="615" t="s">
        <v>230</v>
      </c>
      <c r="B274" s="616"/>
      <c r="C274" s="616"/>
      <c r="D274" s="617"/>
      <c r="E274" s="618">
        <v>150000</v>
      </c>
      <c r="F274" s="619" t="s">
        <v>180</v>
      </c>
      <c r="G274" s="620">
        <f>SUM(H274:U274)</f>
        <v>0</v>
      </c>
      <c r="H274" s="606"/>
      <c r="I274" s="620"/>
      <c r="J274" s="651"/>
      <c r="K274" s="651"/>
      <c r="L274" s="651"/>
      <c r="M274" s="651"/>
      <c r="N274" s="651"/>
      <c r="O274" s="651"/>
      <c r="P274" s="651"/>
      <c r="Q274" s="651"/>
      <c r="R274" s="651"/>
      <c r="S274" s="651"/>
      <c r="T274" s="620"/>
      <c r="U274" s="651"/>
      <c r="V274" s="662">
        <f>E274-G274</f>
        <v>150000</v>
      </c>
      <c r="Y274" s="587"/>
    </row>
    <row r="275" spans="1:25">
      <c r="A275" s="537"/>
      <c r="D275" s="538"/>
      <c r="E275" s="552"/>
      <c r="F275" s="621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663"/>
      <c r="Y275" s="587"/>
    </row>
    <row r="276" spans="1:25">
      <c r="A276" s="537"/>
      <c r="D276" s="538"/>
      <c r="E276" s="552"/>
      <c r="F276" s="621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663"/>
      <c r="Y276" s="587"/>
    </row>
    <row r="277" s="13" customFormat="1" ht="13.2" spans="1:25">
      <c r="A277" s="622" t="s">
        <v>165</v>
      </c>
      <c r="D277" s="623"/>
      <c r="E277" s="624">
        <f>E12+E23+E241</f>
        <v>25965231.56</v>
      </c>
      <c r="F277" s="625"/>
      <c r="G277" s="625">
        <f>G21+G216</f>
        <v>14235633.42</v>
      </c>
      <c r="H277" s="625">
        <f ca="1">H12+H23+H241</f>
        <v>0</v>
      </c>
      <c r="I277" s="625">
        <f ca="1">I12+I23+I241</f>
        <v>0</v>
      </c>
      <c r="J277" s="625">
        <f ca="1">J12+J23+J241</f>
        <v>0</v>
      </c>
      <c r="K277" s="625">
        <f>K12+K23+K241</f>
        <v>0</v>
      </c>
      <c r="L277" s="625">
        <f ca="1" t="shared" ref="L277:V277" si="79">L12+L23+L241</f>
        <v>0</v>
      </c>
      <c r="M277" s="625">
        <f ca="1" t="shared" si="79"/>
        <v>0</v>
      </c>
      <c r="N277" s="625">
        <f ca="1" t="shared" si="79"/>
        <v>0</v>
      </c>
      <c r="O277" s="625">
        <f ca="1" t="shared" si="79"/>
        <v>0</v>
      </c>
      <c r="P277" s="625">
        <f ca="1" t="shared" si="79"/>
        <v>0</v>
      </c>
      <c r="Q277" s="625">
        <f ca="1" t="shared" si="79"/>
        <v>0</v>
      </c>
      <c r="R277" s="625">
        <f ca="1" t="shared" si="79"/>
        <v>0</v>
      </c>
      <c r="S277" s="625">
        <f ca="1" t="shared" si="79"/>
        <v>0</v>
      </c>
      <c r="T277" s="625">
        <f ca="1" t="shared" si="79"/>
        <v>0</v>
      </c>
      <c r="U277" s="625">
        <f ca="1" t="shared" si="79"/>
        <v>0</v>
      </c>
      <c r="V277" s="664">
        <f ca="1" t="shared" si="79"/>
        <v>39227384</v>
      </c>
      <c r="X277" s="665">
        <f>16675455.46+5238843.75+5238843.75+2245218.75</f>
        <v>29398361.71</v>
      </c>
      <c r="Y277" s="682"/>
    </row>
    <row r="278" spans="1:25">
      <c r="A278" s="537"/>
      <c r="D278" s="538"/>
      <c r="E278" s="552"/>
      <c r="F278" s="621"/>
      <c r="G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663"/>
      <c r="Y278" s="587"/>
    </row>
    <row r="279" ht="15.15" spans="1:25">
      <c r="A279" s="626"/>
      <c r="B279" s="627"/>
      <c r="C279" s="627"/>
      <c r="D279" s="628"/>
      <c r="E279" s="629"/>
      <c r="F279" s="630"/>
      <c r="G279" s="631"/>
      <c r="H279" s="631"/>
      <c r="I279" s="631"/>
      <c r="J279" s="631"/>
      <c r="K279" s="631"/>
      <c r="L279" s="631"/>
      <c r="M279" s="631"/>
      <c r="N279" s="631"/>
      <c r="O279" s="631"/>
      <c r="P279" s="631"/>
      <c r="Q279" s="631"/>
      <c r="R279" s="631"/>
      <c r="S279" s="631"/>
      <c r="T279" s="631"/>
      <c r="U279" s="631"/>
      <c r="V279" s="666"/>
      <c r="Y279" s="587"/>
    </row>
    <row r="280" ht="15.75" spans="4:26">
      <c r="D280" s="632"/>
      <c r="E280" s="632"/>
      <c r="F280" s="632"/>
      <c r="G280" s="632"/>
      <c r="H280" s="633"/>
      <c r="L280" s="654"/>
      <c r="N280" s="638"/>
      <c r="Q280" s="15"/>
      <c r="R280" s="15"/>
      <c r="S280" s="15"/>
      <c r="T280" s="15"/>
      <c r="U280" s="15"/>
      <c r="V280" s="667"/>
      <c r="W280" s="15"/>
      <c r="X280" s="15"/>
      <c r="Y280" s="633"/>
      <c r="Z280" s="15"/>
    </row>
    <row r="281" ht="15" spans="4:26">
      <c r="D281" s="634"/>
      <c r="E281" s="634"/>
      <c r="F281" s="634"/>
      <c r="G281" s="634"/>
      <c r="H281"/>
      <c r="I281" s="633"/>
      <c r="L281" s="596"/>
      <c r="N281" s="638"/>
      <c r="Q281" s="15"/>
      <c r="R281" s="15"/>
      <c r="S281" s="15"/>
      <c r="T281" s="15"/>
      <c r="U281" s="15"/>
      <c r="V281" s="668"/>
      <c r="W281" s="15"/>
      <c r="X281" s="15"/>
      <c r="Y281" s="633"/>
      <c r="Z281" s="15"/>
    </row>
    <row r="282" s="13" customFormat="1" ht="13.2" spans="1:25">
      <c r="A282" s="635" t="s">
        <v>231</v>
      </c>
      <c r="B282" s="635"/>
      <c r="C282" s="635"/>
      <c r="D282" s="635"/>
      <c r="E282" s="636">
        <f>E277+'[1]Fiduciary 2025'!E436</f>
        <v>39908650.55</v>
      </c>
      <c r="F282" s="637">
        <f>G277+'[1]Fiduciary 2025'!F436</f>
        <v>22130410.44</v>
      </c>
      <c r="G282" s="637"/>
      <c r="H282" s="636">
        <f ca="1">H277+'[1]Fiduciary 2025'!G436</f>
        <v>0</v>
      </c>
      <c r="I282" s="636">
        <f ca="1">I277+'[1]Fiduciary 2025'!H436</f>
        <v>0</v>
      </c>
      <c r="J282" s="636">
        <f ca="1">J277+'[1]Fiduciary 2025'!I436</f>
        <v>0</v>
      </c>
      <c r="K282" s="636">
        <f>K277+'[1]Fiduciary 2025'!J436</f>
        <v>0</v>
      </c>
      <c r="L282" s="636">
        <f ca="1">L277+'[1]Fiduciary 2025'!K436</f>
        <v>0</v>
      </c>
      <c r="M282" s="636">
        <f ca="1">M277+'[1]Fiduciary 2025'!L436</f>
        <v>0</v>
      </c>
      <c r="N282" s="636">
        <f ca="1">N277+'[1]Fiduciary 2025'!M436</f>
        <v>0</v>
      </c>
      <c r="O282" s="655">
        <f ca="1">O277+'[1]Fiduciary 2025'!N436</f>
        <v>0</v>
      </c>
      <c r="P282" s="655">
        <f ca="1">P277+'[1]Fiduciary 2025'!O436</f>
        <v>0</v>
      </c>
      <c r="Q282" s="655">
        <f ca="1">Q277+'[1]Fiduciary 2025'!P436</f>
        <v>0</v>
      </c>
      <c r="R282" s="655">
        <f ca="1">R277+'[1]Fiduciary 2025'!Q436</f>
        <v>0</v>
      </c>
      <c r="S282" s="655">
        <f ca="1">S277+'[1]Fiduciary 2025'!R436</f>
        <v>0</v>
      </c>
      <c r="T282" s="655">
        <f ca="1">T277+'[1]Fiduciary 2025'!S436</f>
        <v>0</v>
      </c>
      <c r="U282" s="655">
        <f ca="1">U277+'[1]Fiduciary 2025'!T436</f>
        <v>0</v>
      </c>
      <c r="V282" s="669">
        <f ca="1">SUM(H282:U282)</f>
        <v>0</v>
      </c>
      <c r="Y282" s="682"/>
    </row>
    <row r="283" spans="6:25">
      <c r="F283" s="638"/>
      <c r="G283" s="638"/>
      <c r="I283" s="15" t="s">
        <v>232</v>
      </c>
      <c r="N283" s="638"/>
      <c r="O283" s="656"/>
      <c r="P283" s="656"/>
      <c r="Q283" s="670"/>
      <c r="R283" s="671"/>
      <c r="S283" s="671"/>
      <c r="T283" s="671"/>
      <c r="U283" s="671"/>
      <c r="V283" s="672">
        <f ca="1">U282+T282+R282+Q282+P282+O282+N282+M282+L282+J282+I282+H282+S282</f>
        <v>0</v>
      </c>
      <c r="Y283" s="587"/>
    </row>
    <row r="284" spans="1:22">
      <c r="A284" s="639" t="s">
        <v>233</v>
      </c>
      <c r="O284" s="656"/>
      <c r="P284" s="656"/>
      <c r="Q284" s="671"/>
      <c r="R284" s="671"/>
      <c r="S284" s="671"/>
      <c r="T284" s="671"/>
      <c r="U284" s="671"/>
      <c r="V284" s="673"/>
    </row>
    <row r="285" spans="1:22">
      <c r="A285" s="640" t="s">
        <v>180</v>
      </c>
      <c r="B285" s="14"/>
      <c r="C285" s="14"/>
      <c r="D285" s="14"/>
      <c r="E285" s="641"/>
      <c r="F285" s="641"/>
      <c r="G285" s="641"/>
      <c r="H285" s="641"/>
      <c r="I285" s="14"/>
      <c r="J285" s="641"/>
      <c r="K285" s="641"/>
      <c r="L285" s="641"/>
      <c r="M285" s="641"/>
      <c r="N285" s="657"/>
      <c r="O285" s="658"/>
      <c r="P285" s="658"/>
      <c r="Q285" s="674"/>
      <c r="R285" s="674"/>
      <c r="S285" s="674"/>
      <c r="T285" s="675"/>
      <c r="U285" s="675"/>
      <c r="V285" s="676"/>
    </row>
    <row r="286" s="14" customFormat="1" spans="1:25">
      <c r="A286" s="640" t="s">
        <v>11</v>
      </c>
      <c r="E286" s="641"/>
      <c r="F286" s="641"/>
      <c r="G286" s="641"/>
      <c r="H286" s="641"/>
      <c r="I286" s="641"/>
      <c r="J286" s="641"/>
      <c r="K286" s="641"/>
      <c r="L286" s="641"/>
      <c r="M286" s="641"/>
      <c r="N286" s="641"/>
      <c r="O286" s="658"/>
      <c r="P286" s="658"/>
      <c r="Q286" s="677"/>
      <c r="R286" s="677"/>
      <c r="S286" s="674"/>
      <c r="T286" s="674"/>
      <c r="U286" s="675"/>
      <c r="V286" s="676"/>
      <c r="Y286" s="683"/>
    </row>
    <row r="287" spans="15:22">
      <c r="O287" s="656"/>
      <c r="P287" s="656"/>
      <c r="Q287" s="671"/>
      <c r="R287" s="671"/>
      <c r="S287" s="671"/>
      <c r="T287" s="671"/>
      <c r="U287" s="678"/>
      <c r="V287" s="673"/>
    </row>
    <row r="288" ht="15.15" spans="1:22">
      <c r="A288" s="642" t="s">
        <v>234</v>
      </c>
      <c r="B288" s="642"/>
      <c r="C288" s="642"/>
      <c r="D288" s="642"/>
      <c r="E288" s="643"/>
      <c r="F288" s="643"/>
      <c r="G288" s="643"/>
      <c r="H288" s="643">
        <f ca="1">H282+H285+H286</f>
        <v>0</v>
      </c>
      <c r="I288" s="643">
        <f ca="1" t="shared" ref="I288:U288" si="80">I282+I285+I286</f>
        <v>0</v>
      </c>
      <c r="J288" s="643">
        <f ca="1" t="shared" si="80"/>
        <v>0</v>
      </c>
      <c r="K288" s="643"/>
      <c r="L288" s="643">
        <f ca="1" t="shared" si="80"/>
        <v>0</v>
      </c>
      <c r="M288" s="643">
        <f ca="1" t="shared" si="80"/>
        <v>0</v>
      </c>
      <c r="N288" s="643">
        <f ca="1" t="shared" si="80"/>
        <v>0</v>
      </c>
      <c r="O288" s="643">
        <f ca="1" t="shared" si="80"/>
        <v>0</v>
      </c>
      <c r="P288" s="643">
        <f ca="1" t="shared" si="80"/>
        <v>0</v>
      </c>
      <c r="Q288" s="643">
        <f ca="1" t="shared" si="80"/>
        <v>0</v>
      </c>
      <c r="R288" s="643">
        <f ca="1" t="shared" si="80"/>
        <v>0</v>
      </c>
      <c r="S288" s="643">
        <f ca="1" t="shared" si="80"/>
        <v>0</v>
      </c>
      <c r="T288" s="643">
        <f ca="1" t="shared" si="80"/>
        <v>0</v>
      </c>
      <c r="U288" s="643">
        <f ca="1" t="shared" si="80"/>
        <v>0</v>
      </c>
      <c r="V288" s="679">
        <f ca="1">SUM(H288:U288)</f>
        <v>0</v>
      </c>
    </row>
    <row r="289" ht="15.15"/>
    <row r="291" spans="20:22">
      <c r="T291" s="680"/>
      <c r="V291" s="680">
        <f ca="1">V283+V285</f>
        <v>0</v>
      </c>
    </row>
    <row r="331" s="1" customFormat="1" ht="13.8" spans="5:25">
      <c r="E331" s="684"/>
      <c r="F331" s="684"/>
      <c r="G331" s="684"/>
      <c r="H331" s="684"/>
      <c r="I331" s="684"/>
      <c r="J331" s="684"/>
      <c r="K331" s="684"/>
      <c r="L331" s="684"/>
      <c r="M331" s="684"/>
      <c r="N331" s="684"/>
      <c r="O331" s="684"/>
      <c r="P331" s="684"/>
      <c r="Y331" s="225"/>
    </row>
    <row r="332" s="1" customFormat="1" ht="13.8" spans="5:25">
      <c r="E332" s="684"/>
      <c r="F332" s="684"/>
      <c r="G332" s="684"/>
      <c r="H332" s="684"/>
      <c r="I332" s="684"/>
      <c r="J332" s="684"/>
      <c r="K332" s="684"/>
      <c r="L332" s="684"/>
      <c r="M332" s="684"/>
      <c r="N332" s="684"/>
      <c r="O332" s="684"/>
      <c r="P332" s="684"/>
      <c r="Y332" s="225"/>
    </row>
    <row r="333" s="1" customFormat="1" ht="13.8" spans="5:25">
      <c r="E333" s="684"/>
      <c r="F333" s="684"/>
      <c r="G333" s="684"/>
      <c r="H333" s="684"/>
      <c r="I333" s="684"/>
      <c r="J333" s="684"/>
      <c r="K333" s="684"/>
      <c r="L333" s="684"/>
      <c r="M333" s="684"/>
      <c r="N333" s="684"/>
      <c r="O333" s="684"/>
      <c r="P333" s="684"/>
      <c r="Y333" s="225"/>
    </row>
    <row r="334" s="1" customFormat="1" ht="13.8" spans="5:25">
      <c r="E334" s="684"/>
      <c r="F334" s="684"/>
      <c r="G334" s="684"/>
      <c r="H334" s="684"/>
      <c r="I334" s="684"/>
      <c r="J334" s="684"/>
      <c r="K334" s="684"/>
      <c r="L334" s="684"/>
      <c r="M334" s="684"/>
      <c r="N334" s="684"/>
      <c r="O334" s="684"/>
      <c r="P334" s="684"/>
      <c r="Y334" s="225"/>
    </row>
    <row r="335" s="1" customFormat="1" ht="13.8" spans="5:25">
      <c r="E335" s="684"/>
      <c r="F335" s="684"/>
      <c r="G335" s="684"/>
      <c r="H335" s="684"/>
      <c r="I335" s="684"/>
      <c r="J335" s="684"/>
      <c r="K335" s="684"/>
      <c r="L335" s="684"/>
      <c r="M335" s="684"/>
      <c r="N335" s="684"/>
      <c r="O335" s="684"/>
      <c r="P335" s="684"/>
      <c r="Y335" s="225"/>
    </row>
    <row r="336" s="1" customFormat="1" ht="13.8" spans="5:25">
      <c r="E336" s="684"/>
      <c r="F336" s="684"/>
      <c r="G336" s="684"/>
      <c r="H336" s="684"/>
      <c r="I336" s="684"/>
      <c r="J336" s="684"/>
      <c r="K336" s="684"/>
      <c r="L336" s="684"/>
      <c r="M336" s="684"/>
      <c r="N336" s="684"/>
      <c r="O336" s="684"/>
      <c r="P336" s="684"/>
      <c r="Y336" s="225"/>
    </row>
    <row r="337" s="1" customFormat="1" ht="13.8" spans="5:25">
      <c r="E337" s="684"/>
      <c r="F337" s="684"/>
      <c r="G337" s="684"/>
      <c r="H337" s="684"/>
      <c r="I337" s="684"/>
      <c r="J337" s="684"/>
      <c r="K337" s="684"/>
      <c r="L337" s="684"/>
      <c r="M337" s="684"/>
      <c r="N337" s="684"/>
      <c r="O337" s="684"/>
      <c r="P337" s="684"/>
      <c r="Y337" s="225"/>
    </row>
    <row r="338" s="1" customFormat="1" ht="13.8" spans="5:25">
      <c r="E338" s="684"/>
      <c r="F338" s="684"/>
      <c r="G338" s="684"/>
      <c r="H338" s="684"/>
      <c r="I338" s="684"/>
      <c r="J338" s="684"/>
      <c r="K338" s="684"/>
      <c r="L338" s="684"/>
      <c r="M338" s="684"/>
      <c r="N338" s="684"/>
      <c r="O338" s="684"/>
      <c r="P338" s="684"/>
      <c r="Y338" s="225"/>
    </row>
    <row r="339" s="1" customFormat="1" ht="13.8" spans="5:25">
      <c r="E339" s="684"/>
      <c r="F339" s="684"/>
      <c r="G339" s="684"/>
      <c r="H339" s="684"/>
      <c r="I339" s="684"/>
      <c r="J339" s="684"/>
      <c r="K339" s="684"/>
      <c r="L339" s="684"/>
      <c r="M339" s="684"/>
      <c r="N339" s="684"/>
      <c r="O339" s="684"/>
      <c r="P339" s="684"/>
      <c r="Y339" s="225"/>
    </row>
    <row r="340" s="1" customFormat="1" ht="13.8" spans="5:25">
      <c r="E340" s="684"/>
      <c r="F340" s="684"/>
      <c r="G340" s="684"/>
      <c r="H340" s="684"/>
      <c r="I340" s="684"/>
      <c r="J340" s="684"/>
      <c r="K340" s="684"/>
      <c r="L340" s="684"/>
      <c r="M340" s="684"/>
      <c r="N340" s="684"/>
      <c r="O340" s="684"/>
      <c r="P340" s="684"/>
      <c r="Y340" s="225"/>
    </row>
    <row r="341" s="1" customFormat="1" ht="13.8" spans="5:25">
      <c r="E341" s="684"/>
      <c r="F341" s="684"/>
      <c r="G341" s="684"/>
      <c r="H341" s="684"/>
      <c r="I341" s="684"/>
      <c r="J341" s="684"/>
      <c r="K341" s="684"/>
      <c r="L341" s="684"/>
      <c r="M341" s="684"/>
      <c r="N341" s="684"/>
      <c r="O341" s="684"/>
      <c r="P341" s="684"/>
      <c r="Y341" s="225"/>
    </row>
    <row r="342" s="1" customFormat="1" ht="13.8" spans="5:25">
      <c r="E342" s="684"/>
      <c r="F342" s="684"/>
      <c r="G342" s="684"/>
      <c r="H342" s="684"/>
      <c r="I342" s="684"/>
      <c r="J342" s="684"/>
      <c r="K342" s="684"/>
      <c r="L342" s="684"/>
      <c r="M342" s="684"/>
      <c r="N342" s="684"/>
      <c r="O342" s="684"/>
      <c r="P342" s="684"/>
      <c r="Y342" s="225"/>
    </row>
    <row r="343" s="1" customFormat="1" ht="13.8" spans="5:25">
      <c r="E343" s="684"/>
      <c r="F343" s="684"/>
      <c r="G343" s="684"/>
      <c r="H343" s="684"/>
      <c r="I343" s="684"/>
      <c r="J343" s="684"/>
      <c r="K343" s="684"/>
      <c r="L343" s="684"/>
      <c r="M343" s="684"/>
      <c r="N343" s="684"/>
      <c r="O343" s="684"/>
      <c r="P343" s="684"/>
      <c r="Y343" s="225"/>
    </row>
    <row r="344" s="1" customFormat="1" ht="13.8" spans="5:25">
      <c r="E344" s="684"/>
      <c r="F344" s="684"/>
      <c r="G344" s="684"/>
      <c r="H344" s="684"/>
      <c r="I344" s="684"/>
      <c r="J344" s="684"/>
      <c r="K344" s="684"/>
      <c r="L344" s="684"/>
      <c r="M344" s="684"/>
      <c r="N344" s="684"/>
      <c r="O344" s="684"/>
      <c r="P344" s="684"/>
      <c r="Y344" s="225"/>
    </row>
    <row r="345" s="1" customFormat="1" ht="13.8" spans="5:25">
      <c r="E345" s="684"/>
      <c r="F345" s="684"/>
      <c r="G345" s="684"/>
      <c r="H345" s="684"/>
      <c r="I345" s="684"/>
      <c r="J345" s="684"/>
      <c r="K345" s="684"/>
      <c r="L345" s="684"/>
      <c r="M345" s="684"/>
      <c r="N345" s="684"/>
      <c r="O345" s="684"/>
      <c r="P345" s="684"/>
      <c r="Y345" s="225"/>
    </row>
    <row r="346" s="1" customFormat="1" ht="13.8" spans="5:25">
      <c r="E346" s="684"/>
      <c r="F346" s="684"/>
      <c r="G346" s="684"/>
      <c r="H346" s="684"/>
      <c r="I346" s="684"/>
      <c r="J346" s="684"/>
      <c r="K346" s="684"/>
      <c r="L346" s="684"/>
      <c r="M346" s="684"/>
      <c r="N346" s="684"/>
      <c r="O346" s="684"/>
      <c r="P346" s="684"/>
      <c r="Y346" s="225"/>
    </row>
    <row r="347" s="1" customFormat="1" ht="13.8" spans="5:25">
      <c r="E347" s="684"/>
      <c r="F347" s="684"/>
      <c r="G347" s="684"/>
      <c r="H347" s="684"/>
      <c r="I347" s="684"/>
      <c r="J347" s="684"/>
      <c r="K347" s="684"/>
      <c r="L347" s="684"/>
      <c r="M347" s="684"/>
      <c r="N347" s="684"/>
      <c r="O347" s="684"/>
      <c r="P347" s="684"/>
      <c r="Y347" s="225"/>
    </row>
    <row r="348" s="1" customFormat="1" ht="13.8" spans="5:25">
      <c r="E348" s="684"/>
      <c r="F348" s="684"/>
      <c r="G348" s="684"/>
      <c r="H348" s="684"/>
      <c r="I348" s="684"/>
      <c r="J348" s="684"/>
      <c r="K348" s="684"/>
      <c r="L348" s="684"/>
      <c r="M348" s="684"/>
      <c r="N348" s="684"/>
      <c r="O348" s="684"/>
      <c r="P348" s="684"/>
      <c r="Y348" s="225"/>
    </row>
    <row r="349" s="1" customFormat="1" ht="13.8" spans="5:25">
      <c r="E349" s="684"/>
      <c r="F349" s="684"/>
      <c r="G349" s="684"/>
      <c r="H349" s="684"/>
      <c r="I349" s="684"/>
      <c r="J349" s="684"/>
      <c r="K349" s="684"/>
      <c r="L349" s="684"/>
      <c r="M349" s="684"/>
      <c r="N349" s="684"/>
      <c r="O349" s="684"/>
      <c r="P349" s="684"/>
      <c r="Y349" s="225"/>
    </row>
    <row r="350" s="1" customFormat="1" ht="13.8" spans="5:25">
      <c r="E350" s="684"/>
      <c r="F350" s="684"/>
      <c r="G350" s="684"/>
      <c r="H350" s="684"/>
      <c r="I350" s="684"/>
      <c r="J350" s="684"/>
      <c r="K350" s="684"/>
      <c r="L350" s="684"/>
      <c r="M350" s="684"/>
      <c r="N350" s="684"/>
      <c r="O350" s="684"/>
      <c r="P350" s="684"/>
      <c r="Y350" s="225"/>
    </row>
    <row r="351" s="1" customFormat="1" ht="13.8" spans="5:25">
      <c r="E351" s="684"/>
      <c r="F351" s="684"/>
      <c r="G351" s="684"/>
      <c r="H351" s="684"/>
      <c r="I351" s="684"/>
      <c r="J351" s="684"/>
      <c r="K351" s="684"/>
      <c r="L351" s="684"/>
      <c r="M351" s="684"/>
      <c r="N351" s="684"/>
      <c r="O351" s="684"/>
      <c r="P351" s="684"/>
      <c r="Y351" s="225"/>
    </row>
    <row r="352" s="1" customFormat="1" ht="13.8" spans="5:25">
      <c r="E352" s="684"/>
      <c r="F352" s="684"/>
      <c r="G352" s="684"/>
      <c r="H352" s="684"/>
      <c r="I352" s="684"/>
      <c r="J352" s="684"/>
      <c r="K352" s="684"/>
      <c r="L352" s="684"/>
      <c r="M352" s="684"/>
      <c r="N352" s="684"/>
      <c r="O352" s="684"/>
      <c r="P352" s="684"/>
      <c r="Y352" s="225"/>
    </row>
    <row r="353" s="1" customFormat="1" ht="13.8" spans="5:25">
      <c r="E353" s="684"/>
      <c r="F353" s="684"/>
      <c r="G353" s="684"/>
      <c r="H353" s="684"/>
      <c r="I353" s="684"/>
      <c r="J353" s="684"/>
      <c r="K353" s="684"/>
      <c r="L353" s="684"/>
      <c r="M353" s="684"/>
      <c r="N353" s="684"/>
      <c r="O353" s="684"/>
      <c r="P353" s="684"/>
      <c r="Y353" s="225"/>
    </row>
    <row r="354" s="1" customFormat="1" ht="13.8" spans="5:25">
      <c r="E354" s="684"/>
      <c r="F354" s="684"/>
      <c r="G354" s="684"/>
      <c r="H354" s="684"/>
      <c r="I354" s="684"/>
      <c r="J354" s="684"/>
      <c r="K354" s="684"/>
      <c r="L354" s="684"/>
      <c r="M354" s="684"/>
      <c r="N354" s="684"/>
      <c r="O354" s="684"/>
      <c r="P354" s="684"/>
      <c r="Y354" s="225"/>
    </row>
    <row r="355" s="1" customFormat="1" ht="13.8" spans="5:25">
      <c r="E355" s="684"/>
      <c r="F355" s="684"/>
      <c r="G355" s="684"/>
      <c r="H355" s="684"/>
      <c r="I355" s="684"/>
      <c r="J355" s="684"/>
      <c r="K355" s="684"/>
      <c r="L355" s="684"/>
      <c r="M355" s="684"/>
      <c r="N355" s="684"/>
      <c r="O355" s="684"/>
      <c r="P355" s="684"/>
      <c r="Y355" s="225"/>
    </row>
    <row r="356" s="1" customFormat="1" ht="13.8" spans="5:25">
      <c r="E356" s="684"/>
      <c r="F356" s="684"/>
      <c r="G356" s="684"/>
      <c r="H356" s="684"/>
      <c r="I356" s="684"/>
      <c r="J356" s="684"/>
      <c r="K356" s="684"/>
      <c r="L356" s="684"/>
      <c r="M356" s="684"/>
      <c r="N356" s="684"/>
      <c r="O356" s="684"/>
      <c r="P356" s="684"/>
      <c r="Y356" s="225"/>
    </row>
    <row r="357" s="1" customFormat="1" ht="13.8" spans="5:25">
      <c r="E357" s="684"/>
      <c r="F357" s="684"/>
      <c r="G357" s="684"/>
      <c r="H357" s="684"/>
      <c r="I357" s="684"/>
      <c r="J357" s="684"/>
      <c r="K357" s="684"/>
      <c r="L357" s="684"/>
      <c r="M357" s="684"/>
      <c r="N357" s="684"/>
      <c r="O357" s="684"/>
      <c r="P357" s="684"/>
      <c r="Y357" s="225"/>
    </row>
    <row r="358" s="1" customFormat="1" ht="13.8" spans="5:25">
      <c r="E358" s="684"/>
      <c r="F358" s="684"/>
      <c r="G358" s="684"/>
      <c r="H358" s="684"/>
      <c r="I358" s="684"/>
      <c r="J358" s="684"/>
      <c r="K358" s="684"/>
      <c r="L358" s="684"/>
      <c r="M358" s="684"/>
      <c r="N358" s="684"/>
      <c r="O358" s="684"/>
      <c r="P358" s="684"/>
      <c r="Y358" s="225"/>
    </row>
    <row r="359" s="1" customFormat="1" ht="13.8" spans="5:25">
      <c r="E359" s="684"/>
      <c r="F359" s="684"/>
      <c r="G359" s="684"/>
      <c r="H359" s="684"/>
      <c r="I359" s="684"/>
      <c r="J359" s="684"/>
      <c r="K359" s="684"/>
      <c r="L359" s="684"/>
      <c r="M359" s="684"/>
      <c r="N359" s="684"/>
      <c r="O359" s="684"/>
      <c r="P359" s="684"/>
      <c r="Y359" s="225"/>
    </row>
    <row r="360" s="1" customFormat="1" ht="13.8" spans="5:25">
      <c r="E360" s="684"/>
      <c r="F360" s="684"/>
      <c r="G360" s="684"/>
      <c r="H360" s="684"/>
      <c r="I360" s="684"/>
      <c r="J360" s="684"/>
      <c r="K360" s="684"/>
      <c r="L360" s="684"/>
      <c r="M360" s="684"/>
      <c r="N360" s="684"/>
      <c r="O360" s="684"/>
      <c r="P360" s="684"/>
      <c r="Y360" s="225"/>
    </row>
    <row r="361" s="1" customFormat="1" ht="13.8" spans="5:25">
      <c r="E361" s="684"/>
      <c r="F361" s="684"/>
      <c r="G361" s="684"/>
      <c r="H361" s="684"/>
      <c r="I361" s="684"/>
      <c r="J361" s="684"/>
      <c r="K361" s="684"/>
      <c r="L361" s="684"/>
      <c r="M361" s="684"/>
      <c r="N361" s="684"/>
      <c r="O361" s="684"/>
      <c r="P361" s="684"/>
      <c r="Y361" s="225"/>
    </row>
    <row r="362" s="1" customFormat="1" ht="13.8" spans="5:25">
      <c r="E362" s="684"/>
      <c r="F362" s="684"/>
      <c r="G362" s="684"/>
      <c r="H362" s="684"/>
      <c r="I362" s="684"/>
      <c r="J362" s="684"/>
      <c r="K362" s="684"/>
      <c r="L362" s="684"/>
      <c r="M362" s="684"/>
      <c r="N362" s="684"/>
      <c r="O362" s="684"/>
      <c r="P362" s="684"/>
      <c r="Y362" s="225"/>
    </row>
    <row r="363" s="1" customFormat="1" ht="13.8" spans="5:25">
      <c r="E363" s="684"/>
      <c r="F363" s="684"/>
      <c r="G363" s="684"/>
      <c r="H363" s="684"/>
      <c r="I363" s="684"/>
      <c r="J363" s="684"/>
      <c r="K363" s="684"/>
      <c r="L363" s="684"/>
      <c r="M363" s="684"/>
      <c r="N363" s="684"/>
      <c r="O363" s="684"/>
      <c r="P363" s="684"/>
      <c r="Y363" s="225"/>
    </row>
    <row r="364" s="1" customFormat="1" ht="13.8" spans="5:25">
      <c r="E364" s="684"/>
      <c r="F364" s="684"/>
      <c r="G364" s="684"/>
      <c r="H364" s="684"/>
      <c r="I364" s="684"/>
      <c r="J364" s="684"/>
      <c r="K364" s="684"/>
      <c r="L364" s="684"/>
      <c r="M364" s="684"/>
      <c r="N364" s="684"/>
      <c r="O364" s="684"/>
      <c r="P364" s="684"/>
      <c r="Y364" s="225"/>
    </row>
    <row r="365" s="1" customFormat="1" ht="13.8" spans="5:25">
      <c r="E365" s="684"/>
      <c r="F365" s="684"/>
      <c r="G365" s="684"/>
      <c r="H365" s="684"/>
      <c r="I365" s="684"/>
      <c r="J365" s="684"/>
      <c r="K365" s="684"/>
      <c r="L365" s="684"/>
      <c r="M365" s="684"/>
      <c r="N365" s="684"/>
      <c r="O365" s="684"/>
      <c r="P365" s="684"/>
      <c r="Y365" s="225"/>
    </row>
    <row r="366" s="1" customFormat="1" ht="13.8" spans="5:25">
      <c r="E366" s="684"/>
      <c r="F366" s="684"/>
      <c r="G366" s="684"/>
      <c r="H366" s="684"/>
      <c r="I366" s="684"/>
      <c r="J366" s="684"/>
      <c r="K366" s="684"/>
      <c r="L366" s="684"/>
      <c r="M366" s="684"/>
      <c r="N366" s="684"/>
      <c r="O366" s="684"/>
      <c r="P366" s="684"/>
      <c r="Y366" s="225"/>
    </row>
    <row r="367" s="1" customFormat="1" ht="13.8" spans="5:25">
      <c r="E367" s="684"/>
      <c r="F367" s="684"/>
      <c r="G367" s="684"/>
      <c r="H367" s="684"/>
      <c r="I367" s="684"/>
      <c r="J367" s="684"/>
      <c r="K367" s="684"/>
      <c r="L367" s="684"/>
      <c r="M367" s="684"/>
      <c r="N367" s="684"/>
      <c r="O367" s="684"/>
      <c r="P367" s="684"/>
      <c r="Y367" s="225"/>
    </row>
    <row r="368" s="1" customFormat="1" ht="13.8" spans="5:25">
      <c r="E368" s="684"/>
      <c r="F368" s="684"/>
      <c r="G368" s="684"/>
      <c r="H368" s="684"/>
      <c r="I368" s="684"/>
      <c r="J368" s="684"/>
      <c r="K368" s="684"/>
      <c r="L368" s="684"/>
      <c r="M368" s="684"/>
      <c r="N368" s="684"/>
      <c r="O368" s="684"/>
      <c r="P368" s="684"/>
      <c r="Y368" s="225"/>
    </row>
    <row r="369" s="1" customFormat="1" ht="13.8" spans="5:25">
      <c r="E369" s="684"/>
      <c r="F369" s="684"/>
      <c r="G369" s="684"/>
      <c r="H369" s="684"/>
      <c r="I369" s="684"/>
      <c r="J369" s="684"/>
      <c r="K369" s="684"/>
      <c r="L369" s="684"/>
      <c r="M369" s="684"/>
      <c r="N369" s="684"/>
      <c r="O369" s="684"/>
      <c r="P369" s="684"/>
      <c r="Y369" s="225"/>
    </row>
    <row r="370" s="1" customFormat="1" ht="13.8" spans="5:25">
      <c r="E370" s="684"/>
      <c r="F370" s="684"/>
      <c r="G370" s="684"/>
      <c r="H370" s="684"/>
      <c r="I370" s="684"/>
      <c r="J370" s="684"/>
      <c r="K370" s="684"/>
      <c r="L370" s="684"/>
      <c r="M370" s="684"/>
      <c r="N370" s="684"/>
      <c r="O370" s="684"/>
      <c r="P370" s="684"/>
      <c r="Y370" s="225"/>
    </row>
    <row r="371" s="1" customFormat="1" ht="13.8" spans="5:25">
      <c r="E371" s="684"/>
      <c r="F371" s="684"/>
      <c r="G371" s="684"/>
      <c r="H371" s="684"/>
      <c r="I371" s="684"/>
      <c r="J371" s="684"/>
      <c r="K371" s="684"/>
      <c r="L371" s="684"/>
      <c r="M371" s="684"/>
      <c r="N371" s="684"/>
      <c r="O371" s="684"/>
      <c r="P371" s="684"/>
      <c r="Y371" s="225"/>
    </row>
    <row r="372" s="1" customFormat="1" ht="13.8" spans="5:25">
      <c r="E372" s="684"/>
      <c r="F372" s="684"/>
      <c r="G372" s="684"/>
      <c r="H372" s="684"/>
      <c r="I372" s="684"/>
      <c r="J372" s="684"/>
      <c r="K372" s="684"/>
      <c r="L372" s="684"/>
      <c r="M372" s="684"/>
      <c r="N372" s="684"/>
      <c r="O372" s="684"/>
      <c r="P372" s="684"/>
      <c r="Y372" s="225"/>
    </row>
    <row r="373" s="1" customFormat="1" ht="13.8" spans="5:25">
      <c r="E373" s="684"/>
      <c r="F373" s="684"/>
      <c r="G373" s="684"/>
      <c r="H373" s="684"/>
      <c r="I373" s="684"/>
      <c r="J373" s="684"/>
      <c r="K373" s="684"/>
      <c r="L373" s="684"/>
      <c r="M373" s="684"/>
      <c r="N373" s="684"/>
      <c r="O373" s="684"/>
      <c r="P373" s="684"/>
      <c r="Y373" s="225"/>
    </row>
    <row r="374" s="1" customFormat="1" ht="13.8" spans="5:25">
      <c r="E374" s="684"/>
      <c r="F374" s="684"/>
      <c r="G374" s="684"/>
      <c r="H374" s="684"/>
      <c r="I374" s="684"/>
      <c r="J374" s="684"/>
      <c r="K374" s="684"/>
      <c r="L374" s="684"/>
      <c r="M374" s="684"/>
      <c r="N374" s="684"/>
      <c r="O374" s="684"/>
      <c r="P374" s="684"/>
      <c r="Y374" s="225"/>
    </row>
    <row r="375" s="1" customFormat="1" ht="13.8" spans="5:25">
      <c r="E375" s="684"/>
      <c r="F375" s="684"/>
      <c r="G375" s="684"/>
      <c r="H375" s="684"/>
      <c r="I375" s="684"/>
      <c r="J375" s="684"/>
      <c r="K375" s="684"/>
      <c r="L375" s="684"/>
      <c r="M375" s="684"/>
      <c r="N375" s="684"/>
      <c r="O375" s="684"/>
      <c r="P375" s="684"/>
      <c r="Y375" s="225"/>
    </row>
    <row r="376" s="1" customFormat="1" ht="13.8" spans="5:25">
      <c r="E376" s="684"/>
      <c r="F376" s="684"/>
      <c r="G376" s="684"/>
      <c r="H376" s="684"/>
      <c r="I376" s="684"/>
      <c r="J376" s="684"/>
      <c r="K376" s="684"/>
      <c r="L376" s="684"/>
      <c r="M376" s="684"/>
      <c r="N376" s="684"/>
      <c r="O376" s="684"/>
      <c r="P376" s="684"/>
      <c r="Y376" s="225"/>
    </row>
    <row r="377" s="1" customFormat="1" ht="13.8" spans="5:25">
      <c r="E377" s="684"/>
      <c r="F377" s="684"/>
      <c r="G377" s="684"/>
      <c r="H377" s="684"/>
      <c r="I377" s="684"/>
      <c r="J377" s="684"/>
      <c r="K377" s="684"/>
      <c r="L377" s="684"/>
      <c r="M377" s="684"/>
      <c r="N377" s="684"/>
      <c r="O377" s="684"/>
      <c r="P377" s="684"/>
      <c r="Y377" s="225"/>
    </row>
    <row r="378" s="1" customFormat="1" ht="13.8" spans="5:25">
      <c r="E378" s="684"/>
      <c r="F378" s="684"/>
      <c r="G378" s="684"/>
      <c r="H378" s="684"/>
      <c r="I378" s="684"/>
      <c r="J378" s="684"/>
      <c r="K378" s="684"/>
      <c r="L378" s="684"/>
      <c r="M378" s="684"/>
      <c r="N378" s="684"/>
      <c r="O378" s="684"/>
      <c r="P378" s="684"/>
      <c r="Y378" s="225"/>
    </row>
    <row r="379" s="1" customFormat="1" ht="13.8" spans="5:25">
      <c r="E379" s="684"/>
      <c r="F379" s="684"/>
      <c r="G379" s="684"/>
      <c r="H379" s="684"/>
      <c r="I379" s="684"/>
      <c r="J379" s="684"/>
      <c r="K379" s="684"/>
      <c r="L379" s="684"/>
      <c r="M379" s="684"/>
      <c r="N379" s="684"/>
      <c r="O379" s="684"/>
      <c r="P379" s="684"/>
      <c r="Y379" s="225"/>
    </row>
    <row r="380" s="1" customFormat="1" ht="13.8" spans="5:25">
      <c r="E380" s="684"/>
      <c r="F380" s="684"/>
      <c r="G380" s="684"/>
      <c r="H380" s="684"/>
      <c r="I380" s="684"/>
      <c r="J380" s="684"/>
      <c r="K380" s="684"/>
      <c r="L380" s="684"/>
      <c r="M380" s="684"/>
      <c r="N380" s="684"/>
      <c r="O380" s="684"/>
      <c r="P380" s="684"/>
      <c r="Y380" s="225"/>
    </row>
    <row r="381" s="1" customFormat="1" ht="13.8" spans="5:25">
      <c r="E381" s="684"/>
      <c r="F381" s="684"/>
      <c r="G381" s="684"/>
      <c r="H381" s="684"/>
      <c r="I381" s="684"/>
      <c r="J381" s="684"/>
      <c r="K381" s="684"/>
      <c r="L381" s="684"/>
      <c r="M381" s="684"/>
      <c r="N381" s="684"/>
      <c r="O381" s="684"/>
      <c r="P381" s="684"/>
      <c r="Y381" s="225"/>
    </row>
    <row r="382" s="1" customFormat="1" ht="13.8" spans="5:25">
      <c r="E382" s="684"/>
      <c r="F382" s="684"/>
      <c r="G382" s="684"/>
      <c r="H382" s="684"/>
      <c r="I382" s="684"/>
      <c r="J382" s="684"/>
      <c r="K382" s="684"/>
      <c r="L382" s="684"/>
      <c r="M382" s="684"/>
      <c r="N382" s="684"/>
      <c r="O382" s="684"/>
      <c r="P382" s="684"/>
      <c r="Y382" s="225"/>
    </row>
    <row r="383" s="1" customFormat="1" ht="13.8" spans="5:25">
      <c r="E383" s="684"/>
      <c r="F383" s="684"/>
      <c r="G383" s="684"/>
      <c r="H383" s="684"/>
      <c r="I383" s="684"/>
      <c r="J383" s="684"/>
      <c r="K383" s="684"/>
      <c r="L383" s="684"/>
      <c r="M383" s="684"/>
      <c r="N383" s="684"/>
      <c r="O383" s="684"/>
      <c r="P383" s="684"/>
      <c r="Y383" s="225"/>
    </row>
    <row r="384" s="1" customFormat="1" ht="13.8" spans="5:25">
      <c r="E384" s="684"/>
      <c r="F384" s="684"/>
      <c r="G384" s="684"/>
      <c r="H384" s="684"/>
      <c r="I384" s="684"/>
      <c r="J384" s="684"/>
      <c r="K384" s="684"/>
      <c r="L384" s="684"/>
      <c r="M384" s="684"/>
      <c r="N384" s="684"/>
      <c r="O384" s="684"/>
      <c r="P384" s="684"/>
      <c r="Y384" s="225"/>
    </row>
    <row r="385" s="1" customFormat="1" ht="13.8" spans="5:25">
      <c r="E385" s="684"/>
      <c r="F385" s="684"/>
      <c r="G385" s="684"/>
      <c r="H385" s="684"/>
      <c r="I385" s="684"/>
      <c r="J385" s="684"/>
      <c r="K385" s="684"/>
      <c r="L385" s="684"/>
      <c r="M385" s="684"/>
      <c r="N385" s="684"/>
      <c r="O385" s="684"/>
      <c r="P385" s="684"/>
      <c r="Y385" s="225"/>
    </row>
    <row r="386" s="1" customFormat="1" ht="13.8" spans="5:25">
      <c r="E386" s="684"/>
      <c r="F386" s="684"/>
      <c r="G386" s="684"/>
      <c r="H386" s="684"/>
      <c r="I386" s="684"/>
      <c r="J386" s="684"/>
      <c r="K386" s="684"/>
      <c r="L386" s="684"/>
      <c r="M386" s="684"/>
      <c r="N386" s="684"/>
      <c r="O386" s="684"/>
      <c r="P386" s="684"/>
      <c r="Y386" s="225"/>
    </row>
    <row r="387" s="1" customFormat="1" ht="13.8" spans="5:25">
      <c r="E387" s="684"/>
      <c r="F387" s="684"/>
      <c r="G387" s="684"/>
      <c r="H387" s="684"/>
      <c r="I387" s="684"/>
      <c r="J387" s="684"/>
      <c r="K387" s="684"/>
      <c r="L387" s="684"/>
      <c r="M387" s="684"/>
      <c r="N387" s="684"/>
      <c r="O387" s="684"/>
      <c r="P387" s="684"/>
      <c r="Y387" s="225"/>
    </row>
    <row r="388" s="1" customFormat="1" ht="13.8" spans="5:25">
      <c r="E388" s="684"/>
      <c r="F388" s="684"/>
      <c r="G388" s="684"/>
      <c r="H388" s="684"/>
      <c r="I388" s="684"/>
      <c r="J388" s="684"/>
      <c r="K388" s="684"/>
      <c r="L388" s="684"/>
      <c r="M388" s="684"/>
      <c r="N388" s="684"/>
      <c r="O388" s="684"/>
      <c r="P388" s="684"/>
      <c r="Y388" s="225"/>
    </row>
    <row r="389" s="1" customFormat="1" ht="13.8" spans="5:25">
      <c r="E389" s="684"/>
      <c r="F389" s="684"/>
      <c r="G389" s="684"/>
      <c r="H389" s="684"/>
      <c r="I389" s="684"/>
      <c r="J389" s="684"/>
      <c r="K389" s="684"/>
      <c r="L389" s="684"/>
      <c r="M389" s="684"/>
      <c r="N389" s="684"/>
      <c r="O389" s="684"/>
      <c r="P389" s="684"/>
      <c r="Y389" s="225"/>
    </row>
    <row r="390" s="1" customFormat="1" ht="13.8" spans="5:25">
      <c r="E390" s="684"/>
      <c r="F390" s="684"/>
      <c r="G390" s="684"/>
      <c r="H390" s="684"/>
      <c r="I390" s="684"/>
      <c r="J390" s="684"/>
      <c r="K390" s="684"/>
      <c r="L390" s="684"/>
      <c r="M390" s="684"/>
      <c r="N390" s="684"/>
      <c r="O390" s="684"/>
      <c r="P390" s="684"/>
      <c r="Y390" s="225"/>
    </row>
    <row r="391" s="1" customFormat="1" ht="13.8" spans="5:25">
      <c r="E391" s="684"/>
      <c r="F391" s="684"/>
      <c r="G391" s="684"/>
      <c r="H391" s="684"/>
      <c r="I391" s="684"/>
      <c r="J391" s="684"/>
      <c r="K391" s="684"/>
      <c r="L391" s="684"/>
      <c r="M391" s="684"/>
      <c r="N391" s="684"/>
      <c r="O391" s="684"/>
      <c r="P391" s="684"/>
      <c r="Y391" s="225"/>
    </row>
    <row r="392" s="1" customFormat="1" ht="13.8" spans="5:25">
      <c r="E392" s="684"/>
      <c r="F392" s="684"/>
      <c r="G392" s="684"/>
      <c r="H392" s="684"/>
      <c r="I392" s="684"/>
      <c r="J392" s="684"/>
      <c r="K392" s="684"/>
      <c r="L392" s="684"/>
      <c r="M392" s="684"/>
      <c r="N392" s="684"/>
      <c r="O392" s="684"/>
      <c r="P392" s="684"/>
      <c r="Y392" s="225"/>
    </row>
    <row r="393" s="1" customFormat="1" ht="13.8" spans="5:25">
      <c r="E393" s="684"/>
      <c r="F393" s="684"/>
      <c r="G393" s="684"/>
      <c r="H393" s="684"/>
      <c r="I393" s="684"/>
      <c r="J393" s="684"/>
      <c r="K393" s="684"/>
      <c r="L393" s="684"/>
      <c r="M393" s="684"/>
      <c r="N393" s="684"/>
      <c r="O393" s="684"/>
      <c r="P393" s="684"/>
      <c r="Y393" s="225"/>
    </row>
    <row r="394" s="1" customFormat="1" ht="13.8" spans="5:25">
      <c r="E394" s="684"/>
      <c r="F394" s="684"/>
      <c r="G394" s="684"/>
      <c r="H394" s="684"/>
      <c r="I394" s="684"/>
      <c r="J394" s="684"/>
      <c r="K394" s="684"/>
      <c r="L394" s="684"/>
      <c r="M394" s="684"/>
      <c r="N394" s="684"/>
      <c r="O394" s="684"/>
      <c r="P394" s="684"/>
      <c r="Y394" s="225"/>
    </row>
    <row r="395" s="1" customFormat="1" ht="13.8" spans="5:25">
      <c r="E395" s="684"/>
      <c r="F395" s="684"/>
      <c r="G395" s="684"/>
      <c r="H395" s="684"/>
      <c r="I395" s="684"/>
      <c r="J395" s="684"/>
      <c r="K395" s="684"/>
      <c r="L395" s="684"/>
      <c r="M395" s="684"/>
      <c r="N395" s="684"/>
      <c r="O395" s="684"/>
      <c r="P395" s="684"/>
      <c r="Y395" s="225"/>
    </row>
    <row r="396" s="1" customFormat="1" ht="13.8" spans="5:25">
      <c r="E396" s="684"/>
      <c r="F396" s="684"/>
      <c r="G396" s="684"/>
      <c r="H396" s="684"/>
      <c r="I396" s="684"/>
      <c r="J396" s="684"/>
      <c r="K396" s="684"/>
      <c r="L396" s="684"/>
      <c r="M396" s="684"/>
      <c r="N396" s="684"/>
      <c r="O396" s="684"/>
      <c r="P396" s="684"/>
      <c r="Y396" s="225"/>
    </row>
    <row r="397" s="1" customFormat="1" ht="13.8" spans="5:25">
      <c r="E397" s="684"/>
      <c r="F397" s="684"/>
      <c r="G397" s="684"/>
      <c r="H397" s="684"/>
      <c r="I397" s="684"/>
      <c r="J397" s="684"/>
      <c r="K397" s="684"/>
      <c r="L397" s="684"/>
      <c r="M397" s="684"/>
      <c r="N397" s="684"/>
      <c r="O397" s="684"/>
      <c r="P397" s="684"/>
      <c r="Y397" s="225"/>
    </row>
    <row r="398" s="1" customFormat="1" ht="13.8" spans="5:25">
      <c r="E398" s="684"/>
      <c r="F398" s="684"/>
      <c r="G398" s="684"/>
      <c r="H398" s="684"/>
      <c r="I398" s="684"/>
      <c r="J398" s="684"/>
      <c r="K398" s="684"/>
      <c r="L398" s="684"/>
      <c r="M398" s="684"/>
      <c r="N398" s="684"/>
      <c r="O398" s="684"/>
      <c r="P398" s="684"/>
      <c r="Y398" s="225"/>
    </row>
    <row r="399" s="1" customFormat="1" ht="13.8" spans="5:25">
      <c r="E399" s="684"/>
      <c r="F399" s="684"/>
      <c r="G399" s="684"/>
      <c r="H399" s="684"/>
      <c r="I399" s="684"/>
      <c r="J399" s="684"/>
      <c r="K399" s="684"/>
      <c r="L399" s="684"/>
      <c r="M399" s="684"/>
      <c r="N399" s="684"/>
      <c r="O399" s="684"/>
      <c r="P399" s="684"/>
      <c r="Y399" s="225"/>
    </row>
    <row r="400" s="1" customFormat="1" ht="13.8" spans="5:25">
      <c r="E400" s="684"/>
      <c r="F400" s="684"/>
      <c r="G400" s="684"/>
      <c r="H400" s="684"/>
      <c r="I400" s="684"/>
      <c r="J400" s="684"/>
      <c r="K400" s="684"/>
      <c r="L400" s="684"/>
      <c r="M400" s="684"/>
      <c r="N400" s="684"/>
      <c r="O400" s="684"/>
      <c r="P400" s="684"/>
      <c r="Y400" s="225"/>
    </row>
    <row r="401" s="1" customFormat="1" ht="13.8" spans="5:25">
      <c r="E401" s="684"/>
      <c r="F401" s="684"/>
      <c r="G401" s="684"/>
      <c r="H401" s="684"/>
      <c r="I401" s="684"/>
      <c r="J401" s="684"/>
      <c r="K401" s="684"/>
      <c r="L401" s="684"/>
      <c r="M401" s="684"/>
      <c r="N401" s="684"/>
      <c r="O401" s="684"/>
      <c r="P401" s="684"/>
      <c r="Y401" s="225"/>
    </row>
    <row r="402" s="1" customFormat="1" ht="13.8" spans="5:25">
      <c r="E402" s="684"/>
      <c r="F402" s="684"/>
      <c r="G402" s="684"/>
      <c r="H402" s="684"/>
      <c r="I402" s="684"/>
      <c r="J402" s="684"/>
      <c r="K402" s="684"/>
      <c r="L402" s="684"/>
      <c r="M402" s="684"/>
      <c r="N402" s="684"/>
      <c r="O402" s="684"/>
      <c r="P402" s="684"/>
      <c r="Y402" s="225"/>
    </row>
    <row r="403" s="1" customFormat="1" ht="13.8" spans="5:25">
      <c r="E403" s="684"/>
      <c r="F403" s="684"/>
      <c r="G403" s="684"/>
      <c r="H403" s="684"/>
      <c r="I403" s="684"/>
      <c r="J403" s="684"/>
      <c r="K403" s="684"/>
      <c r="L403" s="684"/>
      <c r="M403" s="684"/>
      <c r="N403" s="684"/>
      <c r="O403" s="684"/>
      <c r="P403" s="684"/>
      <c r="Y403" s="225"/>
    </row>
    <row r="404" s="1" customFormat="1" ht="13.8" spans="5:25">
      <c r="E404" s="684"/>
      <c r="F404" s="684"/>
      <c r="G404" s="684"/>
      <c r="H404" s="684"/>
      <c r="I404" s="684"/>
      <c r="J404" s="684"/>
      <c r="K404" s="684"/>
      <c r="L404" s="684"/>
      <c r="M404" s="684"/>
      <c r="N404" s="684"/>
      <c r="O404" s="684"/>
      <c r="P404" s="684"/>
      <c r="Y404" s="225"/>
    </row>
    <row r="405" s="1" customFormat="1" ht="13.8" spans="5:25">
      <c r="E405" s="684"/>
      <c r="F405" s="684"/>
      <c r="G405" s="684"/>
      <c r="H405" s="684"/>
      <c r="I405" s="684"/>
      <c r="J405" s="684"/>
      <c r="K405" s="684"/>
      <c r="L405" s="684"/>
      <c r="M405" s="684"/>
      <c r="N405" s="684"/>
      <c r="O405" s="684"/>
      <c r="P405" s="684"/>
      <c r="Y405" s="225"/>
    </row>
    <row r="406" s="1" customFormat="1" ht="13.8" spans="5:25">
      <c r="E406" s="684"/>
      <c r="F406" s="684"/>
      <c r="G406" s="684"/>
      <c r="H406" s="684"/>
      <c r="I406" s="684"/>
      <c r="J406" s="684"/>
      <c r="K406" s="684"/>
      <c r="L406" s="684"/>
      <c r="M406" s="684"/>
      <c r="N406" s="684"/>
      <c r="O406" s="684"/>
      <c r="P406" s="684"/>
      <c r="Y406" s="225"/>
    </row>
    <row r="407" s="1" customFormat="1" ht="13.8" spans="5:25">
      <c r="E407" s="684"/>
      <c r="F407" s="684"/>
      <c r="G407" s="684"/>
      <c r="H407" s="684"/>
      <c r="I407" s="684"/>
      <c r="J407" s="684"/>
      <c r="K407" s="684"/>
      <c r="L407" s="684"/>
      <c r="M407" s="684"/>
      <c r="N407" s="684"/>
      <c r="O407" s="684"/>
      <c r="P407" s="684"/>
      <c r="Y407" s="225"/>
    </row>
    <row r="408" s="1" customFormat="1" ht="13.8" spans="5:25">
      <c r="E408" s="684"/>
      <c r="F408" s="684"/>
      <c r="G408" s="684"/>
      <c r="H408" s="684"/>
      <c r="I408" s="684"/>
      <c r="J408" s="684"/>
      <c r="K408" s="684"/>
      <c r="L408" s="684"/>
      <c r="M408" s="684"/>
      <c r="N408" s="684"/>
      <c r="O408" s="684"/>
      <c r="P408" s="684"/>
      <c r="Y408" s="225"/>
    </row>
    <row r="409" s="1" customFormat="1" ht="13.8" spans="5:25">
      <c r="E409" s="684"/>
      <c r="F409" s="684"/>
      <c r="G409" s="684"/>
      <c r="H409" s="684"/>
      <c r="I409" s="684"/>
      <c r="J409" s="684"/>
      <c r="K409" s="684"/>
      <c r="L409" s="684"/>
      <c r="M409" s="684"/>
      <c r="N409" s="684"/>
      <c r="O409" s="684"/>
      <c r="P409" s="684"/>
      <c r="Y409" s="225"/>
    </row>
    <row r="410" s="1" customFormat="1" ht="13.8" spans="5:25">
      <c r="E410" s="684"/>
      <c r="F410" s="684"/>
      <c r="G410" s="684"/>
      <c r="H410" s="684"/>
      <c r="I410" s="684"/>
      <c r="J410" s="684"/>
      <c r="K410" s="684"/>
      <c r="L410" s="684"/>
      <c r="M410" s="684"/>
      <c r="N410" s="684"/>
      <c r="O410" s="684"/>
      <c r="P410" s="684"/>
      <c r="Y410" s="225"/>
    </row>
    <row r="411" s="1" customFormat="1" ht="13.8" spans="5:25">
      <c r="E411" s="684"/>
      <c r="F411" s="684"/>
      <c r="G411" s="684"/>
      <c r="H411" s="684"/>
      <c r="I411" s="684"/>
      <c r="J411" s="684"/>
      <c r="K411" s="684"/>
      <c r="L411" s="684"/>
      <c r="M411" s="684"/>
      <c r="N411" s="684"/>
      <c r="O411" s="684"/>
      <c r="P411" s="684"/>
      <c r="Y411" s="225"/>
    </row>
    <row r="412" s="1" customFormat="1" ht="13.8" spans="5:25">
      <c r="E412" s="684"/>
      <c r="F412" s="684"/>
      <c r="G412" s="684"/>
      <c r="H412" s="684"/>
      <c r="I412" s="684"/>
      <c r="J412" s="684"/>
      <c r="K412" s="684"/>
      <c r="L412" s="684"/>
      <c r="M412" s="684"/>
      <c r="N412" s="684"/>
      <c r="O412" s="684"/>
      <c r="P412" s="684"/>
      <c r="Y412" s="225"/>
    </row>
    <row r="413" s="1" customFormat="1" ht="13.8" spans="5:25">
      <c r="E413" s="684"/>
      <c r="F413" s="684"/>
      <c r="G413" s="684"/>
      <c r="H413" s="684"/>
      <c r="I413" s="684"/>
      <c r="J413" s="684"/>
      <c r="K413" s="684"/>
      <c r="L413" s="684"/>
      <c r="M413" s="684"/>
      <c r="N413" s="684"/>
      <c r="O413" s="684"/>
      <c r="P413" s="684"/>
      <c r="Y413" s="225"/>
    </row>
    <row r="414" s="1" customFormat="1" ht="13.8" spans="5:25">
      <c r="E414" s="684"/>
      <c r="F414" s="684"/>
      <c r="G414" s="684"/>
      <c r="H414" s="684"/>
      <c r="I414" s="684"/>
      <c r="J414" s="684"/>
      <c r="K414" s="684"/>
      <c r="L414" s="684"/>
      <c r="M414" s="684"/>
      <c r="N414" s="684"/>
      <c r="O414" s="684"/>
      <c r="P414" s="684"/>
      <c r="Y414" s="225"/>
    </row>
    <row r="415" s="1" customFormat="1" ht="13.8" spans="5:25">
      <c r="E415" s="684"/>
      <c r="F415" s="684"/>
      <c r="G415" s="684"/>
      <c r="H415" s="684"/>
      <c r="I415" s="684"/>
      <c r="J415" s="684"/>
      <c r="K415" s="684"/>
      <c r="L415" s="684"/>
      <c r="M415" s="684"/>
      <c r="N415" s="684"/>
      <c r="O415" s="684"/>
      <c r="P415" s="684"/>
      <c r="Y415" s="225"/>
    </row>
    <row r="416" s="1" customFormat="1" ht="13.8" spans="5:25">
      <c r="E416" s="684"/>
      <c r="F416" s="684"/>
      <c r="G416" s="684"/>
      <c r="H416" s="684"/>
      <c r="I416" s="684"/>
      <c r="J416" s="684"/>
      <c r="K416" s="684"/>
      <c r="L416" s="684"/>
      <c r="M416" s="684"/>
      <c r="N416" s="684"/>
      <c r="O416" s="684"/>
      <c r="P416" s="684"/>
      <c r="Y416" s="225"/>
    </row>
    <row r="417" s="1" customFormat="1" ht="13.8" spans="5:25">
      <c r="E417" s="684"/>
      <c r="F417" s="684"/>
      <c r="G417" s="684"/>
      <c r="H417" s="684"/>
      <c r="I417" s="684"/>
      <c r="J417" s="684"/>
      <c r="K417" s="684"/>
      <c r="L417" s="684"/>
      <c r="M417" s="684"/>
      <c r="N417" s="684"/>
      <c r="O417" s="684"/>
      <c r="P417" s="684"/>
      <c r="Y417" s="225"/>
    </row>
    <row r="418" s="1" customFormat="1" ht="13.8" spans="5:25">
      <c r="E418" s="684"/>
      <c r="F418" s="684"/>
      <c r="G418" s="684"/>
      <c r="H418" s="684"/>
      <c r="I418" s="684"/>
      <c r="J418" s="684"/>
      <c r="K418" s="684"/>
      <c r="L418" s="684"/>
      <c r="M418" s="684"/>
      <c r="N418" s="684"/>
      <c r="O418" s="684"/>
      <c r="P418" s="684"/>
      <c r="Y418" s="225"/>
    </row>
    <row r="419" s="1" customFormat="1" ht="13.8" spans="5:25">
      <c r="E419" s="684"/>
      <c r="F419" s="684"/>
      <c r="G419" s="684"/>
      <c r="H419" s="684"/>
      <c r="I419" s="684"/>
      <c r="J419" s="684"/>
      <c r="K419" s="684"/>
      <c r="L419" s="684"/>
      <c r="M419" s="684"/>
      <c r="N419" s="684"/>
      <c r="O419" s="684"/>
      <c r="P419" s="684"/>
      <c r="Y419" s="225"/>
    </row>
    <row r="420" s="1" customFormat="1" ht="13.8" spans="5:25">
      <c r="E420" s="684"/>
      <c r="F420" s="684"/>
      <c r="G420" s="684"/>
      <c r="H420" s="684"/>
      <c r="I420" s="684"/>
      <c r="J420" s="684"/>
      <c r="K420" s="684"/>
      <c r="L420" s="684"/>
      <c r="M420" s="684"/>
      <c r="N420" s="684"/>
      <c r="O420" s="684"/>
      <c r="P420" s="684"/>
      <c r="Y420" s="225"/>
    </row>
    <row r="421" s="1" customFormat="1" ht="13.8" spans="5:25">
      <c r="E421" s="684"/>
      <c r="F421" s="684"/>
      <c r="G421" s="684"/>
      <c r="H421" s="684"/>
      <c r="I421" s="684"/>
      <c r="J421" s="684"/>
      <c r="K421" s="684"/>
      <c r="L421" s="684"/>
      <c r="M421" s="684"/>
      <c r="N421" s="684"/>
      <c r="O421" s="684"/>
      <c r="P421" s="684"/>
      <c r="Y421" s="225"/>
    </row>
    <row r="422" s="1" customFormat="1" ht="13.8" spans="5:25">
      <c r="E422" s="684"/>
      <c r="F422" s="684"/>
      <c r="G422" s="684"/>
      <c r="H422" s="684"/>
      <c r="I422" s="684"/>
      <c r="J422" s="684"/>
      <c r="K422" s="684"/>
      <c r="L422" s="684"/>
      <c r="M422" s="684"/>
      <c r="N422" s="684"/>
      <c r="O422" s="684"/>
      <c r="P422" s="684"/>
      <c r="Y422" s="225"/>
    </row>
    <row r="423" s="1" customFormat="1" ht="13.8" spans="5:25">
      <c r="E423" s="684"/>
      <c r="F423" s="684"/>
      <c r="G423" s="684"/>
      <c r="H423" s="684"/>
      <c r="I423" s="684"/>
      <c r="J423" s="684"/>
      <c r="K423" s="684"/>
      <c r="L423" s="684"/>
      <c r="M423" s="684"/>
      <c r="N423" s="684"/>
      <c r="O423" s="684"/>
      <c r="P423" s="684"/>
      <c r="Y423" s="225"/>
    </row>
    <row r="424" s="1" customFormat="1" ht="13.8" spans="5:25">
      <c r="E424" s="684"/>
      <c r="F424" s="684"/>
      <c r="G424" s="684"/>
      <c r="H424" s="684"/>
      <c r="I424" s="684"/>
      <c r="J424" s="684"/>
      <c r="K424" s="684"/>
      <c r="L424" s="684"/>
      <c r="M424" s="684"/>
      <c r="N424" s="684"/>
      <c r="O424" s="684"/>
      <c r="P424" s="684"/>
      <c r="Y424" s="225"/>
    </row>
    <row r="425" s="1" customFormat="1" ht="13.8" spans="5:25">
      <c r="E425" s="684"/>
      <c r="F425" s="684"/>
      <c r="G425" s="684"/>
      <c r="H425" s="684"/>
      <c r="I425" s="684"/>
      <c r="J425" s="684"/>
      <c r="K425" s="684"/>
      <c r="L425" s="684"/>
      <c r="M425" s="684"/>
      <c r="N425" s="684"/>
      <c r="O425" s="684"/>
      <c r="P425" s="684"/>
      <c r="Y425" s="225"/>
    </row>
    <row r="426" s="1" customFormat="1" ht="13.8" spans="5:25">
      <c r="E426" s="684"/>
      <c r="F426" s="684"/>
      <c r="G426" s="684"/>
      <c r="H426" s="684"/>
      <c r="I426" s="684"/>
      <c r="J426" s="684"/>
      <c r="K426" s="684"/>
      <c r="L426" s="684"/>
      <c r="M426" s="684"/>
      <c r="N426" s="684"/>
      <c r="O426" s="684"/>
      <c r="P426" s="684"/>
      <c r="Y426" s="225"/>
    </row>
    <row r="427" s="1" customFormat="1" ht="13.8" spans="5:25">
      <c r="E427" s="684"/>
      <c r="F427" s="684"/>
      <c r="G427" s="684"/>
      <c r="H427" s="684"/>
      <c r="I427" s="684"/>
      <c r="J427" s="684"/>
      <c r="K427" s="684"/>
      <c r="L427" s="684"/>
      <c r="M427" s="684"/>
      <c r="N427" s="684"/>
      <c r="O427" s="684"/>
      <c r="P427" s="684"/>
      <c r="Y427" s="225"/>
    </row>
    <row r="428" s="1" customFormat="1" ht="13.8" spans="5:25">
      <c r="E428" s="684"/>
      <c r="F428" s="684"/>
      <c r="G428" s="684"/>
      <c r="H428" s="684"/>
      <c r="I428" s="684"/>
      <c r="J428" s="684"/>
      <c r="K428" s="684"/>
      <c r="L428" s="684"/>
      <c r="M428" s="684"/>
      <c r="N428" s="684"/>
      <c r="O428" s="684"/>
      <c r="P428" s="684"/>
      <c r="Y428" s="225"/>
    </row>
    <row r="429" s="1" customFormat="1" ht="13.8" spans="5:25">
      <c r="E429" s="684"/>
      <c r="F429" s="684"/>
      <c r="G429" s="684"/>
      <c r="H429" s="684"/>
      <c r="I429" s="684"/>
      <c r="J429" s="684"/>
      <c r="K429" s="684"/>
      <c r="L429" s="684"/>
      <c r="M429" s="684"/>
      <c r="N429" s="684"/>
      <c r="O429" s="684"/>
      <c r="P429" s="684"/>
      <c r="Y429" s="225"/>
    </row>
    <row r="430" s="1" customFormat="1" ht="13.8" spans="5:25">
      <c r="E430" s="684"/>
      <c r="F430" s="684"/>
      <c r="G430" s="684"/>
      <c r="H430" s="684"/>
      <c r="I430" s="684"/>
      <c r="J430" s="684"/>
      <c r="K430" s="684"/>
      <c r="L430" s="684"/>
      <c r="M430" s="684"/>
      <c r="N430" s="684"/>
      <c r="O430" s="684"/>
      <c r="P430" s="684"/>
      <c r="Y430" s="225"/>
    </row>
    <row r="431" s="1" customFormat="1" ht="13.8" spans="5:25">
      <c r="E431" s="684"/>
      <c r="F431" s="684"/>
      <c r="G431" s="684"/>
      <c r="H431" s="684"/>
      <c r="I431" s="684"/>
      <c r="J431" s="684"/>
      <c r="K431" s="684"/>
      <c r="L431" s="684"/>
      <c r="M431" s="684"/>
      <c r="N431" s="684"/>
      <c r="O431" s="684"/>
      <c r="P431" s="684"/>
      <c r="Y431" s="225"/>
    </row>
    <row r="432" s="1" customFormat="1" ht="13.8" spans="5:25">
      <c r="E432" s="684"/>
      <c r="F432" s="684"/>
      <c r="G432" s="684"/>
      <c r="H432" s="684"/>
      <c r="I432" s="684"/>
      <c r="J432" s="684"/>
      <c r="K432" s="684"/>
      <c r="L432" s="684"/>
      <c r="M432" s="684"/>
      <c r="N432" s="684"/>
      <c r="O432" s="684"/>
      <c r="P432" s="684"/>
      <c r="Y432" s="225"/>
    </row>
    <row r="433" s="1" customFormat="1" ht="13.8" spans="5:25">
      <c r="E433" s="684"/>
      <c r="F433" s="684"/>
      <c r="G433" s="684"/>
      <c r="H433" s="684"/>
      <c r="I433" s="684"/>
      <c r="J433" s="684"/>
      <c r="K433" s="684"/>
      <c r="L433" s="684"/>
      <c r="M433" s="684"/>
      <c r="N433" s="684"/>
      <c r="O433" s="684"/>
      <c r="P433" s="684"/>
      <c r="Y433" s="225"/>
    </row>
    <row r="434" s="1" customFormat="1" ht="13.8" spans="5:25">
      <c r="E434" s="684"/>
      <c r="F434" s="684"/>
      <c r="G434" s="684"/>
      <c r="H434" s="684"/>
      <c r="I434" s="684"/>
      <c r="J434" s="684"/>
      <c r="K434" s="684"/>
      <c r="L434" s="684"/>
      <c r="M434" s="684"/>
      <c r="N434" s="684"/>
      <c r="O434" s="684"/>
      <c r="P434" s="684"/>
      <c r="Y434" s="225"/>
    </row>
    <row r="435" s="1" customFormat="1" ht="13.8" spans="5:25">
      <c r="E435" s="684"/>
      <c r="F435" s="684"/>
      <c r="G435" s="684"/>
      <c r="H435" s="684"/>
      <c r="I435" s="684"/>
      <c r="J435" s="684"/>
      <c r="K435" s="684"/>
      <c r="L435" s="684"/>
      <c r="M435" s="684"/>
      <c r="N435" s="684"/>
      <c r="O435" s="684"/>
      <c r="P435" s="684"/>
      <c r="Y435" s="225"/>
    </row>
    <row r="436" s="1" customFormat="1" ht="13.8" spans="5:25">
      <c r="E436" s="684"/>
      <c r="F436" s="684"/>
      <c r="G436" s="684"/>
      <c r="H436" s="684"/>
      <c r="I436" s="684"/>
      <c r="J436" s="684"/>
      <c r="K436" s="684"/>
      <c r="L436" s="684"/>
      <c r="M436" s="684"/>
      <c r="N436" s="684"/>
      <c r="O436" s="684"/>
      <c r="P436" s="684"/>
      <c r="Y436" s="225"/>
    </row>
    <row r="437" s="1" customFormat="1" ht="13.8" spans="5:25">
      <c r="E437" s="684"/>
      <c r="F437" s="684"/>
      <c r="G437" s="684"/>
      <c r="H437" s="684"/>
      <c r="I437" s="684"/>
      <c r="J437" s="684"/>
      <c r="K437" s="684"/>
      <c r="L437" s="684"/>
      <c r="M437" s="684"/>
      <c r="N437" s="684"/>
      <c r="O437" s="684"/>
      <c r="P437" s="684"/>
      <c r="Y437" s="225"/>
    </row>
    <row r="438" s="1" customFormat="1" ht="13.8" spans="5:25">
      <c r="E438" s="684"/>
      <c r="F438" s="684"/>
      <c r="G438" s="684"/>
      <c r="H438" s="684"/>
      <c r="I438" s="684"/>
      <c r="J438" s="684"/>
      <c r="K438" s="684"/>
      <c r="L438" s="684"/>
      <c r="M438" s="684"/>
      <c r="N438" s="684"/>
      <c r="O438" s="684"/>
      <c r="P438" s="684"/>
      <c r="Y438" s="225"/>
    </row>
    <row r="439" s="1" customFormat="1" ht="13.8" spans="5:25">
      <c r="E439" s="684"/>
      <c r="F439" s="684"/>
      <c r="G439" s="684"/>
      <c r="H439" s="684"/>
      <c r="I439" s="684"/>
      <c r="J439" s="684"/>
      <c r="K439" s="684"/>
      <c r="L439" s="684"/>
      <c r="M439" s="684"/>
      <c r="N439" s="684"/>
      <c r="O439" s="684"/>
      <c r="P439" s="684"/>
      <c r="Y439" s="225"/>
    </row>
    <row r="440" s="1" customFormat="1" ht="13.8" spans="5:25">
      <c r="E440" s="684"/>
      <c r="F440" s="684"/>
      <c r="G440" s="684"/>
      <c r="H440" s="684"/>
      <c r="I440" s="684"/>
      <c r="J440" s="684"/>
      <c r="K440" s="684"/>
      <c r="L440" s="684"/>
      <c r="M440" s="684"/>
      <c r="N440" s="684"/>
      <c r="O440" s="684"/>
      <c r="P440" s="684"/>
      <c r="Y440" s="225"/>
    </row>
    <row r="441" s="1" customFormat="1" ht="13.8" spans="5:25">
      <c r="E441" s="684"/>
      <c r="F441" s="684"/>
      <c r="G441" s="684"/>
      <c r="H441" s="684"/>
      <c r="I441" s="684"/>
      <c r="J441" s="684"/>
      <c r="K441" s="684"/>
      <c r="L441" s="684"/>
      <c r="M441" s="684"/>
      <c r="N441" s="684"/>
      <c r="O441" s="684"/>
      <c r="P441" s="684"/>
      <c r="Y441" s="225"/>
    </row>
    <row r="442" s="1" customFormat="1" ht="13.8" spans="5:25">
      <c r="E442" s="684"/>
      <c r="F442" s="684"/>
      <c r="G442" s="684"/>
      <c r="H442" s="684"/>
      <c r="I442" s="684"/>
      <c r="J442" s="684"/>
      <c r="K442" s="684"/>
      <c r="L442" s="684"/>
      <c r="M442" s="684"/>
      <c r="N442" s="684"/>
      <c r="O442" s="684"/>
      <c r="P442" s="684"/>
      <c r="Y442" s="225"/>
    </row>
    <row r="443" s="1" customFormat="1" ht="13.8" spans="5:25">
      <c r="E443" s="684"/>
      <c r="F443" s="684"/>
      <c r="G443" s="684"/>
      <c r="H443" s="684"/>
      <c r="I443" s="684"/>
      <c r="J443" s="684"/>
      <c r="K443" s="684"/>
      <c r="L443" s="684"/>
      <c r="M443" s="684"/>
      <c r="N443" s="684"/>
      <c r="O443" s="684"/>
      <c r="P443" s="684"/>
      <c r="Y443" s="225"/>
    </row>
    <row r="444" s="1" customFormat="1" ht="13.8" spans="5:25">
      <c r="E444" s="684"/>
      <c r="F444" s="684"/>
      <c r="G444" s="684"/>
      <c r="H444" s="684"/>
      <c r="I444" s="684"/>
      <c r="J444" s="684"/>
      <c r="K444" s="684"/>
      <c r="L444" s="684"/>
      <c r="M444" s="684"/>
      <c r="N444" s="684"/>
      <c r="O444" s="684"/>
      <c r="P444" s="684"/>
      <c r="Y444" s="225"/>
    </row>
    <row r="445" s="1" customFormat="1" ht="13.8" spans="5:25">
      <c r="E445" s="684"/>
      <c r="F445" s="684"/>
      <c r="G445" s="684"/>
      <c r="H445" s="684"/>
      <c r="I445" s="684"/>
      <c r="J445" s="684"/>
      <c r="K445" s="684"/>
      <c r="L445" s="684"/>
      <c r="M445" s="684"/>
      <c r="N445" s="684"/>
      <c r="O445" s="684"/>
      <c r="P445" s="684"/>
      <c r="Y445" s="225"/>
    </row>
    <row r="446" s="1" customFormat="1" ht="13.8" spans="5:25">
      <c r="E446" s="684"/>
      <c r="F446" s="684"/>
      <c r="G446" s="684"/>
      <c r="H446" s="684"/>
      <c r="I446" s="684"/>
      <c r="J446" s="684"/>
      <c r="K446" s="684"/>
      <c r="L446" s="684"/>
      <c r="M446" s="684"/>
      <c r="N446" s="684"/>
      <c r="O446" s="684"/>
      <c r="P446" s="684"/>
      <c r="Y446" s="225"/>
    </row>
    <row r="447" s="1" customFormat="1" ht="13.8" spans="5:25">
      <c r="E447" s="684"/>
      <c r="F447" s="684"/>
      <c r="G447" s="684"/>
      <c r="H447" s="684"/>
      <c r="I447" s="684"/>
      <c r="J447" s="684"/>
      <c r="K447" s="684"/>
      <c r="L447" s="684"/>
      <c r="M447" s="684"/>
      <c r="N447" s="684"/>
      <c r="O447" s="684"/>
      <c r="P447" s="684"/>
      <c r="Y447" s="225"/>
    </row>
    <row r="448" s="1" customFormat="1" ht="13.8" spans="5:25">
      <c r="E448" s="684"/>
      <c r="F448" s="684"/>
      <c r="G448" s="684"/>
      <c r="H448" s="684"/>
      <c r="I448" s="684"/>
      <c r="J448" s="684"/>
      <c r="K448" s="684"/>
      <c r="L448" s="684"/>
      <c r="M448" s="684"/>
      <c r="N448" s="684"/>
      <c r="O448" s="684"/>
      <c r="P448" s="684"/>
      <c r="Y448" s="225"/>
    </row>
    <row r="449" s="1" customFormat="1" ht="13.8" spans="5:25">
      <c r="E449" s="684"/>
      <c r="F449" s="684"/>
      <c r="G449" s="684"/>
      <c r="H449" s="684"/>
      <c r="I449" s="684"/>
      <c r="J449" s="684"/>
      <c r="K449" s="684"/>
      <c r="L449" s="684"/>
      <c r="M449" s="684"/>
      <c r="N449" s="684"/>
      <c r="O449" s="684"/>
      <c r="P449" s="684"/>
      <c r="Y449" s="225"/>
    </row>
    <row r="450" s="1" customFormat="1" ht="13.8" spans="5:25">
      <c r="E450" s="684"/>
      <c r="F450" s="684"/>
      <c r="G450" s="684"/>
      <c r="H450" s="684"/>
      <c r="I450" s="684"/>
      <c r="J450" s="684"/>
      <c r="K450" s="684"/>
      <c r="L450" s="684"/>
      <c r="M450" s="684"/>
      <c r="N450" s="684"/>
      <c r="O450" s="684"/>
      <c r="P450" s="684"/>
      <c r="Y450" s="225"/>
    </row>
    <row r="451" s="1" customFormat="1" ht="13.8" spans="5:25">
      <c r="E451" s="684"/>
      <c r="F451" s="684"/>
      <c r="G451" s="684"/>
      <c r="H451" s="684"/>
      <c r="I451" s="684"/>
      <c r="J451" s="684"/>
      <c r="K451" s="684"/>
      <c r="L451" s="684"/>
      <c r="M451" s="684"/>
      <c r="N451" s="684"/>
      <c r="O451" s="684"/>
      <c r="P451" s="684"/>
      <c r="Y451" s="225"/>
    </row>
    <row r="452" s="1" customFormat="1" ht="13.8" spans="5:25">
      <c r="E452" s="684"/>
      <c r="F452" s="684"/>
      <c r="G452" s="684"/>
      <c r="H452" s="684"/>
      <c r="I452" s="684"/>
      <c r="J452" s="684"/>
      <c r="K452" s="684"/>
      <c r="L452" s="684"/>
      <c r="M452" s="684"/>
      <c r="N452" s="684"/>
      <c r="O452" s="684"/>
      <c r="P452" s="684"/>
      <c r="Y452" s="225"/>
    </row>
    <row r="453" s="1" customFormat="1" ht="13.8" spans="5:25">
      <c r="E453" s="684"/>
      <c r="F453" s="684"/>
      <c r="G453" s="684"/>
      <c r="H453" s="684"/>
      <c r="I453" s="684"/>
      <c r="J453" s="684"/>
      <c r="K453" s="684"/>
      <c r="L453" s="684"/>
      <c r="M453" s="684"/>
      <c r="N453" s="684"/>
      <c r="O453" s="684"/>
      <c r="P453" s="684"/>
      <c r="Y453" s="225"/>
    </row>
    <row r="454" s="1" customFormat="1" ht="13.8" spans="5:25">
      <c r="E454" s="684"/>
      <c r="F454" s="684"/>
      <c r="G454" s="684"/>
      <c r="H454" s="684"/>
      <c r="I454" s="684"/>
      <c r="J454" s="684"/>
      <c r="K454" s="684"/>
      <c r="L454" s="684"/>
      <c r="M454" s="684"/>
      <c r="N454" s="684"/>
      <c r="O454" s="684"/>
      <c r="P454" s="684"/>
      <c r="Y454" s="225"/>
    </row>
    <row r="455" s="1" customFormat="1" ht="13.8" spans="5:25">
      <c r="E455" s="684"/>
      <c r="F455" s="684"/>
      <c r="G455" s="684"/>
      <c r="H455" s="684"/>
      <c r="I455" s="684"/>
      <c r="J455" s="684"/>
      <c r="K455" s="684"/>
      <c r="L455" s="684"/>
      <c r="M455" s="684"/>
      <c r="N455" s="684"/>
      <c r="O455" s="684"/>
      <c r="P455" s="684"/>
      <c r="Y455" s="225"/>
    </row>
    <row r="456" s="1" customFormat="1" ht="13.8" spans="5:25">
      <c r="E456" s="684"/>
      <c r="F456" s="684"/>
      <c r="G456" s="684"/>
      <c r="H456" s="684"/>
      <c r="I456" s="684"/>
      <c r="J456" s="684"/>
      <c r="K456" s="684"/>
      <c r="L456" s="684"/>
      <c r="M456" s="684"/>
      <c r="N456" s="684"/>
      <c r="O456" s="684"/>
      <c r="P456" s="684"/>
      <c r="Y456" s="225"/>
    </row>
    <row r="457" s="1" customFormat="1" ht="13.8" spans="5:25">
      <c r="E457" s="684"/>
      <c r="F457" s="684"/>
      <c r="G457" s="684"/>
      <c r="H457" s="684"/>
      <c r="I457" s="684"/>
      <c r="J457" s="684"/>
      <c r="K457" s="684"/>
      <c r="L457" s="684"/>
      <c r="M457" s="684"/>
      <c r="N457" s="684"/>
      <c r="O457" s="684"/>
      <c r="P457" s="684"/>
      <c r="Y457" s="225"/>
    </row>
    <row r="458" s="1" customFormat="1" ht="13.8" spans="5:25">
      <c r="E458" s="684"/>
      <c r="F458" s="684"/>
      <c r="G458" s="684"/>
      <c r="H458" s="684"/>
      <c r="I458" s="684"/>
      <c r="J458" s="684"/>
      <c r="K458" s="684"/>
      <c r="L458" s="684"/>
      <c r="M458" s="684"/>
      <c r="N458" s="684"/>
      <c r="O458" s="684"/>
      <c r="P458" s="684"/>
      <c r="Y458" s="225"/>
    </row>
    <row r="459" s="1" customFormat="1" ht="13.8" spans="5:25">
      <c r="E459" s="684"/>
      <c r="F459" s="684"/>
      <c r="G459" s="684"/>
      <c r="H459" s="684"/>
      <c r="I459" s="684"/>
      <c r="J459" s="684"/>
      <c r="K459" s="684"/>
      <c r="L459" s="684"/>
      <c r="M459" s="684"/>
      <c r="N459" s="684"/>
      <c r="O459" s="684"/>
      <c r="P459" s="684"/>
      <c r="Y459" s="225"/>
    </row>
    <row r="460" s="1" customFormat="1" ht="13.8" spans="5:25">
      <c r="E460" s="684"/>
      <c r="F460" s="684"/>
      <c r="G460" s="684"/>
      <c r="H460" s="684"/>
      <c r="I460" s="684"/>
      <c r="J460" s="684"/>
      <c r="K460" s="684"/>
      <c r="L460" s="684"/>
      <c r="M460" s="684"/>
      <c r="N460" s="684"/>
      <c r="O460" s="684"/>
      <c r="P460" s="684"/>
      <c r="Y460" s="225"/>
    </row>
    <row r="461" s="1" customFormat="1" ht="13.8" spans="5:25">
      <c r="E461" s="684"/>
      <c r="F461" s="684"/>
      <c r="G461" s="684"/>
      <c r="H461" s="684"/>
      <c r="I461" s="684"/>
      <c r="J461" s="684"/>
      <c r="K461" s="684"/>
      <c r="L461" s="684"/>
      <c r="M461" s="684"/>
      <c r="N461" s="684"/>
      <c r="O461" s="684"/>
      <c r="P461" s="684"/>
      <c r="Y461" s="225"/>
    </row>
    <row r="462" s="1" customFormat="1" ht="13.8" spans="5:25">
      <c r="E462" s="684"/>
      <c r="F462" s="684"/>
      <c r="G462" s="684"/>
      <c r="H462" s="684"/>
      <c r="I462" s="684"/>
      <c r="J462" s="684"/>
      <c r="K462" s="684"/>
      <c r="L462" s="684"/>
      <c r="M462" s="684"/>
      <c r="N462" s="684"/>
      <c r="O462" s="684"/>
      <c r="P462" s="684"/>
      <c r="Y462" s="225"/>
    </row>
    <row r="463" s="1" customFormat="1" ht="13.8" spans="5:25">
      <c r="E463" s="684"/>
      <c r="F463" s="684"/>
      <c r="G463" s="684"/>
      <c r="H463" s="684"/>
      <c r="I463" s="684"/>
      <c r="J463" s="684"/>
      <c r="K463" s="684"/>
      <c r="L463" s="684"/>
      <c r="M463" s="684"/>
      <c r="N463" s="684"/>
      <c r="O463" s="684"/>
      <c r="P463" s="684"/>
      <c r="Y463" s="225"/>
    </row>
    <row r="464" s="1" customFormat="1" ht="13.8" spans="5:25">
      <c r="E464" s="684"/>
      <c r="F464" s="684"/>
      <c r="G464" s="684"/>
      <c r="H464" s="684"/>
      <c r="I464" s="684"/>
      <c r="J464" s="684"/>
      <c r="K464" s="684"/>
      <c r="L464" s="684"/>
      <c r="M464" s="684"/>
      <c r="N464" s="684"/>
      <c r="O464" s="684"/>
      <c r="P464" s="684"/>
      <c r="Y464" s="225"/>
    </row>
    <row r="465" s="1" customFormat="1" ht="13.8" spans="5:25">
      <c r="E465" s="684"/>
      <c r="F465" s="684"/>
      <c r="G465" s="684"/>
      <c r="H465" s="684"/>
      <c r="I465" s="684"/>
      <c r="J465" s="684"/>
      <c r="K465" s="684"/>
      <c r="L465" s="684"/>
      <c r="M465" s="684"/>
      <c r="N465" s="684"/>
      <c r="O465" s="684"/>
      <c r="P465" s="684"/>
      <c r="Y465" s="225"/>
    </row>
    <row r="466" s="1" customFormat="1" ht="13.8" spans="5:25">
      <c r="E466" s="684"/>
      <c r="F466" s="684"/>
      <c r="G466" s="684"/>
      <c r="H466" s="684"/>
      <c r="I466" s="684"/>
      <c r="J466" s="684"/>
      <c r="K466" s="684"/>
      <c r="L466" s="684"/>
      <c r="M466" s="684"/>
      <c r="N466" s="684"/>
      <c r="O466" s="684"/>
      <c r="P466" s="684"/>
      <c r="Y466" s="225"/>
    </row>
    <row r="467" s="1" customFormat="1" ht="13.8" spans="5:25">
      <c r="E467" s="684"/>
      <c r="F467" s="684"/>
      <c r="G467" s="684"/>
      <c r="H467" s="684"/>
      <c r="I467" s="684"/>
      <c r="J467" s="684"/>
      <c r="K467" s="684"/>
      <c r="L467" s="684"/>
      <c r="M467" s="684"/>
      <c r="N467" s="684"/>
      <c r="O467" s="684"/>
      <c r="P467" s="684"/>
      <c r="Y467" s="225"/>
    </row>
    <row r="468" s="1" customFormat="1" ht="13.8" spans="5:25">
      <c r="E468" s="684"/>
      <c r="F468" s="684"/>
      <c r="G468" s="684"/>
      <c r="H468" s="684"/>
      <c r="I468" s="684"/>
      <c r="J468" s="684"/>
      <c r="K468" s="684"/>
      <c r="L468" s="684"/>
      <c r="M468" s="684"/>
      <c r="N468" s="684"/>
      <c r="O468" s="684"/>
      <c r="P468" s="684"/>
      <c r="Y468" s="225"/>
    </row>
    <row r="469" s="1" customFormat="1" ht="13.8" spans="5:25">
      <c r="E469" s="684"/>
      <c r="F469" s="684"/>
      <c r="G469" s="684"/>
      <c r="H469" s="684"/>
      <c r="I469" s="684"/>
      <c r="J469" s="684"/>
      <c r="K469" s="684"/>
      <c r="L469" s="684"/>
      <c r="M469" s="684"/>
      <c r="N469" s="684"/>
      <c r="O469" s="684"/>
      <c r="P469" s="684"/>
      <c r="Y469" s="225"/>
    </row>
    <row r="470" s="1" customFormat="1" ht="13.8" spans="5:25">
      <c r="E470" s="684"/>
      <c r="F470" s="684"/>
      <c r="G470" s="684"/>
      <c r="H470" s="684"/>
      <c r="I470" s="684"/>
      <c r="J470" s="684"/>
      <c r="K470" s="684"/>
      <c r="L470" s="684"/>
      <c r="M470" s="684"/>
      <c r="N470" s="684"/>
      <c r="O470" s="684"/>
      <c r="P470" s="684"/>
      <c r="Y470" s="225"/>
    </row>
    <row r="471" s="1" customFormat="1" ht="13.8" spans="5:25">
      <c r="E471" s="684"/>
      <c r="F471" s="684"/>
      <c r="G471" s="684"/>
      <c r="H471" s="684"/>
      <c r="I471" s="684"/>
      <c r="J471" s="684"/>
      <c r="K471" s="684"/>
      <c r="L471" s="684"/>
      <c r="M471" s="684"/>
      <c r="N471" s="684"/>
      <c r="O471" s="684"/>
      <c r="P471" s="684"/>
      <c r="Y471" s="225"/>
    </row>
    <row r="472" s="1" customFormat="1" ht="13.8" spans="5:25">
      <c r="E472" s="684"/>
      <c r="F472" s="684"/>
      <c r="G472" s="684"/>
      <c r="H472" s="684"/>
      <c r="I472" s="684"/>
      <c r="J472" s="684"/>
      <c r="K472" s="684"/>
      <c r="L472" s="684"/>
      <c r="M472" s="684"/>
      <c r="N472" s="684"/>
      <c r="O472" s="684"/>
      <c r="P472" s="684"/>
      <c r="Y472" s="225"/>
    </row>
    <row r="473" s="1" customFormat="1" ht="13.8" spans="5:25">
      <c r="E473" s="684"/>
      <c r="F473" s="684"/>
      <c r="G473" s="684"/>
      <c r="H473" s="684"/>
      <c r="I473" s="684"/>
      <c r="J473" s="684"/>
      <c r="K473" s="684"/>
      <c r="L473" s="684"/>
      <c r="M473" s="684"/>
      <c r="N473" s="684"/>
      <c r="O473" s="684"/>
      <c r="P473" s="684"/>
      <c r="Y473" s="225"/>
    </row>
    <row r="474" s="1" customFormat="1" ht="13.8" spans="5:25">
      <c r="E474" s="684"/>
      <c r="F474" s="684"/>
      <c r="G474" s="684"/>
      <c r="H474" s="684"/>
      <c r="I474" s="684"/>
      <c r="J474" s="684"/>
      <c r="K474" s="684"/>
      <c r="L474" s="684"/>
      <c r="M474" s="684"/>
      <c r="N474" s="684"/>
      <c r="O474" s="684"/>
      <c r="P474" s="684"/>
      <c r="Y474" s="225"/>
    </row>
    <row r="475" s="1" customFormat="1" ht="13.8" spans="5:25">
      <c r="E475" s="684"/>
      <c r="F475" s="684"/>
      <c r="G475" s="684"/>
      <c r="H475" s="684"/>
      <c r="I475" s="684"/>
      <c r="J475" s="684"/>
      <c r="K475" s="684"/>
      <c r="L475" s="684"/>
      <c r="M475" s="684"/>
      <c r="N475" s="684"/>
      <c r="O475" s="684"/>
      <c r="P475" s="684"/>
      <c r="Y475" s="225"/>
    </row>
    <row r="476" s="1" customFormat="1" ht="13.8" spans="5:25">
      <c r="E476" s="684"/>
      <c r="F476" s="684"/>
      <c r="G476" s="684"/>
      <c r="H476" s="684"/>
      <c r="I476" s="684"/>
      <c r="J476" s="684"/>
      <c r="K476" s="684"/>
      <c r="L476" s="684"/>
      <c r="M476" s="684"/>
      <c r="N476" s="684"/>
      <c r="O476" s="684"/>
      <c r="P476" s="684"/>
      <c r="Y476" s="225"/>
    </row>
    <row r="477" s="1" customFormat="1" ht="13.8" spans="5:25">
      <c r="E477" s="684"/>
      <c r="F477" s="684"/>
      <c r="G477" s="684"/>
      <c r="H477" s="684"/>
      <c r="I477" s="684"/>
      <c r="J477" s="684"/>
      <c r="K477" s="684"/>
      <c r="L477" s="684"/>
      <c r="M477" s="684"/>
      <c r="N477" s="684"/>
      <c r="O477" s="684"/>
      <c r="P477" s="684"/>
      <c r="Y477" s="225"/>
    </row>
    <row r="478" s="1" customFormat="1" ht="13.8" spans="5:25">
      <c r="E478" s="684"/>
      <c r="F478" s="684"/>
      <c r="G478" s="684"/>
      <c r="H478" s="684"/>
      <c r="I478" s="684"/>
      <c r="J478" s="684"/>
      <c r="K478" s="684"/>
      <c r="L478" s="684"/>
      <c r="M478" s="684"/>
      <c r="N478" s="684"/>
      <c r="O478" s="684"/>
      <c r="P478" s="684"/>
      <c r="Y478" s="225"/>
    </row>
    <row r="479" s="1" customFormat="1" ht="13.8" spans="5:25">
      <c r="E479" s="684"/>
      <c r="F479" s="684"/>
      <c r="G479" s="684"/>
      <c r="H479" s="684"/>
      <c r="I479" s="684"/>
      <c r="J479" s="684"/>
      <c r="K479" s="684"/>
      <c r="L479" s="684"/>
      <c r="M479" s="684"/>
      <c r="N479" s="684"/>
      <c r="O479" s="684"/>
      <c r="P479" s="684"/>
      <c r="Y479" s="225"/>
    </row>
    <row r="480" s="1" customFormat="1" ht="13.8" spans="5:25">
      <c r="E480" s="684"/>
      <c r="F480" s="684"/>
      <c r="G480" s="684"/>
      <c r="H480" s="684"/>
      <c r="I480" s="684"/>
      <c r="J480" s="684"/>
      <c r="K480" s="684"/>
      <c r="L480" s="684"/>
      <c r="M480" s="684"/>
      <c r="N480" s="684"/>
      <c r="O480" s="684"/>
      <c r="P480" s="684"/>
      <c r="Y480" s="225"/>
    </row>
    <row r="481" s="1" customFormat="1" ht="13.8" spans="5:25">
      <c r="E481" s="684"/>
      <c r="F481" s="684"/>
      <c r="G481" s="684"/>
      <c r="H481" s="684"/>
      <c r="I481" s="684"/>
      <c r="J481" s="684"/>
      <c r="K481" s="684"/>
      <c r="L481" s="684"/>
      <c r="M481" s="684"/>
      <c r="N481" s="684"/>
      <c r="O481" s="684"/>
      <c r="P481" s="684"/>
      <c r="Y481" s="225"/>
    </row>
    <row r="482" s="1" customFormat="1" ht="13.8" spans="5:25">
      <c r="E482" s="684"/>
      <c r="F482" s="684"/>
      <c r="G482" s="684"/>
      <c r="H482" s="684"/>
      <c r="I482" s="684"/>
      <c r="J482" s="684"/>
      <c r="K482" s="684"/>
      <c r="L482" s="684"/>
      <c r="M482" s="684"/>
      <c r="N482" s="684"/>
      <c r="O482" s="684"/>
      <c r="P482" s="684"/>
      <c r="Y482" s="225"/>
    </row>
    <row r="483" s="1" customFormat="1" ht="13.8" spans="5:25">
      <c r="E483" s="684"/>
      <c r="F483" s="684"/>
      <c r="G483" s="684"/>
      <c r="H483" s="684"/>
      <c r="I483" s="684"/>
      <c r="J483" s="684"/>
      <c r="K483" s="684"/>
      <c r="L483" s="684"/>
      <c r="M483" s="684"/>
      <c r="N483" s="684"/>
      <c r="O483" s="684"/>
      <c r="P483" s="684"/>
      <c r="Y483" s="225"/>
    </row>
    <row r="484" s="1" customFormat="1" ht="13.8" spans="5:25">
      <c r="E484" s="684"/>
      <c r="F484" s="684"/>
      <c r="G484" s="684"/>
      <c r="H484" s="684"/>
      <c r="I484" s="684"/>
      <c r="J484" s="684"/>
      <c r="K484" s="684"/>
      <c r="L484" s="684"/>
      <c r="M484" s="684"/>
      <c r="N484" s="684"/>
      <c r="O484" s="684"/>
      <c r="P484" s="684"/>
      <c r="Y484" s="225"/>
    </row>
    <row r="485" s="1" customFormat="1" ht="13.8" spans="5:25">
      <c r="E485" s="684"/>
      <c r="F485" s="684"/>
      <c r="G485" s="684"/>
      <c r="H485" s="684"/>
      <c r="I485" s="684"/>
      <c r="J485" s="684"/>
      <c r="K485" s="684"/>
      <c r="L485" s="684"/>
      <c r="M485" s="684"/>
      <c r="N485" s="684"/>
      <c r="O485" s="684"/>
      <c r="P485" s="684"/>
      <c r="Y485" s="225"/>
    </row>
    <row r="486" s="1" customFormat="1" ht="13.8" spans="5:25">
      <c r="E486" s="684"/>
      <c r="F486" s="684"/>
      <c r="G486" s="684"/>
      <c r="H486" s="684"/>
      <c r="I486" s="684"/>
      <c r="J486" s="684"/>
      <c r="K486" s="684"/>
      <c r="L486" s="684"/>
      <c r="M486" s="684"/>
      <c r="N486" s="684"/>
      <c r="O486" s="684"/>
      <c r="P486" s="684"/>
      <c r="Y486" s="225"/>
    </row>
    <row r="487" s="1" customFormat="1" ht="13.8" spans="5:25">
      <c r="E487" s="684"/>
      <c r="F487" s="684"/>
      <c r="G487" s="684"/>
      <c r="H487" s="684"/>
      <c r="I487" s="684"/>
      <c r="J487" s="684"/>
      <c r="K487" s="684"/>
      <c r="L487" s="684"/>
      <c r="M487" s="684"/>
      <c r="N487" s="684"/>
      <c r="O487" s="684"/>
      <c r="P487" s="684"/>
      <c r="Y487" s="225"/>
    </row>
    <row r="488" s="1" customFormat="1" ht="13.8" spans="5:25">
      <c r="E488" s="684"/>
      <c r="F488" s="684"/>
      <c r="G488" s="684"/>
      <c r="H488" s="684"/>
      <c r="I488" s="684"/>
      <c r="J488" s="684"/>
      <c r="K488" s="684"/>
      <c r="L488" s="684"/>
      <c r="M488" s="684"/>
      <c r="N488" s="684"/>
      <c r="O488" s="684"/>
      <c r="P488" s="684"/>
      <c r="Y488" s="225"/>
    </row>
    <row r="489" s="1" customFormat="1" ht="13.8" spans="5:25">
      <c r="E489" s="684"/>
      <c r="F489" s="684"/>
      <c r="G489" s="684"/>
      <c r="H489" s="684"/>
      <c r="I489" s="684"/>
      <c r="J489" s="684"/>
      <c r="K489" s="684"/>
      <c r="L489" s="684"/>
      <c r="M489" s="684"/>
      <c r="N489" s="684"/>
      <c r="O489" s="684"/>
      <c r="P489" s="684"/>
      <c r="Y489" s="225"/>
    </row>
    <row r="490" s="1" customFormat="1" ht="13.8" spans="5:25">
      <c r="E490" s="684"/>
      <c r="F490" s="684"/>
      <c r="G490" s="684"/>
      <c r="H490" s="684"/>
      <c r="I490" s="684"/>
      <c r="J490" s="684"/>
      <c r="K490" s="684"/>
      <c r="L490" s="684"/>
      <c r="M490" s="684"/>
      <c r="N490" s="684"/>
      <c r="O490" s="684"/>
      <c r="P490" s="684"/>
      <c r="Y490" s="225"/>
    </row>
    <row r="491" s="1" customFormat="1" ht="13.8" spans="5:25">
      <c r="E491" s="684"/>
      <c r="F491" s="684"/>
      <c r="G491" s="684"/>
      <c r="H491" s="684"/>
      <c r="I491" s="684"/>
      <c r="J491" s="684"/>
      <c r="K491" s="684"/>
      <c r="L491" s="684"/>
      <c r="M491" s="684"/>
      <c r="N491" s="684"/>
      <c r="O491" s="684"/>
      <c r="P491" s="684"/>
      <c r="Y491" s="225"/>
    </row>
    <row r="492" s="1" customFormat="1" ht="13.8" spans="5:25">
      <c r="E492" s="684"/>
      <c r="F492" s="684"/>
      <c r="G492" s="684"/>
      <c r="H492" s="684"/>
      <c r="I492" s="684"/>
      <c r="J492" s="684"/>
      <c r="K492" s="684"/>
      <c r="L492" s="684"/>
      <c r="M492" s="684"/>
      <c r="N492" s="684"/>
      <c r="O492" s="684"/>
      <c r="P492" s="684"/>
      <c r="Y492" s="225"/>
    </row>
    <row r="493" s="1" customFormat="1" ht="13.8" spans="5:25">
      <c r="E493" s="684"/>
      <c r="F493" s="684"/>
      <c r="G493" s="684"/>
      <c r="H493" s="684"/>
      <c r="I493" s="684"/>
      <c r="J493" s="684"/>
      <c r="K493" s="684"/>
      <c r="L493" s="684"/>
      <c r="M493" s="684"/>
      <c r="N493" s="684"/>
      <c r="O493" s="684"/>
      <c r="P493" s="684"/>
      <c r="Y493" s="225"/>
    </row>
    <row r="494" s="1" customFormat="1" ht="13.8" spans="5:25">
      <c r="E494" s="684"/>
      <c r="F494" s="684"/>
      <c r="G494" s="684"/>
      <c r="H494" s="684"/>
      <c r="I494" s="684"/>
      <c r="J494" s="684"/>
      <c r="K494" s="684"/>
      <c r="L494" s="684"/>
      <c r="M494" s="684"/>
      <c r="N494" s="684"/>
      <c r="O494" s="684"/>
      <c r="P494" s="684"/>
      <c r="Y494" s="225"/>
    </row>
    <row r="495" s="1" customFormat="1" ht="13.8" spans="5:25">
      <c r="E495" s="684"/>
      <c r="F495" s="684"/>
      <c r="G495" s="684"/>
      <c r="H495" s="684"/>
      <c r="I495" s="684"/>
      <c r="J495" s="684"/>
      <c r="K495" s="684"/>
      <c r="L495" s="684"/>
      <c r="M495" s="684"/>
      <c r="N495" s="684"/>
      <c r="O495" s="684"/>
      <c r="P495" s="684"/>
      <c r="Y495" s="225"/>
    </row>
    <row r="496" s="1" customFormat="1" ht="13.8" spans="5:25">
      <c r="E496" s="684"/>
      <c r="F496" s="684"/>
      <c r="G496" s="684"/>
      <c r="H496" s="684"/>
      <c r="I496" s="684"/>
      <c r="J496" s="684"/>
      <c r="K496" s="684"/>
      <c r="L496" s="684"/>
      <c r="M496" s="684"/>
      <c r="N496" s="684"/>
      <c r="O496" s="684"/>
      <c r="P496" s="684"/>
      <c r="Y496" s="225"/>
    </row>
    <row r="497" s="1" customFormat="1" ht="13.8" spans="5:25">
      <c r="E497" s="684"/>
      <c r="F497" s="684"/>
      <c r="G497" s="684"/>
      <c r="H497" s="684"/>
      <c r="I497" s="684"/>
      <c r="J497" s="684"/>
      <c r="K497" s="684"/>
      <c r="L497" s="684"/>
      <c r="M497" s="684"/>
      <c r="N497" s="684"/>
      <c r="O497" s="684"/>
      <c r="P497" s="684"/>
      <c r="Y497" s="225"/>
    </row>
    <row r="498" s="1" customFormat="1" ht="13.8" spans="5:25">
      <c r="E498" s="684"/>
      <c r="F498" s="684"/>
      <c r="G498" s="684"/>
      <c r="H498" s="684"/>
      <c r="I498" s="684"/>
      <c r="J498" s="684"/>
      <c r="K498" s="684"/>
      <c r="L498" s="684"/>
      <c r="M498" s="684"/>
      <c r="N498" s="684"/>
      <c r="O498" s="684"/>
      <c r="P498" s="684"/>
      <c r="Y498" s="225"/>
    </row>
    <row r="499" s="1" customFormat="1" ht="13.8" spans="5:25">
      <c r="E499" s="684"/>
      <c r="F499" s="684"/>
      <c r="G499" s="684"/>
      <c r="H499" s="684"/>
      <c r="I499" s="684"/>
      <c r="J499" s="684"/>
      <c r="K499" s="684"/>
      <c r="L499" s="684"/>
      <c r="M499" s="684"/>
      <c r="N499" s="684"/>
      <c r="O499" s="684"/>
      <c r="P499" s="684"/>
      <c r="Y499" s="225"/>
    </row>
    <row r="500" s="1" customFormat="1" ht="13.8" spans="5:25">
      <c r="E500" s="684"/>
      <c r="F500" s="684"/>
      <c r="G500" s="684"/>
      <c r="H500" s="684"/>
      <c r="I500" s="684"/>
      <c r="J500" s="684"/>
      <c r="K500" s="684"/>
      <c r="L500" s="684"/>
      <c r="M500" s="684"/>
      <c r="N500" s="684"/>
      <c r="O500" s="684"/>
      <c r="P500" s="684"/>
      <c r="Y500" s="225"/>
    </row>
    <row r="501" s="1" customFormat="1" ht="13.8" spans="5:25">
      <c r="E501" s="684"/>
      <c r="F501" s="684"/>
      <c r="G501" s="684"/>
      <c r="H501" s="684"/>
      <c r="I501" s="684"/>
      <c r="J501" s="684"/>
      <c r="K501" s="684"/>
      <c r="L501" s="684"/>
      <c r="M501" s="684"/>
      <c r="N501" s="684"/>
      <c r="O501" s="684"/>
      <c r="P501" s="684"/>
      <c r="Y501" s="225"/>
    </row>
    <row r="502" s="1" customFormat="1" ht="13.8" spans="5:25">
      <c r="E502" s="684"/>
      <c r="F502" s="684"/>
      <c r="G502" s="684"/>
      <c r="H502" s="684"/>
      <c r="I502" s="684"/>
      <c r="J502" s="684"/>
      <c r="K502" s="684"/>
      <c r="L502" s="684"/>
      <c r="M502" s="684"/>
      <c r="N502" s="684"/>
      <c r="O502" s="684"/>
      <c r="P502" s="684"/>
      <c r="Y502" s="225"/>
    </row>
    <row r="503" s="1" customFormat="1" ht="13.8" spans="5:25">
      <c r="E503" s="684"/>
      <c r="F503" s="684"/>
      <c r="G503" s="684"/>
      <c r="H503" s="684"/>
      <c r="I503" s="684"/>
      <c r="J503" s="684"/>
      <c r="K503" s="684"/>
      <c r="L503" s="684"/>
      <c r="M503" s="684"/>
      <c r="N503" s="684"/>
      <c r="O503" s="684"/>
      <c r="P503" s="684"/>
      <c r="Y503" s="225"/>
    </row>
    <row r="504" s="1" customFormat="1" ht="13.8" spans="5:25">
      <c r="E504" s="684"/>
      <c r="F504" s="684"/>
      <c r="G504" s="684"/>
      <c r="H504" s="684"/>
      <c r="I504" s="684"/>
      <c r="J504" s="684"/>
      <c r="K504" s="684"/>
      <c r="L504" s="684"/>
      <c r="M504" s="684"/>
      <c r="N504" s="684"/>
      <c r="O504" s="684"/>
      <c r="P504" s="684"/>
      <c r="Y504" s="225"/>
    </row>
    <row r="505" s="1" customFormat="1" ht="13.8" spans="5:25"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Y505" s="225"/>
    </row>
    <row r="506" s="1" customFormat="1" ht="13.8" spans="5:25">
      <c r="E506" s="684"/>
      <c r="F506" s="684"/>
      <c r="G506" s="684"/>
      <c r="H506" s="684"/>
      <c r="I506" s="684"/>
      <c r="J506" s="684"/>
      <c r="K506" s="684"/>
      <c r="L506" s="684"/>
      <c r="M506" s="684"/>
      <c r="N506" s="684"/>
      <c r="O506" s="684"/>
      <c r="P506" s="684"/>
      <c r="Y506" s="225"/>
    </row>
    <row r="507" s="1" customFormat="1" ht="13.8" spans="5:25">
      <c r="E507" s="684"/>
      <c r="F507" s="684"/>
      <c r="G507" s="684"/>
      <c r="H507" s="684"/>
      <c r="I507" s="684"/>
      <c r="J507" s="684"/>
      <c r="K507" s="684"/>
      <c r="L507" s="684"/>
      <c r="M507" s="684"/>
      <c r="N507" s="684"/>
      <c r="O507" s="684"/>
      <c r="P507" s="684"/>
      <c r="Y507" s="225"/>
    </row>
    <row r="508" s="1" customFormat="1" ht="13.8" spans="5:25">
      <c r="E508" s="684"/>
      <c r="F508" s="684"/>
      <c r="G508" s="684"/>
      <c r="H508" s="684"/>
      <c r="I508" s="684"/>
      <c r="J508" s="684"/>
      <c r="K508" s="684"/>
      <c r="L508" s="684"/>
      <c r="M508" s="684"/>
      <c r="N508" s="684"/>
      <c r="O508" s="684"/>
      <c r="P508" s="684"/>
      <c r="Y508" s="225"/>
    </row>
    <row r="509" s="1" customFormat="1" ht="13.8" spans="5:25">
      <c r="E509" s="684"/>
      <c r="F509" s="684"/>
      <c r="G509" s="684"/>
      <c r="H509" s="684"/>
      <c r="I509" s="684"/>
      <c r="J509" s="684"/>
      <c r="K509" s="684"/>
      <c r="L509" s="684"/>
      <c r="M509" s="684"/>
      <c r="N509" s="684"/>
      <c r="O509" s="684"/>
      <c r="P509" s="684"/>
      <c r="Y509" s="225"/>
    </row>
    <row r="510" s="1" customFormat="1" ht="13.8" spans="5:25">
      <c r="E510" s="684"/>
      <c r="F510" s="684"/>
      <c r="G510" s="684"/>
      <c r="H510" s="684"/>
      <c r="I510" s="684"/>
      <c r="J510" s="684"/>
      <c r="K510" s="684"/>
      <c r="L510" s="684"/>
      <c r="M510" s="684"/>
      <c r="N510" s="684"/>
      <c r="O510" s="684"/>
      <c r="P510" s="684"/>
      <c r="Y510" s="225"/>
    </row>
    <row r="511" s="1" customFormat="1" ht="13.8" spans="5:25">
      <c r="E511" s="684"/>
      <c r="F511" s="684"/>
      <c r="G511" s="684"/>
      <c r="H511" s="684"/>
      <c r="I511" s="684"/>
      <c r="J511" s="684"/>
      <c r="K511" s="684"/>
      <c r="L511" s="684"/>
      <c r="M511" s="684"/>
      <c r="N511" s="684"/>
      <c r="O511" s="684"/>
      <c r="P511" s="684"/>
      <c r="Y511" s="225"/>
    </row>
    <row r="512" s="1" customFormat="1" ht="13.8" spans="5:25">
      <c r="E512" s="684"/>
      <c r="F512" s="684"/>
      <c r="G512" s="684"/>
      <c r="H512" s="684"/>
      <c r="I512" s="684"/>
      <c r="J512" s="684"/>
      <c r="K512" s="684"/>
      <c r="L512" s="684"/>
      <c r="M512" s="684"/>
      <c r="N512" s="684"/>
      <c r="O512" s="684"/>
      <c r="P512" s="684"/>
      <c r="Y512" s="225"/>
    </row>
    <row r="513" s="1" customFormat="1" ht="13.8" spans="5:25">
      <c r="E513" s="684"/>
      <c r="F513" s="684"/>
      <c r="G513" s="684"/>
      <c r="H513" s="684"/>
      <c r="I513" s="684"/>
      <c r="J513" s="684"/>
      <c r="K513" s="684"/>
      <c r="L513" s="684"/>
      <c r="M513" s="684"/>
      <c r="N513" s="684"/>
      <c r="O513" s="684"/>
      <c r="P513" s="684"/>
      <c r="Y513" s="225"/>
    </row>
    <row r="514" s="1" customFormat="1" ht="13.8" spans="5:25">
      <c r="E514" s="684"/>
      <c r="F514" s="684"/>
      <c r="G514" s="684"/>
      <c r="H514" s="684"/>
      <c r="I514" s="684"/>
      <c r="J514" s="684"/>
      <c r="K514" s="684"/>
      <c r="L514" s="684"/>
      <c r="M514" s="684"/>
      <c r="N514" s="684"/>
      <c r="O514" s="684"/>
      <c r="P514" s="684"/>
      <c r="Y514" s="225"/>
    </row>
    <row r="515" s="1" customFormat="1" ht="13.8" spans="5:25">
      <c r="E515" s="684"/>
      <c r="F515" s="684"/>
      <c r="G515" s="684"/>
      <c r="H515" s="684"/>
      <c r="I515" s="684"/>
      <c r="J515" s="684"/>
      <c r="K515" s="684"/>
      <c r="L515" s="684"/>
      <c r="M515" s="684"/>
      <c r="N515" s="684"/>
      <c r="O515" s="684"/>
      <c r="P515" s="684"/>
      <c r="Y515" s="225"/>
    </row>
    <row r="516" s="1" customFormat="1" ht="13.8" spans="5:25">
      <c r="E516" s="684"/>
      <c r="F516" s="684"/>
      <c r="G516" s="684"/>
      <c r="H516" s="684"/>
      <c r="I516" s="684"/>
      <c r="J516" s="684"/>
      <c r="K516" s="684"/>
      <c r="L516" s="684"/>
      <c r="M516" s="684"/>
      <c r="N516" s="684"/>
      <c r="O516" s="684"/>
      <c r="P516" s="684"/>
      <c r="Y516" s="225"/>
    </row>
    <row r="517" s="1" customFormat="1" ht="13.8" spans="5:25">
      <c r="E517" s="684"/>
      <c r="F517" s="684"/>
      <c r="G517" s="684"/>
      <c r="H517" s="684"/>
      <c r="I517" s="684"/>
      <c r="J517" s="684"/>
      <c r="K517" s="684"/>
      <c r="L517" s="684"/>
      <c r="M517" s="684"/>
      <c r="N517" s="684"/>
      <c r="O517" s="684"/>
      <c r="P517" s="684"/>
      <c r="Y517" s="225"/>
    </row>
    <row r="518" s="1" customFormat="1" ht="13.8" spans="5:25">
      <c r="E518" s="684"/>
      <c r="F518" s="684"/>
      <c r="G518" s="684"/>
      <c r="H518" s="684"/>
      <c r="I518" s="684"/>
      <c r="J518" s="684"/>
      <c r="K518" s="684"/>
      <c r="L518" s="684"/>
      <c r="M518" s="684"/>
      <c r="N518" s="684"/>
      <c r="O518" s="684"/>
      <c r="P518" s="684"/>
      <c r="Y518" s="225"/>
    </row>
    <row r="519" s="1" customFormat="1" ht="13.8" spans="5:25">
      <c r="E519" s="684"/>
      <c r="F519" s="684"/>
      <c r="G519" s="684"/>
      <c r="H519" s="684"/>
      <c r="I519" s="684"/>
      <c r="J519" s="684"/>
      <c r="K519" s="684"/>
      <c r="L519" s="684"/>
      <c r="M519" s="684"/>
      <c r="N519" s="684"/>
      <c r="O519" s="684"/>
      <c r="P519" s="684"/>
      <c r="Y519" s="225"/>
    </row>
    <row r="520" s="1" customFormat="1" ht="13.8" spans="5:25">
      <c r="E520" s="684"/>
      <c r="F520" s="684"/>
      <c r="G520" s="684"/>
      <c r="H520" s="684"/>
      <c r="I520" s="684"/>
      <c r="J520" s="684"/>
      <c r="K520" s="684"/>
      <c r="L520" s="684"/>
      <c r="M520" s="684"/>
      <c r="N520" s="684"/>
      <c r="O520" s="684"/>
      <c r="P520" s="684"/>
      <c r="Y520" s="225"/>
    </row>
    <row r="521" s="1" customFormat="1" ht="13.8" spans="5:25">
      <c r="E521" s="684"/>
      <c r="F521" s="684"/>
      <c r="G521" s="684"/>
      <c r="H521" s="684"/>
      <c r="I521" s="684"/>
      <c r="J521" s="684"/>
      <c r="K521" s="684"/>
      <c r="L521" s="684"/>
      <c r="M521" s="684"/>
      <c r="N521" s="684"/>
      <c r="O521" s="684"/>
      <c r="P521" s="684"/>
      <c r="Y521" s="225"/>
    </row>
    <row r="522" s="1" customFormat="1" ht="13.8" spans="5:25">
      <c r="E522" s="684"/>
      <c r="F522" s="684"/>
      <c r="G522" s="684"/>
      <c r="H522" s="684"/>
      <c r="I522" s="684"/>
      <c r="J522" s="684"/>
      <c r="K522" s="684"/>
      <c r="L522" s="684"/>
      <c r="M522" s="684"/>
      <c r="N522" s="684"/>
      <c r="O522" s="684"/>
      <c r="P522" s="684"/>
      <c r="Y522" s="225"/>
    </row>
    <row r="523" s="1" customFormat="1" ht="13.8" spans="5:25">
      <c r="E523" s="684"/>
      <c r="F523" s="684"/>
      <c r="G523" s="684"/>
      <c r="H523" s="684"/>
      <c r="I523" s="684"/>
      <c r="J523" s="684"/>
      <c r="K523" s="684"/>
      <c r="L523" s="684"/>
      <c r="M523" s="684"/>
      <c r="N523" s="684"/>
      <c r="O523" s="684"/>
      <c r="P523" s="684"/>
      <c r="Y523" s="225"/>
    </row>
    <row r="524" s="1" customFormat="1" ht="13.8" spans="5:25">
      <c r="E524" s="684"/>
      <c r="F524" s="684"/>
      <c r="G524" s="684"/>
      <c r="H524" s="684"/>
      <c r="I524" s="684"/>
      <c r="J524" s="684"/>
      <c r="K524" s="684"/>
      <c r="L524" s="684"/>
      <c r="M524" s="684"/>
      <c r="N524" s="684"/>
      <c r="O524" s="684"/>
      <c r="P524" s="684"/>
      <c r="Y524" s="225"/>
    </row>
    <row r="525" s="1" customFormat="1" ht="13.8" spans="5:25">
      <c r="E525" s="684"/>
      <c r="F525" s="684"/>
      <c r="G525" s="684"/>
      <c r="H525" s="684"/>
      <c r="I525" s="684"/>
      <c r="J525" s="684"/>
      <c r="K525" s="684"/>
      <c r="L525" s="684"/>
      <c r="M525" s="684"/>
      <c r="N525" s="684"/>
      <c r="O525" s="684"/>
      <c r="P525" s="684"/>
      <c r="Y525" s="225"/>
    </row>
    <row r="526" s="1" customFormat="1" ht="13.8" spans="5:25">
      <c r="E526" s="684"/>
      <c r="F526" s="684"/>
      <c r="G526" s="684"/>
      <c r="H526" s="684"/>
      <c r="I526" s="684"/>
      <c r="J526" s="684"/>
      <c r="K526" s="684"/>
      <c r="L526" s="684"/>
      <c r="M526" s="684"/>
      <c r="N526" s="684"/>
      <c r="O526" s="684"/>
      <c r="P526" s="684"/>
      <c r="Y526" s="225"/>
    </row>
    <row r="527" s="1" customFormat="1" ht="13.8" spans="5:25">
      <c r="E527" s="684"/>
      <c r="F527" s="684"/>
      <c r="G527" s="684"/>
      <c r="H527" s="684"/>
      <c r="I527" s="684"/>
      <c r="J527" s="684"/>
      <c r="K527" s="684"/>
      <c r="L527" s="684"/>
      <c r="M527" s="684"/>
      <c r="N527" s="684"/>
      <c r="O527" s="684"/>
      <c r="P527" s="684"/>
      <c r="Y527" s="225"/>
    </row>
    <row r="528" s="1" customFormat="1" ht="13.8" spans="5:25">
      <c r="E528" s="684"/>
      <c r="F528" s="684"/>
      <c r="G528" s="684"/>
      <c r="H528" s="684"/>
      <c r="I528" s="684"/>
      <c r="J528" s="684"/>
      <c r="K528" s="684"/>
      <c r="L528" s="684"/>
      <c r="M528" s="684"/>
      <c r="N528" s="684"/>
      <c r="O528" s="684"/>
      <c r="P528" s="684"/>
      <c r="Y528" s="225"/>
    </row>
    <row r="529" s="1" customFormat="1" ht="13.8" spans="5:25">
      <c r="E529" s="684"/>
      <c r="F529" s="684"/>
      <c r="G529" s="684"/>
      <c r="H529" s="684"/>
      <c r="I529" s="684"/>
      <c r="J529" s="684"/>
      <c r="K529" s="684"/>
      <c r="L529" s="684"/>
      <c r="M529" s="684"/>
      <c r="N529" s="684"/>
      <c r="O529" s="684"/>
      <c r="P529" s="684"/>
      <c r="Y529" s="225"/>
    </row>
    <row r="530" s="1" customFormat="1" ht="13.8" spans="5:25">
      <c r="E530" s="684"/>
      <c r="F530" s="684"/>
      <c r="G530" s="684"/>
      <c r="H530" s="684"/>
      <c r="I530" s="684"/>
      <c r="J530" s="684"/>
      <c r="K530" s="684"/>
      <c r="L530" s="684"/>
      <c r="M530" s="684"/>
      <c r="N530" s="684"/>
      <c r="O530" s="684"/>
      <c r="P530" s="684"/>
      <c r="Y530" s="225"/>
    </row>
    <row r="531" s="1" customFormat="1" ht="13.8" spans="5:25">
      <c r="E531" s="684"/>
      <c r="F531" s="684"/>
      <c r="G531" s="684"/>
      <c r="H531" s="684"/>
      <c r="I531" s="684"/>
      <c r="J531" s="684"/>
      <c r="K531" s="684"/>
      <c r="L531" s="684"/>
      <c r="M531" s="684"/>
      <c r="N531" s="684"/>
      <c r="O531" s="684"/>
      <c r="P531" s="684"/>
      <c r="Y531" s="225"/>
    </row>
    <row r="532" s="1" customFormat="1" ht="13.8" spans="5:25">
      <c r="E532" s="684"/>
      <c r="F532" s="684"/>
      <c r="G532" s="684"/>
      <c r="H532" s="684"/>
      <c r="I532" s="684"/>
      <c r="J532" s="684"/>
      <c r="K532" s="684"/>
      <c r="L532" s="684"/>
      <c r="M532" s="684"/>
      <c r="N532" s="684"/>
      <c r="O532" s="684"/>
      <c r="P532" s="684"/>
      <c r="Y532" s="225"/>
    </row>
    <row r="533" s="1" customFormat="1" ht="13.8" spans="5:25">
      <c r="E533" s="684"/>
      <c r="F533" s="684"/>
      <c r="G533" s="684"/>
      <c r="H533" s="684"/>
      <c r="I533" s="684"/>
      <c r="J533" s="684"/>
      <c r="K533" s="684"/>
      <c r="L533" s="684"/>
      <c r="M533" s="684"/>
      <c r="N533" s="684"/>
      <c r="O533" s="684"/>
      <c r="P533" s="684"/>
      <c r="Y533" s="225"/>
    </row>
    <row r="534" s="1" customFormat="1" ht="13.8" spans="5:25">
      <c r="E534" s="684"/>
      <c r="F534" s="684"/>
      <c r="G534" s="684"/>
      <c r="H534" s="684"/>
      <c r="I534" s="684"/>
      <c r="J534" s="684"/>
      <c r="K534" s="684"/>
      <c r="L534" s="684"/>
      <c r="M534" s="684"/>
      <c r="N534" s="684"/>
      <c r="O534" s="684"/>
      <c r="P534" s="684"/>
      <c r="Y534" s="225"/>
    </row>
    <row r="535" s="1" customFormat="1" ht="13.8" spans="5:25">
      <c r="E535" s="684"/>
      <c r="F535" s="684"/>
      <c r="G535" s="684"/>
      <c r="H535" s="684"/>
      <c r="I535" s="684"/>
      <c r="J535" s="684"/>
      <c r="K535" s="684"/>
      <c r="L535" s="684"/>
      <c r="M535" s="684"/>
      <c r="N535" s="684"/>
      <c r="O535" s="684"/>
      <c r="P535" s="684"/>
      <c r="Y535" s="225"/>
    </row>
    <row r="536" s="1" customFormat="1" ht="13.8" spans="5:25">
      <c r="E536" s="684"/>
      <c r="F536" s="684"/>
      <c r="G536" s="684"/>
      <c r="H536" s="684"/>
      <c r="I536" s="684"/>
      <c r="J536" s="684"/>
      <c r="K536" s="684"/>
      <c r="L536" s="684"/>
      <c r="M536" s="684"/>
      <c r="N536" s="684"/>
      <c r="O536" s="684"/>
      <c r="P536" s="684"/>
      <c r="Y536" s="225"/>
    </row>
    <row r="537" s="1" customFormat="1" ht="13.8" spans="5:25">
      <c r="E537" s="684"/>
      <c r="F537" s="684"/>
      <c r="G537" s="684"/>
      <c r="H537" s="684"/>
      <c r="I537" s="684"/>
      <c r="J537" s="684"/>
      <c r="K537" s="684"/>
      <c r="L537" s="684"/>
      <c r="M537" s="684"/>
      <c r="N537" s="684"/>
      <c r="O537" s="684"/>
      <c r="P537" s="684"/>
      <c r="Y537" s="225"/>
    </row>
    <row r="538" s="1" customFormat="1" ht="13.8" spans="5:25">
      <c r="E538" s="684"/>
      <c r="F538" s="684"/>
      <c r="G538" s="684"/>
      <c r="H538" s="684"/>
      <c r="I538" s="684"/>
      <c r="J538" s="684"/>
      <c r="K538" s="684"/>
      <c r="L538" s="684"/>
      <c r="M538" s="684"/>
      <c r="N538" s="684"/>
      <c r="O538" s="684"/>
      <c r="P538" s="684"/>
      <c r="Y538" s="225"/>
    </row>
    <row r="539" s="1" customFormat="1" ht="13.8" spans="5:25">
      <c r="E539" s="684"/>
      <c r="F539" s="684"/>
      <c r="G539" s="684"/>
      <c r="H539" s="684"/>
      <c r="I539" s="684"/>
      <c r="J539" s="684"/>
      <c r="K539" s="684"/>
      <c r="L539" s="684"/>
      <c r="M539" s="684"/>
      <c r="N539" s="684"/>
      <c r="O539" s="684"/>
      <c r="P539" s="684"/>
      <c r="Y539" s="225"/>
    </row>
    <row r="540" s="1" customFormat="1" ht="13.8" spans="5:25">
      <c r="E540" s="684"/>
      <c r="F540" s="684"/>
      <c r="G540" s="684"/>
      <c r="H540" s="684"/>
      <c r="I540" s="684"/>
      <c r="J540" s="684"/>
      <c r="K540" s="684"/>
      <c r="L540" s="684"/>
      <c r="M540" s="684"/>
      <c r="N540" s="684"/>
      <c r="O540" s="684"/>
      <c r="P540" s="684"/>
      <c r="Y540" s="225"/>
    </row>
    <row r="541" s="1" customFormat="1" ht="13.8" spans="5:25">
      <c r="E541" s="684"/>
      <c r="F541" s="684"/>
      <c r="G541" s="684"/>
      <c r="H541" s="684"/>
      <c r="I541" s="684"/>
      <c r="J541" s="684"/>
      <c r="K541" s="684"/>
      <c r="L541" s="684"/>
      <c r="M541" s="684"/>
      <c r="N541" s="684"/>
      <c r="O541" s="684"/>
      <c r="P541" s="684"/>
      <c r="Y541" s="225"/>
    </row>
    <row r="542" s="1" customFormat="1" ht="13.8" spans="5:25">
      <c r="E542" s="684"/>
      <c r="F542" s="684"/>
      <c r="G542" s="684"/>
      <c r="H542" s="684"/>
      <c r="I542" s="684"/>
      <c r="J542" s="684"/>
      <c r="K542" s="684"/>
      <c r="L542" s="684"/>
      <c r="M542" s="684"/>
      <c r="N542" s="684"/>
      <c r="O542" s="684"/>
      <c r="P542" s="684"/>
      <c r="Y542" s="225"/>
    </row>
    <row r="543" s="1" customFormat="1" ht="13.8" spans="5:25">
      <c r="E543" s="684"/>
      <c r="F543" s="684"/>
      <c r="G543" s="684"/>
      <c r="H543" s="684"/>
      <c r="I543" s="684"/>
      <c r="J543" s="684"/>
      <c r="K543" s="684"/>
      <c r="L543" s="684"/>
      <c r="M543" s="684"/>
      <c r="N543" s="684"/>
      <c r="O543" s="684"/>
      <c r="P543" s="684"/>
      <c r="Y543" s="225"/>
    </row>
    <row r="544" s="1" customFormat="1" ht="13.8" spans="5:25">
      <c r="E544" s="684"/>
      <c r="F544" s="684"/>
      <c r="G544" s="684"/>
      <c r="H544" s="684"/>
      <c r="I544" s="684"/>
      <c r="J544" s="684"/>
      <c r="K544" s="684"/>
      <c r="L544" s="684"/>
      <c r="M544" s="684"/>
      <c r="N544" s="684"/>
      <c r="O544" s="684"/>
      <c r="P544" s="684"/>
      <c r="Y544" s="225"/>
    </row>
    <row r="545" s="1" customFormat="1" ht="13.8" spans="5:25">
      <c r="E545" s="684"/>
      <c r="F545" s="684"/>
      <c r="G545" s="684"/>
      <c r="H545" s="684"/>
      <c r="I545" s="684"/>
      <c r="J545" s="684"/>
      <c r="K545" s="684"/>
      <c r="L545" s="684"/>
      <c r="M545" s="684"/>
      <c r="N545" s="684"/>
      <c r="O545" s="684"/>
      <c r="P545" s="684"/>
      <c r="Y545" s="225"/>
    </row>
    <row r="546" s="1" customFormat="1" ht="13.8" spans="5:25">
      <c r="E546" s="684"/>
      <c r="F546" s="684"/>
      <c r="G546" s="684"/>
      <c r="H546" s="684"/>
      <c r="I546" s="684"/>
      <c r="J546" s="684"/>
      <c r="K546" s="684"/>
      <c r="L546" s="684"/>
      <c r="M546" s="684"/>
      <c r="N546" s="684"/>
      <c r="O546" s="684"/>
      <c r="P546" s="684"/>
      <c r="Y546" s="225"/>
    </row>
    <row r="547" s="1" customFormat="1" ht="13.8" spans="5:25">
      <c r="E547" s="684"/>
      <c r="F547" s="684"/>
      <c r="G547" s="684"/>
      <c r="H547" s="684"/>
      <c r="I547" s="684"/>
      <c r="J547" s="684"/>
      <c r="K547" s="684"/>
      <c r="L547" s="684"/>
      <c r="M547" s="684"/>
      <c r="N547" s="684"/>
      <c r="O547" s="684"/>
      <c r="P547" s="684"/>
      <c r="Y547" s="225"/>
    </row>
    <row r="548" s="1" customFormat="1" ht="13.8" spans="5:25">
      <c r="E548" s="684"/>
      <c r="F548" s="684"/>
      <c r="G548" s="684"/>
      <c r="H548" s="684"/>
      <c r="I548" s="684"/>
      <c r="J548" s="684"/>
      <c r="K548" s="684"/>
      <c r="L548" s="684"/>
      <c r="M548" s="684"/>
      <c r="N548" s="684"/>
      <c r="O548" s="684"/>
      <c r="P548" s="684"/>
      <c r="Y548" s="225"/>
    </row>
    <row r="549" s="1" customFormat="1" ht="13.8" spans="5:25">
      <c r="E549" s="684"/>
      <c r="F549" s="684"/>
      <c r="G549" s="684"/>
      <c r="H549" s="684"/>
      <c r="I549" s="684"/>
      <c r="J549" s="684"/>
      <c r="K549" s="684"/>
      <c r="L549" s="684"/>
      <c r="M549" s="684"/>
      <c r="N549" s="684"/>
      <c r="O549" s="684"/>
      <c r="P549" s="684"/>
      <c r="Y549" s="225"/>
    </row>
    <row r="550" s="1" customFormat="1" ht="13.8" spans="5:25">
      <c r="E550" s="684"/>
      <c r="F550" s="684"/>
      <c r="G550" s="684"/>
      <c r="H550" s="684"/>
      <c r="I550" s="684"/>
      <c r="J550" s="684"/>
      <c r="K550" s="684"/>
      <c r="L550" s="684"/>
      <c r="M550" s="684"/>
      <c r="N550" s="684"/>
      <c r="O550" s="684"/>
      <c r="P550" s="684"/>
      <c r="Y550" s="225"/>
    </row>
    <row r="551" s="1" customFormat="1" ht="13.8" spans="5:25">
      <c r="E551" s="684"/>
      <c r="F551" s="684"/>
      <c r="G551" s="684"/>
      <c r="H551" s="684"/>
      <c r="I551" s="684"/>
      <c r="J551" s="684"/>
      <c r="K551" s="684"/>
      <c r="L551" s="684"/>
      <c r="M551" s="684"/>
      <c r="N551" s="684"/>
      <c r="O551" s="684"/>
      <c r="P551" s="684"/>
      <c r="Y551" s="225"/>
    </row>
    <row r="552" s="1" customFormat="1" ht="13.8" spans="5:25">
      <c r="E552" s="684"/>
      <c r="F552" s="684"/>
      <c r="G552" s="684"/>
      <c r="H552" s="684"/>
      <c r="I552" s="684"/>
      <c r="J552" s="684"/>
      <c r="K552" s="684"/>
      <c r="L552" s="684"/>
      <c r="M552" s="684"/>
      <c r="N552" s="684"/>
      <c r="O552" s="684"/>
      <c r="P552" s="684"/>
      <c r="Y552" s="225"/>
    </row>
    <row r="553" s="1" customFormat="1" ht="13.8" spans="5:25">
      <c r="E553" s="684"/>
      <c r="F553" s="684"/>
      <c r="G553" s="684"/>
      <c r="H553" s="684"/>
      <c r="I553" s="684"/>
      <c r="J553" s="684"/>
      <c r="K553" s="684"/>
      <c r="L553" s="684"/>
      <c r="M553" s="684"/>
      <c r="N553" s="684"/>
      <c r="O553" s="684"/>
      <c r="P553" s="684"/>
      <c r="Y553" s="225"/>
    </row>
    <row r="554" s="1" customFormat="1" ht="13.8" spans="5:25">
      <c r="E554" s="684"/>
      <c r="F554" s="684"/>
      <c r="G554" s="684"/>
      <c r="H554" s="684"/>
      <c r="I554" s="684"/>
      <c r="J554" s="684"/>
      <c r="K554" s="684"/>
      <c r="L554" s="684"/>
      <c r="M554" s="684"/>
      <c r="N554" s="684"/>
      <c r="O554" s="684"/>
      <c r="P554" s="684"/>
      <c r="Y554" s="225"/>
    </row>
    <row r="555" s="1" customFormat="1" ht="13.8" spans="5:25">
      <c r="E555" s="684"/>
      <c r="F555" s="684"/>
      <c r="G555" s="684"/>
      <c r="H555" s="684"/>
      <c r="I555" s="684"/>
      <c r="J555" s="684"/>
      <c r="K555" s="684"/>
      <c r="L555" s="684"/>
      <c r="M555" s="684"/>
      <c r="N555" s="684"/>
      <c r="O555" s="684"/>
      <c r="P555" s="684"/>
      <c r="Y555" s="225"/>
    </row>
    <row r="556" s="1" customFormat="1" ht="13.8" spans="5:25">
      <c r="E556" s="684"/>
      <c r="F556" s="684"/>
      <c r="G556" s="684"/>
      <c r="H556" s="684"/>
      <c r="I556" s="684"/>
      <c r="J556" s="684"/>
      <c r="K556" s="684"/>
      <c r="L556" s="684"/>
      <c r="M556" s="684"/>
      <c r="N556" s="684"/>
      <c r="O556" s="684"/>
      <c r="P556" s="684"/>
      <c r="Y556" s="225"/>
    </row>
    <row r="557" s="1" customFormat="1" ht="13.8" spans="5:25">
      <c r="E557" s="684"/>
      <c r="F557" s="684"/>
      <c r="G557" s="684"/>
      <c r="H557" s="684"/>
      <c r="I557" s="684"/>
      <c r="J557" s="684"/>
      <c r="K557" s="684"/>
      <c r="L557" s="684"/>
      <c r="M557" s="684"/>
      <c r="N557" s="684"/>
      <c r="O557" s="684"/>
      <c r="P557" s="684"/>
      <c r="Y557" s="225"/>
    </row>
    <row r="558" s="1" customFormat="1" ht="13.8" spans="5:25">
      <c r="E558" s="684"/>
      <c r="F558" s="684"/>
      <c r="G558" s="684"/>
      <c r="H558" s="684"/>
      <c r="I558" s="684"/>
      <c r="J558" s="684"/>
      <c r="K558" s="684"/>
      <c r="L558" s="684"/>
      <c r="M558" s="684"/>
      <c r="N558" s="684"/>
      <c r="O558" s="684"/>
      <c r="P558" s="684"/>
      <c r="Y558" s="225"/>
    </row>
    <row r="559" s="1" customFormat="1" ht="13.8" spans="5:25">
      <c r="E559" s="684"/>
      <c r="F559" s="684"/>
      <c r="G559" s="684"/>
      <c r="H559" s="684"/>
      <c r="I559" s="684"/>
      <c r="J559" s="684"/>
      <c r="K559" s="684"/>
      <c r="L559" s="684"/>
      <c r="M559" s="684"/>
      <c r="N559" s="684"/>
      <c r="O559" s="684"/>
      <c r="P559" s="684"/>
      <c r="Y559" s="225"/>
    </row>
    <row r="560" s="1" customFormat="1" ht="13.8" spans="5:25">
      <c r="E560" s="684"/>
      <c r="F560" s="684"/>
      <c r="G560" s="684"/>
      <c r="H560" s="684"/>
      <c r="I560" s="684"/>
      <c r="J560" s="684"/>
      <c r="K560" s="684"/>
      <c r="L560" s="684"/>
      <c r="M560" s="684"/>
      <c r="N560" s="684"/>
      <c r="O560" s="684"/>
      <c r="P560" s="684"/>
      <c r="Y560" s="225"/>
    </row>
    <row r="561" s="1" customFormat="1" ht="13.8" spans="5:25">
      <c r="E561" s="684"/>
      <c r="F561" s="684"/>
      <c r="G561" s="684"/>
      <c r="H561" s="684"/>
      <c r="I561" s="684"/>
      <c r="J561" s="684"/>
      <c r="K561" s="684"/>
      <c r="L561" s="684"/>
      <c r="M561" s="684"/>
      <c r="N561" s="684"/>
      <c r="O561" s="684"/>
      <c r="P561" s="684"/>
      <c r="Y561" s="225"/>
    </row>
    <row r="562" s="1" customFormat="1" ht="13.8" spans="5:25">
      <c r="E562" s="684"/>
      <c r="F562" s="684"/>
      <c r="G562" s="684"/>
      <c r="H562" s="684"/>
      <c r="I562" s="684"/>
      <c r="J562" s="684"/>
      <c r="K562" s="684"/>
      <c r="L562" s="684"/>
      <c r="M562" s="684"/>
      <c r="N562" s="684"/>
      <c r="O562" s="684"/>
      <c r="P562" s="684"/>
      <c r="Y562" s="225"/>
    </row>
    <row r="563" s="1" customFormat="1" ht="13.8" spans="5:25">
      <c r="E563" s="684"/>
      <c r="F563" s="684"/>
      <c r="G563" s="684"/>
      <c r="H563" s="684"/>
      <c r="I563" s="684"/>
      <c r="J563" s="684"/>
      <c r="K563" s="684"/>
      <c r="L563" s="684"/>
      <c r="M563" s="684"/>
      <c r="N563" s="684"/>
      <c r="O563" s="684"/>
      <c r="P563" s="684"/>
      <c r="Y563" s="225"/>
    </row>
    <row r="564" s="1" customFormat="1" ht="13.8" spans="5:25">
      <c r="E564" s="684"/>
      <c r="F564" s="684"/>
      <c r="G564" s="684"/>
      <c r="H564" s="684"/>
      <c r="I564" s="684"/>
      <c r="J564" s="684"/>
      <c r="K564" s="684"/>
      <c r="L564" s="684"/>
      <c r="M564" s="684"/>
      <c r="N564" s="684"/>
      <c r="O564" s="684"/>
      <c r="P564" s="684"/>
      <c r="Y564" s="225"/>
    </row>
    <row r="565" s="1" customFormat="1" ht="13.8" spans="5:25">
      <c r="E565" s="684"/>
      <c r="F565" s="684"/>
      <c r="G565" s="684"/>
      <c r="H565" s="684"/>
      <c r="I565" s="684"/>
      <c r="J565" s="684"/>
      <c r="K565" s="684"/>
      <c r="L565" s="684"/>
      <c r="M565" s="684"/>
      <c r="N565" s="684"/>
      <c r="O565" s="684"/>
      <c r="P565" s="684"/>
      <c r="Y565" s="225"/>
    </row>
    <row r="566" s="1" customFormat="1" ht="13.8" spans="5:25">
      <c r="E566" s="684"/>
      <c r="F566" s="684"/>
      <c r="G566" s="684"/>
      <c r="H566" s="684"/>
      <c r="I566" s="684"/>
      <c r="J566" s="684"/>
      <c r="K566" s="684"/>
      <c r="L566" s="684"/>
      <c r="M566" s="684"/>
      <c r="N566" s="684"/>
      <c r="O566" s="684"/>
      <c r="P566" s="684"/>
      <c r="Y566" s="225"/>
    </row>
    <row r="567" s="1" customFormat="1" ht="13.8" spans="5:25">
      <c r="E567" s="684"/>
      <c r="F567" s="684"/>
      <c r="G567" s="684"/>
      <c r="H567" s="684"/>
      <c r="I567" s="684"/>
      <c r="J567" s="684"/>
      <c r="K567" s="684"/>
      <c r="L567" s="684"/>
      <c r="M567" s="684"/>
      <c r="N567" s="684"/>
      <c r="O567" s="684"/>
      <c r="P567" s="684"/>
      <c r="Y567" s="225"/>
    </row>
    <row r="568" s="1" customFormat="1" ht="13.8" spans="5:25">
      <c r="E568" s="684"/>
      <c r="F568" s="684"/>
      <c r="G568" s="684"/>
      <c r="H568" s="684"/>
      <c r="I568" s="684"/>
      <c r="J568" s="684"/>
      <c r="K568" s="684"/>
      <c r="L568" s="684"/>
      <c r="M568" s="684"/>
      <c r="N568" s="684"/>
      <c r="O568" s="684"/>
      <c r="P568" s="684"/>
      <c r="Y568" s="225"/>
    </row>
    <row r="569" s="1" customFormat="1" ht="13.8" spans="5:25">
      <c r="E569" s="684"/>
      <c r="F569" s="684"/>
      <c r="G569" s="684"/>
      <c r="H569" s="684"/>
      <c r="I569" s="684"/>
      <c r="J569" s="684"/>
      <c r="K569" s="684"/>
      <c r="L569" s="684"/>
      <c r="M569" s="684"/>
      <c r="N569" s="684"/>
      <c r="O569" s="684"/>
      <c r="P569" s="684"/>
      <c r="Y569" s="225"/>
    </row>
    <row r="570" s="1" customFormat="1" ht="13.8" spans="5:25">
      <c r="E570" s="684"/>
      <c r="F570" s="684"/>
      <c r="G570" s="684"/>
      <c r="H570" s="684"/>
      <c r="I570" s="684"/>
      <c r="J570" s="684"/>
      <c r="K570" s="684"/>
      <c r="L570" s="684"/>
      <c r="M570" s="684"/>
      <c r="N570" s="684"/>
      <c r="O570" s="684"/>
      <c r="P570" s="684"/>
      <c r="Y570" s="225"/>
    </row>
    <row r="571" s="1" customFormat="1" ht="13.8" spans="5:25">
      <c r="E571" s="684"/>
      <c r="F571" s="684"/>
      <c r="G571" s="684"/>
      <c r="H571" s="684"/>
      <c r="I571" s="684"/>
      <c r="J571" s="684"/>
      <c r="K571" s="684"/>
      <c r="L571" s="684"/>
      <c r="M571" s="684"/>
      <c r="N571" s="684"/>
      <c r="O571" s="684"/>
      <c r="P571" s="684"/>
      <c r="Y571" s="225"/>
    </row>
    <row r="572" s="1" customFormat="1" ht="13.8" spans="5:25">
      <c r="E572" s="684"/>
      <c r="F572" s="684"/>
      <c r="G572" s="684"/>
      <c r="H572" s="684"/>
      <c r="I572" s="684"/>
      <c r="J572" s="684"/>
      <c r="K572" s="684"/>
      <c r="L572" s="684"/>
      <c r="M572" s="684"/>
      <c r="N572" s="684"/>
      <c r="O572" s="684"/>
      <c r="P572" s="684"/>
      <c r="Y572" s="225"/>
    </row>
    <row r="573" s="1" customFormat="1" ht="13.8" spans="5:25">
      <c r="E573" s="684"/>
      <c r="F573" s="684"/>
      <c r="G573" s="684"/>
      <c r="H573" s="684"/>
      <c r="I573" s="684"/>
      <c r="J573" s="684"/>
      <c r="K573" s="684"/>
      <c r="L573" s="684"/>
      <c r="M573" s="684"/>
      <c r="N573" s="684"/>
      <c r="O573" s="684"/>
      <c r="P573" s="684"/>
      <c r="Y573" s="225"/>
    </row>
    <row r="574" s="1" customFormat="1" ht="13.8" spans="5:25">
      <c r="E574" s="684"/>
      <c r="F574" s="684"/>
      <c r="G574" s="684"/>
      <c r="H574" s="684"/>
      <c r="I574" s="684"/>
      <c r="J574" s="684"/>
      <c r="K574" s="684"/>
      <c r="L574" s="684"/>
      <c r="M574" s="684"/>
      <c r="N574" s="684"/>
      <c r="O574" s="684"/>
      <c r="P574" s="684"/>
      <c r="Y574" s="225"/>
    </row>
    <row r="575" s="1" customFormat="1" ht="13.8" spans="5:25">
      <c r="E575" s="684"/>
      <c r="F575" s="684"/>
      <c r="G575" s="684"/>
      <c r="H575" s="684"/>
      <c r="I575" s="684"/>
      <c r="J575" s="684"/>
      <c r="K575" s="684"/>
      <c r="L575" s="684"/>
      <c r="M575" s="684"/>
      <c r="N575" s="684"/>
      <c r="O575" s="684"/>
      <c r="P575" s="684"/>
      <c r="Y575" s="225"/>
    </row>
    <row r="576" s="1" customFormat="1" ht="13.8" spans="5:25">
      <c r="E576" s="684"/>
      <c r="F576" s="684"/>
      <c r="G576" s="684"/>
      <c r="H576" s="684"/>
      <c r="I576" s="684"/>
      <c r="J576" s="684"/>
      <c r="K576" s="684"/>
      <c r="L576" s="684"/>
      <c r="M576" s="684"/>
      <c r="N576" s="684"/>
      <c r="O576" s="684"/>
      <c r="P576" s="684"/>
      <c r="Y576" s="225"/>
    </row>
  </sheetData>
  <mergeCells count="38">
    <mergeCell ref="A2:P2"/>
    <mergeCell ref="A3:P3"/>
    <mergeCell ref="A4:P4"/>
    <mergeCell ref="H7:U7"/>
    <mergeCell ref="H8:U8"/>
    <mergeCell ref="A9:D9"/>
    <mergeCell ref="A103:P103"/>
    <mergeCell ref="A104:P104"/>
    <mergeCell ref="A105:P105"/>
    <mergeCell ref="H108:U108"/>
    <mergeCell ref="H109:U109"/>
    <mergeCell ref="A110:D110"/>
    <mergeCell ref="A143:D143"/>
    <mergeCell ref="A144:D144"/>
    <mergeCell ref="A150:D150"/>
    <mergeCell ref="A155:D155"/>
    <mergeCell ref="A158:D158"/>
    <mergeCell ref="A162:D162"/>
    <mergeCell ref="A164:D164"/>
    <mergeCell ref="A167:D167"/>
    <mergeCell ref="A185:D185"/>
    <mergeCell ref="A188:D188"/>
    <mergeCell ref="A193:D193"/>
    <mergeCell ref="A204:D204"/>
    <mergeCell ref="A231:P231"/>
    <mergeCell ref="A232:P232"/>
    <mergeCell ref="A233:P233"/>
    <mergeCell ref="H236:U236"/>
    <mergeCell ref="H237:U237"/>
    <mergeCell ref="A238:D238"/>
    <mergeCell ref="A265:D265"/>
    <mergeCell ref="A274:D274"/>
    <mergeCell ref="D280:G280"/>
    <mergeCell ref="F281:G281"/>
    <mergeCell ref="F282:G282"/>
    <mergeCell ref="F283:G283"/>
    <mergeCell ref="K9:K11"/>
    <mergeCell ref="K110:K1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Fiduciary</vt:lpstr>
      <vt:lpstr>Non-Fiduciary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Ruru.</cp:lastModifiedBy>
  <dcterms:created xsi:type="dcterms:W3CDTF">2025-11-26T06:45:00Z</dcterms:created>
  <dcterms:modified xsi:type="dcterms:W3CDTF">2025-11-28T15:34:13Z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051FDB5F80EC473AA37A2CEE7E42A218_12</vt:lpwstr>
  </property>
  <property fmtid="{D5CDD505-2E9C-101B-9397-08002B2CF9AE}" pid="3" name="KSOProductBuildVer">
    <vt:lpwstr>1033-12.2.0.23155</vt:lpwstr>
  </property>
</Properties>
</file>