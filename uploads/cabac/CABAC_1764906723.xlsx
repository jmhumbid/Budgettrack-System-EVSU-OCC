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in\Downloads\"/>
    </mc:Choice>
  </mc:AlternateContent>
  <xr:revisionPtr revIDLastSave="0" documentId="13_ncr:1_{947754C2-9727-4525-9016-56AC3F6C8C38}" xr6:coauthVersionLast="47" xr6:coauthVersionMax="47" xr10:uidLastSave="{00000000-0000-0000-0000-000000000000}"/>
  <bookViews>
    <workbookView xWindow="-108" yWindow="-108" windowWidth="23256" windowHeight="13176" tabRatio="779" activeTab="2" xr2:uid="{00000000-000D-0000-FFFF-FFFF00000000}"/>
  </bookViews>
  <sheets>
    <sheet name="CABAC Fiduciary 2025" sheetId="42" r:id="rId1"/>
    <sheet name="CABAC Non-Fid 2025" sheetId="43" r:id="rId2"/>
    <sheet name="IGF Balances Detailed 2025" sheetId="44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9" i="43" l="1"/>
  <c r="J19" i="42"/>
  <c r="F21" i="42" l="1"/>
  <c r="E141" i="42"/>
  <c r="M39" i="42"/>
  <c r="M232" i="42"/>
  <c r="L64" i="43" l="1"/>
  <c r="L31" i="43"/>
  <c r="G15" i="43"/>
  <c r="I55" i="44"/>
  <c r="I54" i="44"/>
  <c r="I58" i="44"/>
  <c r="I60" i="44"/>
  <c r="I59" i="44"/>
  <c r="I48" i="44"/>
  <c r="I50" i="44"/>
  <c r="I47" i="44"/>
  <c r="I56" i="44"/>
  <c r="I16" i="44"/>
  <c r="I15" i="44"/>
  <c r="I13" i="44"/>
  <c r="I25" i="44"/>
  <c r="I19" i="44"/>
  <c r="I29" i="44"/>
  <c r="I20" i="44"/>
  <c r="I201" i="44" l="1"/>
  <c r="H396" i="44" l="1"/>
  <c r="T396" i="44" s="1"/>
  <c r="U346" i="44"/>
  <c r="U252" i="44"/>
  <c r="U251" i="44"/>
  <c r="U250" i="44"/>
  <c r="U237" i="44"/>
  <c r="U235" i="44"/>
  <c r="U169" i="44"/>
  <c r="H169" i="44"/>
  <c r="I169" i="44"/>
  <c r="J169" i="44"/>
  <c r="K169" i="44"/>
  <c r="L169" i="44"/>
  <c r="M169" i="44"/>
  <c r="N169" i="44"/>
  <c r="O169" i="44"/>
  <c r="P169" i="44"/>
  <c r="Q169" i="44"/>
  <c r="R169" i="44"/>
  <c r="S169" i="44"/>
  <c r="G169" i="44"/>
  <c r="T168" i="44"/>
  <c r="V168" i="44" s="1"/>
  <c r="T725" i="44"/>
  <c r="V725" i="44" s="1"/>
  <c r="U193" i="44"/>
  <c r="U192" i="44"/>
  <c r="U179" i="44"/>
  <c r="U181" i="44"/>
  <c r="U191" i="44"/>
  <c r="T186" i="44"/>
  <c r="V186" i="44" s="1"/>
  <c r="T187" i="44"/>
  <c r="V187" i="44" s="1"/>
  <c r="T188" i="44"/>
  <c r="T189" i="44"/>
  <c r="V189" i="44" s="1"/>
  <c r="V192" i="43"/>
  <c r="V203" i="43"/>
  <c r="S273" i="43"/>
  <c r="N273" i="43"/>
  <c r="K273" i="43"/>
  <c r="R264" i="43"/>
  <c r="S264" i="43"/>
  <c r="T264" i="43"/>
  <c r="T260" i="43"/>
  <c r="I268" i="43"/>
  <c r="J268" i="43"/>
  <c r="K268" i="43"/>
  <c r="L268" i="43"/>
  <c r="M268" i="43"/>
  <c r="N268" i="43"/>
  <c r="O268" i="43"/>
  <c r="P268" i="43"/>
  <c r="Q268" i="43"/>
  <c r="R268" i="43"/>
  <c r="S268" i="43"/>
  <c r="T268" i="43"/>
  <c r="U268" i="43"/>
  <c r="K264" i="43"/>
  <c r="K260" i="43"/>
  <c r="K252" i="43"/>
  <c r="T252" i="43"/>
  <c r="T246" i="43"/>
  <c r="K246" i="43"/>
  <c r="K183" i="43"/>
  <c r="T59" i="42"/>
  <c r="S59" i="42"/>
  <c r="J59" i="42"/>
  <c r="J89" i="42"/>
  <c r="J107" i="42"/>
  <c r="J114" i="42"/>
  <c r="J132" i="42"/>
  <c r="J136" i="42"/>
  <c r="J160" i="42"/>
  <c r="J157" i="42"/>
  <c r="J193" i="42"/>
  <c r="J203" i="42"/>
  <c r="S203" i="42"/>
  <c r="T203" i="42"/>
  <c r="J210" i="42"/>
  <c r="J214" i="42"/>
  <c r="G227" i="42"/>
  <c r="H227" i="42"/>
  <c r="I227" i="42"/>
  <c r="J227" i="42"/>
  <c r="K227" i="42"/>
  <c r="L227" i="42"/>
  <c r="M227" i="42"/>
  <c r="O227" i="42"/>
  <c r="P227" i="42"/>
  <c r="Q227" i="42"/>
  <c r="T192" i="44" l="1"/>
  <c r="V188" i="44"/>
  <c r="V192" i="44" s="1"/>
  <c r="K241" i="43"/>
  <c r="K277" i="43" s="1"/>
  <c r="K282" i="43" s="1"/>
  <c r="V247" i="42" l="1"/>
  <c r="V248" i="42"/>
  <c r="V249" i="42"/>
  <c r="V246" i="42"/>
  <c r="V196" i="42"/>
  <c r="V198" i="42"/>
  <c r="V199" i="42"/>
  <c r="V188" i="42"/>
  <c r="V21" i="42"/>
  <c r="V14" i="42"/>
  <c r="V18" i="42"/>
  <c r="E398" i="44" l="1"/>
  <c r="E400" i="44" s="1"/>
  <c r="E390" i="44"/>
  <c r="E392" i="44" s="1"/>
  <c r="U399" i="44"/>
  <c r="U400" i="44" s="1"/>
  <c r="S399" i="44"/>
  <c r="S400" i="44" s="1"/>
  <c r="R399" i="44"/>
  <c r="R400" i="44" s="1"/>
  <c r="Q399" i="44"/>
  <c r="Q400" i="44" s="1"/>
  <c r="P399" i="44"/>
  <c r="P400" i="44" s="1"/>
  <c r="O399" i="44"/>
  <c r="O400" i="44" s="1"/>
  <c r="N399" i="44"/>
  <c r="N400" i="44" s="1"/>
  <c r="M399" i="44"/>
  <c r="M400" i="44" s="1"/>
  <c r="L399" i="44"/>
  <c r="L400" i="44" s="1"/>
  <c r="K399" i="44"/>
  <c r="K400" i="44" s="1"/>
  <c r="J399" i="44"/>
  <c r="J400" i="44" s="1"/>
  <c r="I399" i="44"/>
  <c r="I400" i="44" s="1"/>
  <c r="H399" i="44"/>
  <c r="H400" i="44" s="1"/>
  <c r="G399" i="44"/>
  <c r="G400" i="44" s="1"/>
  <c r="F399" i="44"/>
  <c r="F400" i="44" s="1"/>
  <c r="U397" i="44"/>
  <c r="S397" i="44"/>
  <c r="R397" i="44"/>
  <c r="Q397" i="44"/>
  <c r="P397" i="44"/>
  <c r="O397" i="44"/>
  <c r="N397" i="44"/>
  <c r="M397" i="44"/>
  <c r="L397" i="44"/>
  <c r="K397" i="44"/>
  <c r="J397" i="44"/>
  <c r="I397" i="44"/>
  <c r="H397" i="44"/>
  <c r="G397" i="44"/>
  <c r="F397" i="44"/>
  <c r="E397" i="44"/>
  <c r="T395" i="44"/>
  <c r="T397" i="44" s="1"/>
  <c r="U391" i="44"/>
  <c r="U392" i="44" s="1"/>
  <c r="S391" i="44"/>
  <c r="S392" i="44" s="1"/>
  <c r="R391" i="44"/>
  <c r="R392" i="44" s="1"/>
  <c r="Q391" i="44"/>
  <c r="Q392" i="44" s="1"/>
  <c r="P391" i="44"/>
  <c r="P392" i="44" s="1"/>
  <c r="O391" i="44"/>
  <c r="O392" i="44" s="1"/>
  <c r="N391" i="44"/>
  <c r="N392" i="44" s="1"/>
  <c r="M391" i="44"/>
  <c r="M392" i="44" s="1"/>
  <c r="L391" i="44"/>
  <c r="L392" i="44" s="1"/>
  <c r="K391" i="44"/>
  <c r="K392" i="44" s="1"/>
  <c r="J391" i="44"/>
  <c r="J392" i="44" s="1"/>
  <c r="I391" i="44"/>
  <c r="I392" i="44" s="1"/>
  <c r="H391" i="44"/>
  <c r="H392" i="44" s="1"/>
  <c r="G391" i="44"/>
  <c r="G392" i="44" s="1"/>
  <c r="F391" i="44"/>
  <c r="F392" i="44" s="1"/>
  <c r="U389" i="44"/>
  <c r="S389" i="44"/>
  <c r="R389" i="44"/>
  <c r="Q389" i="44"/>
  <c r="P389" i="44"/>
  <c r="O389" i="44"/>
  <c r="N389" i="44"/>
  <c r="M389" i="44"/>
  <c r="L389" i="44"/>
  <c r="K389" i="44"/>
  <c r="J389" i="44"/>
  <c r="I389" i="44"/>
  <c r="H389" i="44"/>
  <c r="G389" i="44"/>
  <c r="F389" i="44"/>
  <c r="E389" i="44"/>
  <c r="T387" i="44"/>
  <c r="T389" i="44" s="1"/>
  <c r="E383" i="44"/>
  <c r="E381" i="44"/>
  <c r="E192" i="44"/>
  <c r="E685" i="44"/>
  <c r="E684" i="44"/>
  <c r="E658" i="44"/>
  <c r="E659" i="44"/>
  <c r="F480" i="44"/>
  <c r="E445" i="44"/>
  <c r="E163" i="44"/>
  <c r="F163" i="44"/>
  <c r="E363" i="44"/>
  <c r="E314" i="44"/>
  <c r="E313" i="44"/>
  <c r="E624" i="44"/>
  <c r="E599" i="44"/>
  <c r="E625" i="44" s="1"/>
  <c r="E481" i="44"/>
  <c r="E480" i="44"/>
  <c r="T391" i="44" l="1"/>
  <c r="T392" i="44" s="1"/>
  <c r="T399" i="44"/>
  <c r="T400" i="44" s="1"/>
  <c r="V395" i="44"/>
  <c r="V387" i="44"/>
  <c r="V397" i="44" l="1"/>
  <c r="V399" i="44"/>
  <c r="V400" i="44" s="1"/>
  <c r="V389" i="44"/>
  <c r="V391" i="44"/>
  <c r="V392" i="44" s="1"/>
  <c r="E429" i="44" l="1"/>
  <c r="E427" i="44"/>
  <c r="E430" i="44" s="1"/>
  <c r="E428" i="44"/>
  <c r="E365" i="44"/>
  <c r="E364" i="44"/>
  <c r="E346" i="44"/>
  <c r="E332" i="44"/>
  <c r="E264" i="44"/>
  <c r="E252" i="44"/>
  <c r="E251" i="44"/>
  <c r="E199" i="44"/>
  <c r="E193" i="44"/>
  <c r="E120" i="44"/>
  <c r="E83" i="44"/>
  <c r="E42" i="44"/>
  <c r="E13" i="44"/>
  <c r="E32" i="44"/>
  <c r="E31" i="44"/>
  <c r="K121" i="43" l="1"/>
  <c r="E130" i="43"/>
  <c r="K115" i="43"/>
  <c r="H135" i="43"/>
  <c r="I135" i="43"/>
  <c r="J135" i="43"/>
  <c r="K135" i="43"/>
  <c r="L135" i="43"/>
  <c r="M135" i="43"/>
  <c r="N135" i="43"/>
  <c r="O135" i="43"/>
  <c r="P135" i="43"/>
  <c r="Q135" i="43"/>
  <c r="R135" i="43"/>
  <c r="S135" i="43"/>
  <c r="T135" i="43"/>
  <c r="U135" i="43"/>
  <c r="K141" i="43"/>
  <c r="K148" i="43"/>
  <c r="K160" i="43"/>
  <c r="K169" i="43"/>
  <c r="K177" i="43"/>
  <c r="K199" i="43"/>
  <c r="K202" i="43"/>
  <c r="H215" i="43"/>
  <c r="I215" i="43"/>
  <c r="J215" i="43"/>
  <c r="L215" i="43"/>
  <c r="E47" i="43"/>
  <c r="H153" i="43"/>
  <c r="I153" i="43"/>
  <c r="J153" i="43"/>
  <c r="L153" i="43"/>
  <c r="M153" i="43"/>
  <c r="N153" i="43"/>
  <c r="O153" i="43"/>
  <c r="P153" i="43"/>
  <c r="Q153" i="43"/>
  <c r="R153" i="43"/>
  <c r="S153" i="43"/>
  <c r="T153" i="43"/>
  <c r="U153" i="43"/>
  <c r="E153" i="43"/>
  <c r="K21" i="43"/>
  <c r="K47" i="43"/>
  <c r="H51" i="43"/>
  <c r="I51" i="43"/>
  <c r="J51" i="43"/>
  <c r="K51" i="43"/>
  <c r="L51" i="43"/>
  <c r="M51" i="43"/>
  <c r="N51" i="43"/>
  <c r="O51" i="43"/>
  <c r="P51" i="43"/>
  <c r="Q51" i="43"/>
  <c r="R51" i="43"/>
  <c r="S51" i="43"/>
  <c r="T51" i="43"/>
  <c r="U51" i="43"/>
  <c r="E51" i="43"/>
  <c r="H61" i="43"/>
  <c r="I61" i="43"/>
  <c r="J61" i="43"/>
  <c r="K61" i="43"/>
  <c r="K67" i="43"/>
  <c r="K77" i="43"/>
  <c r="K98" i="43"/>
  <c r="L121" i="43"/>
  <c r="M121" i="43"/>
  <c r="N121" i="43"/>
  <c r="O121" i="43"/>
  <c r="P121" i="43"/>
  <c r="Q121" i="43"/>
  <c r="E135" i="43"/>
  <c r="H156" i="43"/>
  <c r="J156" i="43"/>
  <c r="K156" i="43"/>
  <c r="L156" i="43"/>
  <c r="M156" i="43"/>
  <c r="N156" i="43"/>
  <c r="O156" i="43"/>
  <c r="P156" i="43"/>
  <c r="Q156" i="43"/>
  <c r="R156" i="43"/>
  <c r="S156" i="43"/>
  <c r="T156" i="43"/>
  <c r="U156" i="43"/>
  <c r="E156" i="43"/>
  <c r="K195" i="43"/>
  <c r="R189" i="43"/>
  <c r="S189" i="43"/>
  <c r="T189" i="43"/>
  <c r="U189" i="43"/>
  <c r="H189" i="43"/>
  <c r="I189" i="43"/>
  <c r="J189" i="43"/>
  <c r="K189" i="43"/>
  <c r="L189" i="43"/>
  <c r="M189" i="43"/>
  <c r="N189" i="43"/>
  <c r="O189" i="43"/>
  <c r="P189" i="43"/>
  <c r="Q189" i="43"/>
  <c r="E189" i="43"/>
  <c r="H186" i="43"/>
  <c r="I186" i="43"/>
  <c r="J186" i="43"/>
  <c r="K186" i="43"/>
  <c r="L186" i="43"/>
  <c r="M186" i="43"/>
  <c r="N186" i="43"/>
  <c r="O186" i="43"/>
  <c r="P186" i="43"/>
  <c r="Q186" i="43"/>
  <c r="R186" i="43"/>
  <c r="S186" i="43"/>
  <c r="T186" i="43"/>
  <c r="U186" i="43"/>
  <c r="V186" i="43"/>
  <c r="E186" i="43"/>
  <c r="F192" i="44"/>
  <c r="F165" i="43"/>
  <c r="H165" i="43"/>
  <c r="I165" i="43"/>
  <c r="J165" i="43"/>
  <c r="K165" i="43"/>
  <c r="L165" i="43"/>
  <c r="M165" i="43"/>
  <c r="N165" i="43"/>
  <c r="O165" i="43"/>
  <c r="P165" i="43"/>
  <c r="Q165" i="43"/>
  <c r="R165" i="43"/>
  <c r="S165" i="43"/>
  <c r="T165" i="43"/>
  <c r="U165" i="43"/>
  <c r="E165" i="43"/>
  <c r="G267" i="43"/>
  <c r="F822" i="44" s="1"/>
  <c r="G265" i="43"/>
  <c r="G261" i="43"/>
  <c r="F806" i="44" s="1"/>
  <c r="V15" i="43"/>
  <c r="V53" i="43"/>
  <c r="G94" i="43"/>
  <c r="G95" i="43"/>
  <c r="V95" i="43" s="1"/>
  <c r="G96" i="43"/>
  <c r="V96" i="43" s="1"/>
  <c r="H84" i="43"/>
  <c r="I84" i="43"/>
  <c r="J84" i="43"/>
  <c r="K84" i="43"/>
  <c r="L84" i="43"/>
  <c r="M84" i="43"/>
  <c r="N84" i="43"/>
  <c r="O84" i="43"/>
  <c r="P84" i="43"/>
  <c r="Q84" i="43"/>
  <c r="R84" i="43"/>
  <c r="S84" i="43"/>
  <c r="T84" i="43"/>
  <c r="U84" i="43"/>
  <c r="H90" i="43"/>
  <c r="I90" i="43"/>
  <c r="J90" i="43"/>
  <c r="K90" i="43"/>
  <c r="L90" i="43"/>
  <c r="M90" i="43"/>
  <c r="N90" i="43"/>
  <c r="O90" i="43"/>
  <c r="P90" i="43"/>
  <c r="Q90" i="43"/>
  <c r="R90" i="43"/>
  <c r="S90" i="43"/>
  <c r="T90" i="43"/>
  <c r="U90" i="43"/>
  <c r="G87" i="43"/>
  <c r="V87" i="43" s="1"/>
  <c r="G88" i="43"/>
  <c r="V88" i="43" s="1"/>
  <c r="G89" i="43"/>
  <c r="V89" i="43" s="1"/>
  <c r="F872" i="44" l="1"/>
  <c r="V265" i="43"/>
  <c r="G80" i="43"/>
  <c r="V80" i="43" s="1"/>
  <c r="G81" i="43"/>
  <c r="V81" i="43" s="1"/>
  <c r="G82" i="43"/>
  <c r="V82" i="43" s="1"/>
  <c r="G83" i="43"/>
  <c r="V83" i="43" s="1"/>
  <c r="G71" i="43"/>
  <c r="G72" i="43"/>
  <c r="G73" i="43"/>
  <c r="G64" i="43"/>
  <c r="V64" i="43" s="1"/>
  <c r="G65" i="43"/>
  <c r="G56" i="43"/>
  <c r="V56" i="43" s="1"/>
  <c r="G57" i="43"/>
  <c r="V57" i="43" s="1"/>
  <c r="G58" i="43"/>
  <c r="V58" i="43" s="1"/>
  <c r="G59" i="43"/>
  <c r="G35" i="43"/>
  <c r="V35" i="43" s="1"/>
  <c r="G42" i="43"/>
  <c r="V42" i="43" s="1"/>
  <c r="G207" i="43"/>
  <c r="V207" i="43" s="1"/>
  <c r="G208" i="43"/>
  <c r="V208" i="43" s="1"/>
  <c r="G204" i="43"/>
  <c r="G205" i="43"/>
  <c r="V205" i="43" s="1"/>
  <c r="G180" i="43"/>
  <c r="F548" i="44" s="1"/>
  <c r="G188" i="43"/>
  <c r="G191" i="43"/>
  <c r="V191" i="43" s="1"/>
  <c r="G193" i="43"/>
  <c r="G185" i="43"/>
  <c r="G173" i="43"/>
  <c r="G163" i="43"/>
  <c r="G157" i="43"/>
  <c r="G152" i="43"/>
  <c r="F573" i="44" l="1"/>
  <c r="V204" i="43"/>
  <c r="F500" i="44"/>
  <c r="V163" i="43"/>
  <c r="G189" i="43"/>
  <c r="V188" i="43"/>
  <c r="V189" i="43" s="1"/>
  <c r="F424" i="44"/>
  <c r="V152" i="43"/>
  <c r="F174" i="44"/>
  <c r="V193" i="43"/>
  <c r="F596" i="44"/>
  <c r="V209" i="43"/>
  <c r="F190" i="44"/>
  <c r="G186" i="43"/>
  <c r="F599" i="44"/>
  <c r="G133" i="43"/>
  <c r="G134" i="43"/>
  <c r="E121" i="43"/>
  <c r="F264" i="44"/>
  <c r="F245" i="44"/>
  <c r="T245" i="44" s="1"/>
  <c r="V245" i="44" s="1"/>
  <c r="F244" i="44"/>
  <c r="T244" i="44" s="1"/>
  <c r="F243" i="44"/>
  <c r="T243" i="44" s="1"/>
  <c r="V243" i="44" s="1"/>
  <c r="F234" i="44"/>
  <c r="T234" i="44" s="1"/>
  <c r="V234" i="44" s="1"/>
  <c r="F232" i="44"/>
  <c r="T232" i="44" s="1"/>
  <c r="V232" i="44" s="1"/>
  <c r="F230" i="44"/>
  <c r="F199" i="44"/>
  <c r="F178" i="44"/>
  <c r="T178" i="44" s="1"/>
  <c r="V178" i="44" s="1"/>
  <c r="F118" i="44"/>
  <c r="F121" i="44"/>
  <c r="F17" i="44"/>
  <c r="T17" i="44" s="1"/>
  <c r="V17" i="44" s="1"/>
  <c r="F367" i="42"/>
  <c r="F797" i="44" s="1"/>
  <c r="F362" i="44" l="1"/>
  <c r="V134" i="43"/>
  <c r="F359" i="44"/>
  <c r="V133" i="43"/>
  <c r="V244" i="44"/>
  <c r="F191" i="44"/>
  <c r="T190" i="44"/>
  <c r="V190" i="44" s="1"/>
  <c r="F193" i="44"/>
  <c r="E107" i="42"/>
  <c r="F90" i="42"/>
  <c r="F361" i="44"/>
  <c r="F364" i="44" s="1"/>
  <c r="J244" i="42"/>
  <c r="G223" i="42"/>
  <c r="H223" i="42"/>
  <c r="I223" i="42"/>
  <c r="J223" i="42"/>
  <c r="K223" i="42"/>
  <c r="L223" i="42"/>
  <c r="M223" i="42"/>
  <c r="N223" i="42"/>
  <c r="O223" i="42"/>
  <c r="P223" i="42"/>
  <c r="Q223" i="42"/>
  <c r="R223" i="42"/>
  <c r="S223" i="42"/>
  <c r="T223" i="42"/>
  <c r="U223" i="42"/>
  <c r="F232" i="42"/>
  <c r="F233" i="42"/>
  <c r="F234" i="42"/>
  <c r="V234" i="42" s="1"/>
  <c r="F235" i="42"/>
  <c r="F425" i="44"/>
  <c r="F195" i="42"/>
  <c r="F197" i="42"/>
  <c r="F538" i="44" l="1"/>
  <c r="V235" i="42"/>
  <c r="F540" i="44"/>
  <c r="V233" i="42"/>
  <c r="F233" i="44"/>
  <c r="V197" i="42"/>
  <c r="F531" i="44"/>
  <c r="V232" i="42"/>
  <c r="F176" i="44"/>
  <c r="V195" i="42"/>
  <c r="G187" i="42"/>
  <c r="H187" i="42"/>
  <c r="I187" i="42"/>
  <c r="J187" i="42"/>
  <c r="K187" i="42"/>
  <c r="L187" i="42"/>
  <c r="M187" i="42"/>
  <c r="N187" i="42"/>
  <c r="O187" i="42"/>
  <c r="P187" i="42"/>
  <c r="Q187" i="42"/>
  <c r="R187" i="42"/>
  <c r="S187" i="42"/>
  <c r="T187" i="42"/>
  <c r="U187" i="42"/>
  <c r="E187" i="42"/>
  <c r="G182" i="42"/>
  <c r="H182" i="42"/>
  <c r="I182" i="42"/>
  <c r="J182" i="42"/>
  <c r="K182" i="42"/>
  <c r="L182" i="42"/>
  <c r="M182" i="42"/>
  <c r="N182" i="42"/>
  <c r="O182" i="42"/>
  <c r="P182" i="42"/>
  <c r="Q182" i="42"/>
  <c r="R182" i="42"/>
  <c r="S182" i="42"/>
  <c r="T182" i="42"/>
  <c r="U182" i="42"/>
  <c r="E182" i="42"/>
  <c r="F181" i="42"/>
  <c r="F178" i="42"/>
  <c r="F174" i="42"/>
  <c r="F270" i="44" s="1"/>
  <c r="F175" i="42"/>
  <c r="E169" i="44"/>
  <c r="G170" i="44"/>
  <c r="H170" i="44"/>
  <c r="I170" i="44"/>
  <c r="J170" i="44"/>
  <c r="K170" i="44"/>
  <c r="L170" i="44"/>
  <c r="M170" i="44"/>
  <c r="N170" i="44"/>
  <c r="O170" i="44"/>
  <c r="P170" i="44"/>
  <c r="Q170" i="44"/>
  <c r="R170" i="44"/>
  <c r="S170" i="44"/>
  <c r="U170" i="44"/>
  <c r="E170" i="44"/>
  <c r="E172" i="44" s="1"/>
  <c r="F106" i="42"/>
  <c r="G55" i="42"/>
  <c r="H55" i="42"/>
  <c r="I55" i="42"/>
  <c r="J55" i="42"/>
  <c r="E33" i="42"/>
  <c r="F274" i="44" l="1"/>
  <c r="V178" i="42"/>
  <c r="F134" i="44"/>
  <c r="V106" i="42"/>
  <c r="F236" i="44"/>
  <c r="T233" i="44"/>
  <c r="F180" i="44"/>
  <c r="T176" i="44"/>
  <c r="V176" i="44" s="1"/>
  <c r="F268" i="44"/>
  <c r="V175" i="42"/>
  <c r="F275" i="44"/>
  <c r="V181" i="42"/>
  <c r="U1167" i="44"/>
  <c r="U1169" i="44" s="1"/>
  <c r="S1167" i="44"/>
  <c r="S1169" i="44" s="1"/>
  <c r="R1167" i="44"/>
  <c r="R1169" i="44" s="1"/>
  <c r="Q1167" i="44"/>
  <c r="Q1169" i="44" s="1"/>
  <c r="P1167" i="44"/>
  <c r="P1169" i="44" s="1"/>
  <c r="O1167" i="44"/>
  <c r="O1169" i="44" s="1"/>
  <c r="N1167" i="44"/>
  <c r="N1169" i="44" s="1"/>
  <c r="M1167" i="44"/>
  <c r="M1169" i="44" s="1"/>
  <c r="L1167" i="44"/>
  <c r="L1169" i="44" s="1"/>
  <c r="K1167" i="44"/>
  <c r="K1169" i="44" s="1"/>
  <c r="J1167" i="44"/>
  <c r="J1169" i="44" s="1"/>
  <c r="I1167" i="44"/>
  <c r="I1169" i="44" s="1"/>
  <c r="H1167" i="44"/>
  <c r="H1169" i="44" s="1"/>
  <c r="G1167" i="44"/>
  <c r="G1169" i="44" s="1"/>
  <c r="E1167" i="44"/>
  <c r="E1169" i="44" s="1"/>
  <c r="U1163" i="44"/>
  <c r="S1163" i="44"/>
  <c r="R1163" i="44"/>
  <c r="Q1163" i="44"/>
  <c r="P1163" i="44"/>
  <c r="O1163" i="44"/>
  <c r="N1163" i="44"/>
  <c r="M1163" i="44"/>
  <c r="L1163" i="44"/>
  <c r="K1163" i="44"/>
  <c r="J1163" i="44"/>
  <c r="I1163" i="44"/>
  <c r="H1163" i="44"/>
  <c r="G1163" i="44"/>
  <c r="F1163" i="44"/>
  <c r="E1163" i="44"/>
  <c r="U1162" i="44"/>
  <c r="S1162" i="44"/>
  <c r="R1162" i="44"/>
  <c r="Q1162" i="44"/>
  <c r="P1162" i="44"/>
  <c r="O1162" i="44"/>
  <c r="N1162" i="44"/>
  <c r="M1162" i="44"/>
  <c r="L1162" i="44"/>
  <c r="K1162" i="44"/>
  <c r="J1162" i="44"/>
  <c r="I1162" i="44"/>
  <c r="H1162" i="44"/>
  <c r="G1162" i="44"/>
  <c r="F1162" i="44"/>
  <c r="E1162" i="44"/>
  <c r="U1161" i="44"/>
  <c r="S1161" i="44"/>
  <c r="R1161" i="44"/>
  <c r="Q1161" i="44"/>
  <c r="P1161" i="44"/>
  <c r="O1161" i="44"/>
  <c r="N1161" i="44"/>
  <c r="M1161" i="44"/>
  <c r="L1161" i="44"/>
  <c r="K1161" i="44"/>
  <c r="J1161" i="44"/>
  <c r="I1161" i="44"/>
  <c r="H1161" i="44"/>
  <c r="G1161" i="44"/>
  <c r="F1161" i="44"/>
  <c r="E1161" i="44"/>
  <c r="U1158" i="44"/>
  <c r="U1173" i="44" s="1"/>
  <c r="U1196" i="44" s="1"/>
  <c r="S1158" i="44"/>
  <c r="S1173" i="44" s="1"/>
  <c r="S1196" i="44" s="1"/>
  <c r="R1158" i="44"/>
  <c r="R1173" i="44" s="1"/>
  <c r="R1196" i="44" s="1"/>
  <c r="Q1158" i="44"/>
  <c r="Q1173" i="44" s="1"/>
  <c r="Q1196" i="44" s="1"/>
  <c r="P1158" i="44"/>
  <c r="O1158" i="44"/>
  <c r="N1158" i="44"/>
  <c r="M1158" i="44"/>
  <c r="L1158" i="44"/>
  <c r="K1158" i="44"/>
  <c r="K1173" i="44" s="1"/>
  <c r="K1196" i="44" s="1"/>
  <c r="J1158" i="44"/>
  <c r="I1158" i="44"/>
  <c r="I1173" i="44" s="1"/>
  <c r="I1196" i="44" s="1"/>
  <c r="H1158" i="44"/>
  <c r="H1173" i="44" s="1"/>
  <c r="H1196" i="44" s="1"/>
  <c r="G1158" i="44"/>
  <c r="G1173" i="44" s="1"/>
  <c r="G1196" i="44" s="1"/>
  <c r="E1158" i="44"/>
  <c r="U1157" i="44"/>
  <c r="S1157" i="44"/>
  <c r="R1157" i="44"/>
  <c r="Q1157" i="44"/>
  <c r="P1157" i="44"/>
  <c r="O1157" i="44"/>
  <c r="N1157" i="44"/>
  <c r="M1157" i="44"/>
  <c r="L1157" i="44"/>
  <c r="K1157" i="44"/>
  <c r="J1157" i="44"/>
  <c r="I1157" i="44"/>
  <c r="H1157" i="44"/>
  <c r="G1157" i="44"/>
  <c r="F1157" i="44"/>
  <c r="E1157" i="44"/>
  <c r="U1151" i="44"/>
  <c r="U1154" i="44" s="1"/>
  <c r="S1151" i="44"/>
  <c r="S1154" i="44" s="1"/>
  <c r="R1151" i="44"/>
  <c r="R1154" i="44" s="1"/>
  <c r="Q1151" i="44"/>
  <c r="Q1154" i="44" s="1"/>
  <c r="P1151" i="44"/>
  <c r="P1154" i="44" s="1"/>
  <c r="O1151" i="44"/>
  <c r="O1154" i="44" s="1"/>
  <c r="N1151" i="44"/>
  <c r="N1154" i="44" s="1"/>
  <c r="M1151" i="44"/>
  <c r="M1154" i="44" s="1"/>
  <c r="L1151" i="44"/>
  <c r="L1154" i="44" s="1"/>
  <c r="K1151" i="44"/>
  <c r="K1154" i="44" s="1"/>
  <c r="J1151" i="44"/>
  <c r="J1154" i="44" s="1"/>
  <c r="I1151" i="44"/>
  <c r="I1154" i="44" s="1"/>
  <c r="H1151" i="44"/>
  <c r="H1154" i="44" s="1"/>
  <c r="G1151" i="44"/>
  <c r="G1154" i="44" s="1"/>
  <c r="F1151" i="44"/>
  <c r="F1154" i="44" s="1"/>
  <c r="E1151" i="44"/>
  <c r="E1154" i="44" s="1"/>
  <c r="U1146" i="44"/>
  <c r="S1146" i="44"/>
  <c r="R1146" i="44"/>
  <c r="Q1146" i="44"/>
  <c r="P1146" i="44"/>
  <c r="O1146" i="44"/>
  <c r="N1146" i="44"/>
  <c r="M1146" i="44"/>
  <c r="L1146" i="44"/>
  <c r="L1149" i="44" s="1"/>
  <c r="K1146" i="44"/>
  <c r="J1146" i="44"/>
  <c r="I1146" i="44"/>
  <c r="H1146" i="44"/>
  <c r="G1146" i="44"/>
  <c r="U1137" i="44"/>
  <c r="U1139" i="44" s="1"/>
  <c r="S1137" i="44"/>
  <c r="S1139" i="44" s="1"/>
  <c r="R1137" i="44"/>
  <c r="R1139" i="44" s="1"/>
  <c r="Q1137" i="44"/>
  <c r="Q1139" i="44" s="1"/>
  <c r="P1137" i="44"/>
  <c r="P1139" i="44" s="1"/>
  <c r="O1137" i="44"/>
  <c r="O1139" i="44" s="1"/>
  <c r="N1137" i="44"/>
  <c r="N1139" i="44" s="1"/>
  <c r="M1137" i="44"/>
  <c r="M1139" i="44" s="1"/>
  <c r="L1137" i="44"/>
  <c r="L1139" i="44" s="1"/>
  <c r="K1137" i="44"/>
  <c r="K1139" i="44" s="1"/>
  <c r="J1137" i="44"/>
  <c r="J1139" i="44" s="1"/>
  <c r="I1137" i="44"/>
  <c r="I1139" i="44" s="1"/>
  <c r="H1137" i="44"/>
  <c r="H1139" i="44" s="1"/>
  <c r="G1137" i="44"/>
  <c r="G1139" i="44" s="1"/>
  <c r="F1137" i="44"/>
  <c r="F1139" i="44" s="1"/>
  <c r="E1137" i="44"/>
  <c r="E1139" i="44" s="1"/>
  <c r="U1133" i="44"/>
  <c r="S1133" i="44"/>
  <c r="R1133" i="44"/>
  <c r="Q1133" i="44"/>
  <c r="P1133" i="44"/>
  <c r="O1133" i="44"/>
  <c r="N1133" i="44"/>
  <c r="M1133" i="44"/>
  <c r="L1133" i="44"/>
  <c r="K1133" i="44"/>
  <c r="J1133" i="44"/>
  <c r="I1133" i="44"/>
  <c r="H1133" i="44"/>
  <c r="G1133" i="44"/>
  <c r="F1133" i="44"/>
  <c r="E1133" i="44"/>
  <c r="U1132" i="44"/>
  <c r="S1132" i="44"/>
  <c r="R1132" i="44"/>
  <c r="Q1132" i="44"/>
  <c r="P1132" i="44"/>
  <c r="O1132" i="44"/>
  <c r="N1132" i="44"/>
  <c r="M1132" i="44"/>
  <c r="L1132" i="44"/>
  <c r="K1132" i="44"/>
  <c r="J1132" i="44"/>
  <c r="I1132" i="44"/>
  <c r="H1132" i="44"/>
  <c r="G1132" i="44"/>
  <c r="F1132" i="44"/>
  <c r="E1132" i="44"/>
  <c r="U1131" i="44"/>
  <c r="U1134" i="44" s="1"/>
  <c r="S1131" i="44"/>
  <c r="S1134" i="44" s="1"/>
  <c r="R1131" i="44"/>
  <c r="R1134" i="44" s="1"/>
  <c r="Q1131" i="44"/>
  <c r="Q1134" i="44" s="1"/>
  <c r="P1131" i="44"/>
  <c r="P1134" i="44" s="1"/>
  <c r="O1131" i="44"/>
  <c r="O1134" i="44" s="1"/>
  <c r="N1131" i="44"/>
  <c r="M1131" i="44"/>
  <c r="M1134" i="44" s="1"/>
  <c r="L1131" i="44"/>
  <c r="L1134" i="44" s="1"/>
  <c r="K1131" i="44"/>
  <c r="K1134" i="44" s="1"/>
  <c r="J1131" i="44"/>
  <c r="J1134" i="44" s="1"/>
  <c r="I1131" i="44"/>
  <c r="I1134" i="44" s="1"/>
  <c r="H1131" i="44"/>
  <c r="G1131" i="44"/>
  <c r="G1134" i="44" s="1"/>
  <c r="F1131" i="44"/>
  <c r="F1134" i="44" s="1"/>
  <c r="E1131" i="44"/>
  <c r="E1134" i="44" s="1"/>
  <c r="U1128" i="44"/>
  <c r="S1128" i="44"/>
  <c r="R1128" i="44"/>
  <c r="Q1128" i="44"/>
  <c r="P1128" i="44"/>
  <c r="O1128" i="44"/>
  <c r="N1128" i="44"/>
  <c r="M1128" i="44"/>
  <c r="L1128" i="44"/>
  <c r="K1128" i="44"/>
  <c r="J1128" i="44"/>
  <c r="I1128" i="44"/>
  <c r="H1128" i="44"/>
  <c r="G1128" i="44"/>
  <c r="F1128" i="44"/>
  <c r="E1128" i="44"/>
  <c r="U1127" i="44"/>
  <c r="S1127" i="44"/>
  <c r="R1127" i="44"/>
  <c r="Q1127" i="44"/>
  <c r="P1127" i="44"/>
  <c r="O1127" i="44"/>
  <c r="N1127" i="44"/>
  <c r="M1127" i="44"/>
  <c r="L1127" i="44"/>
  <c r="K1127" i="44"/>
  <c r="J1127" i="44"/>
  <c r="I1127" i="44"/>
  <c r="H1127" i="44"/>
  <c r="G1127" i="44"/>
  <c r="F1127" i="44"/>
  <c r="E1127" i="44"/>
  <c r="U1126" i="44"/>
  <c r="S1126" i="44"/>
  <c r="S1129" i="44" s="1"/>
  <c r="R1126" i="44"/>
  <c r="Q1126" i="44"/>
  <c r="Q1129" i="44" s="1"/>
  <c r="P1126" i="44"/>
  <c r="P1129" i="44" s="1"/>
  <c r="O1126" i="44"/>
  <c r="N1126" i="44"/>
  <c r="N1129" i="44" s="1"/>
  <c r="M1126" i="44"/>
  <c r="M1129" i="44" s="1"/>
  <c r="L1126" i="44"/>
  <c r="K1126" i="44"/>
  <c r="K1129" i="44" s="1"/>
  <c r="J1126" i="44"/>
  <c r="J1129" i="44" s="1"/>
  <c r="I1126" i="44"/>
  <c r="H1126" i="44"/>
  <c r="G1126" i="44"/>
  <c r="G1129" i="44" s="1"/>
  <c r="F1126" i="44"/>
  <c r="E1126" i="44"/>
  <c r="E1129" i="44" s="1"/>
  <c r="U1123" i="44"/>
  <c r="S1123" i="44"/>
  <c r="R1123" i="44"/>
  <c r="Q1123" i="44"/>
  <c r="P1123" i="44"/>
  <c r="O1123" i="44"/>
  <c r="N1123" i="44"/>
  <c r="M1123" i="44"/>
  <c r="L1123" i="44"/>
  <c r="K1123" i="44"/>
  <c r="J1123" i="44"/>
  <c r="I1123" i="44"/>
  <c r="H1123" i="44"/>
  <c r="G1123" i="44"/>
  <c r="E1123" i="44"/>
  <c r="U1122" i="44"/>
  <c r="S1122" i="44"/>
  <c r="R1122" i="44"/>
  <c r="Q1122" i="44"/>
  <c r="P1122" i="44"/>
  <c r="O1122" i="44"/>
  <c r="N1122" i="44"/>
  <c r="M1122" i="44"/>
  <c r="L1122" i="44"/>
  <c r="K1122" i="44"/>
  <c r="J1122" i="44"/>
  <c r="I1122" i="44"/>
  <c r="H1122" i="44"/>
  <c r="G1122" i="44"/>
  <c r="E1122" i="44"/>
  <c r="U1121" i="44"/>
  <c r="S1121" i="44"/>
  <c r="R1121" i="44"/>
  <c r="Q1121" i="44"/>
  <c r="P1121" i="44"/>
  <c r="O1121" i="44"/>
  <c r="N1121" i="44"/>
  <c r="M1121" i="44"/>
  <c r="L1121" i="44"/>
  <c r="K1121" i="44"/>
  <c r="J1121" i="44"/>
  <c r="I1121" i="44"/>
  <c r="H1121" i="44"/>
  <c r="G1121" i="44"/>
  <c r="E1121" i="44"/>
  <c r="U1117" i="44"/>
  <c r="U1119" i="44" s="1"/>
  <c r="S1117" i="44"/>
  <c r="S1119" i="44" s="1"/>
  <c r="R1117" i="44"/>
  <c r="R1119" i="44" s="1"/>
  <c r="Q1117" i="44"/>
  <c r="Q1119" i="44" s="1"/>
  <c r="P1117" i="44"/>
  <c r="P1119" i="44" s="1"/>
  <c r="O1117" i="44"/>
  <c r="O1119" i="44" s="1"/>
  <c r="N1117" i="44"/>
  <c r="N1119" i="44" s="1"/>
  <c r="M1117" i="44"/>
  <c r="M1119" i="44" s="1"/>
  <c r="L1117" i="44"/>
  <c r="L1119" i="44" s="1"/>
  <c r="K1117" i="44"/>
  <c r="K1119" i="44" s="1"/>
  <c r="J1117" i="44"/>
  <c r="J1119" i="44" s="1"/>
  <c r="I1117" i="44"/>
  <c r="I1119" i="44" s="1"/>
  <c r="H1117" i="44"/>
  <c r="H1119" i="44" s="1"/>
  <c r="G1117" i="44"/>
  <c r="G1119" i="44" s="1"/>
  <c r="E1117" i="44"/>
  <c r="E1119" i="44" s="1"/>
  <c r="U1113" i="44"/>
  <c r="S1113" i="44"/>
  <c r="R1113" i="44"/>
  <c r="Q1113" i="44"/>
  <c r="P1113" i="44"/>
  <c r="O1113" i="44"/>
  <c r="N1113" i="44"/>
  <c r="M1113" i="44"/>
  <c r="L1113" i="44"/>
  <c r="K1113" i="44"/>
  <c r="J1113" i="44"/>
  <c r="I1113" i="44"/>
  <c r="H1113" i="44"/>
  <c r="G1113" i="44"/>
  <c r="E1113" i="44"/>
  <c r="U1112" i="44"/>
  <c r="S1112" i="44"/>
  <c r="R1112" i="44"/>
  <c r="Q1112" i="44"/>
  <c r="P1112" i="44"/>
  <c r="O1112" i="44"/>
  <c r="N1112" i="44"/>
  <c r="M1112" i="44"/>
  <c r="L1112" i="44"/>
  <c r="K1112" i="44"/>
  <c r="J1112" i="44"/>
  <c r="I1112" i="44"/>
  <c r="H1112" i="44"/>
  <c r="G1112" i="44"/>
  <c r="E1112" i="44"/>
  <c r="U1108" i="44"/>
  <c r="S1108" i="44"/>
  <c r="R1108" i="44"/>
  <c r="Q1108" i="44"/>
  <c r="P1108" i="44"/>
  <c r="O1108" i="44"/>
  <c r="N1108" i="44"/>
  <c r="M1108" i="44"/>
  <c r="L1108" i="44"/>
  <c r="K1108" i="44"/>
  <c r="J1108" i="44"/>
  <c r="I1108" i="44"/>
  <c r="H1108" i="44"/>
  <c r="G1108" i="44"/>
  <c r="F1108" i="44"/>
  <c r="E1108" i="44"/>
  <c r="U1107" i="44"/>
  <c r="S1107" i="44"/>
  <c r="R1107" i="44"/>
  <c r="Q1107" i="44"/>
  <c r="P1107" i="44"/>
  <c r="O1107" i="44"/>
  <c r="N1107" i="44"/>
  <c r="M1107" i="44"/>
  <c r="L1107" i="44"/>
  <c r="K1107" i="44"/>
  <c r="J1107" i="44"/>
  <c r="I1107" i="44"/>
  <c r="H1107" i="44"/>
  <c r="G1107" i="44"/>
  <c r="E1107" i="44"/>
  <c r="U1102" i="44"/>
  <c r="U1104" i="44" s="1"/>
  <c r="S1102" i="44"/>
  <c r="S1104" i="44" s="1"/>
  <c r="R1102" i="44"/>
  <c r="R1104" i="44" s="1"/>
  <c r="Q1102" i="44"/>
  <c r="Q1104" i="44" s="1"/>
  <c r="P1102" i="44"/>
  <c r="P1104" i="44" s="1"/>
  <c r="O1102" i="44"/>
  <c r="O1104" i="44" s="1"/>
  <c r="N1102" i="44"/>
  <c r="N1104" i="44" s="1"/>
  <c r="M1102" i="44"/>
  <c r="M1104" i="44" s="1"/>
  <c r="L1102" i="44"/>
  <c r="L1104" i="44" s="1"/>
  <c r="K1102" i="44"/>
  <c r="K1104" i="44" s="1"/>
  <c r="J1102" i="44"/>
  <c r="J1104" i="44" s="1"/>
  <c r="I1102" i="44"/>
  <c r="I1104" i="44" s="1"/>
  <c r="H1102" i="44"/>
  <c r="H1104" i="44" s="1"/>
  <c r="G1102" i="44"/>
  <c r="G1104" i="44" s="1"/>
  <c r="F1102" i="44"/>
  <c r="F1104" i="44" s="1"/>
  <c r="E1102" i="44"/>
  <c r="E1104" i="44" s="1"/>
  <c r="U1098" i="44"/>
  <c r="S1098" i="44"/>
  <c r="R1098" i="44"/>
  <c r="Q1098" i="44"/>
  <c r="P1098" i="44"/>
  <c r="O1098" i="44"/>
  <c r="N1098" i="44"/>
  <c r="M1098" i="44"/>
  <c r="L1098" i="44"/>
  <c r="K1098" i="44"/>
  <c r="J1098" i="44"/>
  <c r="I1098" i="44"/>
  <c r="H1098" i="44"/>
  <c r="G1098" i="44"/>
  <c r="F1098" i="44"/>
  <c r="E1098" i="44"/>
  <c r="U1097" i="44"/>
  <c r="S1097" i="44"/>
  <c r="R1097" i="44"/>
  <c r="Q1097" i="44"/>
  <c r="P1097" i="44"/>
  <c r="O1097" i="44"/>
  <c r="N1097" i="44"/>
  <c r="M1097" i="44"/>
  <c r="L1097" i="44"/>
  <c r="K1097" i="44"/>
  <c r="J1097" i="44"/>
  <c r="I1097" i="44"/>
  <c r="H1097" i="44"/>
  <c r="G1097" i="44"/>
  <c r="E1097" i="44"/>
  <c r="U1093" i="44"/>
  <c r="S1093" i="44"/>
  <c r="R1093" i="44"/>
  <c r="Q1093" i="44"/>
  <c r="P1093" i="44"/>
  <c r="O1093" i="44"/>
  <c r="N1093" i="44"/>
  <c r="M1093" i="44"/>
  <c r="L1093" i="44"/>
  <c r="K1093" i="44"/>
  <c r="J1093" i="44"/>
  <c r="I1093" i="44"/>
  <c r="H1093" i="44"/>
  <c r="G1093" i="44"/>
  <c r="E1093" i="44"/>
  <c r="U1092" i="44"/>
  <c r="S1092" i="44"/>
  <c r="R1092" i="44"/>
  <c r="Q1092" i="44"/>
  <c r="P1092" i="44"/>
  <c r="O1092" i="44"/>
  <c r="N1092" i="44"/>
  <c r="M1092" i="44"/>
  <c r="L1092" i="44"/>
  <c r="K1092" i="44"/>
  <c r="J1092" i="44"/>
  <c r="I1092" i="44"/>
  <c r="H1092" i="44"/>
  <c r="G1092" i="44"/>
  <c r="E1092" i="44"/>
  <c r="U1091" i="44"/>
  <c r="S1091" i="44"/>
  <c r="R1091" i="44"/>
  <c r="Q1091" i="44"/>
  <c r="P1091" i="44"/>
  <c r="O1091" i="44"/>
  <c r="N1091" i="44"/>
  <c r="M1091" i="44"/>
  <c r="L1091" i="44"/>
  <c r="K1091" i="44"/>
  <c r="J1091" i="44"/>
  <c r="I1091" i="44"/>
  <c r="H1091" i="44"/>
  <c r="G1091" i="44"/>
  <c r="F1091" i="44"/>
  <c r="E1091" i="44"/>
  <c r="U1087" i="44"/>
  <c r="U1089" i="44" s="1"/>
  <c r="S1087" i="44"/>
  <c r="S1089" i="44" s="1"/>
  <c r="R1087" i="44"/>
  <c r="R1089" i="44" s="1"/>
  <c r="Q1087" i="44"/>
  <c r="Q1089" i="44" s="1"/>
  <c r="P1087" i="44"/>
  <c r="P1089" i="44" s="1"/>
  <c r="O1087" i="44"/>
  <c r="O1089" i="44" s="1"/>
  <c r="N1087" i="44"/>
  <c r="N1089" i="44" s="1"/>
  <c r="M1087" i="44"/>
  <c r="M1089" i="44" s="1"/>
  <c r="L1087" i="44"/>
  <c r="L1089" i="44" s="1"/>
  <c r="K1087" i="44"/>
  <c r="K1089" i="44" s="1"/>
  <c r="J1087" i="44"/>
  <c r="J1089" i="44" s="1"/>
  <c r="I1087" i="44"/>
  <c r="I1089" i="44" s="1"/>
  <c r="H1087" i="44"/>
  <c r="H1089" i="44" s="1"/>
  <c r="G1087" i="44"/>
  <c r="G1089" i="44" s="1"/>
  <c r="E1087" i="44"/>
  <c r="E1089" i="44" s="1"/>
  <c r="U1083" i="44"/>
  <c r="S1083" i="44"/>
  <c r="R1083" i="44"/>
  <c r="Q1083" i="44"/>
  <c r="P1083" i="44"/>
  <c r="O1083" i="44"/>
  <c r="N1083" i="44"/>
  <c r="M1083" i="44"/>
  <c r="L1083" i="44"/>
  <c r="K1083" i="44"/>
  <c r="J1083" i="44"/>
  <c r="I1083" i="44"/>
  <c r="H1083" i="44"/>
  <c r="G1083" i="44"/>
  <c r="F1083" i="44"/>
  <c r="E1083" i="44"/>
  <c r="U1081" i="44"/>
  <c r="S1081" i="44"/>
  <c r="R1081" i="44"/>
  <c r="Q1081" i="44"/>
  <c r="P1081" i="44"/>
  <c r="O1081" i="44"/>
  <c r="N1081" i="44"/>
  <c r="M1081" i="44"/>
  <c r="L1081" i="44"/>
  <c r="K1081" i="44"/>
  <c r="J1081" i="44"/>
  <c r="I1081" i="44"/>
  <c r="H1081" i="44"/>
  <c r="G1081" i="44"/>
  <c r="E1081" i="44"/>
  <c r="U1077" i="44"/>
  <c r="S1077" i="44"/>
  <c r="R1077" i="44"/>
  <c r="Q1077" i="44"/>
  <c r="P1077" i="44"/>
  <c r="O1077" i="44"/>
  <c r="N1077" i="44"/>
  <c r="M1077" i="44"/>
  <c r="L1077" i="44"/>
  <c r="K1077" i="44"/>
  <c r="J1077" i="44"/>
  <c r="I1077" i="44"/>
  <c r="H1077" i="44"/>
  <c r="G1077" i="44"/>
  <c r="F1077" i="44"/>
  <c r="E1077" i="44"/>
  <c r="U1076" i="44"/>
  <c r="S1076" i="44"/>
  <c r="R1076" i="44"/>
  <c r="Q1076" i="44"/>
  <c r="P1076" i="44"/>
  <c r="O1076" i="44"/>
  <c r="N1076" i="44"/>
  <c r="M1076" i="44"/>
  <c r="L1076" i="44"/>
  <c r="K1076" i="44"/>
  <c r="J1076" i="44"/>
  <c r="I1076" i="44"/>
  <c r="H1076" i="44"/>
  <c r="G1076" i="44"/>
  <c r="E1076" i="44"/>
  <c r="U1073" i="44"/>
  <c r="S1073" i="44"/>
  <c r="R1073" i="44"/>
  <c r="Q1073" i="44"/>
  <c r="P1073" i="44"/>
  <c r="O1073" i="44"/>
  <c r="N1073" i="44"/>
  <c r="M1073" i="44"/>
  <c r="L1073" i="44"/>
  <c r="K1073" i="44"/>
  <c r="J1073" i="44"/>
  <c r="I1073" i="44"/>
  <c r="H1073" i="44"/>
  <c r="G1073" i="44"/>
  <c r="E1073" i="44"/>
  <c r="U1072" i="44"/>
  <c r="S1072" i="44"/>
  <c r="R1072" i="44"/>
  <c r="Q1072" i="44"/>
  <c r="P1072" i="44"/>
  <c r="O1072" i="44"/>
  <c r="N1072" i="44"/>
  <c r="M1072" i="44"/>
  <c r="L1072" i="44"/>
  <c r="K1072" i="44"/>
  <c r="J1072" i="44"/>
  <c r="I1072" i="44"/>
  <c r="H1072" i="44"/>
  <c r="G1072" i="44"/>
  <c r="E1072" i="44"/>
  <c r="U1071" i="44"/>
  <c r="S1071" i="44"/>
  <c r="R1071" i="44"/>
  <c r="Q1071" i="44"/>
  <c r="P1071" i="44"/>
  <c r="O1071" i="44"/>
  <c r="N1071" i="44"/>
  <c r="M1071" i="44"/>
  <c r="L1071" i="44"/>
  <c r="K1071" i="44"/>
  <c r="J1071" i="44"/>
  <c r="I1071" i="44"/>
  <c r="H1071" i="44"/>
  <c r="G1071" i="44"/>
  <c r="E1071" i="44"/>
  <c r="U1068" i="44"/>
  <c r="S1068" i="44"/>
  <c r="R1068" i="44"/>
  <c r="Q1068" i="44"/>
  <c r="P1068" i="44"/>
  <c r="O1068" i="44"/>
  <c r="N1068" i="44"/>
  <c r="M1068" i="44"/>
  <c r="L1068" i="44"/>
  <c r="K1068" i="44"/>
  <c r="J1068" i="44"/>
  <c r="I1068" i="44"/>
  <c r="H1068" i="44"/>
  <c r="G1068" i="44"/>
  <c r="E1068" i="44"/>
  <c r="U1067" i="44"/>
  <c r="S1067" i="44"/>
  <c r="R1067" i="44"/>
  <c r="Q1067" i="44"/>
  <c r="P1067" i="44"/>
  <c r="O1067" i="44"/>
  <c r="N1067" i="44"/>
  <c r="M1067" i="44"/>
  <c r="L1067" i="44"/>
  <c r="K1067" i="44"/>
  <c r="J1067" i="44"/>
  <c r="I1067" i="44"/>
  <c r="H1067" i="44"/>
  <c r="G1067" i="44"/>
  <c r="E1067" i="44"/>
  <c r="U1066" i="44"/>
  <c r="S1066" i="44"/>
  <c r="R1066" i="44"/>
  <c r="Q1066" i="44"/>
  <c r="P1066" i="44"/>
  <c r="O1066" i="44"/>
  <c r="N1066" i="44"/>
  <c r="M1066" i="44"/>
  <c r="L1066" i="44"/>
  <c r="K1066" i="44"/>
  <c r="J1066" i="44"/>
  <c r="I1066" i="44"/>
  <c r="H1066" i="44"/>
  <c r="G1066" i="44"/>
  <c r="F1066" i="44"/>
  <c r="E1066" i="44"/>
  <c r="U1063" i="44"/>
  <c r="S1063" i="44"/>
  <c r="R1063" i="44"/>
  <c r="Q1063" i="44"/>
  <c r="P1063" i="44"/>
  <c r="O1063" i="44"/>
  <c r="N1063" i="44"/>
  <c r="M1063" i="44"/>
  <c r="L1063" i="44"/>
  <c r="K1063" i="44"/>
  <c r="J1063" i="44"/>
  <c r="I1063" i="44"/>
  <c r="H1063" i="44"/>
  <c r="G1063" i="44"/>
  <c r="E1063" i="44"/>
  <c r="U1062" i="44"/>
  <c r="S1062" i="44"/>
  <c r="R1062" i="44"/>
  <c r="Q1062" i="44"/>
  <c r="P1062" i="44"/>
  <c r="O1062" i="44"/>
  <c r="N1062" i="44"/>
  <c r="M1062" i="44"/>
  <c r="L1062" i="44"/>
  <c r="K1062" i="44"/>
  <c r="J1062" i="44"/>
  <c r="I1062" i="44"/>
  <c r="H1062" i="44"/>
  <c r="G1062" i="44"/>
  <c r="U1058" i="44"/>
  <c r="S1058" i="44"/>
  <c r="R1058" i="44"/>
  <c r="Q1058" i="44"/>
  <c r="P1058" i="44"/>
  <c r="O1058" i="44"/>
  <c r="N1058" i="44"/>
  <c r="M1058" i="44"/>
  <c r="L1058" i="44"/>
  <c r="K1058" i="44"/>
  <c r="J1058" i="44"/>
  <c r="I1058" i="44"/>
  <c r="H1058" i="44"/>
  <c r="G1058" i="44"/>
  <c r="E1058" i="44"/>
  <c r="U1057" i="44"/>
  <c r="S1057" i="44"/>
  <c r="R1057" i="44"/>
  <c r="Q1057" i="44"/>
  <c r="P1057" i="44"/>
  <c r="O1057" i="44"/>
  <c r="N1057" i="44"/>
  <c r="M1057" i="44"/>
  <c r="L1057" i="44"/>
  <c r="K1057" i="44"/>
  <c r="J1057" i="44"/>
  <c r="I1057" i="44"/>
  <c r="H1057" i="44"/>
  <c r="G1057" i="44"/>
  <c r="U1052" i="44"/>
  <c r="U1054" i="44" s="1"/>
  <c r="S1052" i="44"/>
  <c r="S1054" i="44" s="1"/>
  <c r="R1052" i="44"/>
  <c r="R1054" i="44" s="1"/>
  <c r="Q1052" i="44"/>
  <c r="Q1054" i="44" s="1"/>
  <c r="P1052" i="44"/>
  <c r="P1054" i="44" s="1"/>
  <c r="O1052" i="44"/>
  <c r="O1054" i="44" s="1"/>
  <c r="N1052" i="44"/>
  <c r="N1054" i="44" s="1"/>
  <c r="M1052" i="44"/>
  <c r="M1054" i="44" s="1"/>
  <c r="L1052" i="44"/>
  <c r="L1054" i="44" s="1"/>
  <c r="K1052" i="44"/>
  <c r="K1054" i="44" s="1"/>
  <c r="J1052" i="44"/>
  <c r="J1054" i="44" s="1"/>
  <c r="I1052" i="44"/>
  <c r="I1054" i="44" s="1"/>
  <c r="H1052" i="44"/>
  <c r="H1054" i="44" s="1"/>
  <c r="G1052" i="44"/>
  <c r="G1054" i="44" s="1"/>
  <c r="E1052" i="44"/>
  <c r="E1054" i="44" s="1"/>
  <c r="U1047" i="44"/>
  <c r="U1049" i="44" s="1"/>
  <c r="S1047" i="44"/>
  <c r="S1049" i="44" s="1"/>
  <c r="R1047" i="44"/>
  <c r="R1049" i="44" s="1"/>
  <c r="Q1047" i="44"/>
  <c r="Q1049" i="44" s="1"/>
  <c r="P1047" i="44"/>
  <c r="P1049" i="44" s="1"/>
  <c r="O1047" i="44"/>
  <c r="O1049" i="44" s="1"/>
  <c r="N1047" i="44"/>
  <c r="N1049" i="44" s="1"/>
  <c r="M1047" i="44"/>
  <c r="M1049" i="44" s="1"/>
  <c r="L1047" i="44"/>
  <c r="L1049" i="44" s="1"/>
  <c r="K1047" i="44"/>
  <c r="K1049" i="44" s="1"/>
  <c r="J1047" i="44"/>
  <c r="J1049" i="44" s="1"/>
  <c r="I1047" i="44"/>
  <c r="I1049" i="44" s="1"/>
  <c r="H1047" i="44"/>
  <c r="H1049" i="44" s="1"/>
  <c r="G1047" i="44"/>
  <c r="G1049" i="44" s="1"/>
  <c r="E1047" i="44"/>
  <c r="E1049" i="44" s="1"/>
  <c r="U1043" i="44"/>
  <c r="S1043" i="44"/>
  <c r="R1043" i="44"/>
  <c r="Q1043" i="44"/>
  <c r="P1043" i="44"/>
  <c r="O1043" i="44"/>
  <c r="N1043" i="44"/>
  <c r="M1043" i="44"/>
  <c r="L1043" i="44"/>
  <c r="K1043" i="44"/>
  <c r="J1043" i="44"/>
  <c r="I1043" i="44"/>
  <c r="H1043" i="44"/>
  <c r="G1043" i="44"/>
  <c r="E1043" i="44"/>
  <c r="U1042" i="44"/>
  <c r="S1042" i="44"/>
  <c r="R1042" i="44"/>
  <c r="Q1042" i="44"/>
  <c r="P1042" i="44"/>
  <c r="O1042" i="44"/>
  <c r="N1042" i="44"/>
  <c r="M1042" i="44"/>
  <c r="L1042" i="44"/>
  <c r="K1042" i="44"/>
  <c r="J1042" i="44"/>
  <c r="I1042" i="44"/>
  <c r="H1042" i="44"/>
  <c r="G1042" i="44"/>
  <c r="E1042" i="44"/>
  <c r="U1041" i="44"/>
  <c r="S1041" i="44"/>
  <c r="R1041" i="44"/>
  <c r="Q1041" i="44"/>
  <c r="P1041" i="44"/>
  <c r="O1041" i="44"/>
  <c r="N1041" i="44"/>
  <c r="M1041" i="44"/>
  <c r="L1041" i="44"/>
  <c r="K1041" i="44"/>
  <c r="J1041" i="44"/>
  <c r="I1041" i="44"/>
  <c r="H1041" i="44"/>
  <c r="G1041" i="44"/>
  <c r="F1041" i="44"/>
  <c r="E1041" i="44"/>
  <c r="U1037" i="44"/>
  <c r="U1039" i="44" s="1"/>
  <c r="S1037" i="44"/>
  <c r="S1039" i="44" s="1"/>
  <c r="R1037" i="44"/>
  <c r="R1039" i="44" s="1"/>
  <c r="Q1037" i="44"/>
  <c r="Q1039" i="44" s="1"/>
  <c r="P1037" i="44"/>
  <c r="P1039" i="44" s="1"/>
  <c r="O1037" i="44"/>
  <c r="O1039" i="44" s="1"/>
  <c r="N1037" i="44"/>
  <c r="N1039" i="44" s="1"/>
  <c r="M1037" i="44"/>
  <c r="M1039" i="44" s="1"/>
  <c r="L1037" i="44"/>
  <c r="L1039" i="44" s="1"/>
  <c r="K1037" i="44"/>
  <c r="K1039" i="44" s="1"/>
  <c r="J1037" i="44"/>
  <c r="J1039" i="44" s="1"/>
  <c r="I1037" i="44"/>
  <c r="I1039" i="44" s="1"/>
  <c r="H1037" i="44"/>
  <c r="H1039" i="44" s="1"/>
  <c r="G1037" i="44"/>
  <c r="G1039" i="44" s="1"/>
  <c r="E1037" i="44"/>
  <c r="E1039" i="44" s="1"/>
  <c r="U1033" i="44"/>
  <c r="S1033" i="44"/>
  <c r="R1033" i="44"/>
  <c r="Q1033" i="44"/>
  <c r="P1033" i="44"/>
  <c r="O1033" i="44"/>
  <c r="N1033" i="44"/>
  <c r="M1033" i="44"/>
  <c r="L1033" i="44"/>
  <c r="K1033" i="44"/>
  <c r="J1033" i="44"/>
  <c r="I1033" i="44"/>
  <c r="H1033" i="44"/>
  <c r="G1033" i="44"/>
  <c r="E1033" i="44"/>
  <c r="U1032" i="44"/>
  <c r="S1032" i="44"/>
  <c r="R1032" i="44"/>
  <c r="Q1032" i="44"/>
  <c r="P1032" i="44"/>
  <c r="O1032" i="44"/>
  <c r="N1032" i="44"/>
  <c r="M1032" i="44"/>
  <c r="L1032" i="44"/>
  <c r="K1032" i="44"/>
  <c r="J1032" i="44"/>
  <c r="I1032" i="44"/>
  <c r="H1032" i="44"/>
  <c r="G1032" i="44"/>
  <c r="E1032" i="44"/>
  <c r="U1028" i="44"/>
  <c r="S1028" i="44"/>
  <c r="R1028" i="44"/>
  <c r="Q1028" i="44"/>
  <c r="P1028" i="44"/>
  <c r="O1028" i="44"/>
  <c r="N1028" i="44"/>
  <c r="M1028" i="44"/>
  <c r="L1028" i="44"/>
  <c r="K1028" i="44"/>
  <c r="J1028" i="44"/>
  <c r="I1028" i="44"/>
  <c r="H1028" i="44"/>
  <c r="G1028" i="44"/>
  <c r="E1028" i="44"/>
  <c r="U1027" i="44"/>
  <c r="S1027" i="44"/>
  <c r="R1027" i="44"/>
  <c r="Q1027" i="44"/>
  <c r="P1027" i="44"/>
  <c r="O1027" i="44"/>
  <c r="N1027" i="44"/>
  <c r="M1027" i="44"/>
  <c r="L1027" i="44"/>
  <c r="K1027" i="44"/>
  <c r="J1027" i="44"/>
  <c r="I1027" i="44"/>
  <c r="H1027" i="44"/>
  <c r="G1027" i="44"/>
  <c r="E1027" i="44"/>
  <c r="U1022" i="44"/>
  <c r="U1024" i="44" s="1"/>
  <c r="S1022" i="44"/>
  <c r="S1024" i="44" s="1"/>
  <c r="R1022" i="44"/>
  <c r="R1024" i="44" s="1"/>
  <c r="Q1022" i="44"/>
  <c r="Q1024" i="44" s="1"/>
  <c r="P1022" i="44"/>
  <c r="P1024" i="44" s="1"/>
  <c r="O1022" i="44"/>
  <c r="O1024" i="44" s="1"/>
  <c r="N1022" i="44"/>
  <c r="N1024" i="44" s="1"/>
  <c r="M1022" i="44"/>
  <c r="M1024" i="44" s="1"/>
  <c r="L1022" i="44"/>
  <c r="L1024" i="44" s="1"/>
  <c r="K1022" i="44"/>
  <c r="K1024" i="44" s="1"/>
  <c r="J1022" i="44"/>
  <c r="J1024" i="44" s="1"/>
  <c r="I1022" i="44"/>
  <c r="I1024" i="44" s="1"/>
  <c r="H1022" i="44"/>
  <c r="H1024" i="44" s="1"/>
  <c r="G1022" i="44"/>
  <c r="G1024" i="44" s="1"/>
  <c r="F1022" i="44"/>
  <c r="F1024" i="44" s="1"/>
  <c r="E1022" i="44"/>
  <c r="E1024" i="44" s="1"/>
  <c r="U1018" i="44"/>
  <c r="S1018" i="44"/>
  <c r="R1018" i="44"/>
  <c r="Q1018" i="44"/>
  <c r="P1018" i="44"/>
  <c r="O1018" i="44"/>
  <c r="N1018" i="44"/>
  <c r="M1018" i="44"/>
  <c r="L1018" i="44"/>
  <c r="K1018" i="44"/>
  <c r="J1018" i="44"/>
  <c r="I1018" i="44"/>
  <c r="H1018" i="44"/>
  <c r="G1018" i="44"/>
  <c r="E1018" i="44"/>
  <c r="U1017" i="44"/>
  <c r="S1017" i="44"/>
  <c r="R1017" i="44"/>
  <c r="Q1017" i="44"/>
  <c r="P1017" i="44"/>
  <c r="O1017" i="44"/>
  <c r="N1017" i="44"/>
  <c r="M1017" i="44"/>
  <c r="L1017" i="44"/>
  <c r="K1017" i="44"/>
  <c r="J1017" i="44"/>
  <c r="I1017" i="44"/>
  <c r="H1017" i="44"/>
  <c r="G1017" i="44"/>
  <c r="E1017" i="44"/>
  <c r="U1016" i="44"/>
  <c r="S1016" i="44"/>
  <c r="R1016" i="44"/>
  <c r="Q1016" i="44"/>
  <c r="P1016" i="44"/>
  <c r="O1016" i="44"/>
  <c r="N1016" i="44"/>
  <c r="M1016" i="44"/>
  <c r="L1016" i="44"/>
  <c r="K1016" i="44"/>
  <c r="J1016" i="44"/>
  <c r="I1016" i="44"/>
  <c r="H1016" i="44"/>
  <c r="G1016" i="44"/>
  <c r="E1016" i="44"/>
  <c r="U1013" i="44"/>
  <c r="S1013" i="44"/>
  <c r="R1013" i="44"/>
  <c r="Q1013" i="44"/>
  <c r="P1013" i="44"/>
  <c r="O1013" i="44"/>
  <c r="N1013" i="44"/>
  <c r="M1013" i="44"/>
  <c r="L1013" i="44"/>
  <c r="K1013" i="44"/>
  <c r="J1013" i="44"/>
  <c r="I1013" i="44"/>
  <c r="H1013" i="44"/>
  <c r="G1013" i="44"/>
  <c r="F1013" i="44"/>
  <c r="E1013" i="44"/>
  <c r="U1012" i="44"/>
  <c r="S1012" i="44"/>
  <c r="R1012" i="44"/>
  <c r="Q1012" i="44"/>
  <c r="P1012" i="44"/>
  <c r="O1012" i="44"/>
  <c r="N1012" i="44"/>
  <c r="M1012" i="44"/>
  <c r="L1012" i="44"/>
  <c r="K1012" i="44"/>
  <c r="J1012" i="44"/>
  <c r="I1012" i="44"/>
  <c r="H1012" i="44"/>
  <c r="G1012" i="44"/>
  <c r="U1011" i="44"/>
  <c r="S1011" i="44"/>
  <c r="R1011" i="44"/>
  <c r="Q1011" i="44"/>
  <c r="P1011" i="44"/>
  <c r="O1011" i="44"/>
  <c r="N1011" i="44"/>
  <c r="M1011" i="44"/>
  <c r="L1011" i="44"/>
  <c r="K1011" i="44"/>
  <c r="J1011" i="44"/>
  <c r="H1011" i="44"/>
  <c r="G1011" i="44"/>
  <c r="E1011" i="44"/>
  <c r="U1007" i="44"/>
  <c r="U1009" i="44" s="1"/>
  <c r="S1007" i="44"/>
  <c r="S1009" i="44" s="1"/>
  <c r="R1007" i="44"/>
  <c r="R1009" i="44" s="1"/>
  <c r="Q1007" i="44"/>
  <c r="P1007" i="44"/>
  <c r="P1009" i="44" s="1"/>
  <c r="O1007" i="44"/>
  <c r="N1007" i="44"/>
  <c r="N1009" i="44" s="1"/>
  <c r="M1007" i="44"/>
  <c r="L1007" i="44"/>
  <c r="K1007" i="44"/>
  <c r="K1009" i="44" s="1"/>
  <c r="J1007" i="44"/>
  <c r="I1007" i="44"/>
  <c r="I1009" i="44" s="1"/>
  <c r="H1007" i="44"/>
  <c r="H1009" i="44" s="1"/>
  <c r="G1007" i="44"/>
  <c r="G1009" i="44" s="1"/>
  <c r="E1007" i="44"/>
  <c r="U998" i="44"/>
  <c r="S998" i="44"/>
  <c r="R998" i="44"/>
  <c r="Q998" i="44"/>
  <c r="P998" i="44"/>
  <c r="O998" i="44"/>
  <c r="N998" i="44"/>
  <c r="M998" i="44"/>
  <c r="L998" i="44"/>
  <c r="K998" i="44"/>
  <c r="J998" i="44"/>
  <c r="I998" i="44"/>
  <c r="H998" i="44"/>
  <c r="G998" i="44"/>
  <c r="E998" i="44"/>
  <c r="U997" i="44"/>
  <c r="S997" i="44"/>
  <c r="R997" i="44"/>
  <c r="Q997" i="44"/>
  <c r="P997" i="44"/>
  <c r="O997" i="44"/>
  <c r="N997" i="44"/>
  <c r="M997" i="44"/>
  <c r="L997" i="44"/>
  <c r="K997" i="44"/>
  <c r="J997" i="44"/>
  <c r="I997" i="44"/>
  <c r="H997" i="44"/>
  <c r="G997" i="44"/>
  <c r="U996" i="44"/>
  <c r="S996" i="44"/>
  <c r="R996" i="44"/>
  <c r="Q996" i="44"/>
  <c r="P996" i="44"/>
  <c r="O996" i="44"/>
  <c r="N996" i="44"/>
  <c r="M996" i="44"/>
  <c r="L996" i="44"/>
  <c r="K996" i="44"/>
  <c r="J996" i="44"/>
  <c r="I996" i="44"/>
  <c r="H996" i="44"/>
  <c r="G996" i="44"/>
  <c r="E996" i="44"/>
  <c r="U993" i="44"/>
  <c r="S993" i="44"/>
  <c r="R993" i="44"/>
  <c r="Q993" i="44"/>
  <c r="P993" i="44"/>
  <c r="O993" i="44"/>
  <c r="N993" i="44"/>
  <c r="M993" i="44"/>
  <c r="L993" i="44"/>
  <c r="K993" i="44"/>
  <c r="J993" i="44"/>
  <c r="I993" i="44"/>
  <c r="H993" i="44"/>
  <c r="G993" i="44"/>
  <c r="E993" i="44"/>
  <c r="U992" i="44"/>
  <c r="S992" i="44"/>
  <c r="R992" i="44"/>
  <c r="Q992" i="44"/>
  <c r="P992" i="44"/>
  <c r="O992" i="44"/>
  <c r="N992" i="44"/>
  <c r="M992" i="44"/>
  <c r="L992" i="44"/>
  <c r="K992" i="44"/>
  <c r="J992" i="44"/>
  <c r="I992" i="44"/>
  <c r="H992" i="44"/>
  <c r="G992" i="44"/>
  <c r="U991" i="44"/>
  <c r="S991" i="44"/>
  <c r="R991" i="44"/>
  <c r="Q991" i="44"/>
  <c r="P991" i="44"/>
  <c r="O991" i="44"/>
  <c r="N991" i="44"/>
  <c r="M991" i="44"/>
  <c r="L991" i="44"/>
  <c r="K991" i="44"/>
  <c r="J991" i="44"/>
  <c r="I991" i="44"/>
  <c r="H991" i="44"/>
  <c r="G991" i="44"/>
  <c r="E991" i="44"/>
  <c r="U987" i="44"/>
  <c r="S987" i="44"/>
  <c r="R987" i="44"/>
  <c r="Q987" i="44"/>
  <c r="P987" i="44"/>
  <c r="O987" i="44"/>
  <c r="N987" i="44"/>
  <c r="M987" i="44"/>
  <c r="L987" i="44"/>
  <c r="K987" i="44"/>
  <c r="J987" i="44"/>
  <c r="I987" i="44"/>
  <c r="H987" i="44"/>
  <c r="G987" i="44"/>
  <c r="E987" i="44"/>
  <c r="U986" i="44"/>
  <c r="S986" i="44"/>
  <c r="R986" i="44"/>
  <c r="Q986" i="44"/>
  <c r="P986" i="44"/>
  <c r="O986" i="44"/>
  <c r="N986" i="44"/>
  <c r="M986" i="44"/>
  <c r="L986" i="44"/>
  <c r="K986" i="44"/>
  <c r="J986" i="44"/>
  <c r="I986" i="44"/>
  <c r="H986" i="44"/>
  <c r="G986" i="44"/>
  <c r="F986" i="44"/>
  <c r="E986" i="44"/>
  <c r="U978" i="44"/>
  <c r="S978" i="44"/>
  <c r="R978" i="44"/>
  <c r="Q978" i="44"/>
  <c r="P978" i="44"/>
  <c r="O978" i="44"/>
  <c r="N978" i="44"/>
  <c r="M978" i="44"/>
  <c r="L978" i="44"/>
  <c r="K978" i="44"/>
  <c r="J978" i="44"/>
  <c r="I978" i="44"/>
  <c r="H978" i="44"/>
  <c r="G978" i="44"/>
  <c r="E978" i="44"/>
  <c r="U977" i="44"/>
  <c r="S977" i="44"/>
  <c r="R977" i="44"/>
  <c r="Q977" i="44"/>
  <c r="P977" i="44"/>
  <c r="O977" i="44"/>
  <c r="N977" i="44"/>
  <c r="M977" i="44"/>
  <c r="L977" i="44"/>
  <c r="K977" i="44"/>
  <c r="J977" i="44"/>
  <c r="I977" i="44"/>
  <c r="H977" i="44"/>
  <c r="G977" i="44"/>
  <c r="E977" i="44"/>
  <c r="U973" i="44"/>
  <c r="S973" i="44"/>
  <c r="R973" i="44"/>
  <c r="Q973" i="44"/>
  <c r="P973" i="44"/>
  <c r="O973" i="44"/>
  <c r="N973" i="44"/>
  <c r="M973" i="44"/>
  <c r="L973" i="44"/>
  <c r="K973" i="44"/>
  <c r="J973" i="44"/>
  <c r="I973" i="44"/>
  <c r="H973" i="44"/>
  <c r="G973" i="44"/>
  <c r="E973" i="44"/>
  <c r="U972" i="44"/>
  <c r="S972" i="44"/>
  <c r="R972" i="44"/>
  <c r="Q972" i="44"/>
  <c r="P972" i="44"/>
  <c r="O972" i="44"/>
  <c r="N972" i="44"/>
  <c r="M972" i="44"/>
  <c r="L972" i="44"/>
  <c r="K972" i="44"/>
  <c r="J972" i="44"/>
  <c r="I972" i="44"/>
  <c r="H972" i="44"/>
  <c r="G972" i="44"/>
  <c r="E972" i="44"/>
  <c r="U968" i="44"/>
  <c r="S968" i="44"/>
  <c r="R968" i="44"/>
  <c r="Q968" i="44"/>
  <c r="P968" i="44"/>
  <c r="O968" i="44"/>
  <c r="N968" i="44"/>
  <c r="M968" i="44"/>
  <c r="L968" i="44"/>
  <c r="K968" i="44"/>
  <c r="J968" i="44"/>
  <c r="I968" i="44"/>
  <c r="H968" i="44"/>
  <c r="G968" i="44"/>
  <c r="F968" i="44"/>
  <c r="E968" i="44"/>
  <c r="U967" i="44"/>
  <c r="S967" i="44"/>
  <c r="R967" i="44"/>
  <c r="Q967" i="44"/>
  <c r="P967" i="44"/>
  <c r="O967" i="44"/>
  <c r="N967" i="44"/>
  <c r="M967" i="44"/>
  <c r="L967" i="44"/>
  <c r="K967" i="44"/>
  <c r="J967" i="44"/>
  <c r="I967" i="44"/>
  <c r="H967" i="44"/>
  <c r="G967" i="44"/>
  <c r="U966" i="44"/>
  <c r="U981" i="44" s="1"/>
  <c r="S966" i="44"/>
  <c r="S981" i="44" s="1"/>
  <c r="R966" i="44"/>
  <c r="R981" i="44" s="1"/>
  <c r="Q966" i="44"/>
  <c r="P966" i="44"/>
  <c r="O966" i="44"/>
  <c r="O981" i="44" s="1"/>
  <c r="N966" i="44"/>
  <c r="N981" i="44" s="1"/>
  <c r="M966" i="44"/>
  <c r="L966" i="44"/>
  <c r="L981" i="44" s="1"/>
  <c r="K966" i="44"/>
  <c r="K981" i="44" s="1"/>
  <c r="J966" i="44"/>
  <c r="J981" i="44" s="1"/>
  <c r="I966" i="44"/>
  <c r="I981" i="44" s="1"/>
  <c r="H966" i="44"/>
  <c r="H981" i="44" s="1"/>
  <c r="G966" i="44"/>
  <c r="G981" i="44" s="1"/>
  <c r="E966" i="44"/>
  <c r="U958" i="44"/>
  <c r="S958" i="44"/>
  <c r="R958" i="44"/>
  <c r="Q958" i="44"/>
  <c r="P958" i="44"/>
  <c r="O958" i="44"/>
  <c r="N958" i="44"/>
  <c r="M958" i="44"/>
  <c r="L958" i="44"/>
  <c r="K958" i="44"/>
  <c r="J958" i="44"/>
  <c r="I958" i="44"/>
  <c r="H958" i="44"/>
  <c r="G958" i="44"/>
  <c r="E958" i="44"/>
  <c r="U957" i="44"/>
  <c r="S957" i="44"/>
  <c r="R957" i="44"/>
  <c r="Q957" i="44"/>
  <c r="P957" i="44"/>
  <c r="O957" i="44"/>
  <c r="N957" i="44"/>
  <c r="M957" i="44"/>
  <c r="L957" i="44"/>
  <c r="K957" i="44"/>
  <c r="J957" i="44"/>
  <c r="I957" i="44"/>
  <c r="H957" i="44"/>
  <c r="G957" i="44"/>
  <c r="E957" i="44"/>
  <c r="U953" i="44"/>
  <c r="S953" i="44"/>
  <c r="R953" i="44"/>
  <c r="Q953" i="44"/>
  <c r="P953" i="44"/>
  <c r="O953" i="44"/>
  <c r="N953" i="44"/>
  <c r="M953" i="44"/>
  <c r="L953" i="44"/>
  <c r="K953" i="44"/>
  <c r="J953" i="44"/>
  <c r="I953" i="44"/>
  <c r="H953" i="44"/>
  <c r="G953" i="44"/>
  <c r="E953" i="44"/>
  <c r="U952" i="44"/>
  <c r="S952" i="44"/>
  <c r="R952" i="44"/>
  <c r="Q952" i="44"/>
  <c r="P952" i="44"/>
  <c r="O952" i="44"/>
  <c r="N952" i="44"/>
  <c r="M952" i="44"/>
  <c r="L952" i="44"/>
  <c r="K952" i="44"/>
  <c r="J952" i="44"/>
  <c r="I952" i="44"/>
  <c r="H952" i="44"/>
  <c r="G952" i="44"/>
  <c r="U948" i="44"/>
  <c r="S948" i="44"/>
  <c r="R948" i="44"/>
  <c r="Q948" i="44"/>
  <c r="P948" i="44"/>
  <c r="O948" i="44"/>
  <c r="N948" i="44"/>
  <c r="M948" i="44"/>
  <c r="L948" i="44"/>
  <c r="K948" i="44"/>
  <c r="J948" i="44"/>
  <c r="I948" i="44"/>
  <c r="H948" i="44"/>
  <c r="G948" i="44"/>
  <c r="E948" i="44"/>
  <c r="U947" i="44"/>
  <c r="S947" i="44"/>
  <c r="R947" i="44"/>
  <c r="Q947" i="44"/>
  <c r="P947" i="44"/>
  <c r="O947" i="44"/>
  <c r="N947" i="44"/>
  <c r="M947" i="44"/>
  <c r="L947" i="44"/>
  <c r="K947" i="44"/>
  <c r="J947" i="44"/>
  <c r="I947" i="44"/>
  <c r="H947" i="44"/>
  <c r="G947" i="44"/>
  <c r="U946" i="44"/>
  <c r="U961" i="44" s="1"/>
  <c r="S946" i="44"/>
  <c r="S961" i="44" s="1"/>
  <c r="R946" i="44"/>
  <c r="R961" i="44" s="1"/>
  <c r="Q946" i="44"/>
  <c r="P946" i="44"/>
  <c r="P961" i="44" s="1"/>
  <c r="O946" i="44"/>
  <c r="O961" i="44" s="1"/>
  <c r="N946" i="44"/>
  <c r="N961" i="44" s="1"/>
  <c r="M946" i="44"/>
  <c r="L946" i="44"/>
  <c r="K946" i="44"/>
  <c r="J946" i="44"/>
  <c r="I946" i="44"/>
  <c r="I961" i="44" s="1"/>
  <c r="H946" i="44"/>
  <c r="G946" i="44"/>
  <c r="G961" i="44" s="1"/>
  <c r="F946" i="44"/>
  <c r="F961" i="44" s="1"/>
  <c r="E946" i="44"/>
  <c r="U878" i="44"/>
  <c r="S878" i="44"/>
  <c r="R878" i="44"/>
  <c r="Q878" i="44"/>
  <c r="P878" i="44"/>
  <c r="O878" i="44"/>
  <c r="N878" i="44"/>
  <c r="M878" i="44"/>
  <c r="L878" i="44"/>
  <c r="K878" i="44"/>
  <c r="J878" i="44"/>
  <c r="I878" i="44"/>
  <c r="H878" i="44"/>
  <c r="G878" i="44"/>
  <c r="F878" i="44"/>
  <c r="E878" i="44"/>
  <c r="U877" i="44"/>
  <c r="S877" i="44"/>
  <c r="R877" i="44"/>
  <c r="Q877" i="44"/>
  <c r="P877" i="44"/>
  <c r="O877" i="44"/>
  <c r="N877" i="44"/>
  <c r="M877" i="44"/>
  <c r="L877" i="44"/>
  <c r="K877" i="44"/>
  <c r="J877" i="44"/>
  <c r="I877" i="44"/>
  <c r="H877" i="44"/>
  <c r="G877" i="44"/>
  <c r="E877" i="44"/>
  <c r="U876" i="44"/>
  <c r="S876" i="44"/>
  <c r="R876" i="44"/>
  <c r="Q876" i="44"/>
  <c r="P876" i="44"/>
  <c r="O876" i="44"/>
  <c r="N876" i="44"/>
  <c r="M876" i="44"/>
  <c r="L876" i="44"/>
  <c r="K876" i="44"/>
  <c r="J876" i="44"/>
  <c r="I876" i="44"/>
  <c r="H876" i="44"/>
  <c r="G876" i="44"/>
  <c r="E876" i="44"/>
  <c r="T872" i="44"/>
  <c r="V872" i="44" s="1"/>
  <c r="T871" i="44"/>
  <c r="U867" i="44"/>
  <c r="S867" i="44"/>
  <c r="R867" i="44"/>
  <c r="Q867" i="44"/>
  <c r="P867" i="44"/>
  <c r="O867" i="44"/>
  <c r="N867" i="44"/>
  <c r="M867" i="44"/>
  <c r="L867" i="44"/>
  <c r="K867" i="44"/>
  <c r="J867" i="44"/>
  <c r="I867" i="44"/>
  <c r="H867" i="44"/>
  <c r="G867" i="44"/>
  <c r="F867" i="44"/>
  <c r="E867" i="44"/>
  <c r="U866" i="44"/>
  <c r="S866" i="44"/>
  <c r="R866" i="44"/>
  <c r="Q866" i="44"/>
  <c r="P866" i="44"/>
  <c r="O866" i="44"/>
  <c r="N866" i="44"/>
  <c r="M866" i="44"/>
  <c r="L866" i="44"/>
  <c r="K866" i="44"/>
  <c r="J866" i="44"/>
  <c r="I866" i="44"/>
  <c r="H866" i="44"/>
  <c r="G866" i="44"/>
  <c r="E866" i="44"/>
  <c r="U865" i="44"/>
  <c r="S865" i="44"/>
  <c r="R865" i="44"/>
  <c r="Q865" i="44"/>
  <c r="P865" i="44"/>
  <c r="O865" i="44"/>
  <c r="N865" i="44"/>
  <c r="M865" i="44"/>
  <c r="L865" i="44"/>
  <c r="K865" i="44"/>
  <c r="J865" i="44"/>
  <c r="I865" i="44"/>
  <c r="H865" i="44"/>
  <c r="G865" i="44"/>
  <c r="E865" i="44"/>
  <c r="T864" i="44"/>
  <c r="V864" i="44" s="1"/>
  <c r="T863" i="44"/>
  <c r="V863" i="44" s="1"/>
  <c r="T861" i="44"/>
  <c r="V861" i="44" s="1"/>
  <c r="T860" i="44"/>
  <c r="V860" i="44" s="1"/>
  <c r="T859" i="44"/>
  <c r="V859" i="44" s="1"/>
  <c r="U854" i="44"/>
  <c r="U856" i="44" s="1"/>
  <c r="S854" i="44"/>
  <c r="S856" i="44" s="1"/>
  <c r="R854" i="44"/>
  <c r="R856" i="44" s="1"/>
  <c r="Q854" i="44"/>
  <c r="Q856" i="44" s="1"/>
  <c r="P854" i="44"/>
  <c r="P856" i="44" s="1"/>
  <c r="O854" i="44"/>
  <c r="O856" i="44" s="1"/>
  <c r="N854" i="44"/>
  <c r="N856" i="44" s="1"/>
  <c r="M854" i="44"/>
  <c r="M856" i="44" s="1"/>
  <c r="L854" i="44"/>
  <c r="L856" i="44" s="1"/>
  <c r="K854" i="44"/>
  <c r="K856" i="44" s="1"/>
  <c r="J854" i="44"/>
  <c r="J856" i="44" s="1"/>
  <c r="I854" i="44"/>
  <c r="I856" i="44" s="1"/>
  <c r="H854" i="44"/>
  <c r="H856" i="44" s="1"/>
  <c r="G854" i="44"/>
  <c r="G856" i="44" s="1"/>
  <c r="E854" i="44"/>
  <c r="E856" i="44" s="1"/>
  <c r="U853" i="44"/>
  <c r="S853" i="44"/>
  <c r="R853" i="44"/>
  <c r="Q853" i="44"/>
  <c r="P853" i="44"/>
  <c r="O853" i="44"/>
  <c r="N853" i="44"/>
  <c r="M853" i="44"/>
  <c r="L853" i="44"/>
  <c r="K853" i="44"/>
  <c r="J853" i="44"/>
  <c r="I853" i="44"/>
  <c r="H853" i="44"/>
  <c r="G853" i="44"/>
  <c r="E853" i="44"/>
  <c r="U848" i="44"/>
  <c r="S848" i="44"/>
  <c r="R848" i="44"/>
  <c r="Q848" i="44"/>
  <c r="P848" i="44"/>
  <c r="O848" i="44"/>
  <c r="N848" i="44"/>
  <c r="M848" i="44"/>
  <c r="L848" i="44"/>
  <c r="K848" i="44"/>
  <c r="J848" i="44"/>
  <c r="I848" i="44"/>
  <c r="H848" i="44"/>
  <c r="G848" i="44"/>
  <c r="E848" i="44"/>
  <c r="U847" i="44"/>
  <c r="S847" i="44"/>
  <c r="R847" i="44"/>
  <c r="Q847" i="44"/>
  <c r="P847" i="44"/>
  <c r="O847" i="44"/>
  <c r="N847" i="44"/>
  <c r="M847" i="44"/>
  <c r="L847" i="44"/>
  <c r="K847" i="44"/>
  <c r="J847" i="44"/>
  <c r="I847" i="44"/>
  <c r="H847" i="44"/>
  <c r="G847" i="44"/>
  <c r="E847" i="44"/>
  <c r="U846" i="44"/>
  <c r="S846" i="44"/>
  <c r="R846" i="44"/>
  <c r="Q846" i="44"/>
  <c r="P846" i="44"/>
  <c r="O846" i="44"/>
  <c r="N846" i="44"/>
  <c r="M846" i="44"/>
  <c r="L846" i="44"/>
  <c r="K846" i="44"/>
  <c r="J846" i="44"/>
  <c r="I846" i="44"/>
  <c r="H846" i="44"/>
  <c r="G846" i="44"/>
  <c r="E846" i="44"/>
  <c r="T844" i="44"/>
  <c r="V844" i="44" s="1"/>
  <c r="T843" i="44"/>
  <c r="V843" i="44" s="1"/>
  <c r="T842" i="44"/>
  <c r="T841" i="44"/>
  <c r="V841" i="44" s="1"/>
  <c r="T837" i="44"/>
  <c r="V837" i="44" s="1"/>
  <c r="T831" i="44"/>
  <c r="V831" i="44" s="1"/>
  <c r="U826" i="44"/>
  <c r="U827" i="44" s="1"/>
  <c r="S826" i="44"/>
  <c r="S827" i="44" s="1"/>
  <c r="R826" i="44"/>
  <c r="R827" i="44" s="1"/>
  <c r="Q826" i="44"/>
  <c r="Q827" i="44" s="1"/>
  <c r="P826" i="44"/>
  <c r="P827" i="44" s="1"/>
  <c r="O826" i="44"/>
  <c r="O827" i="44" s="1"/>
  <c r="N826" i="44"/>
  <c r="N827" i="44" s="1"/>
  <c r="M826" i="44"/>
  <c r="M827" i="44" s="1"/>
  <c r="L826" i="44"/>
  <c r="L827" i="44" s="1"/>
  <c r="K826" i="44"/>
  <c r="K827" i="44" s="1"/>
  <c r="J826" i="44"/>
  <c r="J827" i="44" s="1"/>
  <c r="I826" i="44"/>
  <c r="I827" i="44" s="1"/>
  <c r="H826" i="44"/>
  <c r="H827" i="44" s="1"/>
  <c r="G826" i="44"/>
  <c r="G827" i="44" s="1"/>
  <c r="E826" i="44"/>
  <c r="E827" i="44" s="1"/>
  <c r="U824" i="44"/>
  <c r="S824" i="44"/>
  <c r="R824" i="44"/>
  <c r="Q824" i="44"/>
  <c r="P824" i="44"/>
  <c r="O824" i="44"/>
  <c r="N824" i="44"/>
  <c r="M824" i="44"/>
  <c r="L824" i="44"/>
  <c r="K824" i="44"/>
  <c r="J824" i="44"/>
  <c r="I824" i="44"/>
  <c r="H824" i="44"/>
  <c r="G824" i="44"/>
  <c r="E824" i="44"/>
  <c r="T823" i="44"/>
  <c r="V823" i="44" s="1"/>
  <c r="T822" i="44"/>
  <c r="V822" i="44" s="1"/>
  <c r="T820" i="44"/>
  <c r="V820" i="44" s="1"/>
  <c r="U816" i="44"/>
  <c r="S816" i="44"/>
  <c r="R816" i="44"/>
  <c r="Q816" i="44"/>
  <c r="P816" i="44"/>
  <c r="O816" i="44"/>
  <c r="N816" i="44"/>
  <c r="M816" i="44"/>
  <c r="L816" i="44"/>
  <c r="K816" i="44"/>
  <c r="J816" i="44"/>
  <c r="I816" i="44"/>
  <c r="H816" i="44"/>
  <c r="G816" i="44"/>
  <c r="E816" i="44"/>
  <c r="U815" i="44"/>
  <c r="S815" i="44"/>
  <c r="R815" i="44"/>
  <c r="Q815" i="44"/>
  <c r="P815" i="44"/>
  <c r="O815" i="44"/>
  <c r="N815" i="44"/>
  <c r="M815" i="44"/>
  <c r="L815" i="44"/>
  <c r="K815" i="44"/>
  <c r="J815" i="44"/>
  <c r="I815" i="44"/>
  <c r="H815" i="44"/>
  <c r="G815" i="44"/>
  <c r="E815" i="44"/>
  <c r="U814" i="44"/>
  <c r="S814" i="44"/>
  <c r="R814" i="44"/>
  <c r="Q814" i="44"/>
  <c r="P814" i="44"/>
  <c r="O814" i="44"/>
  <c r="N814" i="44"/>
  <c r="M814" i="44"/>
  <c r="L814" i="44"/>
  <c r="K814" i="44"/>
  <c r="J814" i="44"/>
  <c r="I814" i="44"/>
  <c r="H814" i="44"/>
  <c r="G814" i="44"/>
  <c r="E814" i="44"/>
  <c r="T812" i="44"/>
  <c r="V812" i="44" s="1"/>
  <c r="T806" i="44"/>
  <c r="V806" i="44" s="1"/>
  <c r="T805" i="44"/>
  <c r="V805" i="44" s="1"/>
  <c r="T804" i="44"/>
  <c r="U800" i="44"/>
  <c r="S800" i="44"/>
  <c r="R800" i="44"/>
  <c r="Q800" i="44"/>
  <c r="P800" i="44"/>
  <c r="O800" i="44"/>
  <c r="N800" i="44"/>
  <c r="M800" i="44"/>
  <c r="L800" i="44"/>
  <c r="K800" i="44"/>
  <c r="J800" i="44"/>
  <c r="I800" i="44"/>
  <c r="H800" i="44"/>
  <c r="G800" i="44"/>
  <c r="F800" i="44"/>
  <c r="E800" i="44"/>
  <c r="U799" i="44"/>
  <c r="S799" i="44"/>
  <c r="R799" i="44"/>
  <c r="Q799" i="44"/>
  <c r="P799" i="44"/>
  <c r="O799" i="44"/>
  <c r="N799" i="44"/>
  <c r="M799" i="44"/>
  <c r="L799" i="44"/>
  <c r="K799" i="44"/>
  <c r="J799" i="44"/>
  <c r="I799" i="44"/>
  <c r="H799" i="44"/>
  <c r="G799" i="44"/>
  <c r="E799" i="44"/>
  <c r="U798" i="44"/>
  <c r="S798" i="44"/>
  <c r="R798" i="44"/>
  <c r="Q798" i="44"/>
  <c r="P798" i="44"/>
  <c r="O798" i="44"/>
  <c r="N798" i="44"/>
  <c r="M798" i="44"/>
  <c r="L798" i="44"/>
  <c r="K798" i="44"/>
  <c r="J798" i="44"/>
  <c r="I798" i="44"/>
  <c r="H798" i="44"/>
  <c r="G798" i="44"/>
  <c r="E798" i="44"/>
  <c r="T797" i="44"/>
  <c r="V797" i="44" s="1"/>
  <c r="T795" i="44"/>
  <c r="V795" i="44" s="1"/>
  <c r="T794" i="44"/>
  <c r="V794" i="44" s="1"/>
  <c r="T793" i="44"/>
  <c r="V793" i="44" s="1"/>
  <c r="U788" i="44"/>
  <c r="U790" i="44" s="1"/>
  <c r="S788" i="44"/>
  <c r="S790" i="44" s="1"/>
  <c r="R788" i="44"/>
  <c r="R790" i="44" s="1"/>
  <c r="Q788" i="44"/>
  <c r="Q790" i="44" s="1"/>
  <c r="P788" i="44"/>
  <c r="P790" i="44" s="1"/>
  <c r="O788" i="44"/>
  <c r="O790" i="44" s="1"/>
  <c r="N788" i="44"/>
  <c r="N790" i="44" s="1"/>
  <c r="M788" i="44"/>
  <c r="M790" i="44" s="1"/>
  <c r="L788" i="44"/>
  <c r="L790" i="44" s="1"/>
  <c r="K788" i="44"/>
  <c r="K790" i="44" s="1"/>
  <c r="J788" i="44"/>
  <c r="J790" i="44" s="1"/>
  <c r="I788" i="44"/>
  <c r="I790" i="44" s="1"/>
  <c r="H788" i="44"/>
  <c r="H790" i="44" s="1"/>
  <c r="G788" i="44"/>
  <c r="G790" i="44" s="1"/>
  <c r="F788" i="44"/>
  <c r="F790" i="44" s="1"/>
  <c r="E788" i="44"/>
  <c r="E790" i="44" s="1"/>
  <c r="U787" i="44"/>
  <c r="S787" i="44"/>
  <c r="R787" i="44"/>
  <c r="Q787" i="44"/>
  <c r="P787" i="44"/>
  <c r="O787" i="44"/>
  <c r="N787" i="44"/>
  <c r="M787" i="44"/>
  <c r="L787" i="44"/>
  <c r="K787" i="44"/>
  <c r="J787" i="44"/>
  <c r="I787" i="44"/>
  <c r="H787" i="44"/>
  <c r="G787" i="44"/>
  <c r="F787" i="44"/>
  <c r="E787" i="44"/>
  <c r="T786" i="44"/>
  <c r="V786" i="44" s="1"/>
  <c r="V788" i="44" s="1"/>
  <c r="V790" i="44" s="1"/>
  <c r="U782" i="44"/>
  <c r="S782" i="44"/>
  <c r="R782" i="44"/>
  <c r="Q782" i="44"/>
  <c r="P782" i="44"/>
  <c r="O782" i="44"/>
  <c r="N782" i="44"/>
  <c r="M782" i="44"/>
  <c r="L782" i="44"/>
  <c r="K782" i="44"/>
  <c r="J782" i="44"/>
  <c r="I782" i="44"/>
  <c r="H782" i="44"/>
  <c r="G782" i="44"/>
  <c r="F782" i="44"/>
  <c r="E782" i="44"/>
  <c r="U781" i="44"/>
  <c r="S781" i="44"/>
  <c r="R781" i="44"/>
  <c r="Q781" i="44"/>
  <c r="P781" i="44"/>
  <c r="O781" i="44"/>
  <c r="N781" i="44"/>
  <c r="M781" i="44"/>
  <c r="L781" i="44"/>
  <c r="K781" i="44"/>
  <c r="J781" i="44"/>
  <c r="I781" i="44"/>
  <c r="H781" i="44"/>
  <c r="G781" i="44"/>
  <c r="F781" i="44"/>
  <c r="E781" i="44"/>
  <c r="U780" i="44"/>
  <c r="S780" i="44"/>
  <c r="R780" i="44"/>
  <c r="Q780" i="44"/>
  <c r="P780" i="44"/>
  <c r="O780" i="44"/>
  <c r="N780" i="44"/>
  <c r="M780" i="44"/>
  <c r="L780" i="44"/>
  <c r="K780" i="44"/>
  <c r="J780" i="44"/>
  <c r="I780" i="44"/>
  <c r="H780" i="44"/>
  <c r="G780" i="44"/>
  <c r="F780" i="44"/>
  <c r="E780" i="44"/>
  <c r="T779" i="44"/>
  <c r="T1098" i="44" s="1"/>
  <c r="T778" i="44"/>
  <c r="U773" i="44"/>
  <c r="U775" i="44" s="1"/>
  <c r="S773" i="44"/>
  <c r="S775" i="44" s="1"/>
  <c r="R773" i="44"/>
  <c r="R775" i="44" s="1"/>
  <c r="Q773" i="44"/>
  <c r="Q775" i="44" s="1"/>
  <c r="P773" i="44"/>
  <c r="P775" i="44" s="1"/>
  <c r="O773" i="44"/>
  <c r="O775" i="44" s="1"/>
  <c r="N773" i="44"/>
  <c r="N775" i="44" s="1"/>
  <c r="M773" i="44"/>
  <c r="M775" i="44" s="1"/>
  <c r="L773" i="44"/>
  <c r="L775" i="44" s="1"/>
  <c r="K773" i="44"/>
  <c r="K775" i="44" s="1"/>
  <c r="J773" i="44"/>
  <c r="J775" i="44" s="1"/>
  <c r="I773" i="44"/>
  <c r="I775" i="44" s="1"/>
  <c r="H773" i="44"/>
  <c r="H775" i="44" s="1"/>
  <c r="G773" i="44"/>
  <c r="G775" i="44" s="1"/>
  <c r="E773" i="44"/>
  <c r="E775" i="44" s="1"/>
  <c r="U772" i="44"/>
  <c r="S772" i="44"/>
  <c r="R772" i="44"/>
  <c r="Q772" i="44"/>
  <c r="P772" i="44"/>
  <c r="O772" i="44"/>
  <c r="N772" i="44"/>
  <c r="M772" i="44"/>
  <c r="L772" i="44"/>
  <c r="K772" i="44"/>
  <c r="J772" i="44"/>
  <c r="I772" i="44"/>
  <c r="H772" i="44"/>
  <c r="G772" i="44"/>
  <c r="E772" i="44"/>
  <c r="U767" i="44"/>
  <c r="U768" i="44" s="1"/>
  <c r="S767" i="44"/>
  <c r="S768" i="44" s="1"/>
  <c r="R767" i="44"/>
  <c r="R768" i="44" s="1"/>
  <c r="Q767" i="44"/>
  <c r="Q768" i="44" s="1"/>
  <c r="P767" i="44"/>
  <c r="P768" i="44" s="1"/>
  <c r="O767" i="44"/>
  <c r="O768" i="44" s="1"/>
  <c r="N767" i="44"/>
  <c r="N768" i="44" s="1"/>
  <c r="M767" i="44"/>
  <c r="M768" i="44" s="1"/>
  <c r="L767" i="44"/>
  <c r="L768" i="44" s="1"/>
  <c r="K767" i="44"/>
  <c r="K768" i="44" s="1"/>
  <c r="J767" i="44"/>
  <c r="J768" i="44" s="1"/>
  <c r="I767" i="44"/>
  <c r="I768" i="44" s="1"/>
  <c r="H767" i="44"/>
  <c r="H768" i="44" s="1"/>
  <c r="G767" i="44"/>
  <c r="G768" i="44" s="1"/>
  <c r="E767" i="44"/>
  <c r="E768" i="44" s="1"/>
  <c r="U765" i="44"/>
  <c r="S765" i="44"/>
  <c r="R765" i="44"/>
  <c r="Q765" i="44"/>
  <c r="P765" i="44"/>
  <c r="O765" i="44"/>
  <c r="N765" i="44"/>
  <c r="M765" i="44"/>
  <c r="L765" i="44"/>
  <c r="K765" i="44"/>
  <c r="J765" i="44"/>
  <c r="I765" i="44"/>
  <c r="H765" i="44"/>
  <c r="G765" i="44"/>
  <c r="E765" i="44"/>
  <c r="U760" i="44"/>
  <c r="U761" i="44" s="1"/>
  <c r="S760" i="44"/>
  <c r="S761" i="44" s="1"/>
  <c r="R760" i="44"/>
  <c r="R761" i="44" s="1"/>
  <c r="Q760" i="44"/>
  <c r="Q761" i="44" s="1"/>
  <c r="P760" i="44"/>
  <c r="P761" i="44" s="1"/>
  <c r="O760" i="44"/>
  <c r="O761" i="44" s="1"/>
  <c r="N760" i="44"/>
  <c r="N761" i="44" s="1"/>
  <c r="M760" i="44"/>
  <c r="M761" i="44" s="1"/>
  <c r="L760" i="44"/>
  <c r="L761" i="44" s="1"/>
  <c r="K760" i="44"/>
  <c r="K761" i="44" s="1"/>
  <c r="J760" i="44"/>
  <c r="J761" i="44" s="1"/>
  <c r="I760" i="44"/>
  <c r="I761" i="44" s="1"/>
  <c r="H760" i="44"/>
  <c r="H761" i="44" s="1"/>
  <c r="G760" i="44"/>
  <c r="G761" i="44" s="1"/>
  <c r="F760" i="44"/>
  <c r="F761" i="44" s="1"/>
  <c r="E760" i="44"/>
  <c r="E761" i="44" s="1"/>
  <c r="U758" i="44"/>
  <c r="S758" i="44"/>
  <c r="R758" i="44"/>
  <c r="Q758" i="44"/>
  <c r="P758" i="44"/>
  <c r="O758" i="44"/>
  <c r="N758" i="44"/>
  <c r="M758" i="44"/>
  <c r="L758" i="44"/>
  <c r="K758" i="44"/>
  <c r="J758" i="44"/>
  <c r="I758" i="44"/>
  <c r="H758" i="44"/>
  <c r="G758" i="44"/>
  <c r="F758" i="44"/>
  <c r="E758" i="44"/>
  <c r="T757" i="44"/>
  <c r="V757" i="44" s="1"/>
  <c r="T756" i="44"/>
  <c r="U753" i="44"/>
  <c r="U754" i="44" s="1"/>
  <c r="S753" i="44"/>
  <c r="S754" i="44" s="1"/>
  <c r="R753" i="44"/>
  <c r="R754" i="44" s="1"/>
  <c r="Q753" i="44"/>
  <c r="Q754" i="44" s="1"/>
  <c r="P753" i="44"/>
  <c r="P754" i="44" s="1"/>
  <c r="O753" i="44"/>
  <c r="O754" i="44" s="1"/>
  <c r="N753" i="44"/>
  <c r="N754" i="44" s="1"/>
  <c r="M753" i="44"/>
  <c r="M754" i="44" s="1"/>
  <c r="L753" i="44"/>
  <c r="L754" i="44" s="1"/>
  <c r="K753" i="44"/>
  <c r="K754" i="44" s="1"/>
  <c r="J753" i="44"/>
  <c r="J754" i="44" s="1"/>
  <c r="I753" i="44"/>
  <c r="I754" i="44" s="1"/>
  <c r="H753" i="44"/>
  <c r="H754" i="44" s="1"/>
  <c r="G753" i="44"/>
  <c r="G754" i="44" s="1"/>
  <c r="F753" i="44"/>
  <c r="F754" i="44" s="1"/>
  <c r="E753" i="44"/>
  <c r="U751" i="44"/>
  <c r="S751" i="44"/>
  <c r="R751" i="44"/>
  <c r="Q751" i="44"/>
  <c r="P751" i="44"/>
  <c r="O751" i="44"/>
  <c r="N751" i="44"/>
  <c r="M751" i="44"/>
  <c r="L751" i="44"/>
  <c r="K751" i="44"/>
  <c r="J751" i="44"/>
  <c r="I751" i="44"/>
  <c r="H751" i="44"/>
  <c r="G751" i="44"/>
  <c r="F751" i="44"/>
  <c r="E751" i="44"/>
  <c r="T750" i="44"/>
  <c r="V750" i="44" s="1"/>
  <c r="T749" i="44"/>
  <c r="U745" i="44"/>
  <c r="S745" i="44"/>
  <c r="R745" i="44"/>
  <c r="Q745" i="44"/>
  <c r="P745" i="44"/>
  <c r="O745" i="44"/>
  <c r="N745" i="44"/>
  <c r="M745" i="44"/>
  <c r="L745" i="44"/>
  <c r="K745" i="44"/>
  <c r="J745" i="44"/>
  <c r="I745" i="44"/>
  <c r="H745" i="44"/>
  <c r="G745" i="44"/>
  <c r="E745" i="44"/>
  <c r="U744" i="44"/>
  <c r="S744" i="44"/>
  <c r="R744" i="44"/>
  <c r="Q744" i="44"/>
  <c r="P744" i="44"/>
  <c r="O744" i="44"/>
  <c r="N744" i="44"/>
  <c r="M744" i="44"/>
  <c r="L744" i="44"/>
  <c r="K744" i="44"/>
  <c r="J744" i="44"/>
  <c r="I744" i="44"/>
  <c r="H744" i="44"/>
  <c r="G744" i="44"/>
  <c r="E744" i="44"/>
  <c r="U743" i="44"/>
  <c r="S743" i="44"/>
  <c r="R743" i="44"/>
  <c r="Q743" i="44"/>
  <c r="P743" i="44"/>
  <c r="O743" i="44"/>
  <c r="N743" i="44"/>
  <c r="M743" i="44"/>
  <c r="L743" i="44"/>
  <c r="K743" i="44"/>
  <c r="J743" i="44"/>
  <c r="I743" i="44"/>
  <c r="H743" i="44"/>
  <c r="G743" i="44"/>
  <c r="E743" i="44"/>
  <c r="T740" i="44"/>
  <c r="V740" i="44" s="1"/>
  <c r="T738" i="44"/>
  <c r="V738" i="44" s="1"/>
  <c r="T737" i="44"/>
  <c r="V737" i="44" s="1"/>
  <c r="T730" i="44"/>
  <c r="V730" i="44" s="1"/>
  <c r="U719" i="44"/>
  <c r="S719" i="44"/>
  <c r="R719" i="44"/>
  <c r="Q719" i="44"/>
  <c r="P719" i="44"/>
  <c r="O719" i="44"/>
  <c r="N719" i="44"/>
  <c r="M719" i="44"/>
  <c r="L719" i="44"/>
  <c r="K719" i="44"/>
  <c r="J719" i="44"/>
  <c r="I719" i="44"/>
  <c r="H719" i="44"/>
  <c r="G719" i="44"/>
  <c r="E719" i="44"/>
  <c r="U718" i="44"/>
  <c r="S718" i="44"/>
  <c r="R718" i="44"/>
  <c r="Q718" i="44"/>
  <c r="P718" i="44"/>
  <c r="O718" i="44"/>
  <c r="N718" i="44"/>
  <c r="M718" i="44"/>
  <c r="L718" i="44"/>
  <c r="K718" i="44"/>
  <c r="J718" i="44"/>
  <c r="I718" i="44"/>
  <c r="H718" i="44"/>
  <c r="G718" i="44"/>
  <c r="E718" i="44"/>
  <c r="U717" i="44"/>
  <c r="S717" i="44"/>
  <c r="R717" i="44"/>
  <c r="Q717" i="44"/>
  <c r="P717" i="44"/>
  <c r="O717" i="44"/>
  <c r="N717" i="44"/>
  <c r="M717" i="44"/>
  <c r="L717" i="44"/>
  <c r="K717" i="44"/>
  <c r="J717" i="44"/>
  <c r="I717" i="44"/>
  <c r="H717" i="44"/>
  <c r="G717" i="44"/>
  <c r="E717" i="44"/>
  <c r="T715" i="44"/>
  <c r="T714" i="44"/>
  <c r="V714" i="44" s="1"/>
  <c r="T713" i="44"/>
  <c r="T712" i="44"/>
  <c r="T710" i="44"/>
  <c r="T708" i="44"/>
  <c r="V708" i="44" s="1"/>
  <c r="T705" i="44"/>
  <c r="T702" i="44"/>
  <c r="T700" i="44"/>
  <c r="V700" i="44" s="1"/>
  <c r="U694" i="44"/>
  <c r="S694" i="44"/>
  <c r="R694" i="44"/>
  <c r="Q694" i="44"/>
  <c r="P694" i="44"/>
  <c r="O694" i="44"/>
  <c r="N694" i="44"/>
  <c r="M694" i="44"/>
  <c r="L694" i="44"/>
  <c r="K694" i="44"/>
  <c r="J694" i="44"/>
  <c r="I694" i="44"/>
  <c r="H694" i="44"/>
  <c r="G694" i="44"/>
  <c r="F694" i="44"/>
  <c r="E694" i="44"/>
  <c r="U693" i="44"/>
  <c r="S693" i="44"/>
  <c r="R693" i="44"/>
  <c r="Q693" i="44"/>
  <c r="P693" i="44"/>
  <c r="O693" i="44"/>
  <c r="N693" i="44"/>
  <c r="M693" i="44"/>
  <c r="L693" i="44"/>
  <c r="K693" i="44"/>
  <c r="J693" i="44"/>
  <c r="I693" i="44"/>
  <c r="H693" i="44"/>
  <c r="G693" i="44"/>
  <c r="E693" i="44"/>
  <c r="U692" i="44"/>
  <c r="S692" i="44"/>
  <c r="R692" i="44"/>
  <c r="Q692" i="44"/>
  <c r="P692" i="44"/>
  <c r="O692" i="44"/>
  <c r="N692" i="44"/>
  <c r="M692" i="44"/>
  <c r="L692" i="44"/>
  <c r="K692" i="44"/>
  <c r="J692" i="44"/>
  <c r="I692" i="44"/>
  <c r="H692" i="44"/>
  <c r="G692" i="44"/>
  <c r="E692" i="44"/>
  <c r="T689" i="44"/>
  <c r="V689" i="44" s="1"/>
  <c r="U685" i="44"/>
  <c r="U686" i="44" s="1"/>
  <c r="S685" i="44"/>
  <c r="S686" i="44" s="1"/>
  <c r="R685" i="44"/>
  <c r="R686" i="44" s="1"/>
  <c r="Q685" i="44"/>
  <c r="Q686" i="44" s="1"/>
  <c r="P685" i="44"/>
  <c r="P686" i="44" s="1"/>
  <c r="O685" i="44"/>
  <c r="O686" i="44" s="1"/>
  <c r="N685" i="44"/>
  <c r="N686" i="44" s="1"/>
  <c r="M685" i="44"/>
  <c r="M686" i="44" s="1"/>
  <c r="L685" i="44"/>
  <c r="L686" i="44" s="1"/>
  <c r="K685" i="44"/>
  <c r="K686" i="44" s="1"/>
  <c r="J685" i="44"/>
  <c r="J686" i="44" s="1"/>
  <c r="I685" i="44"/>
  <c r="I686" i="44" s="1"/>
  <c r="H685" i="44"/>
  <c r="H686" i="44" s="1"/>
  <c r="G685" i="44"/>
  <c r="G686" i="44" s="1"/>
  <c r="F685" i="44"/>
  <c r="F686" i="44" s="1"/>
  <c r="E686" i="44"/>
  <c r="U683" i="44"/>
  <c r="S683" i="44"/>
  <c r="R683" i="44"/>
  <c r="Q683" i="44"/>
  <c r="P683" i="44"/>
  <c r="O683" i="44"/>
  <c r="N683" i="44"/>
  <c r="M683" i="44"/>
  <c r="L683" i="44"/>
  <c r="K683" i="44"/>
  <c r="J683" i="44"/>
  <c r="I683" i="44"/>
  <c r="H683" i="44"/>
  <c r="G683" i="44"/>
  <c r="F683" i="44"/>
  <c r="E683" i="44"/>
  <c r="T682" i="44"/>
  <c r="V682" i="44" s="1"/>
  <c r="T681" i="44"/>
  <c r="T680" i="44"/>
  <c r="V680" i="44" s="1"/>
  <c r="T679" i="44"/>
  <c r="U675" i="44"/>
  <c r="S675" i="44"/>
  <c r="R675" i="44"/>
  <c r="Q675" i="44"/>
  <c r="P675" i="44"/>
  <c r="O675" i="44"/>
  <c r="N675" i="44"/>
  <c r="M675" i="44"/>
  <c r="L675" i="44"/>
  <c r="K675" i="44"/>
  <c r="J675" i="44"/>
  <c r="I675" i="44"/>
  <c r="H675" i="44"/>
  <c r="G675" i="44"/>
  <c r="E675" i="44"/>
  <c r="U674" i="44"/>
  <c r="S674" i="44"/>
  <c r="R674" i="44"/>
  <c r="Q674" i="44"/>
  <c r="P674" i="44"/>
  <c r="O674" i="44"/>
  <c r="N674" i="44"/>
  <c r="M674" i="44"/>
  <c r="L674" i="44"/>
  <c r="K674" i="44"/>
  <c r="J674" i="44"/>
  <c r="I674" i="44"/>
  <c r="H674" i="44"/>
  <c r="G674" i="44"/>
  <c r="E674" i="44"/>
  <c r="U673" i="44"/>
  <c r="S673" i="44"/>
  <c r="R673" i="44"/>
  <c r="Q673" i="44"/>
  <c r="P673" i="44"/>
  <c r="O673" i="44"/>
  <c r="N673" i="44"/>
  <c r="M673" i="44"/>
  <c r="L673" i="44"/>
  <c r="K673" i="44"/>
  <c r="J673" i="44"/>
  <c r="I673" i="44"/>
  <c r="H673" i="44"/>
  <c r="G673" i="44"/>
  <c r="E673" i="44"/>
  <c r="T671" i="44"/>
  <c r="T669" i="44"/>
  <c r="T668" i="44"/>
  <c r="T667" i="44"/>
  <c r="V667" i="44" s="1"/>
  <c r="T664" i="44"/>
  <c r="V664" i="44" s="1"/>
  <c r="T663" i="44"/>
  <c r="V663" i="44" s="1"/>
  <c r="U659" i="44"/>
  <c r="S659" i="44"/>
  <c r="R659" i="44"/>
  <c r="Q659" i="44"/>
  <c r="P659" i="44"/>
  <c r="O659" i="44"/>
  <c r="N659" i="44"/>
  <c r="M659" i="44"/>
  <c r="L659" i="44"/>
  <c r="K659" i="44"/>
  <c r="J659" i="44"/>
  <c r="I659" i="44"/>
  <c r="H659" i="44"/>
  <c r="G659" i="44"/>
  <c r="U658" i="44"/>
  <c r="S658" i="44"/>
  <c r="R658" i="44"/>
  <c r="Q658" i="44"/>
  <c r="P658" i="44"/>
  <c r="O658" i="44"/>
  <c r="N658" i="44"/>
  <c r="M658" i="44"/>
  <c r="L658" i="44"/>
  <c r="K658" i="44"/>
  <c r="J658" i="44"/>
  <c r="I658" i="44"/>
  <c r="H658" i="44"/>
  <c r="G658" i="44"/>
  <c r="U657" i="44"/>
  <c r="S657" i="44"/>
  <c r="R657" i="44"/>
  <c r="Q657" i="44"/>
  <c r="P657" i="44"/>
  <c r="O657" i="44"/>
  <c r="N657" i="44"/>
  <c r="M657" i="44"/>
  <c r="L657" i="44"/>
  <c r="K657" i="44"/>
  <c r="J657" i="44"/>
  <c r="I657" i="44"/>
  <c r="H657" i="44"/>
  <c r="G657" i="44"/>
  <c r="E657" i="44"/>
  <c r="U650" i="44"/>
  <c r="S650" i="44"/>
  <c r="R650" i="44"/>
  <c r="Q650" i="44"/>
  <c r="P650" i="44"/>
  <c r="O650" i="44"/>
  <c r="N650" i="44"/>
  <c r="M650" i="44"/>
  <c r="L650" i="44"/>
  <c r="K650" i="44"/>
  <c r="J650" i="44"/>
  <c r="I650" i="44"/>
  <c r="H650" i="44"/>
  <c r="G650" i="44"/>
  <c r="E650" i="44"/>
  <c r="U649" i="44"/>
  <c r="S649" i="44"/>
  <c r="R649" i="44"/>
  <c r="Q649" i="44"/>
  <c r="P649" i="44"/>
  <c r="O649" i="44"/>
  <c r="N649" i="44"/>
  <c r="M649" i="44"/>
  <c r="L649" i="44"/>
  <c r="K649" i="44"/>
  <c r="J649" i="44"/>
  <c r="I649" i="44"/>
  <c r="H649" i="44"/>
  <c r="G649" i="44"/>
  <c r="E649" i="44"/>
  <c r="U648" i="44"/>
  <c r="S648" i="44"/>
  <c r="R648" i="44"/>
  <c r="Q648" i="44"/>
  <c r="P648" i="44"/>
  <c r="O648" i="44"/>
  <c r="N648" i="44"/>
  <c r="M648" i="44"/>
  <c r="L648" i="44"/>
  <c r="K648" i="44"/>
  <c r="J648" i="44"/>
  <c r="I648" i="44"/>
  <c r="H648" i="44"/>
  <c r="G648" i="44"/>
  <c r="E648" i="44"/>
  <c r="U642" i="44"/>
  <c r="S642" i="44"/>
  <c r="R642" i="44"/>
  <c r="Q642" i="44"/>
  <c r="Q643" i="44" s="1"/>
  <c r="P642" i="44"/>
  <c r="O642" i="44"/>
  <c r="O643" i="44" s="1"/>
  <c r="N642" i="44"/>
  <c r="M642" i="44"/>
  <c r="M643" i="44" s="1"/>
  <c r="L642" i="44"/>
  <c r="K642" i="44"/>
  <c r="K643" i="44" s="1"/>
  <c r="J642" i="44"/>
  <c r="J643" i="44" s="1"/>
  <c r="I642" i="44"/>
  <c r="H642" i="44"/>
  <c r="H643" i="44" s="1"/>
  <c r="G642" i="44"/>
  <c r="F642" i="44"/>
  <c r="E642" i="44"/>
  <c r="U640" i="44"/>
  <c r="S640" i="44"/>
  <c r="R640" i="44"/>
  <c r="Q640" i="44"/>
  <c r="P640" i="44"/>
  <c r="O640" i="44"/>
  <c r="N640" i="44"/>
  <c r="M640" i="44"/>
  <c r="L640" i="44"/>
  <c r="K640" i="44"/>
  <c r="J640" i="44"/>
  <c r="I640" i="44"/>
  <c r="H640" i="44"/>
  <c r="G640" i="44"/>
  <c r="F640" i="44"/>
  <c r="E640" i="44"/>
  <c r="T639" i="44"/>
  <c r="T638" i="44"/>
  <c r="U625" i="44"/>
  <c r="S625" i="44"/>
  <c r="R625" i="44"/>
  <c r="Q625" i="44"/>
  <c r="P625" i="44"/>
  <c r="O625" i="44"/>
  <c r="N625" i="44"/>
  <c r="M625" i="44"/>
  <c r="L625" i="44"/>
  <c r="K625" i="44"/>
  <c r="J625" i="44"/>
  <c r="I625" i="44"/>
  <c r="H625" i="44"/>
  <c r="G625" i="44"/>
  <c r="U624" i="44"/>
  <c r="S624" i="44"/>
  <c r="R624" i="44"/>
  <c r="Q624" i="44"/>
  <c r="P624" i="44"/>
  <c r="O624" i="44"/>
  <c r="N624" i="44"/>
  <c r="M624" i="44"/>
  <c r="L624" i="44"/>
  <c r="K624" i="44"/>
  <c r="J624" i="44"/>
  <c r="I624" i="44"/>
  <c r="H624" i="44"/>
  <c r="G624" i="44"/>
  <c r="U623" i="44"/>
  <c r="S623" i="44"/>
  <c r="R623" i="44"/>
  <c r="Q623" i="44"/>
  <c r="P623" i="44"/>
  <c r="O623" i="44"/>
  <c r="N623" i="44"/>
  <c r="M623" i="44"/>
  <c r="L623" i="44"/>
  <c r="K623" i="44"/>
  <c r="J623" i="44"/>
  <c r="I623" i="44"/>
  <c r="H623" i="44"/>
  <c r="G623" i="44"/>
  <c r="T616" i="44"/>
  <c r="V616" i="44" s="1"/>
  <c r="T615" i="44"/>
  <c r="T1022" i="44" s="1"/>
  <c r="T1024" i="44" s="1"/>
  <c r="T613" i="44"/>
  <c r="V613" i="44" s="1"/>
  <c r="T610" i="44"/>
  <c r="V610" i="44" s="1"/>
  <c r="T596" i="44"/>
  <c r="V596" i="44" s="1"/>
  <c r="U592" i="44"/>
  <c r="S592" i="44"/>
  <c r="R592" i="44"/>
  <c r="Q592" i="44"/>
  <c r="P592" i="44"/>
  <c r="O592" i="44"/>
  <c r="N592" i="44"/>
  <c r="M592" i="44"/>
  <c r="L592" i="44"/>
  <c r="K592" i="44"/>
  <c r="J592" i="44"/>
  <c r="I592" i="44"/>
  <c r="H592" i="44"/>
  <c r="G592" i="44"/>
  <c r="E592" i="44"/>
  <c r="U591" i="44"/>
  <c r="S591" i="44"/>
  <c r="R591" i="44"/>
  <c r="Q591" i="44"/>
  <c r="P591" i="44"/>
  <c r="O591" i="44"/>
  <c r="N591" i="44"/>
  <c r="M591" i="44"/>
  <c r="L591" i="44"/>
  <c r="K591" i="44"/>
  <c r="J591" i="44"/>
  <c r="I591" i="44"/>
  <c r="H591" i="44"/>
  <c r="G591" i="44"/>
  <c r="E591" i="44"/>
  <c r="U590" i="44"/>
  <c r="S590" i="44"/>
  <c r="R590" i="44"/>
  <c r="Q590" i="44"/>
  <c r="P590" i="44"/>
  <c r="O590" i="44"/>
  <c r="N590" i="44"/>
  <c r="M590" i="44"/>
  <c r="L590" i="44"/>
  <c r="K590" i="44"/>
  <c r="J590" i="44"/>
  <c r="I590" i="44"/>
  <c r="H590" i="44"/>
  <c r="G590" i="44"/>
  <c r="E590" i="44"/>
  <c r="U581" i="44"/>
  <c r="S581" i="44"/>
  <c r="R581" i="44"/>
  <c r="Q581" i="44"/>
  <c r="P581" i="44"/>
  <c r="O581" i="44"/>
  <c r="N581" i="44"/>
  <c r="M581" i="44"/>
  <c r="L581" i="44"/>
  <c r="K581" i="44"/>
  <c r="J581" i="44"/>
  <c r="I581" i="44"/>
  <c r="H581" i="44"/>
  <c r="G581" i="44"/>
  <c r="F581" i="44"/>
  <c r="E581" i="44"/>
  <c r="U580" i="44"/>
  <c r="S580" i="44"/>
  <c r="R580" i="44"/>
  <c r="Q580" i="44"/>
  <c r="P580" i="44"/>
  <c r="O580" i="44"/>
  <c r="N580" i="44"/>
  <c r="M580" i="44"/>
  <c r="L580" i="44"/>
  <c r="K580" i="44"/>
  <c r="J580" i="44"/>
  <c r="I580" i="44"/>
  <c r="H580" i="44"/>
  <c r="G580" i="44"/>
  <c r="F580" i="44"/>
  <c r="E580" i="44"/>
  <c r="U579" i="44"/>
  <c r="S579" i="44"/>
  <c r="R579" i="44"/>
  <c r="Q579" i="44"/>
  <c r="P579" i="44"/>
  <c r="O579" i="44"/>
  <c r="N579" i="44"/>
  <c r="M579" i="44"/>
  <c r="L579" i="44"/>
  <c r="K579" i="44"/>
  <c r="J579" i="44"/>
  <c r="I579" i="44"/>
  <c r="H579" i="44"/>
  <c r="G579" i="44"/>
  <c r="F579" i="44"/>
  <c r="E579" i="44"/>
  <c r="T578" i="44"/>
  <c r="V578" i="44" s="1"/>
  <c r="T577" i="44"/>
  <c r="V577" i="44" s="1"/>
  <c r="T576" i="44"/>
  <c r="V576" i="44" s="1"/>
  <c r="T575" i="44"/>
  <c r="V575" i="44" s="1"/>
  <c r="T574" i="44"/>
  <c r="V574" i="44" s="1"/>
  <c r="T573" i="44"/>
  <c r="U570" i="44"/>
  <c r="S570" i="44"/>
  <c r="R570" i="44"/>
  <c r="Q570" i="44"/>
  <c r="P570" i="44"/>
  <c r="O570" i="44"/>
  <c r="N570" i="44"/>
  <c r="M570" i="44"/>
  <c r="L570" i="44"/>
  <c r="K570" i="44"/>
  <c r="J570" i="44"/>
  <c r="I570" i="44"/>
  <c r="H570" i="44"/>
  <c r="G570" i="44"/>
  <c r="F570" i="44"/>
  <c r="E570" i="44"/>
  <c r="U569" i="44"/>
  <c r="S569" i="44"/>
  <c r="R569" i="44"/>
  <c r="Q569" i="44"/>
  <c r="P569" i="44"/>
  <c r="O569" i="44"/>
  <c r="N569" i="44"/>
  <c r="M569" i="44"/>
  <c r="L569" i="44"/>
  <c r="K569" i="44"/>
  <c r="J569" i="44"/>
  <c r="I569" i="44"/>
  <c r="H569" i="44"/>
  <c r="G569" i="44"/>
  <c r="F569" i="44"/>
  <c r="E569" i="44"/>
  <c r="U568" i="44"/>
  <c r="S568" i="44"/>
  <c r="R568" i="44"/>
  <c r="Q568" i="44"/>
  <c r="P568" i="44"/>
  <c r="O568" i="44"/>
  <c r="N568" i="44"/>
  <c r="M568" i="44"/>
  <c r="L568" i="44"/>
  <c r="K568" i="44"/>
  <c r="J568" i="44"/>
  <c r="I568" i="44"/>
  <c r="H568" i="44"/>
  <c r="G568" i="44"/>
  <c r="F568" i="44"/>
  <c r="E568" i="44"/>
  <c r="T567" i="44"/>
  <c r="T1102" i="44" s="1"/>
  <c r="T1104" i="44" s="1"/>
  <c r="T566" i="44"/>
  <c r="V566" i="44" s="1"/>
  <c r="T565" i="44"/>
  <c r="V565" i="44" s="1"/>
  <c r="T564" i="44"/>
  <c r="T563" i="44"/>
  <c r="V563" i="44" s="1"/>
  <c r="T562" i="44"/>
  <c r="U558" i="44"/>
  <c r="S558" i="44"/>
  <c r="R558" i="44"/>
  <c r="Q558" i="44"/>
  <c r="P558" i="44"/>
  <c r="O558" i="44"/>
  <c r="N558" i="44"/>
  <c r="M558" i="44"/>
  <c r="L558" i="44"/>
  <c r="K558" i="44"/>
  <c r="J558" i="44"/>
  <c r="I558" i="44"/>
  <c r="H558" i="44"/>
  <c r="G558" i="44"/>
  <c r="E558" i="44"/>
  <c r="U557" i="44"/>
  <c r="S557" i="44"/>
  <c r="R557" i="44"/>
  <c r="Q557" i="44"/>
  <c r="P557" i="44"/>
  <c r="O557" i="44"/>
  <c r="N557" i="44"/>
  <c r="M557" i="44"/>
  <c r="L557" i="44"/>
  <c r="K557" i="44"/>
  <c r="J557" i="44"/>
  <c r="I557" i="44"/>
  <c r="H557" i="44"/>
  <c r="G557" i="44"/>
  <c r="E557" i="44"/>
  <c r="U556" i="44"/>
  <c r="S556" i="44"/>
  <c r="R556" i="44"/>
  <c r="Q556" i="44"/>
  <c r="P556" i="44"/>
  <c r="O556" i="44"/>
  <c r="N556" i="44"/>
  <c r="M556" i="44"/>
  <c r="L556" i="44"/>
  <c r="K556" i="44"/>
  <c r="J556" i="44"/>
  <c r="I556" i="44"/>
  <c r="H556" i="44"/>
  <c r="G556" i="44"/>
  <c r="E556" i="44"/>
  <c r="T555" i="44"/>
  <c r="V555" i="44" s="1"/>
  <c r="T554" i="44"/>
  <c r="V554" i="44" s="1"/>
  <c r="T552" i="44"/>
  <c r="V552" i="44" s="1"/>
  <c r="T548" i="44"/>
  <c r="V548" i="44" s="1"/>
  <c r="U543" i="44"/>
  <c r="S543" i="44"/>
  <c r="R543" i="44"/>
  <c r="Q543" i="44"/>
  <c r="P543" i="44"/>
  <c r="O543" i="44"/>
  <c r="N543" i="44"/>
  <c r="M543" i="44"/>
  <c r="L543" i="44"/>
  <c r="K543" i="44"/>
  <c r="J543" i="44"/>
  <c r="I543" i="44"/>
  <c r="H543" i="44"/>
  <c r="G543" i="44"/>
  <c r="E543" i="44"/>
  <c r="U542" i="44"/>
  <c r="S542" i="44"/>
  <c r="R542" i="44"/>
  <c r="Q542" i="44"/>
  <c r="P542" i="44"/>
  <c r="O542" i="44"/>
  <c r="N542" i="44"/>
  <c r="M542" i="44"/>
  <c r="L542" i="44"/>
  <c r="K542" i="44"/>
  <c r="J542" i="44"/>
  <c r="I542" i="44"/>
  <c r="H542" i="44"/>
  <c r="G542" i="44"/>
  <c r="E542" i="44"/>
  <c r="U541" i="44"/>
  <c r="S541" i="44"/>
  <c r="R541" i="44"/>
  <c r="Q541" i="44"/>
  <c r="P541" i="44"/>
  <c r="O541" i="44"/>
  <c r="N541" i="44"/>
  <c r="M541" i="44"/>
  <c r="L541" i="44"/>
  <c r="K541" i="44"/>
  <c r="J541" i="44"/>
  <c r="I541" i="44"/>
  <c r="H541" i="44"/>
  <c r="G541" i="44"/>
  <c r="E541" i="44"/>
  <c r="T540" i="44"/>
  <c r="V540" i="44" s="1"/>
  <c r="T538" i="44"/>
  <c r="V538" i="44" s="1"/>
  <c r="T531" i="44"/>
  <c r="T527" i="44"/>
  <c r="V527" i="44" s="1"/>
  <c r="U521" i="44"/>
  <c r="S521" i="44"/>
  <c r="R521" i="44"/>
  <c r="Q521" i="44"/>
  <c r="P521" i="44"/>
  <c r="O521" i="44"/>
  <c r="N521" i="44"/>
  <c r="M521" i="44"/>
  <c r="L521" i="44"/>
  <c r="K521" i="44"/>
  <c r="J521" i="44"/>
  <c r="I521" i="44"/>
  <c r="H521" i="44"/>
  <c r="G521" i="44"/>
  <c r="E521" i="44"/>
  <c r="U520" i="44"/>
  <c r="S520" i="44"/>
  <c r="R520" i="44"/>
  <c r="Q520" i="44"/>
  <c r="P520" i="44"/>
  <c r="O520" i="44"/>
  <c r="N520" i="44"/>
  <c r="M520" i="44"/>
  <c r="L520" i="44"/>
  <c r="K520" i="44"/>
  <c r="J520" i="44"/>
  <c r="I520" i="44"/>
  <c r="H520" i="44"/>
  <c r="G520" i="44"/>
  <c r="E520" i="44"/>
  <c r="U519" i="44"/>
  <c r="S519" i="44"/>
  <c r="R519" i="44"/>
  <c r="Q519" i="44"/>
  <c r="P519" i="44"/>
  <c r="O519" i="44"/>
  <c r="N519" i="44"/>
  <c r="M519" i="44"/>
  <c r="L519" i="44"/>
  <c r="K519" i="44"/>
  <c r="J519" i="44"/>
  <c r="I519" i="44"/>
  <c r="H519" i="44"/>
  <c r="G519" i="44"/>
  <c r="E519" i="44"/>
  <c r="U513" i="44"/>
  <c r="S513" i="44"/>
  <c r="R513" i="44"/>
  <c r="Q513" i="44"/>
  <c r="P513" i="44"/>
  <c r="O513" i="44"/>
  <c r="N513" i="44"/>
  <c r="M513" i="44"/>
  <c r="L513" i="44"/>
  <c r="K513" i="44"/>
  <c r="J513" i="44"/>
  <c r="I513" i="44"/>
  <c r="H513" i="44"/>
  <c r="G513" i="44"/>
  <c r="F513" i="44"/>
  <c r="E513" i="44"/>
  <c r="U512" i="44"/>
  <c r="S512" i="44"/>
  <c r="R512" i="44"/>
  <c r="Q512" i="44"/>
  <c r="P512" i="44"/>
  <c r="O512" i="44"/>
  <c r="N512" i="44"/>
  <c r="M512" i="44"/>
  <c r="L512" i="44"/>
  <c r="K512" i="44"/>
  <c r="J512" i="44"/>
  <c r="I512" i="44"/>
  <c r="H512" i="44"/>
  <c r="G512" i="44"/>
  <c r="F512" i="44"/>
  <c r="E512" i="44"/>
  <c r="U511" i="44"/>
  <c r="S511" i="44"/>
  <c r="R511" i="44"/>
  <c r="Q511" i="44"/>
  <c r="P511" i="44"/>
  <c r="O511" i="44"/>
  <c r="N511" i="44"/>
  <c r="M511" i="44"/>
  <c r="L511" i="44"/>
  <c r="K511" i="44"/>
  <c r="J511" i="44"/>
  <c r="I511" i="44"/>
  <c r="H511" i="44"/>
  <c r="G511" i="44"/>
  <c r="F511" i="44"/>
  <c r="E511" i="44"/>
  <c r="T510" i="44"/>
  <c r="V510" i="44" s="1"/>
  <c r="V512" i="44" s="1"/>
  <c r="T509" i="44"/>
  <c r="T513" i="44" s="1"/>
  <c r="U505" i="44"/>
  <c r="U506" i="44" s="1"/>
  <c r="S505" i="44"/>
  <c r="S506" i="44" s="1"/>
  <c r="R505" i="44"/>
  <c r="R506" i="44" s="1"/>
  <c r="Q505" i="44"/>
  <c r="Q506" i="44" s="1"/>
  <c r="P505" i="44"/>
  <c r="P506" i="44" s="1"/>
  <c r="O505" i="44"/>
  <c r="O506" i="44" s="1"/>
  <c r="N505" i="44"/>
  <c r="N506" i="44" s="1"/>
  <c r="M505" i="44"/>
  <c r="M506" i="44" s="1"/>
  <c r="L505" i="44"/>
  <c r="L506" i="44" s="1"/>
  <c r="K505" i="44"/>
  <c r="K506" i="44" s="1"/>
  <c r="J505" i="44"/>
  <c r="J506" i="44" s="1"/>
  <c r="I505" i="44"/>
  <c r="I506" i="44" s="1"/>
  <c r="H505" i="44"/>
  <c r="H506" i="44" s="1"/>
  <c r="G505" i="44"/>
  <c r="G506" i="44" s="1"/>
  <c r="E505" i="44"/>
  <c r="E506" i="44" s="1"/>
  <c r="U503" i="44"/>
  <c r="S503" i="44"/>
  <c r="R503" i="44"/>
  <c r="Q503" i="44"/>
  <c r="P503" i="44"/>
  <c r="O503" i="44"/>
  <c r="N503" i="44"/>
  <c r="M503" i="44"/>
  <c r="L503" i="44"/>
  <c r="K503" i="44"/>
  <c r="J503" i="44"/>
  <c r="I503" i="44"/>
  <c r="H503" i="44"/>
  <c r="G503" i="44"/>
  <c r="E503" i="44"/>
  <c r="T500" i="44"/>
  <c r="U496" i="44"/>
  <c r="S496" i="44"/>
  <c r="R496" i="44"/>
  <c r="Q496" i="44"/>
  <c r="P496" i="44"/>
  <c r="O496" i="44"/>
  <c r="N496" i="44"/>
  <c r="M496" i="44"/>
  <c r="L496" i="44"/>
  <c r="K496" i="44"/>
  <c r="J496" i="44"/>
  <c r="I496" i="44"/>
  <c r="H496" i="44"/>
  <c r="G496" i="44"/>
  <c r="E496" i="44"/>
  <c r="U495" i="44"/>
  <c r="S495" i="44"/>
  <c r="R495" i="44"/>
  <c r="Q495" i="44"/>
  <c r="P495" i="44"/>
  <c r="O495" i="44"/>
  <c r="N495" i="44"/>
  <c r="M495" i="44"/>
  <c r="L495" i="44"/>
  <c r="K495" i="44"/>
  <c r="J495" i="44"/>
  <c r="I495" i="44"/>
  <c r="H495" i="44"/>
  <c r="G495" i="44"/>
  <c r="E495" i="44"/>
  <c r="U494" i="44"/>
  <c r="S494" i="44"/>
  <c r="R494" i="44"/>
  <c r="Q494" i="44"/>
  <c r="P494" i="44"/>
  <c r="O494" i="44"/>
  <c r="N494" i="44"/>
  <c r="M494" i="44"/>
  <c r="L494" i="44"/>
  <c r="K494" i="44"/>
  <c r="J494" i="44"/>
  <c r="I494" i="44"/>
  <c r="H494" i="44"/>
  <c r="G494" i="44"/>
  <c r="E494" i="44"/>
  <c r="T487" i="44"/>
  <c r="V487" i="44" s="1"/>
  <c r="T485" i="44"/>
  <c r="V485" i="44" s="1"/>
  <c r="U481" i="44"/>
  <c r="U482" i="44" s="1"/>
  <c r="S481" i="44"/>
  <c r="S482" i="44" s="1"/>
  <c r="R481" i="44"/>
  <c r="R482" i="44" s="1"/>
  <c r="Q481" i="44"/>
  <c r="Q482" i="44" s="1"/>
  <c r="P481" i="44"/>
  <c r="P482" i="44" s="1"/>
  <c r="O481" i="44"/>
  <c r="O482" i="44" s="1"/>
  <c r="N481" i="44"/>
  <c r="N482" i="44" s="1"/>
  <c r="M481" i="44"/>
  <c r="M482" i="44" s="1"/>
  <c r="L481" i="44"/>
  <c r="L482" i="44" s="1"/>
  <c r="K481" i="44"/>
  <c r="K482" i="44" s="1"/>
  <c r="J481" i="44"/>
  <c r="J482" i="44" s="1"/>
  <c r="I481" i="44"/>
  <c r="I482" i="44" s="1"/>
  <c r="H481" i="44"/>
  <c r="H482" i="44" s="1"/>
  <c r="G481" i="44"/>
  <c r="G482" i="44" s="1"/>
  <c r="F481" i="44"/>
  <c r="F482" i="44" s="1"/>
  <c r="U479" i="44"/>
  <c r="S479" i="44"/>
  <c r="R479" i="44"/>
  <c r="Q479" i="44"/>
  <c r="P479" i="44"/>
  <c r="O479" i="44"/>
  <c r="N479" i="44"/>
  <c r="M479" i="44"/>
  <c r="L479" i="44"/>
  <c r="K479" i="44"/>
  <c r="J479" i="44"/>
  <c r="I479" i="44"/>
  <c r="H479" i="44"/>
  <c r="G479" i="44"/>
  <c r="F479" i="44"/>
  <c r="E479" i="44"/>
  <c r="E482" i="44" s="1"/>
  <c r="T478" i="44"/>
  <c r="V478" i="44" s="1"/>
  <c r="T477" i="44"/>
  <c r="U473" i="44"/>
  <c r="U474" i="44" s="1"/>
  <c r="S473" i="44"/>
  <c r="S474" i="44" s="1"/>
  <c r="R473" i="44"/>
  <c r="R474" i="44" s="1"/>
  <c r="Q473" i="44"/>
  <c r="Q474" i="44" s="1"/>
  <c r="P473" i="44"/>
  <c r="P474" i="44" s="1"/>
  <c r="O473" i="44"/>
  <c r="O474" i="44" s="1"/>
  <c r="N473" i="44"/>
  <c r="N474" i="44" s="1"/>
  <c r="M473" i="44"/>
  <c r="M474" i="44" s="1"/>
  <c r="L473" i="44"/>
  <c r="L474" i="44" s="1"/>
  <c r="K473" i="44"/>
  <c r="K474" i="44" s="1"/>
  <c r="J473" i="44"/>
  <c r="J474" i="44" s="1"/>
  <c r="I473" i="44"/>
  <c r="I474" i="44" s="1"/>
  <c r="H473" i="44"/>
  <c r="H474" i="44" s="1"/>
  <c r="G473" i="44"/>
  <c r="G474" i="44" s="1"/>
  <c r="E473" i="44"/>
  <c r="E474" i="44" s="1"/>
  <c r="U471" i="44"/>
  <c r="S471" i="44"/>
  <c r="R471" i="44"/>
  <c r="Q471" i="44"/>
  <c r="P471" i="44"/>
  <c r="O471" i="44"/>
  <c r="N471" i="44"/>
  <c r="M471" i="44"/>
  <c r="L471" i="44"/>
  <c r="K471" i="44"/>
  <c r="J471" i="44"/>
  <c r="I471" i="44"/>
  <c r="H471" i="44"/>
  <c r="G471" i="44"/>
  <c r="E471" i="44"/>
  <c r="U465" i="44"/>
  <c r="U467" i="44" s="1"/>
  <c r="S465" i="44"/>
  <c r="S467" i="44" s="1"/>
  <c r="R465" i="44"/>
  <c r="R467" i="44" s="1"/>
  <c r="Q465" i="44"/>
  <c r="Q467" i="44" s="1"/>
  <c r="P465" i="44"/>
  <c r="P467" i="44" s="1"/>
  <c r="O465" i="44"/>
  <c r="O467" i="44" s="1"/>
  <c r="N465" i="44"/>
  <c r="N467" i="44" s="1"/>
  <c r="M465" i="44"/>
  <c r="M467" i="44" s="1"/>
  <c r="L465" i="44"/>
  <c r="L467" i="44" s="1"/>
  <c r="K465" i="44"/>
  <c r="K467" i="44" s="1"/>
  <c r="J465" i="44"/>
  <c r="J467" i="44" s="1"/>
  <c r="I465" i="44"/>
  <c r="I467" i="44" s="1"/>
  <c r="H465" i="44"/>
  <c r="H467" i="44" s="1"/>
  <c r="G465" i="44"/>
  <c r="G467" i="44" s="1"/>
  <c r="E465" i="44"/>
  <c r="E467" i="44" s="1"/>
  <c r="U464" i="44"/>
  <c r="S464" i="44"/>
  <c r="R464" i="44"/>
  <c r="Q464" i="44"/>
  <c r="P464" i="44"/>
  <c r="O464" i="44"/>
  <c r="N464" i="44"/>
  <c r="M464" i="44"/>
  <c r="L464" i="44"/>
  <c r="K464" i="44"/>
  <c r="J464" i="44"/>
  <c r="I464" i="44"/>
  <c r="H464" i="44"/>
  <c r="G464" i="44"/>
  <c r="E464" i="44"/>
  <c r="U457" i="44"/>
  <c r="S457" i="44"/>
  <c r="R457" i="44"/>
  <c r="Q457" i="44"/>
  <c r="P457" i="44"/>
  <c r="O457" i="44"/>
  <c r="N457" i="44"/>
  <c r="M457" i="44"/>
  <c r="L457" i="44"/>
  <c r="K457" i="44"/>
  <c r="J457" i="44"/>
  <c r="I457" i="44"/>
  <c r="H457" i="44"/>
  <c r="G457" i="44"/>
  <c r="E457" i="44"/>
  <c r="U456" i="44"/>
  <c r="S456" i="44"/>
  <c r="R456" i="44"/>
  <c r="Q456" i="44"/>
  <c r="P456" i="44"/>
  <c r="O456" i="44"/>
  <c r="N456" i="44"/>
  <c r="M456" i="44"/>
  <c r="L456" i="44"/>
  <c r="K456" i="44"/>
  <c r="J456" i="44"/>
  <c r="I456" i="44"/>
  <c r="H456" i="44"/>
  <c r="G456" i="44"/>
  <c r="E456" i="44"/>
  <c r="U455" i="44"/>
  <c r="S455" i="44"/>
  <c r="R455" i="44"/>
  <c r="Q455" i="44"/>
  <c r="P455" i="44"/>
  <c r="O455" i="44"/>
  <c r="N455" i="44"/>
  <c r="M455" i="44"/>
  <c r="L455" i="44"/>
  <c r="K455" i="44"/>
  <c r="J455" i="44"/>
  <c r="I455" i="44"/>
  <c r="H455" i="44"/>
  <c r="G455" i="44"/>
  <c r="E455" i="44"/>
  <c r="U446" i="44"/>
  <c r="U447" i="44" s="1"/>
  <c r="S446" i="44"/>
  <c r="S447" i="44" s="1"/>
  <c r="R446" i="44"/>
  <c r="R447" i="44" s="1"/>
  <c r="Q446" i="44"/>
  <c r="Q447" i="44" s="1"/>
  <c r="P446" i="44"/>
  <c r="P447" i="44" s="1"/>
  <c r="O446" i="44"/>
  <c r="O447" i="44" s="1"/>
  <c r="N446" i="44"/>
  <c r="N447" i="44" s="1"/>
  <c r="M446" i="44"/>
  <c r="M447" i="44" s="1"/>
  <c r="L446" i="44"/>
  <c r="L447" i="44" s="1"/>
  <c r="K446" i="44"/>
  <c r="K447" i="44" s="1"/>
  <c r="J446" i="44"/>
  <c r="J447" i="44" s="1"/>
  <c r="I446" i="44"/>
  <c r="I447" i="44" s="1"/>
  <c r="H446" i="44"/>
  <c r="H447" i="44" s="1"/>
  <c r="G446" i="44"/>
  <c r="G447" i="44" s="1"/>
  <c r="E446" i="44"/>
  <c r="E447" i="44" s="1"/>
  <c r="U444" i="44"/>
  <c r="S444" i="44"/>
  <c r="R444" i="44"/>
  <c r="Q444" i="44"/>
  <c r="P444" i="44"/>
  <c r="O444" i="44"/>
  <c r="N444" i="44"/>
  <c r="M444" i="44"/>
  <c r="L444" i="44"/>
  <c r="K444" i="44"/>
  <c r="J444" i="44"/>
  <c r="I444" i="44"/>
  <c r="H444" i="44"/>
  <c r="G444" i="44"/>
  <c r="E444" i="44"/>
  <c r="U438" i="44"/>
  <c r="S438" i="44"/>
  <c r="R438" i="44"/>
  <c r="Q438" i="44"/>
  <c r="P438" i="44"/>
  <c r="O438" i="44"/>
  <c r="N438" i="44"/>
  <c r="M438" i="44"/>
  <c r="L438" i="44"/>
  <c r="K438" i="44"/>
  <c r="J438" i="44"/>
  <c r="I438" i="44"/>
  <c r="H438" i="44"/>
  <c r="G438" i="44"/>
  <c r="F438" i="44"/>
  <c r="E438" i="44"/>
  <c r="U437" i="44"/>
  <c r="S437" i="44"/>
  <c r="R437" i="44"/>
  <c r="Q437" i="44"/>
  <c r="P437" i="44"/>
  <c r="O437" i="44"/>
  <c r="N437" i="44"/>
  <c r="M437" i="44"/>
  <c r="L437" i="44"/>
  <c r="K437" i="44"/>
  <c r="J437" i="44"/>
  <c r="I437" i="44"/>
  <c r="H437" i="44"/>
  <c r="G437" i="44"/>
  <c r="F437" i="44"/>
  <c r="E437" i="44"/>
  <c r="U436" i="44"/>
  <c r="S436" i="44"/>
  <c r="R436" i="44"/>
  <c r="Q436" i="44"/>
  <c r="P436" i="44"/>
  <c r="O436" i="44"/>
  <c r="N436" i="44"/>
  <c r="M436" i="44"/>
  <c r="L436" i="44"/>
  <c r="K436" i="44"/>
  <c r="J436" i="44"/>
  <c r="I436" i="44"/>
  <c r="H436" i="44"/>
  <c r="G436" i="44"/>
  <c r="F436" i="44"/>
  <c r="E436" i="44"/>
  <c r="T435" i="44"/>
  <c r="T437" i="44" s="1"/>
  <c r="T434" i="44"/>
  <c r="V434" i="44" s="1"/>
  <c r="T433" i="44"/>
  <c r="V433" i="44" s="1"/>
  <c r="U429" i="44"/>
  <c r="U430" i="44" s="1"/>
  <c r="S429" i="44"/>
  <c r="S430" i="44" s="1"/>
  <c r="R429" i="44"/>
  <c r="R430" i="44" s="1"/>
  <c r="Q429" i="44"/>
  <c r="Q430" i="44" s="1"/>
  <c r="P429" i="44"/>
  <c r="P430" i="44" s="1"/>
  <c r="O429" i="44"/>
  <c r="O430" i="44" s="1"/>
  <c r="N429" i="44"/>
  <c r="N430" i="44" s="1"/>
  <c r="M429" i="44"/>
  <c r="M430" i="44" s="1"/>
  <c r="L429" i="44"/>
  <c r="L430" i="44" s="1"/>
  <c r="K429" i="44"/>
  <c r="K430" i="44" s="1"/>
  <c r="J429" i="44"/>
  <c r="J430" i="44" s="1"/>
  <c r="I429" i="44"/>
  <c r="I430" i="44" s="1"/>
  <c r="H429" i="44"/>
  <c r="H430" i="44" s="1"/>
  <c r="G429" i="44"/>
  <c r="G430" i="44" s="1"/>
  <c r="U427" i="44"/>
  <c r="S427" i="44"/>
  <c r="R427" i="44"/>
  <c r="Q427" i="44"/>
  <c r="P427" i="44"/>
  <c r="O427" i="44"/>
  <c r="N427" i="44"/>
  <c r="M427" i="44"/>
  <c r="L427" i="44"/>
  <c r="K427" i="44"/>
  <c r="J427" i="44"/>
  <c r="I427" i="44"/>
  <c r="H427" i="44"/>
  <c r="G427" i="44"/>
  <c r="U417" i="44"/>
  <c r="S417" i="44"/>
  <c r="R417" i="44"/>
  <c r="Q417" i="44"/>
  <c r="P417" i="44"/>
  <c r="O417" i="44"/>
  <c r="N417" i="44"/>
  <c r="M417" i="44"/>
  <c r="L417" i="44"/>
  <c r="K417" i="44"/>
  <c r="J417" i="44"/>
  <c r="I417" i="44"/>
  <c r="H417" i="44"/>
  <c r="G417" i="44"/>
  <c r="E417" i="44"/>
  <c r="U416" i="44"/>
  <c r="S416" i="44"/>
  <c r="R416" i="44"/>
  <c r="Q416" i="44"/>
  <c r="P416" i="44"/>
  <c r="O416" i="44"/>
  <c r="N416" i="44"/>
  <c r="M416" i="44"/>
  <c r="L416" i="44"/>
  <c r="K416" i="44"/>
  <c r="J416" i="44"/>
  <c r="I416" i="44"/>
  <c r="H416" i="44"/>
  <c r="G416" i="44"/>
  <c r="E416" i="44"/>
  <c r="U415" i="44"/>
  <c r="S415" i="44"/>
  <c r="R415" i="44"/>
  <c r="Q415" i="44"/>
  <c r="P415" i="44"/>
  <c r="O415" i="44"/>
  <c r="N415" i="44"/>
  <c r="M415" i="44"/>
  <c r="L415" i="44"/>
  <c r="K415" i="44"/>
  <c r="J415" i="44"/>
  <c r="I415" i="44"/>
  <c r="H415" i="44"/>
  <c r="G415" i="44"/>
  <c r="E415" i="44"/>
  <c r="T414" i="44"/>
  <c r="V414" i="44" s="1"/>
  <c r="T413" i="44"/>
  <c r="V413" i="44" s="1"/>
  <c r="T411" i="44"/>
  <c r="V411" i="44" s="1"/>
  <c r="T408" i="44"/>
  <c r="V408" i="44" s="1"/>
  <c r="T404" i="44"/>
  <c r="U383" i="44"/>
  <c r="U384" i="44" s="1"/>
  <c r="S383" i="44"/>
  <c r="S384" i="44" s="1"/>
  <c r="R383" i="44"/>
  <c r="R384" i="44" s="1"/>
  <c r="Q383" i="44"/>
  <c r="Q384" i="44" s="1"/>
  <c r="P383" i="44"/>
  <c r="P384" i="44" s="1"/>
  <c r="O383" i="44"/>
  <c r="O384" i="44" s="1"/>
  <c r="N383" i="44"/>
  <c r="N384" i="44" s="1"/>
  <c r="M383" i="44"/>
  <c r="M384" i="44" s="1"/>
  <c r="L383" i="44"/>
  <c r="L384" i="44" s="1"/>
  <c r="K383" i="44"/>
  <c r="K384" i="44" s="1"/>
  <c r="J383" i="44"/>
  <c r="J384" i="44" s="1"/>
  <c r="I383" i="44"/>
  <c r="I384" i="44" s="1"/>
  <c r="H383" i="44"/>
  <c r="H384" i="44" s="1"/>
  <c r="G383" i="44"/>
  <c r="G384" i="44" s="1"/>
  <c r="F383" i="44"/>
  <c r="F384" i="44" s="1"/>
  <c r="E384" i="44"/>
  <c r="U381" i="44"/>
  <c r="S381" i="44"/>
  <c r="R381" i="44"/>
  <c r="Q381" i="44"/>
  <c r="P381" i="44"/>
  <c r="O381" i="44"/>
  <c r="N381" i="44"/>
  <c r="M381" i="44"/>
  <c r="L381" i="44"/>
  <c r="K381" i="44"/>
  <c r="J381" i="44"/>
  <c r="I381" i="44"/>
  <c r="H381" i="44"/>
  <c r="G381" i="44"/>
  <c r="F381" i="44"/>
  <c r="T379" i="44"/>
  <c r="T381" i="44" s="1"/>
  <c r="U375" i="44"/>
  <c r="U376" i="44" s="1"/>
  <c r="S375" i="44"/>
  <c r="S376" i="44" s="1"/>
  <c r="R375" i="44"/>
  <c r="R376" i="44" s="1"/>
  <c r="Q375" i="44"/>
  <c r="Q376" i="44" s="1"/>
  <c r="P375" i="44"/>
  <c r="P376" i="44" s="1"/>
  <c r="O375" i="44"/>
  <c r="O376" i="44" s="1"/>
  <c r="N375" i="44"/>
  <c r="N376" i="44" s="1"/>
  <c r="M375" i="44"/>
  <c r="M376" i="44" s="1"/>
  <c r="L375" i="44"/>
  <c r="L376" i="44" s="1"/>
  <c r="K375" i="44"/>
  <c r="K376" i="44" s="1"/>
  <c r="J375" i="44"/>
  <c r="J376" i="44" s="1"/>
  <c r="I375" i="44"/>
  <c r="I376" i="44" s="1"/>
  <c r="H375" i="44"/>
  <c r="H376" i="44" s="1"/>
  <c r="G375" i="44"/>
  <c r="G376" i="44" s="1"/>
  <c r="E375" i="44"/>
  <c r="E376" i="44" s="1"/>
  <c r="U373" i="44"/>
  <c r="S373" i="44"/>
  <c r="R373" i="44"/>
  <c r="Q373" i="44"/>
  <c r="P373" i="44"/>
  <c r="O373" i="44"/>
  <c r="N373" i="44"/>
  <c r="M373" i="44"/>
  <c r="L373" i="44"/>
  <c r="K373" i="44"/>
  <c r="J373" i="44"/>
  <c r="I373" i="44"/>
  <c r="H373" i="44"/>
  <c r="G373" i="44"/>
  <c r="E373" i="44"/>
  <c r="T372" i="44"/>
  <c r="V372" i="44" s="1"/>
  <c r="T371" i="44"/>
  <c r="V371" i="44" s="1"/>
  <c r="T370" i="44"/>
  <c r="V370" i="44" s="1"/>
  <c r="U365" i="44"/>
  <c r="U366" i="44" s="1"/>
  <c r="S365" i="44"/>
  <c r="S366" i="44" s="1"/>
  <c r="R365" i="44"/>
  <c r="R366" i="44" s="1"/>
  <c r="Q365" i="44"/>
  <c r="Q366" i="44" s="1"/>
  <c r="P365" i="44"/>
  <c r="P366" i="44" s="1"/>
  <c r="O365" i="44"/>
  <c r="O366" i="44" s="1"/>
  <c r="N365" i="44"/>
  <c r="N366" i="44" s="1"/>
  <c r="M365" i="44"/>
  <c r="M366" i="44" s="1"/>
  <c r="L365" i="44"/>
  <c r="L366" i="44" s="1"/>
  <c r="K365" i="44"/>
  <c r="K366" i="44" s="1"/>
  <c r="J365" i="44"/>
  <c r="J366" i="44" s="1"/>
  <c r="I365" i="44"/>
  <c r="I366" i="44" s="1"/>
  <c r="H365" i="44"/>
  <c r="H366" i="44" s="1"/>
  <c r="G365" i="44"/>
  <c r="G366" i="44" s="1"/>
  <c r="F365" i="44"/>
  <c r="F366" i="44" s="1"/>
  <c r="E366" i="44"/>
  <c r="U363" i="44"/>
  <c r="S363" i="44"/>
  <c r="R363" i="44"/>
  <c r="Q363" i="44"/>
  <c r="P363" i="44"/>
  <c r="O363" i="44"/>
  <c r="N363" i="44"/>
  <c r="M363" i="44"/>
  <c r="L363" i="44"/>
  <c r="K363" i="44"/>
  <c r="J363" i="44"/>
  <c r="I363" i="44"/>
  <c r="H363" i="44"/>
  <c r="G363" i="44"/>
  <c r="F363" i="44"/>
  <c r="T359" i="44"/>
  <c r="V359" i="44" s="1"/>
  <c r="U355" i="44"/>
  <c r="U356" i="44" s="1"/>
  <c r="S355" i="44"/>
  <c r="S356" i="44" s="1"/>
  <c r="R355" i="44"/>
  <c r="R356" i="44" s="1"/>
  <c r="Q355" i="44"/>
  <c r="Q356" i="44" s="1"/>
  <c r="P355" i="44"/>
  <c r="P356" i="44" s="1"/>
  <c r="O355" i="44"/>
  <c r="O356" i="44" s="1"/>
  <c r="N355" i="44"/>
  <c r="N356" i="44" s="1"/>
  <c r="M355" i="44"/>
  <c r="M356" i="44" s="1"/>
  <c r="L355" i="44"/>
  <c r="L356" i="44" s="1"/>
  <c r="K355" i="44"/>
  <c r="K356" i="44" s="1"/>
  <c r="J355" i="44"/>
  <c r="J356" i="44" s="1"/>
  <c r="I355" i="44"/>
  <c r="I356" i="44" s="1"/>
  <c r="H355" i="44"/>
  <c r="H356" i="44" s="1"/>
  <c r="G355" i="44"/>
  <c r="G356" i="44" s="1"/>
  <c r="E355" i="44"/>
  <c r="E356" i="44" s="1"/>
  <c r="U353" i="44"/>
  <c r="S353" i="44"/>
  <c r="R353" i="44"/>
  <c r="Q353" i="44"/>
  <c r="P353" i="44"/>
  <c r="O353" i="44"/>
  <c r="N353" i="44"/>
  <c r="M353" i="44"/>
  <c r="L353" i="44"/>
  <c r="K353" i="44"/>
  <c r="J353" i="44"/>
  <c r="I353" i="44"/>
  <c r="H353" i="44"/>
  <c r="G353" i="44"/>
  <c r="E353" i="44"/>
  <c r="U347" i="44"/>
  <c r="U348" i="44" s="1"/>
  <c r="S347" i="44"/>
  <c r="S348" i="44" s="1"/>
  <c r="R347" i="44"/>
  <c r="R348" i="44" s="1"/>
  <c r="Q347" i="44"/>
  <c r="Q348" i="44" s="1"/>
  <c r="P347" i="44"/>
  <c r="P348" i="44" s="1"/>
  <c r="O347" i="44"/>
  <c r="O348" i="44" s="1"/>
  <c r="N347" i="44"/>
  <c r="N348" i="44" s="1"/>
  <c r="M347" i="44"/>
  <c r="M348" i="44" s="1"/>
  <c r="L347" i="44"/>
  <c r="L348" i="44" s="1"/>
  <c r="K347" i="44"/>
  <c r="K348" i="44" s="1"/>
  <c r="J347" i="44"/>
  <c r="J348" i="44" s="1"/>
  <c r="I347" i="44"/>
  <c r="I348" i="44" s="1"/>
  <c r="H347" i="44"/>
  <c r="H348" i="44" s="1"/>
  <c r="G347" i="44"/>
  <c r="G348" i="44" s="1"/>
  <c r="E348" i="44"/>
  <c r="U345" i="44"/>
  <c r="S345" i="44"/>
  <c r="R345" i="44"/>
  <c r="Q345" i="44"/>
  <c r="P345" i="44"/>
  <c r="O345" i="44"/>
  <c r="N345" i="44"/>
  <c r="M345" i="44"/>
  <c r="L345" i="44"/>
  <c r="K345" i="44"/>
  <c r="J345" i="44"/>
  <c r="I345" i="44"/>
  <c r="H345" i="44"/>
  <c r="G345" i="44"/>
  <c r="E345" i="44"/>
  <c r="U340" i="44"/>
  <c r="S340" i="44"/>
  <c r="R340" i="44"/>
  <c r="Q340" i="44"/>
  <c r="P340" i="44"/>
  <c r="O340" i="44"/>
  <c r="N340" i="44"/>
  <c r="M340" i="44"/>
  <c r="L340" i="44"/>
  <c r="K340" i="44"/>
  <c r="J340" i="44"/>
  <c r="I340" i="44"/>
  <c r="H340" i="44"/>
  <c r="G340" i="44"/>
  <c r="E340" i="44"/>
  <c r="U339" i="44"/>
  <c r="S339" i="44"/>
  <c r="R339" i="44"/>
  <c r="Q339" i="44"/>
  <c r="P339" i="44"/>
  <c r="O339" i="44"/>
  <c r="N339" i="44"/>
  <c r="M339" i="44"/>
  <c r="L339" i="44"/>
  <c r="K339" i="44"/>
  <c r="J339" i="44"/>
  <c r="I339" i="44"/>
  <c r="H339" i="44"/>
  <c r="G339" i="44"/>
  <c r="F339" i="44"/>
  <c r="E339" i="44"/>
  <c r="U338" i="44"/>
  <c r="S338" i="44"/>
  <c r="R338" i="44"/>
  <c r="Q338" i="44"/>
  <c r="P338" i="44"/>
  <c r="O338" i="44"/>
  <c r="N338" i="44"/>
  <c r="M338" i="44"/>
  <c r="L338" i="44"/>
  <c r="K338" i="44"/>
  <c r="J338" i="44"/>
  <c r="I338" i="44"/>
  <c r="H338" i="44"/>
  <c r="G338" i="44"/>
  <c r="E338" i="44"/>
  <c r="T337" i="44"/>
  <c r="V337" i="44" s="1"/>
  <c r="V339" i="44" s="1"/>
  <c r="T331" i="44"/>
  <c r="U327" i="44"/>
  <c r="S327" i="44"/>
  <c r="R327" i="44"/>
  <c r="Q327" i="44"/>
  <c r="P327" i="44"/>
  <c r="O327" i="44"/>
  <c r="N327" i="44"/>
  <c r="M327" i="44"/>
  <c r="L327" i="44"/>
  <c r="K327" i="44"/>
  <c r="J327" i="44"/>
  <c r="I327" i="44"/>
  <c r="H327" i="44"/>
  <c r="G327" i="44"/>
  <c r="E327" i="44"/>
  <c r="U326" i="44"/>
  <c r="S326" i="44"/>
  <c r="R326" i="44"/>
  <c r="Q326" i="44"/>
  <c r="P326" i="44"/>
  <c r="O326" i="44"/>
  <c r="N326" i="44"/>
  <c r="M326" i="44"/>
  <c r="L326" i="44"/>
  <c r="K326" i="44"/>
  <c r="J326" i="44"/>
  <c r="I326" i="44"/>
  <c r="H326" i="44"/>
  <c r="G326" i="44"/>
  <c r="E326" i="44"/>
  <c r="U325" i="44"/>
  <c r="S325" i="44"/>
  <c r="R325" i="44"/>
  <c r="Q325" i="44"/>
  <c r="P325" i="44"/>
  <c r="O325" i="44"/>
  <c r="N325" i="44"/>
  <c r="M325" i="44"/>
  <c r="L325" i="44"/>
  <c r="K325" i="44"/>
  <c r="J325" i="44"/>
  <c r="I325" i="44"/>
  <c r="H325" i="44"/>
  <c r="G325" i="44"/>
  <c r="E325" i="44"/>
  <c r="T324" i="44"/>
  <c r="V324" i="44" s="1"/>
  <c r="T323" i="44"/>
  <c r="V323" i="44" s="1"/>
  <c r="T322" i="44"/>
  <c r="V322" i="44" s="1"/>
  <c r="T320" i="44"/>
  <c r="V320" i="44" s="1"/>
  <c r="T318" i="44"/>
  <c r="U314" i="44"/>
  <c r="S314" i="44"/>
  <c r="R314" i="44"/>
  <c r="Q314" i="44"/>
  <c r="P314" i="44"/>
  <c r="O314" i="44"/>
  <c r="N314" i="44"/>
  <c r="M314" i="44"/>
  <c r="L314" i="44"/>
  <c r="K314" i="44"/>
  <c r="J314" i="44"/>
  <c r="I314" i="44"/>
  <c r="H314" i="44"/>
  <c r="G314" i="44"/>
  <c r="F314" i="44"/>
  <c r="U313" i="44"/>
  <c r="S313" i="44"/>
  <c r="R313" i="44"/>
  <c r="Q313" i="44"/>
  <c r="P313" i="44"/>
  <c r="O313" i="44"/>
  <c r="N313" i="44"/>
  <c r="M313" i="44"/>
  <c r="L313" i="44"/>
  <c r="K313" i="44"/>
  <c r="J313" i="44"/>
  <c r="I313" i="44"/>
  <c r="H313" i="44"/>
  <c r="G313" i="44"/>
  <c r="U312" i="44"/>
  <c r="S312" i="44"/>
  <c r="R312" i="44"/>
  <c r="Q312" i="44"/>
  <c r="P312" i="44"/>
  <c r="O312" i="44"/>
  <c r="N312" i="44"/>
  <c r="M312" i="44"/>
  <c r="L312" i="44"/>
  <c r="K312" i="44"/>
  <c r="J312" i="44"/>
  <c r="I312" i="44"/>
  <c r="H312" i="44"/>
  <c r="G312" i="44"/>
  <c r="E312" i="44"/>
  <c r="T311" i="44"/>
  <c r="V311" i="44" s="1"/>
  <c r="T310" i="44"/>
  <c r="V310" i="44" s="1"/>
  <c r="T309" i="44"/>
  <c r="V309" i="44" s="1"/>
  <c r="T308" i="44"/>
  <c r="V308" i="44" s="1"/>
  <c r="T307" i="44"/>
  <c r="V307" i="44" s="1"/>
  <c r="T306" i="44"/>
  <c r="T304" i="44"/>
  <c r="V304" i="44" s="1"/>
  <c r="T303" i="44"/>
  <c r="V303" i="44" s="1"/>
  <c r="T302" i="44"/>
  <c r="V302" i="44" s="1"/>
  <c r="T301" i="44"/>
  <c r="V301" i="44" s="1"/>
  <c r="U297" i="44"/>
  <c r="S297" i="44"/>
  <c r="R297" i="44"/>
  <c r="Q297" i="44"/>
  <c r="P297" i="44"/>
  <c r="O297" i="44"/>
  <c r="N297" i="44"/>
  <c r="M297" i="44"/>
  <c r="L297" i="44"/>
  <c r="K297" i="44"/>
  <c r="J297" i="44"/>
  <c r="I297" i="44"/>
  <c r="H297" i="44"/>
  <c r="G297" i="44"/>
  <c r="F297" i="44"/>
  <c r="E297" i="44"/>
  <c r="U296" i="44"/>
  <c r="S296" i="44"/>
  <c r="R296" i="44"/>
  <c r="Q296" i="44"/>
  <c r="P296" i="44"/>
  <c r="O296" i="44"/>
  <c r="N296" i="44"/>
  <c r="M296" i="44"/>
  <c r="L296" i="44"/>
  <c r="K296" i="44"/>
  <c r="J296" i="44"/>
  <c r="I296" i="44"/>
  <c r="H296" i="44"/>
  <c r="G296" i="44"/>
  <c r="F296" i="44"/>
  <c r="E296" i="44"/>
  <c r="U295" i="44"/>
  <c r="S295" i="44"/>
  <c r="R295" i="44"/>
  <c r="Q295" i="44"/>
  <c r="P295" i="44"/>
  <c r="O295" i="44"/>
  <c r="N295" i="44"/>
  <c r="M295" i="44"/>
  <c r="L295" i="44"/>
  <c r="K295" i="44"/>
  <c r="J295" i="44"/>
  <c r="I295" i="44"/>
  <c r="H295" i="44"/>
  <c r="G295" i="44"/>
  <c r="F295" i="44"/>
  <c r="E295" i="44"/>
  <c r="T294" i="44"/>
  <c r="V294" i="44" s="1"/>
  <c r="T293" i="44"/>
  <c r="V293" i="44" s="1"/>
  <c r="T292" i="44"/>
  <c r="V292" i="44" s="1"/>
  <c r="T291" i="44"/>
  <c r="V291" i="44" s="1"/>
  <c r="T290" i="44"/>
  <c r="V290" i="44" s="1"/>
  <c r="T289" i="44"/>
  <c r="V289" i="44" s="1"/>
  <c r="T288" i="44"/>
  <c r="V288" i="44" s="1"/>
  <c r="T287" i="44"/>
  <c r="V287" i="44" s="1"/>
  <c r="T286" i="44"/>
  <c r="V286" i="44" s="1"/>
  <c r="U282" i="44"/>
  <c r="S282" i="44"/>
  <c r="R282" i="44"/>
  <c r="Q282" i="44"/>
  <c r="P282" i="44"/>
  <c r="O282" i="44"/>
  <c r="N282" i="44"/>
  <c r="M282" i="44"/>
  <c r="L282" i="44"/>
  <c r="K282" i="44"/>
  <c r="J282" i="44"/>
  <c r="I282" i="44"/>
  <c r="H282" i="44"/>
  <c r="G282" i="44"/>
  <c r="U281" i="44"/>
  <c r="S281" i="44"/>
  <c r="R281" i="44"/>
  <c r="Q281" i="44"/>
  <c r="P281" i="44"/>
  <c r="O281" i="44"/>
  <c r="N281" i="44"/>
  <c r="M281" i="44"/>
  <c r="L281" i="44"/>
  <c r="K281" i="44"/>
  <c r="J281" i="44"/>
  <c r="I281" i="44"/>
  <c r="H281" i="44"/>
  <c r="G281" i="44"/>
  <c r="E281" i="44"/>
  <c r="U280" i="44"/>
  <c r="S280" i="44"/>
  <c r="R280" i="44"/>
  <c r="Q280" i="44"/>
  <c r="P280" i="44"/>
  <c r="O280" i="44"/>
  <c r="N280" i="44"/>
  <c r="M280" i="44"/>
  <c r="L280" i="44"/>
  <c r="K280" i="44"/>
  <c r="J280" i="44"/>
  <c r="I280" i="44"/>
  <c r="H280" i="44"/>
  <c r="G280" i="44"/>
  <c r="T278" i="44"/>
  <c r="V278" i="44" s="1"/>
  <c r="T277" i="44"/>
  <c r="V277" i="44" s="1"/>
  <c r="T275" i="44"/>
  <c r="V275" i="44" s="1"/>
  <c r="T274" i="44"/>
  <c r="V274" i="44" s="1"/>
  <c r="T272" i="44"/>
  <c r="V272" i="44" s="1"/>
  <c r="T271" i="44"/>
  <c r="V271" i="44" s="1"/>
  <c r="T270" i="44"/>
  <c r="V270" i="44" s="1"/>
  <c r="T268" i="44"/>
  <c r="T265" i="44"/>
  <c r="V265" i="44" s="1"/>
  <c r="E282" i="44"/>
  <c r="U259" i="44"/>
  <c r="U260" i="44" s="1"/>
  <c r="S259" i="44"/>
  <c r="S260" i="44" s="1"/>
  <c r="R259" i="44"/>
  <c r="R260" i="44" s="1"/>
  <c r="Q259" i="44"/>
  <c r="Q260" i="44" s="1"/>
  <c r="P259" i="44"/>
  <c r="P260" i="44" s="1"/>
  <c r="O259" i="44"/>
  <c r="O260" i="44" s="1"/>
  <c r="N259" i="44"/>
  <c r="N260" i="44" s="1"/>
  <c r="M259" i="44"/>
  <c r="M260" i="44" s="1"/>
  <c r="L259" i="44"/>
  <c r="L260" i="44" s="1"/>
  <c r="K259" i="44"/>
  <c r="K260" i="44" s="1"/>
  <c r="J259" i="44"/>
  <c r="J260" i="44" s="1"/>
  <c r="I259" i="44"/>
  <c r="I260" i="44" s="1"/>
  <c r="H259" i="44"/>
  <c r="H260" i="44" s="1"/>
  <c r="G259" i="44"/>
  <c r="G260" i="44" s="1"/>
  <c r="E259" i="44"/>
  <c r="E260" i="44" s="1"/>
  <c r="U257" i="44"/>
  <c r="S257" i="44"/>
  <c r="R257" i="44"/>
  <c r="Q257" i="44"/>
  <c r="P257" i="44"/>
  <c r="O257" i="44"/>
  <c r="N257" i="44"/>
  <c r="M257" i="44"/>
  <c r="L257" i="44"/>
  <c r="K257" i="44"/>
  <c r="J257" i="44"/>
  <c r="I257" i="44"/>
  <c r="H257" i="44"/>
  <c r="G257" i="44"/>
  <c r="E257" i="44"/>
  <c r="U253" i="44"/>
  <c r="S252" i="44"/>
  <c r="S253" i="44" s="1"/>
  <c r="R252" i="44"/>
  <c r="R253" i="44" s="1"/>
  <c r="Q252" i="44"/>
  <c r="Q253" i="44" s="1"/>
  <c r="P252" i="44"/>
  <c r="P253" i="44" s="1"/>
  <c r="O252" i="44"/>
  <c r="O253" i="44" s="1"/>
  <c r="N252" i="44"/>
  <c r="N253" i="44" s="1"/>
  <c r="M252" i="44"/>
  <c r="M253" i="44" s="1"/>
  <c r="L252" i="44"/>
  <c r="L253" i="44" s="1"/>
  <c r="K252" i="44"/>
  <c r="K253" i="44" s="1"/>
  <c r="J252" i="44"/>
  <c r="J253" i="44" s="1"/>
  <c r="I252" i="44"/>
  <c r="I253" i="44" s="1"/>
  <c r="H252" i="44"/>
  <c r="H253" i="44" s="1"/>
  <c r="G252" i="44"/>
  <c r="G253" i="44" s="1"/>
  <c r="S250" i="44"/>
  <c r="R250" i="44"/>
  <c r="Q250" i="44"/>
  <c r="P250" i="44"/>
  <c r="O250" i="44"/>
  <c r="N250" i="44"/>
  <c r="M250" i="44"/>
  <c r="L250" i="44"/>
  <c r="K250" i="44"/>
  <c r="J250" i="44"/>
  <c r="I250" i="44"/>
  <c r="H250" i="44"/>
  <c r="G250" i="44"/>
  <c r="E250" i="44"/>
  <c r="T241" i="44"/>
  <c r="U238" i="44"/>
  <c r="S237" i="44"/>
  <c r="S238" i="44" s="1"/>
  <c r="R237" i="44"/>
  <c r="R238" i="44" s="1"/>
  <c r="Q237" i="44"/>
  <c r="Q238" i="44" s="1"/>
  <c r="P237" i="44"/>
  <c r="P238" i="44" s="1"/>
  <c r="O237" i="44"/>
  <c r="O238" i="44" s="1"/>
  <c r="N237" i="44"/>
  <c r="N238" i="44" s="1"/>
  <c r="M237" i="44"/>
  <c r="M238" i="44" s="1"/>
  <c r="L237" i="44"/>
  <c r="L238" i="44" s="1"/>
  <c r="K237" i="44"/>
  <c r="K238" i="44" s="1"/>
  <c r="J237" i="44"/>
  <c r="J238" i="44" s="1"/>
  <c r="I237" i="44"/>
  <c r="I238" i="44" s="1"/>
  <c r="H237" i="44"/>
  <c r="H238" i="44" s="1"/>
  <c r="G237" i="44"/>
  <c r="G238" i="44" s="1"/>
  <c r="E237" i="44"/>
  <c r="E236" i="44"/>
  <c r="S235" i="44"/>
  <c r="R235" i="44"/>
  <c r="Q235" i="44"/>
  <c r="P235" i="44"/>
  <c r="O235" i="44"/>
  <c r="N235" i="44"/>
  <c r="M235" i="44"/>
  <c r="L235" i="44"/>
  <c r="K235" i="44"/>
  <c r="J235" i="44"/>
  <c r="I235" i="44"/>
  <c r="H235" i="44"/>
  <c r="G235" i="44"/>
  <c r="E235" i="44"/>
  <c r="T230" i="44"/>
  <c r="U226" i="44"/>
  <c r="S226" i="44"/>
  <c r="R226" i="44"/>
  <c r="Q226" i="44"/>
  <c r="P226" i="44"/>
  <c r="O226" i="44"/>
  <c r="N226" i="44"/>
  <c r="M226" i="44"/>
  <c r="L226" i="44"/>
  <c r="K226" i="44"/>
  <c r="J226" i="44"/>
  <c r="I226" i="44"/>
  <c r="H226" i="44"/>
  <c r="G226" i="44"/>
  <c r="U225" i="44"/>
  <c r="S225" i="44"/>
  <c r="R225" i="44"/>
  <c r="Q225" i="44"/>
  <c r="P225" i="44"/>
  <c r="O225" i="44"/>
  <c r="N225" i="44"/>
  <c r="M225" i="44"/>
  <c r="L225" i="44"/>
  <c r="K225" i="44"/>
  <c r="J225" i="44"/>
  <c r="I225" i="44"/>
  <c r="H225" i="44"/>
  <c r="G225" i="44"/>
  <c r="U224" i="44"/>
  <c r="S224" i="44"/>
  <c r="R224" i="44"/>
  <c r="Q224" i="44"/>
  <c r="P224" i="44"/>
  <c r="O224" i="44"/>
  <c r="N224" i="44"/>
  <c r="M224" i="44"/>
  <c r="L224" i="44"/>
  <c r="K224" i="44"/>
  <c r="J224" i="44"/>
  <c r="I224" i="44"/>
  <c r="H224" i="44"/>
  <c r="G224" i="44"/>
  <c r="T1137" i="44"/>
  <c r="T1139" i="44" s="1"/>
  <c r="E1062" i="44"/>
  <c r="E1057" i="44"/>
  <c r="E1012" i="44"/>
  <c r="T205" i="44"/>
  <c r="E992" i="44"/>
  <c r="T199" i="44"/>
  <c r="V199" i="44" s="1"/>
  <c r="E952" i="44"/>
  <c r="E947" i="44"/>
  <c r="U194" i="44"/>
  <c r="S192" i="44"/>
  <c r="S194" i="44" s="1"/>
  <c r="R192" i="44"/>
  <c r="R194" i="44" s="1"/>
  <c r="Q192" i="44"/>
  <c r="Q194" i="44" s="1"/>
  <c r="P192" i="44"/>
  <c r="P194" i="44" s="1"/>
  <c r="O192" i="44"/>
  <c r="O194" i="44" s="1"/>
  <c r="N192" i="44"/>
  <c r="N194" i="44" s="1"/>
  <c r="M192" i="44"/>
  <c r="M194" i="44" s="1"/>
  <c r="L192" i="44"/>
  <c r="L194" i="44" s="1"/>
  <c r="K192" i="44"/>
  <c r="K194" i="44" s="1"/>
  <c r="J192" i="44"/>
  <c r="J194" i="44" s="1"/>
  <c r="I192" i="44"/>
  <c r="I194" i="44" s="1"/>
  <c r="H192" i="44"/>
  <c r="H194" i="44" s="1"/>
  <c r="G192" i="44"/>
  <c r="G194" i="44" s="1"/>
  <c r="F194" i="44"/>
  <c r="S191" i="44"/>
  <c r="R191" i="44"/>
  <c r="Q191" i="44"/>
  <c r="P191" i="44"/>
  <c r="O191" i="44"/>
  <c r="N191" i="44"/>
  <c r="M191" i="44"/>
  <c r="L191" i="44"/>
  <c r="K191" i="44"/>
  <c r="J191" i="44"/>
  <c r="I191" i="44"/>
  <c r="H191" i="44"/>
  <c r="G191" i="44"/>
  <c r="E191" i="44"/>
  <c r="E194" i="44" s="1"/>
  <c r="T185" i="44"/>
  <c r="U182" i="44"/>
  <c r="S181" i="44"/>
  <c r="S182" i="44" s="1"/>
  <c r="R181" i="44"/>
  <c r="R182" i="44" s="1"/>
  <c r="Q181" i="44"/>
  <c r="Q182" i="44" s="1"/>
  <c r="P181" i="44"/>
  <c r="P182" i="44" s="1"/>
  <c r="O181" i="44"/>
  <c r="O182" i="44" s="1"/>
  <c r="N181" i="44"/>
  <c r="N182" i="44" s="1"/>
  <c r="M181" i="44"/>
  <c r="M182" i="44" s="1"/>
  <c r="L181" i="44"/>
  <c r="L182" i="44" s="1"/>
  <c r="K181" i="44"/>
  <c r="K182" i="44" s="1"/>
  <c r="J181" i="44"/>
  <c r="J182" i="44" s="1"/>
  <c r="I181" i="44"/>
  <c r="I182" i="44" s="1"/>
  <c r="H181" i="44"/>
  <c r="H182" i="44" s="1"/>
  <c r="G181" i="44"/>
  <c r="G182" i="44" s="1"/>
  <c r="E181" i="44"/>
  <c r="E180" i="44"/>
  <c r="S179" i="44"/>
  <c r="R179" i="44"/>
  <c r="Q179" i="44"/>
  <c r="P179" i="44"/>
  <c r="O179" i="44"/>
  <c r="N179" i="44"/>
  <c r="M179" i="44"/>
  <c r="L179" i="44"/>
  <c r="K179" i="44"/>
  <c r="J179" i="44"/>
  <c r="I179" i="44"/>
  <c r="H179" i="44"/>
  <c r="G179" i="44"/>
  <c r="E179" i="44"/>
  <c r="U162" i="44"/>
  <c r="U164" i="44" s="1"/>
  <c r="S162" i="44"/>
  <c r="S164" i="44" s="1"/>
  <c r="R162" i="44"/>
  <c r="R164" i="44" s="1"/>
  <c r="Q162" i="44"/>
  <c r="Q164" i="44" s="1"/>
  <c r="P162" i="44"/>
  <c r="P164" i="44" s="1"/>
  <c r="O162" i="44"/>
  <c r="O164" i="44" s="1"/>
  <c r="N162" i="44"/>
  <c r="N164" i="44" s="1"/>
  <c r="M162" i="44"/>
  <c r="M164" i="44" s="1"/>
  <c r="L162" i="44"/>
  <c r="L164" i="44" s="1"/>
  <c r="K162" i="44"/>
  <c r="K164" i="44" s="1"/>
  <c r="J162" i="44"/>
  <c r="J164" i="44" s="1"/>
  <c r="I162" i="44"/>
  <c r="I164" i="44" s="1"/>
  <c r="H162" i="44"/>
  <c r="H164" i="44" s="1"/>
  <c r="G162" i="44"/>
  <c r="G164" i="44" s="1"/>
  <c r="E162" i="44"/>
  <c r="E164" i="44" s="1"/>
  <c r="U161" i="44"/>
  <c r="S161" i="44"/>
  <c r="R161" i="44"/>
  <c r="Q161" i="44"/>
  <c r="P161" i="44"/>
  <c r="O161" i="44"/>
  <c r="N161" i="44"/>
  <c r="M161" i="44"/>
  <c r="L161" i="44"/>
  <c r="K161" i="44"/>
  <c r="J161" i="44"/>
  <c r="I161" i="44"/>
  <c r="H161" i="44"/>
  <c r="G161" i="44"/>
  <c r="E161" i="44"/>
  <c r="T160" i="44"/>
  <c r="V160" i="44" s="1"/>
  <c r="T159" i="44"/>
  <c r="V159" i="44" s="1"/>
  <c r="T156" i="44"/>
  <c r="T1157" i="44" s="1"/>
  <c r="T155" i="44"/>
  <c r="V155" i="44" s="1"/>
  <c r="T154" i="44"/>
  <c r="V154" i="44" s="1"/>
  <c r="U149" i="44"/>
  <c r="U151" i="44" s="1"/>
  <c r="S149" i="44"/>
  <c r="S151" i="44" s="1"/>
  <c r="R149" i="44"/>
  <c r="R151" i="44" s="1"/>
  <c r="Q149" i="44"/>
  <c r="Q151" i="44" s="1"/>
  <c r="P149" i="44"/>
  <c r="P151" i="44" s="1"/>
  <c r="O149" i="44"/>
  <c r="O151" i="44" s="1"/>
  <c r="N149" i="44"/>
  <c r="N151" i="44" s="1"/>
  <c r="M149" i="44"/>
  <c r="M151" i="44" s="1"/>
  <c r="L149" i="44"/>
  <c r="L151" i="44" s="1"/>
  <c r="K149" i="44"/>
  <c r="K151" i="44" s="1"/>
  <c r="J149" i="44"/>
  <c r="J151" i="44" s="1"/>
  <c r="I149" i="44"/>
  <c r="I151" i="44" s="1"/>
  <c r="H149" i="44"/>
  <c r="H151" i="44" s="1"/>
  <c r="G149" i="44"/>
  <c r="G151" i="44" s="1"/>
  <c r="E149" i="44"/>
  <c r="E151" i="44" s="1"/>
  <c r="U148" i="44"/>
  <c r="S148" i="44"/>
  <c r="R148" i="44"/>
  <c r="Q148" i="44"/>
  <c r="P148" i="44"/>
  <c r="O148" i="44"/>
  <c r="N148" i="44"/>
  <c r="M148" i="44"/>
  <c r="L148" i="44"/>
  <c r="K148" i="44"/>
  <c r="J148" i="44"/>
  <c r="I148" i="44"/>
  <c r="H148" i="44"/>
  <c r="G148" i="44"/>
  <c r="E148" i="44"/>
  <c r="U142" i="44"/>
  <c r="S142" i="44"/>
  <c r="R142" i="44"/>
  <c r="Q142" i="44"/>
  <c r="P142" i="44"/>
  <c r="O142" i="44"/>
  <c r="N142" i="44"/>
  <c r="M142" i="44"/>
  <c r="L142" i="44"/>
  <c r="K142" i="44"/>
  <c r="J142" i="44"/>
  <c r="I142" i="44"/>
  <c r="H142" i="44"/>
  <c r="G142" i="44"/>
  <c r="E142" i="44"/>
  <c r="U141" i="44"/>
  <c r="S141" i="44"/>
  <c r="R141" i="44"/>
  <c r="Q141" i="44"/>
  <c r="P141" i="44"/>
  <c r="O141" i="44"/>
  <c r="N141" i="44"/>
  <c r="M141" i="44"/>
  <c r="L141" i="44"/>
  <c r="K141" i="44"/>
  <c r="J141" i="44"/>
  <c r="I141" i="44"/>
  <c r="H141" i="44"/>
  <c r="G141" i="44"/>
  <c r="E141" i="44"/>
  <c r="U140" i="44"/>
  <c r="S140" i="44"/>
  <c r="R140" i="44"/>
  <c r="Q140" i="44"/>
  <c r="P140" i="44"/>
  <c r="O140" i="44"/>
  <c r="N140" i="44"/>
  <c r="M140" i="44"/>
  <c r="L140" i="44"/>
  <c r="K140" i="44"/>
  <c r="J140" i="44"/>
  <c r="I140" i="44"/>
  <c r="H140" i="44"/>
  <c r="G140" i="44"/>
  <c r="E140" i="44"/>
  <c r="T134" i="44"/>
  <c r="V134" i="44" s="1"/>
  <c r="T129" i="44"/>
  <c r="V129" i="44" s="1"/>
  <c r="T127" i="44"/>
  <c r="V127" i="44" s="1"/>
  <c r="T121" i="44"/>
  <c r="T118" i="44"/>
  <c r="V118" i="44" s="1"/>
  <c r="U112" i="44"/>
  <c r="U113" i="44" s="1"/>
  <c r="S112" i="44"/>
  <c r="S113" i="44" s="1"/>
  <c r="R112" i="44"/>
  <c r="R113" i="44" s="1"/>
  <c r="Q112" i="44"/>
  <c r="Q113" i="44" s="1"/>
  <c r="P112" i="44"/>
  <c r="P113" i="44" s="1"/>
  <c r="O112" i="44"/>
  <c r="O113" i="44" s="1"/>
  <c r="N112" i="44"/>
  <c r="N113" i="44" s="1"/>
  <c r="M112" i="44"/>
  <c r="M113" i="44" s="1"/>
  <c r="L112" i="44"/>
  <c r="L113" i="44" s="1"/>
  <c r="K112" i="44"/>
  <c r="K113" i="44" s="1"/>
  <c r="J112" i="44"/>
  <c r="J113" i="44" s="1"/>
  <c r="I112" i="44"/>
  <c r="I113" i="44" s="1"/>
  <c r="H112" i="44"/>
  <c r="H113" i="44" s="1"/>
  <c r="G112" i="44"/>
  <c r="G113" i="44" s="1"/>
  <c r="E112" i="44"/>
  <c r="E113" i="44" s="1"/>
  <c r="U110" i="44"/>
  <c r="S110" i="44"/>
  <c r="R110" i="44"/>
  <c r="Q110" i="44"/>
  <c r="P110" i="44"/>
  <c r="O110" i="44"/>
  <c r="N110" i="44"/>
  <c r="M110" i="44"/>
  <c r="L110" i="44"/>
  <c r="K110" i="44"/>
  <c r="J110" i="44"/>
  <c r="I110" i="44"/>
  <c r="H110" i="44"/>
  <c r="G110" i="44"/>
  <c r="E110" i="44"/>
  <c r="T108" i="44"/>
  <c r="U104" i="44"/>
  <c r="S104" i="44"/>
  <c r="R104" i="44"/>
  <c r="Q104" i="44"/>
  <c r="P104" i="44"/>
  <c r="O104" i="44"/>
  <c r="N104" i="44"/>
  <c r="M104" i="44"/>
  <c r="L104" i="44"/>
  <c r="K104" i="44"/>
  <c r="J104" i="44"/>
  <c r="I104" i="44"/>
  <c r="H104" i="44"/>
  <c r="G104" i="44"/>
  <c r="E104" i="44"/>
  <c r="U103" i="44"/>
  <c r="U105" i="44" s="1"/>
  <c r="S103" i="44"/>
  <c r="R103" i="44"/>
  <c r="Q103" i="44"/>
  <c r="P103" i="44"/>
  <c r="O103" i="44"/>
  <c r="N103" i="44"/>
  <c r="M103" i="44"/>
  <c r="L103" i="44"/>
  <c r="K103" i="44"/>
  <c r="J103" i="44"/>
  <c r="I103" i="44"/>
  <c r="H103" i="44"/>
  <c r="H105" i="44" s="1"/>
  <c r="G103" i="44"/>
  <c r="E103" i="44"/>
  <c r="U102" i="44"/>
  <c r="S102" i="44"/>
  <c r="R102" i="44"/>
  <c r="Q102" i="44"/>
  <c r="P102" i="44"/>
  <c r="O102" i="44"/>
  <c r="N102" i="44"/>
  <c r="M102" i="44"/>
  <c r="L102" i="44"/>
  <c r="K102" i="44"/>
  <c r="J102" i="44"/>
  <c r="I102" i="44"/>
  <c r="H102" i="44"/>
  <c r="G102" i="44"/>
  <c r="E102" i="44"/>
  <c r="T97" i="44"/>
  <c r="V97" i="44" s="1"/>
  <c r="U77" i="44"/>
  <c r="S77" i="44"/>
  <c r="R77" i="44"/>
  <c r="Q77" i="44"/>
  <c r="P77" i="44"/>
  <c r="O77" i="44"/>
  <c r="N77" i="44"/>
  <c r="M77" i="44"/>
  <c r="L77" i="44"/>
  <c r="K77" i="44"/>
  <c r="J77" i="44"/>
  <c r="I77" i="44"/>
  <c r="H77" i="44"/>
  <c r="G77" i="44"/>
  <c r="E77" i="44"/>
  <c r="U76" i="44"/>
  <c r="S76" i="44"/>
  <c r="R76" i="44"/>
  <c r="Q76" i="44"/>
  <c r="P76" i="44"/>
  <c r="O76" i="44"/>
  <c r="N76" i="44"/>
  <c r="M76" i="44"/>
  <c r="L76" i="44"/>
  <c r="K76" i="44"/>
  <c r="J76" i="44"/>
  <c r="I76" i="44"/>
  <c r="H76" i="44"/>
  <c r="G76" i="44"/>
  <c r="E76" i="44"/>
  <c r="U75" i="44"/>
  <c r="S75" i="44"/>
  <c r="R75" i="44"/>
  <c r="Q75" i="44"/>
  <c r="P75" i="44"/>
  <c r="O75" i="44"/>
  <c r="N75" i="44"/>
  <c r="M75" i="44"/>
  <c r="L75" i="44"/>
  <c r="K75" i="44"/>
  <c r="J75" i="44"/>
  <c r="I75" i="44"/>
  <c r="H75" i="44"/>
  <c r="G75" i="44"/>
  <c r="E75" i="44"/>
  <c r="T72" i="44"/>
  <c r="V72" i="44" s="1"/>
  <c r="U64" i="44"/>
  <c r="S64" i="44"/>
  <c r="R64" i="44"/>
  <c r="Q64" i="44"/>
  <c r="P64" i="44"/>
  <c r="O64" i="44"/>
  <c r="N64" i="44"/>
  <c r="M64" i="44"/>
  <c r="L64" i="44"/>
  <c r="K64" i="44"/>
  <c r="J64" i="44"/>
  <c r="I64" i="44"/>
  <c r="H64" i="44"/>
  <c r="G64" i="44"/>
  <c r="E64" i="44"/>
  <c r="U63" i="44"/>
  <c r="S63" i="44"/>
  <c r="R63" i="44"/>
  <c r="Q63" i="44"/>
  <c r="P63" i="44"/>
  <c r="O63" i="44"/>
  <c r="N63" i="44"/>
  <c r="M63" i="44"/>
  <c r="L63" i="44"/>
  <c r="K63" i="44"/>
  <c r="J63" i="44"/>
  <c r="I63" i="44"/>
  <c r="H63" i="44"/>
  <c r="G63" i="44"/>
  <c r="E63" i="44"/>
  <c r="U62" i="44"/>
  <c r="S62" i="44"/>
  <c r="R62" i="44"/>
  <c r="Q62" i="44"/>
  <c r="P62" i="44"/>
  <c r="O62" i="44"/>
  <c r="N62" i="44"/>
  <c r="M62" i="44"/>
  <c r="L62" i="44"/>
  <c r="K62" i="44"/>
  <c r="J62" i="44"/>
  <c r="I62" i="44"/>
  <c r="H62" i="44"/>
  <c r="G62" i="44"/>
  <c r="E62" i="44"/>
  <c r="T57" i="44"/>
  <c r="T53" i="44"/>
  <c r="V53" i="44" s="1"/>
  <c r="T52" i="44"/>
  <c r="T40" i="44"/>
  <c r="V40" i="44" s="1"/>
  <c r="U32" i="44"/>
  <c r="U1207" i="44" s="1"/>
  <c r="S32" i="44"/>
  <c r="S1207" i="44" s="1"/>
  <c r="R32" i="44"/>
  <c r="R1207" i="44" s="1"/>
  <c r="Q32" i="44"/>
  <c r="Q1207" i="44" s="1"/>
  <c r="P32" i="44"/>
  <c r="P1207" i="44" s="1"/>
  <c r="O32" i="44"/>
  <c r="O1207" i="44" s="1"/>
  <c r="N32" i="44"/>
  <c r="N1207" i="44" s="1"/>
  <c r="M32" i="44"/>
  <c r="M1207" i="44" s="1"/>
  <c r="L32" i="44"/>
  <c r="L1207" i="44" s="1"/>
  <c r="K32" i="44"/>
  <c r="K1207" i="44" s="1"/>
  <c r="J32" i="44"/>
  <c r="J1207" i="44" s="1"/>
  <c r="I32" i="44"/>
  <c r="I1207" i="44" s="1"/>
  <c r="H32" i="44"/>
  <c r="H1207" i="44" s="1"/>
  <c r="G32" i="44"/>
  <c r="G1207" i="44" s="1"/>
  <c r="E1207" i="44"/>
  <c r="U31" i="44"/>
  <c r="U1201" i="44" s="1"/>
  <c r="S31" i="44"/>
  <c r="S1201" i="44" s="1"/>
  <c r="R31" i="44"/>
  <c r="R1201" i="44" s="1"/>
  <c r="Q31" i="44"/>
  <c r="Q1201" i="44" s="1"/>
  <c r="P31" i="44"/>
  <c r="P1201" i="44" s="1"/>
  <c r="O31" i="44"/>
  <c r="O1201" i="44" s="1"/>
  <c r="N31" i="44"/>
  <c r="N1201" i="44" s="1"/>
  <c r="M31" i="44"/>
  <c r="M1201" i="44" s="1"/>
  <c r="L31" i="44"/>
  <c r="L1201" i="44" s="1"/>
  <c r="K31" i="44"/>
  <c r="K1201" i="44" s="1"/>
  <c r="J31" i="44"/>
  <c r="J1201" i="44" s="1"/>
  <c r="H31" i="44"/>
  <c r="H1201" i="44" s="1"/>
  <c r="G31" i="44"/>
  <c r="G1201" i="44" s="1"/>
  <c r="U30" i="44"/>
  <c r="U35" i="44" s="1"/>
  <c r="S30" i="44"/>
  <c r="S35" i="44" s="1"/>
  <c r="R30" i="44"/>
  <c r="R35" i="44" s="1"/>
  <c r="Q30" i="44"/>
  <c r="Q35" i="44" s="1"/>
  <c r="P30" i="44"/>
  <c r="P35" i="44" s="1"/>
  <c r="O30" i="44"/>
  <c r="O35" i="44" s="1"/>
  <c r="N30" i="44"/>
  <c r="N35" i="44" s="1"/>
  <c r="M30" i="44"/>
  <c r="M35" i="44" s="1"/>
  <c r="L30" i="44"/>
  <c r="L35" i="44" s="1"/>
  <c r="K30" i="44"/>
  <c r="K35" i="44" s="1"/>
  <c r="J30" i="44"/>
  <c r="J35" i="44" s="1"/>
  <c r="H30" i="44"/>
  <c r="H35" i="44" s="1"/>
  <c r="G30" i="44"/>
  <c r="G35" i="44" s="1"/>
  <c r="T1131" i="44"/>
  <c r="V1126" i="44"/>
  <c r="T1126" i="44"/>
  <c r="T28" i="44"/>
  <c r="T1091" i="44" s="1"/>
  <c r="T24" i="44"/>
  <c r="T1066" i="44" s="1"/>
  <c r="T23" i="44"/>
  <c r="T1041" i="44" s="1"/>
  <c r="T22" i="44"/>
  <c r="T1161" i="44" s="1"/>
  <c r="T21" i="44"/>
  <c r="T1151" i="44" s="1"/>
  <c r="T1154" i="44" s="1"/>
  <c r="E1146" i="44"/>
  <c r="T14" i="44"/>
  <c r="T986" i="44" s="1"/>
  <c r="T12" i="44"/>
  <c r="T946" i="44" s="1"/>
  <c r="V9" i="44"/>
  <c r="N1173" i="44" l="1"/>
  <c r="N1196" i="44" s="1"/>
  <c r="T191" i="44"/>
  <c r="T193" i="44"/>
  <c r="E882" i="44"/>
  <c r="E884" i="44"/>
  <c r="V268" i="44"/>
  <c r="V233" i="44"/>
  <c r="T236" i="44"/>
  <c r="E1173" i="44"/>
  <c r="E1196" i="44" s="1"/>
  <c r="E643" i="44"/>
  <c r="E644" i="44" s="1"/>
  <c r="E253" i="44"/>
  <c r="E254" i="44" s="1"/>
  <c r="E883" i="44"/>
  <c r="E754" i="44"/>
  <c r="M522" i="44"/>
  <c r="M523" i="44" s="1"/>
  <c r="M746" i="44"/>
  <c r="M747" i="44" s="1"/>
  <c r="L720" i="44"/>
  <c r="L721" i="44" s="1"/>
  <c r="G879" i="44"/>
  <c r="G880" i="44" s="1"/>
  <c r="L746" i="44"/>
  <c r="L747" i="44" s="1"/>
  <c r="H582" i="44"/>
  <c r="H583" i="44" s="1"/>
  <c r="U582" i="44"/>
  <c r="U583" i="44" s="1"/>
  <c r="O571" i="44"/>
  <c r="O572" i="44" s="1"/>
  <c r="O143" i="44"/>
  <c r="O144" i="44" s="1"/>
  <c r="E1064" i="44"/>
  <c r="N341" i="44"/>
  <c r="N342" i="44" s="1"/>
  <c r="H783" i="44"/>
  <c r="H784" i="44" s="1"/>
  <c r="U783" i="44"/>
  <c r="U784" i="44" s="1"/>
  <c r="P593" i="44"/>
  <c r="P594" i="44" s="1"/>
  <c r="O497" i="44"/>
  <c r="O498" i="44" s="1"/>
  <c r="M954" i="44"/>
  <c r="E959" i="44"/>
  <c r="Q959" i="44"/>
  <c r="O979" i="44"/>
  <c r="K974" i="44"/>
  <c r="L283" i="44"/>
  <c r="L284" i="44" s="1"/>
  <c r="O514" i="44"/>
  <c r="O515" i="44" s="1"/>
  <c r="L1029" i="44"/>
  <c r="Q1034" i="44"/>
  <c r="M1029" i="44"/>
  <c r="E1034" i="44"/>
  <c r="S879" i="44"/>
  <c r="S880" i="44" s="1"/>
  <c r="L458" i="44"/>
  <c r="H1084" i="44"/>
  <c r="U1084" i="44"/>
  <c r="Q341" i="44"/>
  <c r="Q342" i="44" s="1"/>
  <c r="I1099" i="44"/>
  <c r="M1059" i="44"/>
  <c r="H1064" i="44"/>
  <c r="N227" i="44"/>
  <c r="N228" i="44" s="1"/>
  <c r="R315" i="44"/>
  <c r="O315" i="44"/>
  <c r="O316" i="44" s="1"/>
  <c r="H328" i="44"/>
  <c r="H329" i="44" s="1"/>
  <c r="U328" i="44"/>
  <c r="U329" i="44" s="1"/>
  <c r="E544" i="44"/>
  <c r="E545" i="44" s="1"/>
  <c r="Q544" i="44"/>
  <c r="Q545" i="44" s="1"/>
  <c r="Q298" i="44"/>
  <c r="Q299" i="44" s="1"/>
  <c r="E298" i="44"/>
  <c r="E299" i="44" s="1"/>
  <c r="O1173" i="44"/>
  <c r="O1196" i="44" s="1"/>
  <c r="E1059" i="44"/>
  <c r="N298" i="44"/>
  <c r="N299" i="44" s="1"/>
  <c r="P315" i="44"/>
  <c r="P316" i="44" s="1"/>
  <c r="O341" i="44"/>
  <c r="O342" i="44" s="1"/>
  <c r="P418" i="44"/>
  <c r="P419" i="44" s="1"/>
  <c r="M458" i="44"/>
  <c r="M459" i="44" s="1"/>
  <c r="K283" i="44"/>
  <c r="K284" i="44" s="1"/>
  <c r="L949" i="44"/>
  <c r="E963" i="44"/>
  <c r="Q963" i="44"/>
  <c r="O983" i="44"/>
  <c r="I544" i="44"/>
  <c r="I545" i="44" s="1"/>
  <c r="L582" i="44"/>
  <c r="L583" i="44" s="1"/>
  <c r="G593" i="44"/>
  <c r="G594" i="44" s="1"/>
  <c r="S593" i="44"/>
  <c r="S594" i="44" s="1"/>
  <c r="N660" i="44"/>
  <c r="N661" i="44" s="1"/>
  <c r="L783" i="44"/>
  <c r="L784" i="44" s="1"/>
  <c r="Q954" i="44"/>
  <c r="I439" i="44"/>
  <c r="I440" i="44" s="1"/>
  <c r="G458" i="44"/>
  <c r="G459" i="44" s="1"/>
  <c r="S458" i="44"/>
  <c r="S459" i="44" s="1"/>
  <c r="G514" i="44"/>
  <c r="S514" i="44"/>
  <c r="S515" i="44" s="1"/>
  <c r="E522" i="44"/>
  <c r="E523" i="44" s="1"/>
  <c r="Q522" i="44"/>
  <c r="Q523" i="44" s="1"/>
  <c r="M559" i="44"/>
  <c r="M560" i="44" s="1"/>
  <c r="N695" i="44"/>
  <c r="N696" i="44" s="1"/>
  <c r="J801" i="44"/>
  <c r="J802" i="44" s="1"/>
  <c r="L817" i="44"/>
  <c r="L818" i="44" s="1"/>
  <c r="H849" i="44"/>
  <c r="H850" i="44" s="1"/>
  <c r="E954" i="44"/>
  <c r="H660" i="44"/>
  <c r="H661" i="44" s="1"/>
  <c r="U660" i="44"/>
  <c r="U661" i="44" s="1"/>
  <c r="L1059" i="44"/>
  <c r="U1064" i="44"/>
  <c r="E849" i="44"/>
  <c r="E850" i="44" s="1"/>
  <c r="O954" i="44"/>
  <c r="G959" i="44"/>
  <c r="S959" i="44"/>
  <c r="L974" i="44"/>
  <c r="E979" i="44"/>
  <c r="Q979" i="44"/>
  <c r="J1084" i="44"/>
  <c r="L1109" i="44"/>
  <c r="H801" i="44"/>
  <c r="H802" i="44" s="1"/>
  <c r="U801" i="44"/>
  <c r="O868" i="44"/>
  <c r="O869" i="44" s="1"/>
  <c r="P954" i="44"/>
  <c r="H959" i="44"/>
  <c r="U959" i="44"/>
  <c r="M974" i="44"/>
  <c r="R979" i="44"/>
  <c r="O1059" i="44"/>
  <c r="N974" i="44"/>
  <c r="F783" i="44"/>
  <c r="F784" i="44" s="1"/>
  <c r="R783" i="44"/>
  <c r="E817" i="44"/>
  <c r="E818" i="44" s="1"/>
  <c r="Q817" i="44"/>
  <c r="Q818" i="44" s="1"/>
  <c r="M1019" i="44"/>
  <c r="K1029" i="44"/>
  <c r="P1034" i="44"/>
  <c r="K1059" i="44"/>
  <c r="R1064" i="44"/>
  <c r="T751" i="44"/>
  <c r="J989" i="44"/>
  <c r="I959" i="44"/>
  <c r="G979" i="44"/>
  <c r="S979" i="44"/>
  <c r="K989" i="44"/>
  <c r="U849" i="44"/>
  <c r="U850" i="44" s="1"/>
  <c r="O974" i="44"/>
  <c r="H1079" i="44"/>
  <c r="U1079" i="44"/>
  <c r="Q78" i="44"/>
  <c r="Q79" i="44" s="1"/>
  <c r="J439" i="44"/>
  <c r="J440" i="44" s="1"/>
  <c r="H497" i="44"/>
  <c r="H498" i="44" s="1"/>
  <c r="U497" i="44"/>
  <c r="U498" i="44" s="1"/>
  <c r="H514" i="44"/>
  <c r="H515" i="44" s="1"/>
  <c r="U514" i="44"/>
  <c r="U515" i="44" s="1"/>
  <c r="R522" i="44"/>
  <c r="R523" i="44" s="1"/>
  <c r="N582" i="44"/>
  <c r="N583" i="44" s="1"/>
  <c r="E720" i="44"/>
  <c r="E721" i="44" s="1"/>
  <c r="R78" i="44"/>
  <c r="R79" i="44" s="1"/>
  <c r="R283" i="44"/>
  <c r="R284" i="44" s="1"/>
  <c r="G328" i="44"/>
  <c r="G329" i="44" s="1"/>
  <c r="S328" i="44"/>
  <c r="S329" i="44" s="1"/>
  <c r="M341" i="44"/>
  <c r="M342" i="44" s="1"/>
  <c r="N418" i="44"/>
  <c r="N419" i="44" s="1"/>
  <c r="I746" i="44"/>
  <c r="I747" i="44" s="1"/>
  <c r="E783" i="44"/>
  <c r="E784" i="44" s="1"/>
  <c r="Q783" i="44"/>
  <c r="N801" i="44"/>
  <c r="N802" i="44" s="1"/>
  <c r="P817" i="44"/>
  <c r="P818" i="44" s="1"/>
  <c r="M963" i="44"/>
  <c r="J954" i="44"/>
  <c r="K983" i="44"/>
  <c r="G974" i="44"/>
  <c r="S974" i="44"/>
  <c r="U994" i="44"/>
  <c r="I1029" i="44"/>
  <c r="N1044" i="44"/>
  <c r="J999" i="44"/>
  <c r="L1019" i="44"/>
  <c r="J1059" i="44"/>
  <c r="J879" i="44"/>
  <c r="J880" i="44" s="1"/>
  <c r="J982" i="44"/>
  <c r="M962" i="44"/>
  <c r="I963" i="44"/>
  <c r="P994" i="44"/>
  <c r="H746" i="44"/>
  <c r="H747" i="44" s="1"/>
  <c r="U746" i="44"/>
  <c r="U747" i="44" s="1"/>
  <c r="M801" i="44"/>
  <c r="M802" i="44" s="1"/>
  <c r="O817" i="44"/>
  <c r="O818" i="44" s="1"/>
  <c r="K849" i="44"/>
  <c r="K850" i="44" s="1"/>
  <c r="I954" i="44"/>
  <c r="M959" i="44"/>
  <c r="K979" i="44"/>
  <c r="H1029" i="44"/>
  <c r="U1029" i="44"/>
  <c r="M1034" i="44"/>
  <c r="O1064" i="44"/>
  <c r="G522" i="44"/>
  <c r="G523" i="44" s="1"/>
  <c r="J283" i="44"/>
  <c r="J284" i="44" s="1"/>
  <c r="E431" i="44"/>
  <c r="F582" i="44"/>
  <c r="F583" i="44" s="1"/>
  <c r="R582" i="44"/>
  <c r="R583" i="44" s="1"/>
  <c r="R1014" i="44"/>
  <c r="N1034" i="44"/>
  <c r="P1064" i="44"/>
  <c r="T1163" i="44"/>
  <c r="Q1143" i="44"/>
  <c r="H143" i="44"/>
  <c r="H144" i="44" s="1"/>
  <c r="U143" i="44"/>
  <c r="U144" i="44" s="1"/>
  <c r="L695" i="44"/>
  <c r="L696" i="44" s="1"/>
  <c r="N746" i="44"/>
  <c r="N747" i="44" s="1"/>
  <c r="K962" i="44"/>
  <c r="E983" i="44"/>
  <c r="N994" i="44"/>
  <c r="R1079" i="44"/>
  <c r="H963" i="44"/>
  <c r="M969" i="44"/>
  <c r="O994" i="44"/>
  <c r="L1084" i="44"/>
  <c r="Q999" i="44"/>
  <c r="K801" i="44"/>
  <c r="K802" i="44" s="1"/>
  <c r="M817" i="44"/>
  <c r="M818" i="44" s="1"/>
  <c r="G954" i="44"/>
  <c r="S954" i="44"/>
  <c r="K959" i="44"/>
  <c r="I979" i="44"/>
  <c r="R1029" i="44"/>
  <c r="K1034" i="44"/>
  <c r="Q1069" i="44"/>
  <c r="I1079" i="44"/>
  <c r="N1084" i="44"/>
  <c r="O1099" i="44"/>
  <c r="N105" i="44"/>
  <c r="N106" i="44" s="1"/>
  <c r="K341" i="44"/>
  <c r="K342" i="44" s="1"/>
  <c r="I497" i="44"/>
  <c r="I498" i="44" s="1"/>
  <c r="I514" i="44"/>
  <c r="I515" i="44" s="1"/>
  <c r="G227" i="44"/>
  <c r="G228" i="44" s="1"/>
  <c r="M315" i="44"/>
  <c r="M316" i="44" s="1"/>
  <c r="R328" i="44"/>
  <c r="R329" i="44" s="1"/>
  <c r="L341" i="44"/>
  <c r="M418" i="44"/>
  <c r="M419" i="44" s="1"/>
  <c r="H676" i="44"/>
  <c r="H677" i="44" s="1"/>
  <c r="E695" i="44"/>
  <c r="E696" i="44" s="1"/>
  <c r="Q695" i="44"/>
  <c r="Q696" i="44" s="1"/>
  <c r="G746" i="44"/>
  <c r="G747" i="44" s="1"/>
  <c r="N817" i="44"/>
  <c r="N818" i="44" s="1"/>
  <c r="J849" i="44"/>
  <c r="J850" i="44" s="1"/>
  <c r="G868" i="44"/>
  <c r="G869" i="44" s="1"/>
  <c r="H954" i="44"/>
  <c r="E974" i="44"/>
  <c r="J979" i="44"/>
  <c r="L1044" i="44"/>
  <c r="J1079" i="44"/>
  <c r="Q1109" i="44"/>
  <c r="K439" i="44"/>
  <c r="K440" i="44" s="1"/>
  <c r="S522" i="44"/>
  <c r="S523" i="44" s="1"/>
  <c r="P105" i="44"/>
  <c r="P106" i="44" s="1"/>
  <c r="H227" i="44"/>
  <c r="H228" i="44" s="1"/>
  <c r="U227" i="44"/>
  <c r="U228" i="44" s="1"/>
  <c r="G1001" i="44"/>
  <c r="N982" i="44"/>
  <c r="H1059" i="44"/>
  <c r="U1059" i="44"/>
  <c r="L1099" i="44"/>
  <c r="E1099" i="44"/>
  <c r="Q1099" i="44"/>
  <c r="E1109" i="44"/>
  <c r="Q1094" i="44"/>
  <c r="K418" i="44"/>
  <c r="K419" i="44" s="1"/>
  <c r="G1124" i="44"/>
  <c r="S1124" i="44"/>
  <c r="K1164" i="44"/>
  <c r="E377" i="44"/>
  <c r="I448" i="44"/>
  <c r="G1171" i="44"/>
  <c r="G1194" i="44" s="1"/>
  <c r="S1171" i="44"/>
  <c r="S1194" i="44" s="1"/>
  <c r="V1163" i="44"/>
  <c r="R341" i="44"/>
  <c r="R342" i="44" s="1"/>
  <c r="G769" i="44"/>
  <c r="H755" i="44"/>
  <c r="M1172" i="44"/>
  <c r="M1195" i="44" s="1"/>
  <c r="I143" i="44"/>
  <c r="I144" i="44" s="1"/>
  <c r="G418" i="44"/>
  <c r="G419" i="44" s="1"/>
  <c r="S418" i="44"/>
  <c r="S419" i="44" s="1"/>
  <c r="G544" i="44"/>
  <c r="G545" i="44" s="1"/>
  <c r="S544" i="44"/>
  <c r="S545" i="44" s="1"/>
  <c r="P571" i="44"/>
  <c r="P572" i="44" s="1"/>
  <c r="J695" i="44"/>
  <c r="J696" i="44" s="1"/>
  <c r="K746" i="44"/>
  <c r="K747" i="44" s="1"/>
  <c r="P801" i="44"/>
  <c r="P802" i="44" s="1"/>
  <c r="N849" i="44"/>
  <c r="N850" i="44" s="1"/>
  <c r="H341" i="44"/>
  <c r="H342" i="44" s="1"/>
  <c r="U341" i="44"/>
  <c r="U342" i="44" s="1"/>
  <c r="H544" i="44"/>
  <c r="H545" i="44" s="1"/>
  <c r="U544" i="44"/>
  <c r="U545" i="44" s="1"/>
  <c r="E571" i="44"/>
  <c r="Q571" i="44"/>
  <c r="Q572" i="44" s="1"/>
  <c r="N676" i="44"/>
  <c r="N677" i="44" s="1"/>
  <c r="K695" i="44"/>
  <c r="K696" i="44" s="1"/>
  <c r="G791" i="44"/>
  <c r="H195" i="44"/>
  <c r="U195" i="44"/>
  <c r="E468" i="44"/>
  <c r="M626" i="44"/>
  <c r="M627" i="44" s="1"/>
  <c r="M1171" i="44"/>
  <c r="M1194" i="44" s="1"/>
  <c r="E967" i="44"/>
  <c r="E982" i="44" s="1"/>
  <c r="H448" i="44"/>
  <c r="P1171" i="44"/>
  <c r="P1194" i="44" s="1"/>
  <c r="O195" i="44"/>
  <c r="R377" i="44"/>
  <c r="K431" i="44"/>
  <c r="L439" i="44"/>
  <c r="L440" i="44" s="1"/>
  <c r="G507" i="44"/>
  <c r="S507" i="44"/>
  <c r="K644" i="44"/>
  <c r="J687" i="44"/>
  <c r="H1143" i="44"/>
  <c r="L254" i="44"/>
  <c r="L431" i="44"/>
  <c r="M982" i="44"/>
  <c r="R994" i="44"/>
  <c r="P1014" i="44"/>
  <c r="J1069" i="44"/>
  <c r="J582" i="44"/>
  <c r="J583" i="44" s="1"/>
  <c r="L687" i="44"/>
  <c r="P962" i="44"/>
  <c r="L963" i="44"/>
  <c r="Q969" i="44"/>
  <c r="J983" i="44"/>
  <c r="S1044" i="44"/>
  <c r="E769" i="44"/>
  <c r="O982" i="44"/>
  <c r="I999" i="44"/>
  <c r="M1074" i="44"/>
  <c r="M1079" i="44"/>
  <c r="E1084" i="44"/>
  <c r="Q1084" i="44"/>
  <c r="E1094" i="44"/>
  <c r="G1109" i="44"/>
  <c r="S1109" i="44"/>
  <c r="L1114" i="44"/>
  <c r="L1172" i="44"/>
  <c r="L1195" i="44" s="1"/>
  <c r="J143" i="44"/>
  <c r="J144" i="44" s="1"/>
  <c r="G315" i="44"/>
  <c r="G316" i="44" s="1"/>
  <c r="E418" i="44"/>
  <c r="E419" i="44" s="1"/>
  <c r="Q418" i="44"/>
  <c r="Q419" i="44" s="1"/>
  <c r="M497" i="44"/>
  <c r="M498" i="44" s="1"/>
  <c r="M514" i="44"/>
  <c r="M515" i="44" s="1"/>
  <c r="K522" i="44"/>
  <c r="K523" i="44" s="1"/>
  <c r="K571" i="44"/>
  <c r="K572" i="44" s="1"/>
  <c r="R676" i="44"/>
  <c r="R677" i="44" s="1"/>
  <c r="O695" i="44"/>
  <c r="O696" i="44" s="1"/>
  <c r="O720" i="44"/>
  <c r="O721" i="44" s="1"/>
  <c r="R801" i="44"/>
  <c r="R802" i="44" s="1"/>
  <c r="H817" i="44"/>
  <c r="H818" i="44" s="1"/>
  <c r="E879" i="44"/>
  <c r="E880" i="44" s="1"/>
  <c r="Q879" i="44"/>
  <c r="Q880" i="44" s="1"/>
  <c r="M979" i="44"/>
  <c r="Q989" i="44"/>
  <c r="H999" i="44"/>
  <c r="I1034" i="44"/>
  <c r="H1109" i="44"/>
  <c r="U1109" i="44"/>
  <c r="M1114" i="44"/>
  <c r="M105" i="44"/>
  <c r="M106" i="44" s="1"/>
  <c r="K143" i="44"/>
  <c r="K144" i="44" s="1"/>
  <c r="O227" i="44"/>
  <c r="O228" i="44" s="1"/>
  <c r="P283" i="44"/>
  <c r="P284" i="44" s="1"/>
  <c r="H298" i="44"/>
  <c r="H299" i="44" s="1"/>
  <c r="U298" i="44"/>
  <c r="U299" i="44" s="1"/>
  <c r="H315" i="44"/>
  <c r="H316" i="44" s="1"/>
  <c r="U315" i="44"/>
  <c r="U316" i="44" s="1"/>
  <c r="M328" i="44"/>
  <c r="M329" i="44" s="1"/>
  <c r="R418" i="44"/>
  <c r="R419" i="44" s="1"/>
  <c r="N497" i="44"/>
  <c r="N498" i="44" s="1"/>
  <c r="N514" i="44"/>
  <c r="N515" i="44" s="1"/>
  <c r="G559" i="44"/>
  <c r="G560" i="44" s="1"/>
  <c r="S559" i="44"/>
  <c r="S560" i="44" s="1"/>
  <c r="E660" i="44"/>
  <c r="E661" i="44" s="1"/>
  <c r="Q660" i="44"/>
  <c r="Q661" i="44" s="1"/>
  <c r="P720" i="44"/>
  <c r="P721" i="44" s="1"/>
  <c r="K783" i="44"/>
  <c r="K784" i="44" s="1"/>
  <c r="G801" i="44"/>
  <c r="G802" i="44" s="1"/>
  <c r="S801" i="44"/>
  <c r="S802" i="44" s="1"/>
  <c r="I817" i="44"/>
  <c r="I818" i="44" s="1"/>
  <c r="P849" i="44"/>
  <c r="P850" i="44" s="1"/>
  <c r="J949" i="44"/>
  <c r="L954" i="44"/>
  <c r="Q982" i="44"/>
  <c r="M983" i="44"/>
  <c r="N979" i="44"/>
  <c r="J994" i="44"/>
  <c r="H1014" i="44"/>
  <c r="U1014" i="44"/>
  <c r="P1094" i="44"/>
  <c r="H1099" i="44"/>
  <c r="I1109" i="44"/>
  <c r="N1124" i="44"/>
  <c r="Q283" i="44"/>
  <c r="Q284" i="44" s="1"/>
  <c r="I315" i="44"/>
  <c r="I316" i="44" s="1"/>
  <c r="P448" i="44"/>
  <c r="R626" i="44"/>
  <c r="R627" i="44" s="1"/>
  <c r="K776" i="44"/>
  <c r="V779" i="44"/>
  <c r="V1098" i="44" s="1"/>
  <c r="O857" i="44"/>
  <c r="H962" i="44"/>
  <c r="U962" i="44"/>
  <c r="P963" i="44"/>
  <c r="R982" i="44"/>
  <c r="N983" i="44"/>
  <c r="J974" i="44"/>
  <c r="K994" i="44"/>
  <c r="Q1059" i="44"/>
  <c r="H1094" i="44"/>
  <c r="U1094" i="44"/>
  <c r="O105" i="44"/>
  <c r="O106" i="44" s="1"/>
  <c r="M114" i="44"/>
  <c r="L261" i="44"/>
  <c r="O328" i="44"/>
  <c r="O329" i="44" s="1"/>
  <c r="E458" i="44"/>
  <c r="E459" i="44" s="1"/>
  <c r="Q458" i="44"/>
  <c r="Q459" i="44" s="1"/>
  <c r="P497" i="44"/>
  <c r="P498" i="44" s="1"/>
  <c r="P514" i="44"/>
  <c r="P515" i="44" s="1"/>
  <c r="N522" i="44"/>
  <c r="N523" i="44" s="1"/>
  <c r="G582" i="44"/>
  <c r="G583" i="44" s="1"/>
  <c r="S582" i="44"/>
  <c r="S583" i="44" s="1"/>
  <c r="G626" i="44"/>
  <c r="G627" i="44" s="1"/>
  <c r="S626" i="44"/>
  <c r="S627" i="44" s="1"/>
  <c r="M783" i="44"/>
  <c r="M784" i="44" s="1"/>
  <c r="K817" i="44"/>
  <c r="K818" i="44" s="1"/>
  <c r="R849" i="44"/>
  <c r="R850" i="44" s="1"/>
  <c r="M868" i="44"/>
  <c r="M869" i="44" s="1"/>
  <c r="H879" i="44"/>
  <c r="H880" i="44" s="1"/>
  <c r="N954" i="44"/>
  <c r="R959" i="44"/>
  <c r="P979" i="44"/>
  <c r="H989" i="44"/>
  <c r="U989" i="44"/>
  <c r="M999" i="44"/>
  <c r="L1034" i="44"/>
  <c r="L1064" i="44"/>
  <c r="E1074" i="44"/>
  <c r="Q1074" i="44"/>
  <c r="I1084" i="44"/>
  <c r="J1099" i="44"/>
  <c r="P1114" i="44"/>
  <c r="G1172" i="44"/>
  <c r="G1195" i="44" s="1"/>
  <c r="G152" i="44"/>
  <c r="S152" i="44"/>
  <c r="F385" i="44"/>
  <c r="R448" i="44"/>
  <c r="P468" i="44"/>
  <c r="L522" i="44"/>
  <c r="L523" i="44" s="1"/>
  <c r="T640" i="44"/>
  <c r="K660" i="44"/>
  <c r="K661" i="44" s="1"/>
  <c r="U695" i="44"/>
  <c r="U696" i="44" s="1"/>
  <c r="S746" i="44"/>
  <c r="S747" i="44" s="1"/>
  <c r="I769" i="44"/>
  <c r="R1001" i="44"/>
  <c r="L114" i="44"/>
  <c r="H152" i="44"/>
  <c r="K254" i="44"/>
  <c r="Q377" i="44"/>
  <c r="V615" i="44"/>
  <c r="V1022" i="44" s="1"/>
  <c r="V1024" i="44" s="1"/>
  <c r="V638" i="44"/>
  <c r="T1013" i="44"/>
  <c r="T1128" i="44"/>
  <c r="G762" i="44"/>
  <c r="S762" i="44"/>
  <c r="J769" i="44"/>
  <c r="H868" i="44"/>
  <c r="H869" i="44" s="1"/>
  <c r="Q1019" i="44"/>
  <c r="R1074" i="44"/>
  <c r="N1094" i="44"/>
  <c r="N1099" i="44"/>
  <c r="N1109" i="44"/>
  <c r="R1114" i="44"/>
  <c r="R1124" i="44"/>
  <c r="R1159" i="44"/>
  <c r="N114" i="44"/>
  <c r="Q239" i="44"/>
  <c r="P357" i="44"/>
  <c r="G377" i="44"/>
  <c r="S755" i="44"/>
  <c r="J868" i="44"/>
  <c r="J869" i="44" s="1"/>
  <c r="O1029" i="44"/>
  <c r="H1034" i="44"/>
  <c r="U1034" i="44"/>
  <c r="H1044" i="44"/>
  <c r="U1044" i="44"/>
  <c r="G1064" i="44"/>
  <c r="S1064" i="44"/>
  <c r="L1079" i="44"/>
  <c r="H1114" i="44"/>
  <c r="U1159" i="44"/>
  <c r="H1164" i="44"/>
  <c r="R629" i="44"/>
  <c r="P261" i="44"/>
  <c r="J385" i="44"/>
  <c r="V435" i="44"/>
  <c r="V437" i="44" s="1"/>
  <c r="P458" i="44"/>
  <c r="P459" i="44" s="1"/>
  <c r="J762" i="44"/>
  <c r="S1014" i="44"/>
  <c r="N1059" i="44"/>
  <c r="E261" i="44"/>
  <c r="Q261" i="44"/>
  <c r="I367" i="44"/>
  <c r="M439" i="44"/>
  <c r="M440" i="44" s="1"/>
  <c r="P582" i="44"/>
  <c r="P583" i="44" s="1"/>
  <c r="P660" i="44"/>
  <c r="P661" i="44" s="1"/>
  <c r="E676" i="44"/>
  <c r="E677" i="44" s="1"/>
  <c r="Q676" i="44"/>
  <c r="Q677" i="44" s="1"/>
  <c r="H994" i="44"/>
  <c r="E1029" i="44"/>
  <c r="Q1029" i="44"/>
  <c r="I1064" i="44"/>
  <c r="R1084" i="44"/>
  <c r="R1099" i="44"/>
  <c r="R1109" i="44"/>
  <c r="J1124" i="44"/>
  <c r="H183" i="44"/>
  <c r="U183" i="44"/>
  <c r="O239" i="44"/>
  <c r="P254" i="44"/>
  <c r="M283" i="44"/>
  <c r="M284" i="44" s="1"/>
  <c r="G357" i="44"/>
  <c r="J828" i="44"/>
  <c r="I868" i="44"/>
  <c r="I869" i="44" s="1"/>
  <c r="N1143" i="44"/>
  <c r="K1044" i="44"/>
  <c r="G1044" i="44"/>
  <c r="N1069" i="44"/>
  <c r="G1094" i="44"/>
  <c r="S1094" i="44"/>
  <c r="K1172" i="44"/>
  <c r="K1195" i="44" s="1"/>
  <c r="E238" i="44"/>
  <c r="E239" i="44" s="1"/>
  <c r="P239" i="44"/>
  <c r="V749" i="44"/>
  <c r="V753" i="44" s="1"/>
  <c r="V754" i="44" s="1"/>
  <c r="M949" i="44"/>
  <c r="R963" i="44"/>
  <c r="P983" i="44"/>
  <c r="G114" i="44"/>
  <c r="S114" i="44"/>
  <c r="O152" i="44"/>
  <c r="M195" i="44"/>
  <c r="L468" i="44"/>
  <c r="O475" i="44"/>
  <c r="H507" i="44"/>
  <c r="L544" i="44"/>
  <c r="L545" i="44" s="1"/>
  <c r="R593" i="44"/>
  <c r="R594" i="44" s="1"/>
  <c r="H626" i="44"/>
  <c r="H627" i="44" s="1"/>
  <c r="U626" i="44"/>
  <c r="U627" i="44" s="1"/>
  <c r="J882" i="44"/>
  <c r="U676" i="44"/>
  <c r="U677" i="44" s="1"/>
  <c r="G776" i="44"/>
  <c r="F791" i="44"/>
  <c r="I857" i="44"/>
  <c r="K183" i="44"/>
  <c r="I341" i="44"/>
  <c r="I342" i="44" s="1"/>
  <c r="O385" i="44"/>
  <c r="Q720" i="44"/>
  <c r="Q721" i="44" s="1"/>
  <c r="O762" i="44"/>
  <c r="S105" i="44"/>
  <c r="S106" i="44" s="1"/>
  <c r="G239" i="44"/>
  <c r="K315" i="44"/>
  <c r="K316" i="44" s="1"/>
  <c r="H418" i="44"/>
  <c r="H419" i="44" s="1"/>
  <c r="U418" i="44"/>
  <c r="U419" i="44" s="1"/>
  <c r="F439" i="44"/>
  <c r="F440" i="44" s="1"/>
  <c r="R439" i="44"/>
  <c r="R440" i="44" s="1"/>
  <c r="N458" i="44"/>
  <c r="N459" i="44" s="1"/>
  <c r="F483" i="44"/>
  <c r="R483" i="44"/>
  <c r="L497" i="44"/>
  <c r="L498" i="44" s="1"/>
  <c r="N544" i="44"/>
  <c r="N545" i="44" s="1"/>
  <c r="I660" i="44"/>
  <c r="I661" i="44" s="1"/>
  <c r="R720" i="44"/>
  <c r="R721" i="44" s="1"/>
  <c r="E746" i="44"/>
  <c r="E747" i="44" s="1"/>
  <c r="Q746" i="44"/>
  <c r="Q747" i="44" s="1"/>
  <c r="S769" i="44"/>
  <c r="I783" i="44"/>
  <c r="I784" i="44" s="1"/>
  <c r="E801" i="44"/>
  <c r="E802" i="44" s="1"/>
  <c r="Q801" i="44"/>
  <c r="Q802" i="44" s="1"/>
  <c r="M849" i="44"/>
  <c r="M850" i="44" s="1"/>
  <c r="E868" i="44"/>
  <c r="E869" i="44" s="1"/>
  <c r="Q868" i="44"/>
  <c r="Q869" i="44" s="1"/>
  <c r="L879" i="44"/>
  <c r="L880" i="44" s="1"/>
  <c r="J959" i="44"/>
  <c r="H979" i="44"/>
  <c r="U979" i="44"/>
  <c r="L989" i="44"/>
  <c r="J1029" i="44"/>
  <c r="G1074" i="44"/>
  <c r="K1084" i="44"/>
  <c r="K1094" i="44"/>
  <c r="K1099" i="44"/>
  <c r="K1109" i="44"/>
  <c r="O1114" i="44"/>
  <c r="S1172" i="44"/>
  <c r="S1195" i="44" s="1"/>
  <c r="M183" i="44"/>
  <c r="I349" i="44"/>
  <c r="R475" i="44"/>
  <c r="V671" i="44"/>
  <c r="K676" i="44"/>
  <c r="K677" i="44" s="1"/>
  <c r="G687" i="44"/>
  <c r="S687" i="44"/>
  <c r="L857" i="44"/>
  <c r="N962" i="44"/>
  <c r="J963" i="44"/>
  <c r="L982" i="44"/>
  <c r="P974" i="44"/>
  <c r="S1069" i="44"/>
  <c r="P1172" i="44"/>
  <c r="P1195" i="44" s="1"/>
  <c r="K78" i="44"/>
  <c r="K79" i="44" s="1"/>
  <c r="L152" i="44"/>
  <c r="F195" i="44"/>
  <c r="R195" i="44"/>
  <c r="R239" i="44"/>
  <c r="M261" i="44"/>
  <c r="K298" i="44"/>
  <c r="K299" i="44" s="1"/>
  <c r="S315" i="44"/>
  <c r="S316" i="44" s="1"/>
  <c r="O357" i="44"/>
  <c r="N431" i="44"/>
  <c r="O626" i="44"/>
  <c r="O627" i="44" s="1"/>
  <c r="V867" i="44"/>
  <c r="U106" i="44"/>
  <c r="R114" i="44"/>
  <c r="M152" i="44"/>
  <c r="G195" i="44"/>
  <c r="N261" i="44"/>
  <c r="O349" i="44"/>
  <c r="P367" i="44"/>
  <c r="O431" i="44"/>
  <c r="J448" i="44"/>
  <c r="G475" i="44"/>
  <c r="S475" i="44"/>
  <c r="G483" i="44"/>
  <c r="S483" i="44"/>
  <c r="K687" i="44"/>
  <c r="T753" i="44"/>
  <c r="T754" i="44" s="1"/>
  <c r="U762" i="44"/>
  <c r="N999" i="44"/>
  <c r="P1069" i="44"/>
  <c r="V24" i="44"/>
  <c r="V1066" i="44" s="1"/>
  <c r="H239" i="44"/>
  <c r="U239" i="44"/>
  <c r="P349" i="44"/>
  <c r="Q357" i="44"/>
  <c r="K448" i="44"/>
  <c r="Q468" i="44"/>
  <c r="I762" i="44"/>
  <c r="L776" i="44"/>
  <c r="I791" i="44"/>
  <c r="L828" i="44"/>
  <c r="N857" i="44"/>
  <c r="S949" i="44"/>
  <c r="N78" i="44"/>
  <c r="N79" i="44" s="1"/>
  <c r="J105" i="44"/>
  <c r="J106" i="44" s="1"/>
  <c r="Q143" i="44"/>
  <c r="Q144" i="44" s="1"/>
  <c r="I239" i="44"/>
  <c r="R254" i="44"/>
  <c r="J315" i="44"/>
  <c r="J316" i="44" s="1"/>
  <c r="P385" i="44"/>
  <c r="R468" i="44"/>
  <c r="I475" i="44"/>
  <c r="I483" i="44"/>
  <c r="L571" i="44"/>
  <c r="L572" i="44" s="1"/>
  <c r="S868" i="44"/>
  <c r="S869" i="44" s="1"/>
  <c r="M879" i="44"/>
  <c r="M880" i="44" s="1"/>
  <c r="E1143" i="44"/>
  <c r="O78" i="44"/>
  <c r="O79" i="44" s="1"/>
  <c r="V1132" i="44"/>
  <c r="I114" i="44"/>
  <c r="R143" i="44"/>
  <c r="R144" i="44" s="1"/>
  <c r="E195" i="44"/>
  <c r="R349" i="44"/>
  <c r="S357" i="44"/>
  <c r="P377" i="44"/>
  <c r="J483" i="44"/>
  <c r="N507" i="44"/>
  <c r="H559" i="44"/>
  <c r="H560" i="44" s="1"/>
  <c r="U559" i="44"/>
  <c r="U560" i="44" s="1"/>
  <c r="M571" i="44"/>
  <c r="M572" i="44" s="1"/>
  <c r="T581" i="44"/>
  <c r="N687" i="44"/>
  <c r="K755" i="44"/>
  <c r="M769" i="44"/>
  <c r="N776" i="44"/>
  <c r="P868" i="44"/>
  <c r="P869" i="44" s="1"/>
  <c r="K963" i="44"/>
  <c r="N1019" i="44"/>
  <c r="J1172" i="44"/>
  <c r="J1195" i="44" s="1"/>
  <c r="P78" i="44"/>
  <c r="P79" i="44" s="1"/>
  <c r="E152" i="44"/>
  <c r="K195" i="44"/>
  <c r="R261" i="44"/>
  <c r="P298" i="44"/>
  <c r="P299" i="44" s="1"/>
  <c r="P328" i="44"/>
  <c r="P329" i="44" s="1"/>
  <c r="H357" i="44"/>
  <c r="R385" i="44"/>
  <c r="H458" i="44"/>
  <c r="H459" i="44" s="1"/>
  <c r="U458" i="44"/>
  <c r="U459" i="44" s="1"/>
  <c r="E497" i="44"/>
  <c r="E498" i="44" s="1"/>
  <c r="Q497" i="44"/>
  <c r="Q498" i="44" s="1"/>
  <c r="R544" i="44"/>
  <c r="R545" i="44" s="1"/>
  <c r="I559" i="44"/>
  <c r="I560" i="44" s="1"/>
  <c r="E582" i="44"/>
  <c r="E583" i="44" s="1"/>
  <c r="L593" i="44"/>
  <c r="L594" i="44" s="1"/>
  <c r="G660" i="44"/>
  <c r="G661" i="44" s="1"/>
  <c r="S660" i="44"/>
  <c r="S661" i="44" s="1"/>
  <c r="G676" i="44"/>
  <c r="G677" i="44" s="1"/>
  <c r="S676" i="44"/>
  <c r="S677" i="44" s="1"/>
  <c r="H720" i="44"/>
  <c r="H721" i="44" s="1"/>
  <c r="L755" i="44"/>
  <c r="N769" i="44"/>
  <c r="L791" i="44"/>
  <c r="O828" i="44"/>
  <c r="E857" i="44"/>
  <c r="Q857" i="44"/>
  <c r="H983" i="44"/>
  <c r="U983" i="44"/>
  <c r="M989" i="44"/>
  <c r="Q994" i="44"/>
  <c r="K1069" i="44"/>
  <c r="U1069" i="44"/>
  <c r="K114" i="44"/>
  <c r="R152" i="44"/>
  <c r="J183" i="44"/>
  <c r="M227" i="44"/>
  <c r="M228" i="44" s="1"/>
  <c r="G261" i="44"/>
  <c r="S261" i="44"/>
  <c r="H349" i="44"/>
  <c r="I357" i="44"/>
  <c r="G385" i="44"/>
  <c r="O448" i="44"/>
  <c r="L475" i="44"/>
  <c r="L483" i="44"/>
  <c r="L626" i="44"/>
  <c r="L627" i="44" s="1"/>
  <c r="I626" i="44"/>
  <c r="I627" i="44" s="1"/>
  <c r="P687" i="44"/>
  <c r="V1128" i="44"/>
  <c r="M755" i="44"/>
  <c r="M762" i="44"/>
  <c r="P828" i="44"/>
  <c r="R857" i="44"/>
  <c r="U1001" i="44"/>
  <c r="L961" i="44"/>
  <c r="L1001" i="44" s="1"/>
  <c r="N989" i="44"/>
  <c r="G999" i="44"/>
  <c r="S999" i="44"/>
  <c r="J1171" i="44"/>
  <c r="J1194" i="44" s="1"/>
  <c r="M239" i="44"/>
  <c r="H261" i="44"/>
  <c r="U349" i="44"/>
  <c r="J357" i="44"/>
  <c r="J367" i="44"/>
  <c r="S377" i="44"/>
  <c r="U385" i="44"/>
  <c r="I431" i="44"/>
  <c r="G439" i="44"/>
  <c r="G440" i="44" s="1"/>
  <c r="J468" i="44"/>
  <c r="M475" i="44"/>
  <c r="T580" i="44"/>
  <c r="J644" i="44"/>
  <c r="E687" i="44"/>
  <c r="E776" i="44"/>
  <c r="P783" i="44"/>
  <c r="P784" i="44" s="1"/>
  <c r="G857" i="44"/>
  <c r="S857" i="44"/>
  <c r="J349" i="44"/>
  <c r="K367" i="44"/>
  <c r="K468" i="44"/>
  <c r="V580" i="44"/>
  <c r="J660" i="44"/>
  <c r="J661" i="44" s="1"/>
  <c r="J676" i="44"/>
  <c r="J677" i="44" s="1"/>
  <c r="P695" i="44"/>
  <c r="P696" i="44" s="1"/>
  <c r="R746" i="44"/>
  <c r="R747" i="44" s="1"/>
  <c r="Q769" i="44"/>
  <c r="R776" i="44"/>
  <c r="I801" i="44"/>
  <c r="I802" i="44" s="1"/>
  <c r="J817" i="44"/>
  <c r="J818" i="44" s="1"/>
  <c r="L849" i="44"/>
  <c r="L850" i="44" s="1"/>
  <c r="L868" i="44"/>
  <c r="L869" i="44" s="1"/>
  <c r="G962" i="44"/>
  <c r="S962" i="44"/>
  <c r="O963" i="44"/>
  <c r="K954" i="44"/>
  <c r="O959" i="44"/>
  <c r="N1029" i="44"/>
  <c r="G1034" i="44"/>
  <c r="S1034" i="44"/>
  <c r="Q1044" i="44"/>
  <c r="O1079" i="44"/>
  <c r="L1171" i="44"/>
  <c r="L1194" i="44" s="1"/>
  <c r="F1164" i="44"/>
  <c r="R769" i="44"/>
  <c r="S776" i="44"/>
  <c r="P791" i="44"/>
  <c r="L983" i="44"/>
  <c r="H974" i="44"/>
  <c r="I994" i="44"/>
  <c r="R1141" i="44"/>
  <c r="R1189" i="44" s="1"/>
  <c r="G1019" i="44"/>
  <c r="G1164" i="44"/>
  <c r="S1164" i="44"/>
  <c r="I78" i="44"/>
  <c r="I79" i="44" s="1"/>
  <c r="Q105" i="44"/>
  <c r="Q106" i="44" s="1"/>
  <c r="N183" i="44"/>
  <c r="M254" i="44"/>
  <c r="I298" i="44"/>
  <c r="I299" i="44" s="1"/>
  <c r="M357" i="44"/>
  <c r="M367" i="44"/>
  <c r="J377" i="44"/>
  <c r="U507" i="44"/>
  <c r="J514" i="44"/>
  <c r="J515" i="44" s="1"/>
  <c r="H522" i="44"/>
  <c r="H523" i="44" s="1"/>
  <c r="U522" i="44"/>
  <c r="U523" i="44" s="1"/>
  <c r="K544" i="44"/>
  <c r="K545" i="44" s="1"/>
  <c r="N559" i="44"/>
  <c r="N560" i="44" s="1"/>
  <c r="E593" i="44"/>
  <c r="E594" i="44" s="1"/>
  <c r="Q593" i="44"/>
  <c r="Q594" i="44" s="1"/>
  <c r="M644" i="44"/>
  <c r="E755" i="44"/>
  <c r="Q755" i="44"/>
  <c r="H776" i="44"/>
  <c r="Q791" i="44"/>
  <c r="H828" i="44"/>
  <c r="J857" i="44"/>
  <c r="N868" i="44"/>
  <c r="N869" i="44" s="1"/>
  <c r="K999" i="44"/>
  <c r="H1019" i="44"/>
  <c r="O1124" i="44"/>
  <c r="O1129" i="44"/>
  <c r="N1171" i="44"/>
  <c r="N1194" i="44" s="1"/>
  <c r="U1164" i="44"/>
  <c r="Q195" i="44"/>
  <c r="R227" i="44"/>
  <c r="R228" i="44" s="1"/>
  <c r="J328" i="44"/>
  <c r="J329" i="44" s="1"/>
  <c r="N357" i="44"/>
  <c r="N367" i="44"/>
  <c r="E626" i="44"/>
  <c r="Q626" i="44"/>
  <c r="Q627" i="44" s="1"/>
  <c r="M660" i="44"/>
  <c r="M661" i="44" s="1"/>
  <c r="I676" i="44"/>
  <c r="I677" i="44" s="1"/>
  <c r="I687" i="44"/>
  <c r="G695" i="44"/>
  <c r="G696" i="44" s="1"/>
  <c r="V702" i="44"/>
  <c r="T781" i="44"/>
  <c r="R791" i="44"/>
  <c r="L801" i="44"/>
  <c r="L802" i="44" s="1"/>
  <c r="O849" i="44"/>
  <c r="O850" i="44" s="1"/>
  <c r="U857" i="44"/>
  <c r="J1114" i="44"/>
  <c r="H1124" i="44"/>
  <c r="O1171" i="44"/>
  <c r="O1194" i="44" s="1"/>
  <c r="I1164" i="44"/>
  <c r="V23" i="44"/>
  <c r="V1041" i="44" s="1"/>
  <c r="P629" i="44"/>
  <c r="J227" i="44"/>
  <c r="J228" i="44" s="1"/>
  <c r="S227" i="44"/>
  <c r="S228" i="44" s="1"/>
  <c r="N283" i="44"/>
  <c r="N284" i="44" s="1"/>
  <c r="H468" i="44"/>
  <c r="U468" i="44"/>
  <c r="Q629" i="44"/>
  <c r="J114" i="44"/>
  <c r="E143" i="44"/>
  <c r="E144" i="44" s="1"/>
  <c r="P152" i="44"/>
  <c r="K227" i="44"/>
  <c r="K228" i="44" s="1"/>
  <c r="O283" i="44"/>
  <c r="O284" i="44" s="1"/>
  <c r="L342" i="44"/>
  <c r="R357" i="44"/>
  <c r="H377" i="44"/>
  <c r="U377" i="44"/>
  <c r="S385" i="44"/>
  <c r="M431" i="44"/>
  <c r="K458" i="44"/>
  <c r="K459" i="44" s="1"/>
  <c r="I468" i="44"/>
  <c r="J475" i="44"/>
  <c r="T481" i="44"/>
  <c r="T482" i="44" s="1"/>
  <c r="T780" i="44"/>
  <c r="T782" i="44"/>
  <c r="V778" i="44"/>
  <c r="Q152" i="44"/>
  <c r="L183" i="44"/>
  <c r="J195" i="44"/>
  <c r="I377" i="44"/>
  <c r="H385" i="44"/>
  <c r="U448" i="44"/>
  <c r="L459" i="44"/>
  <c r="K475" i="44"/>
  <c r="K483" i="44"/>
  <c r="K769" i="44"/>
  <c r="N254" i="44"/>
  <c r="V52" i="44"/>
  <c r="L195" i="44"/>
  <c r="I195" i="44"/>
  <c r="V1137" i="44"/>
  <c r="V1139" i="44" s="1"/>
  <c r="J239" i="44"/>
  <c r="O254" i="44"/>
  <c r="F298" i="44"/>
  <c r="F299" i="44" s="1"/>
  <c r="R298" i="44"/>
  <c r="R299" i="44" s="1"/>
  <c r="E357" i="44"/>
  <c r="Q367" i="44"/>
  <c r="P431" i="44"/>
  <c r="G448" i="44"/>
  <c r="M483" i="44"/>
  <c r="G78" i="44"/>
  <c r="G79" i="44" s="1"/>
  <c r="S78" i="44"/>
  <c r="S79" i="44" s="1"/>
  <c r="M143" i="44"/>
  <c r="M144" i="44" s="1"/>
  <c r="U152" i="44"/>
  <c r="O183" i="44"/>
  <c r="I261" i="44"/>
  <c r="U261" i="44"/>
  <c r="K328" i="44"/>
  <c r="K329" i="44" s="1"/>
  <c r="P341" i="44"/>
  <c r="P342" i="44" s="1"/>
  <c r="K349" i="44"/>
  <c r="F367" i="44"/>
  <c r="R367" i="44"/>
  <c r="L377" i="44"/>
  <c r="V379" i="44"/>
  <c r="K385" i="44"/>
  <c r="Q431" i="44"/>
  <c r="N439" i="44"/>
  <c r="N440" i="44" s="1"/>
  <c r="O458" i="44"/>
  <c r="O459" i="44" s="1"/>
  <c r="M468" i="44"/>
  <c r="N475" i="44"/>
  <c r="N483" i="44"/>
  <c r="R497" i="44"/>
  <c r="R498" i="44" s="1"/>
  <c r="I849" i="44"/>
  <c r="I850" i="44" s="1"/>
  <c r="J629" i="44"/>
  <c r="H78" i="44"/>
  <c r="H79" i="44" s="1"/>
  <c r="U78" i="44"/>
  <c r="U79" i="44" s="1"/>
  <c r="G105" i="44"/>
  <c r="G106" i="44" s="1"/>
  <c r="O114" i="44"/>
  <c r="N143" i="44"/>
  <c r="N144" i="44" s="1"/>
  <c r="I152" i="44"/>
  <c r="U165" i="44"/>
  <c r="P183" i="44"/>
  <c r="N195" i="44"/>
  <c r="P227" i="44"/>
  <c r="P228" i="44" s="1"/>
  <c r="Q254" i="44"/>
  <c r="H283" i="44"/>
  <c r="H284" i="44" s="1"/>
  <c r="U283" i="44"/>
  <c r="U284" i="44" s="1"/>
  <c r="T296" i="44"/>
  <c r="L328" i="44"/>
  <c r="L329" i="44" s="1"/>
  <c r="L349" i="44"/>
  <c r="K357" i="44"/>
  <c r="M377" i="44"/>
  <c r="L385" i="44"/>
  <c r="J418" i="44"/>
  <c r="J419" i="44" s="1"/>
  <c r="R431" i="44"/>
  <c r="O439" i="44"/>
  <c r="O440" i="44" s="1"/>
  <c r="L448" i="44"/>
  <c r="N468" i="44"/>
  <c r="O483" i="44"/>
  <c r="G497" i="44"/>
  <c r="G498" i="44" s="1"/>
  <c r="S497" i="44"/>
  <c r="S498" i="44" s="1"/>
  <c r="K629" i="44"/>
  <c r="H106" i="44"/>
  <c r="P114" i="44"/>
  <c r="J152" i="44"/>
  <c r="Q183" i="44"/>
  <c r="Q227" i="44"/>
  <c r="Q228" i="44" s="1"/>
  <c r="S239" i="44"/>
  <c r="K261" i="44"/>
  <c r="I283" i="44"/>
  <c r="I284" i="44" s="1"/>
  <c r="M349" i="44"/>
  <c r="L357" i="44"/>
  <c r="U367" i="44"/>
  <c r="N377" i="44"/>
  <c r="M385" i="44"/>
  <c r="G431" i="44"/>
  <c r="S431" i="44"/>
  <c r="M448" i="44"/>
  <c r="S448" i="44"/>
  <c r="O468" i="44"/>
  <c r="P475" i="44"/>
  <c r="R507" i="44"/>
  <c r="T1127" i="44"/>
  <c r="J78" i="44"/>
  <c r="J79" i="44" s="1"/>
  <c r="I105" i="44"/>
  <c r="I106" i="44" s="1"/>
  <c r="E114" i="44"/>
  <c r="Q114" i="44"/>
  <c r="K152" i="44"/>
  <c r="R183" i="44"/>
  <c r="P195" i="44"/>
  <c r="N239" i="44"/>
  <c r="G254" i="44"/>
  <c r="S254" i="44"/>
  <c r="J298" i="44"/>
  <c r="J299" i="44" s="1"/>
  <c r="N315" i="44"/>
  <c r="N316" i="44" s="1"/>
  <c r="N328" i="44"/>
  <c r="N329" i="44" s="1"/>
  <c r="G341" i="44"/>
  <c r="G342" i="44" s="1"/>
  <c r="O377" i="44"/>
  <c r="N385" i="44"/>
  <c r="L418" i="44"/>
  <c r="L419" i="44" s="1"/>
  <c r="H431" i="44"/>
  <c r="U431" i="44"/>
  <c r="E439" i="44"/>
  <c r="E440" i="44" s="1"/>
  <c r="Q439" i="44"/>
  <c r="Q440" i="44" s="1"/>
  <c r="N448" i="44"/>
  <c r="R458" i="44"/>
  <c r="R459" i="44" s="1"/>
  <c r="E475" i="44"/>
  <c r="Q475" i="44"/>
  <c r="E483" i="44"/>
  <c r="Q483" i="44"/>
  <c r="F571" i="44"/>
  <c r="R571" i="44"/>
  <c r="R572" i="44" s="1"/>
  <c r="H367" i="44"/>
  <c r="L78" i="44"/>
  <c r="L79" i="44" s="1"/>
  <c r="L298" i="44"/>
  <c r="L299" i="44" s="1"/>
  <c r="T313" i="44"/>
  <c r="S439" i="44"/>
  <c r="S440" i="44" s="1"/>
  <c r="K497" i="44"/>
  <c r="K498" i="44" s="1"/>
  <c r="T569" i="44"/>
  <c r="V564" i="44"/>
  <c r="M676" i="44"/>
  <c r="M677" i="44" s="1"/>
  <c r="R695" i="44"/>
  <c r="R696" i="44" s="1"/>
  <c r="T1077" i="44"/>
  <c r="K105" i="44"/>
  <c r="K106" i="44" s="1"/>
  <c r="M78" i="44"/>
  <c r="M79" i="44" s="1"/>
  <c r="L105" i="44"/>
  <c r="L106" i="44" s="1"/>
  <c r="U114" i="44"/>
  <c r="G143" i="44"/>
  <c r="G144" i="44" s="1"/>
  <c r="S143" i="44"/>
  <c r="S144" i="44" s="1"/>
  <c r="I183" i="44"/>
  <c r="S195" i="44"/>
  <c r="I227" i="44"/>
  <c r="I228" i="44" s="1"/>
  <c r="J254" i="44"/>
  <c r="O261" i="44"/>
  <c r="M298" i="44"/>
  <c r="M299" i="44" s="1"/>
  <c r="T297" i="44"/>
  <c r="V306" i="44"/>
  <c r="V313" i="44" s="1"/>
  <c r="V318" i="44"/>
  <c r="E328" i="44"/>
  <c r="E329" i="44" s="1"/>
  <c r="Q328" i="44"/>
  <c r="Q329" i="44" s="1"/>
  <c r="J341" i="44"/>
  <c r="J342" i="44" s="1"/>
  <c r="E349" i="44"/>
  <c r="Q349" i="44"/>
  <c r="L367" i="44"/>
  <c r="E385" i="44"/>
  <c r="Q385" i="44"/>
  <c r="O418" i="44"/>
  <c r="O419" i="44" s="1"/>
  <c r="H439" i="44"/>
  <c r="H440" i="44" s="1"/>
  <c r="U439" i="44"/>
  <c r="U440" i="44" s="1"/>
  <c r="E448" i="44"/>
  <c r="Q448" i="44"/>
  <c r="I458" i="44"/>
  <c r="I459" i="44" s="1"/>
  <c r="G468" i="44"/>
  <c r="S468" i="44"/>
  <c r="U475" i="44"/>
  <c r="H483" i="44"/>
  <c r="U483" i="44"/>
  <c r="O644" i="44"/>
  <c r="O507" i="44"/>
  <c r="E514" i="44"/>
  <c r="E515" i="44" s="1"/>
  <c r="Q514" i="44"/>
  <c r="Q515" i="44" s="1"/>
  <c r="O522" i="44"/>
  <c r="O523" i="44" s="1"/>
  <c r="P559" i="44"/>
  <c r="P560" i="44" s="1"/>
  <c r="G571" i="44"/>
  <c r="G572" i="44" s="1"/>
  <c r="S571" i="44"/>
  <c r="S572" i="44" s="1"/>
  <c r="I582" i="44"/>
  <c r="I583" i="44" s="1"/>
  <c r="M593" i="44"/>
  <c r="M594" i="44" s="1"/>
  <c r="N626" i="44"/>
  <c r="N627" i="44" s="1"/>
  <c r="P882" i="44"/>
  <c r="I755" i="44"/>
  <c r="U755" i="44"/>
  <c r="N762" i="44"/>
  <c r="M791" i="44"/>
  <c r="U802" i="44"/>
  <c r="I828" i="44"/>
  <c r="U828" i="44"/>
  <c r="U879" i="44"/>
  <c r="U880" i="44" s="1"/>
  <c r="P879" i="44"/>
  <c r="P880" i="44" s="1"/>
  <c r="S1001" i="44"/>
  <c r="R974" i="44"/>
  <c r="G1014" i="44"/>
  <c r="P1019" i="44"/>
  <c r="H1069" i="44"/>
  <c r="H1074" i="44"/>
  <c r="P1074" i="44"/>
  <c r="L1094" i="44"/>
  <c r="K1124" i="44"/>
  <c r="N1149" i="44"/>
  <c r="H1172" i="44"/>
  <c r="H1195" i="44" s="1"/>
  <c r="P1173" i="44"/>
  <c r="P1196" i="44" s="1"/>
  <c r="J1164" i="44"/>
  <c r="R1172" i="44"/>
  <c r="R1195" i="44" s="1"/>
  <c r="P507" i="44"/>
  <c r="F514" i="44"/>
  <c r="F515" i="44" s="1"/>
  <c r="R514" i="44"/>
  <c r="R515" i="44" s="1"/>
  <c r="P522" i="44"/>
  <c r="P523" i="44" s="1"/>
  <c r="P544" i="44"/>
  <c r="P545" i="44" s="1"/>
  <c r="E559" i="44"/>
  <c r="E560" i="44" s="1"/>
  <c r="Q559" i="44"/>
  <c r="Q560" i="44" s="1"/>
  <c r="H571" i="44"/>
  <c r="H572" i="44" s="1"/>
  <c r="N593" i="44"/>
  <c r="N594" i="44" s="1"/>
  <c r="Q882" i="44"/>
  <c r="L884" i="44"/>
  <c r="J1203" i="44"/>
  <c r="R660" i="44"/>
  <c r="R661" i="44" s="1"/>
  <c r="T683" i="44"/>
  <c r="F687" i="44"/>
  <c r="R687" i="44"/>
  <c r="H695" i="44"/>
  <c r="H696" i="44" s="1"/>
  <c r="T694" i="44"/>
  <c r="H769" i="44"/>
  <c r="J776" i="44"/>
  <c r="J783" i="44"/>
  <c r="J784" i="44" s="1"/>
  <c r="T867" i="44"/>
  <c r="Q962" i="44"/>
  <c r="P959" i="44"/>
  <c r="H982" i="44"/>
  <c r="U982" i="44"/>
  <c r="R1069" i="44"/>
  <c r="I1094" i="44"/>
  <c r="K1171" i="44"/>
  <c r="K1194" i="44" s="1"/>
  <c r="O1149" i="44"/>
  <c r="E507" i="44"/>
  <c r="Q507" i="44"/>
  <c r="G515" i="44"/>
  <c r="R559" i="44"/>
  <c r="R560" i="44" s="1"/>
  <c r="K582" i="44"/>
  <c r="K583" i="44" s="1"/>
  <c r="O593" i="44"/>
  <c r="O594" i="44" s="1"/>
  <c r="P626" i="44"/>
  <c r="P627" i="44" s="1"/>
  <c r="P676" i="44"/>
  <c r="P677" i="44" s="1"/>
  <c r="V679" i="44"/>
  <c r="M695" i="44"/>
  <c r="M696" i="44" s="1"/>
  <c r="U720" i="44"/>
  <c r="U721" i="44" s="1"/>
  <c r="J746" i="44"/>
  <c r="J747" i="44" s="1"/>
  <c r="P762" i="44"/>
  <c r="T787" i="44"/>
  <c r="O791" i="44"/>
  <c r="K828" i="44"/>
  <c r="U868" i="44"/>
  <c r="U869" i="44" s="1"/>
  <c r="N963" i="44"/>
  <c r="I969" i="44"/>
  <c r="Q983" i="44"/>
  <c r="R1019" i="44"/>
  <c r="G1069" i="44"/>
  <c r="H687" i="44"/>
  <c r="U687" i="44"/>
  <c r="E762" i="44"/>
  <c r="Q762" i="44"/>
  <c r="L999" i="44"/>
  <c r="R1143" i="44"/>
  <c r="K1019" i="44"/>
  <c r="S1019" i="44"/>
  <c r="K1074" i="44"/>
  <c r="S1074" i="44"/>
  <c r="O1094" i="44"/>
  <c r="M1164" i="44"/>
  <c r="H882" i="44"/>
  <c r="V710" i="44"/>
  <c r="T1133" i="44"/>
  <c r="M776" i="44"/>
  <c r="E791" i="44"/>
  <c r="M828" i="44"/>
  <c r="H857" i="44"/>
  <c r="K982" i="44"/>
  <c r="G983" i="44"/>
  <c r="S983" i="44"/>
  <c r="L979" i="44"/>
  <c r="L994" i="44"/>
  <c r="N1141" i="44"/>
  <c r="N1189" i="44" s="1"/>
  <c r="U1019" i="44"/>
  <c r="K1064" i="44"/>
  <c r="L1069" i="44"/>
  <c r="I1069" i="44"/>
  <c r="L1074" i="44"/>
  <c r="U1074" i="44"/>
  <c r="K1079" i="44"/>
  <c r="M1099" i="44"/>
  <c r="J1109" i="44"/>
  <c r="K1114" i="44"/>
  <c r="V567" i="44"/>
  <c r="V1102" i="44" s="1"/>
  <c r="V1104" i="44" s="1"/>
  <c r="K720" i="44"/>
  <c r="K721" i="44" s="1"/>
  <c r="N755" i="44"/>
  <c r="L769" i="44"/>
  <c r="N828" i="44"/>
  <c r="I949" i="44"/>
  <c r="L962" i="44"/>
  <c r="M994" i="44"/>
  <c r="P999" i="44"/>
  <c r="I1019" i="44"/>
  <c r="P1044" i="44"/>
  <c r="R1059" i="44"/>
  <c r="I1074" i="44"/>
  <c r="L1124" i="44"/>
  <c r="I507" i="44"/>
  <c r="K514" i="44"/>
  <c r="K515" i="44" s="1"/>
  <c r="I522" i="44"/>
  <c r="I523" i="44" s="1"/>
  <c r="J559" i="44"/>
  <c r="J560" i="44" s="1"/>
  <c r="O755" i="44"/>
  <c r="H762" i="44"/>
  <c r="O776" i="44"/>
  <c r="O783" i="44"/>
  <c r="O784" i="44" s="1"/>
  <c r="S791" i="44"/>
  <c r="O999" i="44"/>
  <c r="N1074" i="44"/>
  <c r="E1124" i="44"/>
  <c r="Q1124" i="44"/>
  <c r="H1141" i="44"/>
  <c r="H1144" i="44" s="1"/>
  <c r="N1172" i="44"/>
  <c r="N1195" i="44" s="1"/>
  <c r="J1173" i="44"/>
  <c r="J1196" i="44" s="1"/>
  <c r="P1164" i="44"/>
  <c r="J507" i="44"/>
  <c r="L514" i="44"/>
  <c r="L515" i="44" s="1"/>
  <c r="J522" i="44"/>
  <c r="J523" i="44" s="1"/>
  <c r="J544" i="44"/>
  <c r="J545" i="44" s="1"/>
  <c r="K559" i="44"/>
  <c r="K560" i="44" s="1"/>
  <c r="N571" i="44"/>
  <c r="N572" i="44" s="1"/>
  <c r="J571" i="44"/>
  <c r="J572" i="44" s="1"/>
  <c r="V573" i="44"/>
  <c r="V581" i="44" s="1"/>
  <c r="H593" i="44"/>
  <c r="H594" i="44" s="1"/>
  <c r="T599" i="44"/>
  <c r="V599" i="44" s="1"/>
  <c r="K882" i="44"/>
  <c r="L660" i="44"/>
  <c r="L661" i="44" s="1"/>
  <c r="M687" i="44"/>
  <c r="M720" i="44"/>
  <c r="M721" i="44" s="1"/>
  <c r="O746" i="44"/>
  <c r="O747" i="44" s="1"/>
  <c r="P755" i="44"/>
  <c r="P776" i="44"/>
  <c r="H791" i="44"/>
  <c r="T788" i="44"/>
  <c r="T790" i="44" s="1"/>
  <c r="T800" i="44"/>
  <c r="O801" i="44"/>
  <c r="O802" i="44" s="1"/>
  <c r="R817" i="44"/>
  <c r="R818" i="44" s="1"/>
  <c r="Q849" i="44"/>
  <c r="Q850" i="44" s="1"/>
  <c r="P857" i="44"/>
  <c r="O879" i="44"/>
  <c r="O880" i="44" s="1"/>
  <c r="K879" i="44"/>
  <c r="K880" i="44" s="1"/>
  <c r="N959" i="44"/>
  <c r="L959" i="44"/>
  <c r="R969" i="44"/>
  <c r="O989" i="44"/>
  <c r="O1019" i="44"/>
  <c r="R1034" i="44"/>
  <c r="R1044" i="44"/>
  <c r="N1064" i="44"/>
  <c r="O1069" i="44"/>
  <c r="O1074" i="44"/>
  <c r="N1079" i="44"/>
  <c r="P1084" i="44"/>
  <c r="M1109" i="44"/>
  <c r="N1114" i="44"/>
  <c r="L1129" i="44"/>
  <c r="Q1171" i="44"/>
  <c r="Q1194" i="44" s="1"/>
  <c r="E1164" i="44"/>
  <c r="Q1164" i="44"/>
  <c r="K507" i="44"/>
  <c r="L559" i="44"/>
  <c r="L560" i="44" s="1"/>
  <c r="Q582" i="44"/>
  <c r="Q583" i="44" s="1"/>
  <c r="I593" i="44"/>
  <c r="I594" i="44" s="1"/>
  <c r="J626" i="44"/>
  <c r="J627" i="44" s="1"/>
  <c r="L882" i="44"/>
  <c r="O687" i="44"/>
  <c r="S695" i="44"/>
  <c r="S696" i="44" s="1"/>
  <c r="V705" i="44"/>
  <c r="V1013" i="44" s="1"/>
  <c r="N720" i="44"/>
  <c r="N721" i="44" s="1"/>
  <c r="P746" i="44"/>
  <c r="P747" i="44" s="1"/>
  <c r="O769" i="44"/>
  <c r="Q776" i="44"/>
  <c r="Q784" i="44"/>
  <c r="Q974" i="44"/>
  <c r="P989" i="44"/>
  <c r="K1143" i="44"/>
  <c r="L507" i="44"/>
  <c r="T570" i="44"/>
  <c r="J593" i="44"/>
  <c r="J594" i="44" s="1"/>
  <c r="K626" i="44"/>
  <c r="K627" i="44" s="1"/>
  <c r="Q687" i="44"/>
  <c r="F755" i="44"/>
  <c r="R755" i="44"/>
  <c r="K762" i="44"/>
  <c r="U769" i="44"/>
  <c r="R784" i="44"/>
  <c r="J791" i="44"/>
  <c r="R828" i="44"/>
  <c r="G949" i="44"/>
  <c r="U999" i="44"/>
  <c r="H1142" i="44"/>
  <c r="L1143" i="44"/>
  <c r="E1069" i="44"/>
  <c r="E1172" i="44"/>
  <c r="E1195" i="44" s="1"/>
  <c r="Q1172" i="44"/>
  <c r="Q1195" i="44" s="1"/>
  <c r="M1173" i="44"/>
  <c r="M1196" i="44" s="1"/>
  <c r="M507" i="44"/>
  <c r="G883" i="44"/>
  <c r="O660" i="44"/>
  <c r="O661" i="44" s="1"/>
  <c r="L676" i="44"/>
  <c r="L677" i="44" s="1"/>
  <c r="I695" i="44"/>
  <c r="I696" i="44" s="1"/>
  <c r="L762" i="44"/>
  <c r="G783" i="44"/>
  <c r="G784" i="44" s="1"/>
  <c r="S783" i="44"/>
  <c r="S784" i="44" s="1"/>
  <c r="N783" i="44"/>
  <c r="N784" i="44" s="1"/>
  <c r="P949" i="44"/>
  <c r="I1044" i="44"/>
  <c r="Q1064" i="44"/>
  <c r="E1079" i="44"/>
  <c r="Q1079" i="44"/>
  <c r="G1084" i="44"/>
  <c r="S1084" i="44"/>
  <c r="R1094" i="44"/>
  <c r="P1109" i="44"/>
  <c r="E1114" i="44"/>
  <c r="Q1114" i="44"/>
  <c r="N1134" i="44"/>
  <c r="L1173" i="44"/>
  <c r="L1196" i="44" s="1"/>
  <c r="E341" i="44"/>
  <c r="E342" i="44" s="1"/>
  <c r="E1044" i="44"/>
  <c r="E283" i="44"/>
  <c r="V230" i="44"/>
  <c r="V185" i="44"/>
  <c r="E105" i="44"/>
  <c r="E106" i="44" s="1"/>
  <c r="E78" i="44"/>
  <c r="E79" i="44" s="1"/>
  <c r="E989" i="44"/>
  <c r="E1019" i="44"/>
  <c r="V21" i="44"/>
  <c r="V1151" i="44" s="1"/>
  <c r="V1154" i="44" s="1"/>
  <c r="K1202" i="44"/>
  <c r="K630" i="44"/>
  <c r="R1208" i="44"/>
  <c r="R631" i="44"/>
  <c r="Q1213" i="44"/>
  <c r="Q33" i="44"/>
  <c r="Q34" i="44" s="1"/>
  <c r="G629" i="44"/>
  <c r="S629" i="44"/>
  <c r="M1202" i="44"/>
  <c r="M630" i="44"/>
  <c r="G1208" i="44"/>
  <c r="G631" i="44"/>
  <c r="S1208" i="44"/>
  <c r="S631" i="44"/>
  <c r="M65" i="44"/>
  <c r="M66" i="44" s="1"/>
  <c r="P143" i="44"/>
  <c r="P144" i="44" s="1"/>
  <c r="J261" i="44"/>
  <c r="N1213" i="44"/>
  <c r="R1213" i="44"/>
  <c r="H629" i="44"/>
  <c r="N1202" i="44"/>
  <c r="N630" i="44"/>
  <c r="N152" i="44"/>
  <c r="L227" i="44"/>
  <c r="L228" i="44" s="1"/>
  <c r="E315" i="44"/>
  <c r="E316" i="44" s="1"/>
  <c r="Q315" i="44"/>
  <c r="Q316" i="44" s="1"/>
  <c r="R33" i="44"/>
  <c r="R34" i="44" s="1"/>
  <c r="H1208" i="44"/>
  <c r="H631" i="44"/>
  <c r="N65" i="44"/>
  <c r="N66" i="44" s="1"/>
  <c r="T1129" i="44"/>
  <c r="G1213" i="44"/>
  <c r="S1213" i="44"/>
  <c r="G33" i="44"/>
  <c r="G34" i="44" s="1"/>
  <c r="S33" i="44"/>
  <c r="S34" i="44" s="1"/>
  <c r="I629" i="44"/>
  <c r="U629" i="44"/>
  <c r="O1202" i="44"/>
  <c r="O630" i="44"/>
  <c r="I1208" i="44"/>
  <c r="I631" i="44"/>
  <c r="U1208" i="44"/>
  <c r="U631" i="44"/>
  <c r="O65" i="44"/>
  <c r="O66" i="44" s="1"/>
  <c r="E182" i="44"/>
  <c r="E183" i="44" s="1"/>
  <c r="S183" i="44"/>
  <c r="U254" i="44"/>
  <c r="T961" i="44"/>
  <c r="H1213" i="44"/>
  <c r="P1202" i="44"/>
  <c r="P630" i="44"/>
  <c r="J1208" i="44"/>
  <c r="J631" i="44"/>
  <c r="P65" i="44"/>
  <c r="P66" i="44" s="1"/>
  <c r="V297" i="44"/>
  <c r="V295" i="44"/>
  <c r="Q1202" i="44"/>
  <c r="Q630" i="44"/>
  <c r="Q65" i="44"/>
  <c r="Q66" i="44" s="1"/>
  <c r="H33" i="44"/>
  <c r="H34" i="44" s="1"/>
  <c r="T1134" i="44"/>
  <c r="U33" i="44"/>
  <c r="U34" i="44" s="1"/>
  <c r="E65" i="44"/>
  <c r="E66" i="44" s="1"/>
  <c r="E1171" i="44"/>
  <c r="E1194" i="44" s="1"/>
  <c r="E1149" i="44"/>
  <c r="J1213" i="44"/>
  <c r="J33" i="44"/>
  <c r="J34" i="44" s="1"/>
  <c r="V1127" i="44"/>
  <c r="V1129" i="44" s="1"/>
  <c r="K239" i="44"/>
  <c r="K1208" i="44"/>
  <c r="K631" i="44"/>
  <c r="V1131" i="44"/>
  <c r="V57" i="44"/>
  <c r="V1077" i="44" s="1"/>
  <c r="L629" i="44"/>
  <c r="R1202" i="44"/>
  <c r="R630" i="44"/>
  <c r="L1208" i="44"/>
  <c r="L631" i="44"/>
  <c r="R65" i="44"/>
  <c r="R66" i="44" s="1"/>
  <c r="E30" i="44"/>
  <c r="E35" i="44" s="1"/>
  <c r="K1213" i="44"/>
  <c r="K33" i="44"/>
  <c r="K34" i="44" s="1"/>
  <c r="M629" i="44"/>
  <c r="G1202" i="44"/>
  <c r="G630" i="44"/>
  <c r="S1202" i="44"/>
  <c r="S630" i="44"/>
  <c r="M1208" i="44"/>
  <c r="M631" i="44"/>
  <c r="G65" i="44"/>
  <c r="G66" i="44" s="1"/>
  <c r="S65" i="44"/>
  <c r="S66" i="44" s="1"/>
  <c r="L239" i="44"/>
  <c r="V296" i="44"/>
  <c r="T295" i="44"/>
  <c r="O298" i="44"/>
  <c r="O299" i="44" s="1"/>
  <c r="V314" i="44"/>
  <c r="V12" i="44"/>
  <c r="U1213" i="44"/>
  <c r="H1202" i="44"/>
  <c r="H630" i="44"/>
  <c r="N1208" i="44"/>
  <c r="N631" i="44"/>
  <c r="H254" i="44"/>
  <c r="L1213" i="44"/>
  <c r="L33" i="44"/>
  <c r="L34" i="44" s="1"/>
  <c r="N629" i="44"/>
  <c r="H65" i="44"/>
  <c r="H66" i="44" s="1"/>
  <c r="R105" i="44"/>
  <c r="R106" i="44" s="1"/>
  <c r="V14" i="44"/>
  <c r="V986" i="44" s="1"/>
  <c r="M1213" i="44"/>
  <c r="M33" i="44"/>
  <c r="M34" i="44" s="1"/>
  <c r="T1162" i="44"/>
  <c r="O629" i="44"/>
  <c r="I1202" i="44"/>
  <c r="I630" i="44"/>
  <c r="U1202" i="44"/>
  <c r="U630" i="44"/>
  <c r="O1208" i="44"/>
  <c r="O631" i="44"/>
  <c r="I65" i="44"/>
  <c r="I66" i="44" s="1"/>
  <c r="U65" i="44"/>
  <c r="U66" i="44" s="1"/>
  <c r="T1132" i="44"/>
  <c r="V108" i="44"/>
  <c r="H114" i="44"/>
  <c r="L143" i="44"/>
  <c r="L144" i="44" s="1"/>
  <c r="G183" i="44"/>
  <c r="I254" i="44"/>
  <c r="G283" i="44"/>
  <c r="G284" i="44" s="1"/>
  <c r="S283" i="44"/>
  <c r="S284" i="44" s="1"/>
  <c r="L315" i="44"/>
  <c r="L316" i="44" s="1"/>
  <c r="I328" i="44"/>
  <c r="I329" i="44" s="1"/>
  <c r="N33" i="44"/>
  <c r="N34" i="44" s="1"/>
  <c r="V1162" i="44"/>
  <c r="J1202" i="44"/>
  <c r="J630" i="44"/>
  <c r="P1208" i="44"/>
  <c r="P631" i="44"/>
  <c r="J65" i="44"/>
  <c r="J66" i="44" s="1"/>
  <c r="Q1208" i="44"/>
  <c r="Q631" i="44"/>
  <c r="K65" i="44"/>
  <c r="K66" i="44" s="1"/>
  <c r="G298" i="44"/>
  <c r="G299" i="44" s="1"/>
  <c r="S298" i="44"/>
  <c r="S299" i="44" s="1"/>
  <c r="O1213" i="44"/>
  <c r="O33" i="44"/>
  <c r="O34" i="44" s="1"/>
  <c r="V22" i="44"/>
  <c r="V1161" i="44" s="1"/>
  <c r="V28" i="44"/>
  <c r="V1091" i="44" s="1"/>
  <c r="P1213" i="44"/>
  <c r="P33" i="44"/>
  <c r="P34" i="44" s="1"/>
  <c r="L1202" i="44"/>
  <c r="L630" i="44"/>
  <c r="L65" i="44"/>
  <c r="L66" i="44" s="1"/>
  <c r="E997" i="44"/>
  <c r="E999" i="44" s="1"/>
  <c r="R316" i="44"/>
  <c r="V241" i="44"/>
  <c r="T312" i="44"/>
  <c r="T314" i="44"/>
  <c r="V331" i="44"/>
  <c r="T365" i="44"/>
  <c r="T366" i="44" s="1"/>
  <c r="V121" i="44"/>
  <c r="V156" i="44"/>
  <c r="V1157" i="44" s="1"/>
  <c r="S349" i="44"/>
  <c r="V438" i="44"/>
  <c r="J497" i="44"/>
  <c r="J498" i="44" s="1"/>
  <c r="T194" i="44"/>
  <c r="T195" i="44" s="1"/>
  <c r="V205" i="44"/>
  <c r="E224" i="44"/>
  <c r="E226" i="44"/>
  <c r="E1208" i="44" s="1"/>
  <c r="G367" i="44"/>
  <c r="K377" i="44"/>
  <c r="P483" i="44"/>
  <c r="V363" i="44"/>
  <c r="V365" i="44"/>
  <c r="V366" i="44" s="1"/>
  <c r="E962" i="44"/>
  <c r="U357" i="44"/>
  <c r="S367" i="44"/>
  <c r="J458" i="44"/>
  <c r="J459" i="44" s="1"/>
  <c r="T264" i="44"/>
  <c r="E280" i="44"/>
  <c r="S341" i="44"/>
  <c r="S342" i="44" s="1"/>
  <c r="G349" i="44"/>
  <c r="T363" i="44"/>
  <c r="O367" i="44"/>
  <c r="E225" i="44"/>
  <c r="E630" i="44" s="1"/>
  <c r="T339" i="44"/>
  <c r="I418" i="44"/>
  <c r="I419" i="44" s="1"/>
  <c r="J431" i="44"/>
  <c r="P439" i="44"/>
  <c r="P440" i="44" s="1"/>
  <c r="N349" i="44"/>
  <c r="I385" i="44"/>
  <c r="H475" i="44"/>
  <c r="T436" i="44"/>
  <c r="T438" i="44"/>
  <c r="T439" i="44" s="1"/>
  <c r="T479" i="44"/>
  <c r="O582" i="44"/>
  <c r="O583" i="44" s="1"/>
  <c r="T383" i="44"/>
  <c r="T384" i="44" s="1"/>
  <c r="T385" i="44" s="1"/>
  <c r="H644" i="44"/>
  <c r="V509" i="44"/>
  <c r="T512" i="44"/>
  <c r="T514" i="44" s="1"/>
  <c r="U593" i="44"/>
  <c r="U594" i="44" s="1"/>
  <c r="K1209" i="44"/>
  <c r="K884" i="44"/>
  <c r="O676" i="44"/>
  <c r="O677" i="44" s="1"/>
  <c r="V694" i="44"/>
  <c r="U571" i="44"/>
  <c r="U572" i="44" s="1"/>
  <c r="V404" i="44"/>
  <c r="I571" i="44"/>
  <c r="I572" i="44" s="1"/>
  <c r="K593" i="44"/>
  <c r="K594" i="44" s="1"/>
  <c r="N1209" i="44"/>
  <c r="N884" i="44"/>
  <c r="N643" i="44"/>
  <c r="N644" i="44" s="1"/>
  <c r="V477" i="44"/>
  <c r="M544" i="44"/>
  <c r="M545" i="44" s="1"/>
  <c r="H884" i="44"/>
  <c r="T968" i="44"/>
  <c r="V681" i="44"/>
  <c r="V968" i="44" s="1"/>
  <c r="T511" i="44"/>
  <c r="O544" i="44"/>
  <c r="O545" i="44" s="1"/>
  <c r="E1209" i="44"/>
  <c r="Q1209" i="44"/>
  <c r="Q884" i="44"/>
  <c r="J720" i="44"/>
  <c r="J721" i="44" s="1"/>
  <c r="K1203" i="44"/>
  <c r="K883" i="44"/>
  <c r="V500" i="44"/>
  <c r="V531" i="44"/>
  <c r="M582" i="44"/>
  <c r="M583" i="44" s="1"/>
  <c r="Q644" i="44"/>
  <c r="K651" i="44"/>
  <c r="K652" i="44" s="1"/>
  <c r="O559" i="44"/>
  <c r="O560" i="44" s="1"/>
  <c r="G969" i="44"/>
  <c r="G982" i="44"/>
  <c r="S982" i="44"/>
  <c r="S969" i="44"/>
  <c r="P1209" i="44"/>
  <c r="P884" i="44"/>
  <c r="J651" i="44"/>
  <c r="J652" i="44" s="1"/>
  <c r="J962" i="44"/>
  <c r="L1141" i="44"/>
  <c r="L1189" i="44" s="1"/>
  <c r="L1014" i="44"/>
  <c r="R1209" i="44"/>
  <c r="R884" i="44"/>
  <c r="L643" i="44"/>
  <c r="L644" i="44" s="1"/>
  <c r="L1203" i="44"/>
  <c r="L883" i="44"/>
  <c r="L651" i="44"/>
  <c r="L652" i="44" s="1"/>
  <c r="T685" i="44"/>
  <c r="T686" i="44" s="1"/>
  <c r="V715" i="44"/>
  <c r="K791" i="44"/>
  <c r="E828" i="44"/>
  <c r="E623" i="44"/>
  <c r="M882" i="44"/>
  <c r="G1209" i="44"/>
  <c r="G884" i="44"/>
  <c r="S1209" i="44"/>
  <c r="S884" i="44"/>
  <c r="M1203" i="44"/>
  <c r="M883" i="44"/>
  <c r="M651" i="44"/>
  <c r="M652" i="44" s="1"/>
  <c r="R762" i="44"/>
  <c r="U776" i="44"/>
  <c r="G828" i="44"/>
  <c r="N1001" i="44"/>
  <c r="O1141" i="44"/>
  <c r="O1189" i="44" s="1"/>
  <c r="O1014" i="44"/>
  <c r="N882" i="44"/>
  <c r="H1209" i="44"/>
  <c r="T642" i="44"/>
  <c r="N1203" i="44"/>
  <c r="N651" i="44"/>
  <c r="N652" i="44" s="1"/>
  <c r="N791" i="44"/>
  <c r="V800" i="44"/>
  <c r="O1001" i="44"/>
  <c r="U963" i="44"/>
  <c r="R983" i="44"/>
  <c r="E1142" i="44"/>
  <c r="E1009" i="44"/>
  <c r="Q1142" i="44"/>
  <c r="Q1009" i="44"/>
  <c r="T579" i="44"/>
  <c r="O882" i="44"/>
  <c r="I1209" i="44"/>
  <c r="I884" i="44"/>
  <c r="U1209" i="44"/>
  <c r="U884" i="44"/>
  <c r="O1203" i="44"/>
  <c r="O883" i="44"/>
  <c r="O651" i="44"/>
  <c r="O652" i="44" s="1"/>
  <c r="G720" i="44"/>
  <c r="G721" i="44" s="1"/>
  <c r="S720" i="44"/>
  <c r="S721" i="44" s="1"/>
  <c r="T1083" i="44"/>
  <c r="V842" i="44"/>
  <c r="V1083" i="44" s="1"/>
  <c r="V639" i="44"/>
  <c r="J1209" i="44"/>
  <c r="J884" i="44"/>
  <c r="P643" i="44"/>
  <c r="P644" i="44" s="1"/>
  <c r="P1203" i="44"/>
  <c r="P883" i="44"/>
  <c r="P651" i="44"/>
  <c r="P652" i="44" s="1"/>
  <c r="V668" i="44"/>
  <c r="U791" i="44"/>
  <c r="T878" i="44"/>
  <c r="V871" i="44"/>
  <c r="E949" i="44"/>
  <c r="E961" i="44"/>
  <c r="Q949" i="44"/>
  <c r="Q961" i="44"/>
  <c r="E1203" i="44"/>
  <c r="Q1203" i="44"/>
  <c r="Q883" i="44"/>
  <c r="E651" i="44"/>
  <c r="E652" i="44" s="1"/>
  <c r="Q651" i="44"/>
  <c r="Q652" i="44" s="1"/>
  <c r="I720" i="44"/>
  <c r="I721" i="44" s="1"/>
  <c r="G755" i="44"/>
  <c r="P769" i="44"/>
  <c r="V804" i="44"/>
  <c r="G849" i="44"/>
  <c r="G850" i="44" s="1"/>
  <c r="S849" i="44"/>
  <c r="S850" i="44" s="1"/>
  <c r="R949" i="44"/>
  <c r="P981" i="44"/>
  <c r="P1001" i="44" s="1"/>
  <c r="P969" i="44"/>
  <c r="R882" i="44"/>
  <c r="L1209" i="44"/>
  <c r="F643" i="44"/>
  <c r="F644" i="44" s="1"/>
  <c r="R643" i="44"/>
  <c r="R644" i="44" s="1"/>
  <c r="R1203" i="44"/>
  <c r="R883" i="44"/>
  <c r="R651" i="44"/>
  <c r="R652" i="44" s="1"/>
  <c r="V669" i="44"/>
  <c r="G817" i="44"/>
  <c r="G818" i="44" s="1"/>
  <c r="S817" i="44"/>
  <c r="S818" i="44" s="1"/>
  <c r="R879" i="44"/>
  <c r="R880" i="44" s="1"/>
  <c r="U949" i="44"/>
  <c r="L969" i="44"/>
  <c r="V562" i="44"/>
  <c r="G882" i="44"/>
  <c r="S882" i="44"/>
  <c r="M1209" i="44"/>
  <c r="M884" i="44"/>
  <c r="G643" i="44"/>
  <c r="G644" i="44" s="1"/>
  <c r="S643" i="44"/>
  <c r="S644" i="44" s="1"/>
  <c r="G1203" i="44"/>
  <c r="S1203" i="44"/>
  <c r="G651" i="44"/>
  <c r="G652" i="44" s="1"/>
  <c r="S651" i="44"/>
  <c r="S652" i="44" s="1"/>
  <c r="J755" i="44"/>
  <c r="T758" i="44"/>
  <c r="T760" i="44"/>
  <c r="T761" i="44" s="1"/>
  <c r="V756" i="44"/>
  <c r="I776" i="44"/>
  <c r="U817" i="44"/>
  <c r="U818" i="44" s="1"/>
  <c r="Q828" i="44"/>
  <c r="R868" i="44"/>
  <c r="R869" i="44" s="1"/>
  <c r="J883" i="44"/>
  <c r="R962" i="44"/>
  <c r="R954" i="44"/>
  <c r="H1203" i="44"/>
  <c r="H883" i="44"/>
  <c r="H651" i="44"/>
  <c r="H652" i="44" s="1"/>
  <c r="F762" i="44"/>
  <c r="S828" i="44"/>
  <c r="N883" i="44"/>
  <c r="T568" i="44"/>
  <c r="I882" i="44"/>
  <c r="U882" i="44"/>
  <c r="O1209" i="44"/>
  <c r="O884" i="44"/>
  <c r="I643" i="44"/>
  <c r="I644" i="44" s="1"/>
  <c r="U643" i="44"/>
  <c r="U644" i="44" s="1"/>
  <c r="I1203" i="44"/>
  <c r="I883" i="44"/>
  <c r="U1203" i="44"/>
  <c r="U883" i="44"/>
  <c r="I651" i="44"/>
  <c r="I652" i="44" s="1"/>
  <c r="U651" i="44"/>
  <c r="U652" i="44" s="1"/>
  <c r="V713" i="44"/>
  <c r="S883" i="44"/>
  <c r="V1108" i="44"/>
  <c r="M857" i="44"/>
  <c r="I879" i="44"/>
  <c r="I880" i="44" s="1"/>
  <c r="M981" i="44"/>
  <c r="G989" i="44"/>
  <c r="S989" i="44"/>
  <c r="R999" i="44"/>
  <c r="V787" i="44"/>
  <c r="V791" i="44" s="1"/>
  <c r="G963" i="44"/>
  <c r="S963" i="44"/>
  <c r="I962" i="44"/>
  <c r="O969" i="44"/>
  <c r="U969" i="44"/>
  <c r="I989" i="44"/>
  <c r="I1001" i="44"/>
  <c r="H961" i="44"/>
  <c r="H949" i="44"/>
  <c r="N879" i="44"/>
  <c r="N880" i="44" s="1"/>
  <c r="O962" i="44"/>
  <c r="U954" i="44"/>
  <c r="J961" i="44"/>
  <c r="I983" i="44"/>
  <c r="I982" i="44"/>
  <c r="K961" i="44"/>
  <c r="K949" i="44"/>
  <c r="M961" i="44"/>
  <c r="P982" i="44"/>
  <c r="U974" i="44"/>
  <c r="V712" i="44"/>
  <c r="V1133" i="44"/>
  <c r="I974" i="44"/>
  <c r="O1143" i="44"/>
  <c r="K868" i="44"/>
  <c r="K869" i="44" s="1"/>
  <c r="J969" i="44"/>
  <c r="E994" i="44"/>
  <c r="T1108" i="44"/>
  <c r="K857" i="44"/>
  <c r="O949" i="44"/>
  <c r="R989" i="44"/>
  <c r="G994" i="44"/>
  <c r="S994" i="44"/>
  <c r="M1141" i="44"/>
  <c r="M1014" i="44"/>
  <c r="H969" i="44"/>
  <c r="J1034" i="44"/>
  <c r="M1064" i="44"/>
  <c r="O1109" i="44"/>
  <c r="J1044" i="44"/>
  <c r="M1069" i="44"/>
  <c r="U1124" i="44"/>
  <c r="K969" i="44"/>
  <c r="E981" i="44"/>
  <c r="Q981" i="44"/>
  <c r="E1141" i="44"/>
  <c r="E1014" i="44"/>
  <c r="Q1141" i="44"/>
  <c r="Q1144" i="44" s="1"/>
  <c r="Q1014" i="44"/>
  <c r="U1143" i="44"/>
  <c r="I1124" i="44"/>
  <c r="J1142" i="44"/>
  <c r="J1009" i="44"/>
  <c r="I1143" i="44"/>
  <c r="P1059" i="44"/>
  <c r="M1084" i="44"/>
  <c r="J1094" i="44"/>
  <c r="G1114" i="44"/>
  <c r="S1114" i="44"/>
  <c r="K1142" i="44"/>
  <c r="J1143" i="44"/>
  <c r="J1019" i="44"/>
  <c r="O1034" i="44"/>
  <c r="M1044" i="44"/>
  <c r="J1074" i="44"/>
  <c r="P1099" i="44"/>
  <c r="U1114" i="44"/>
  <c r="N949" i="44"/>
  <c r="N969" i="44"/>
  <c r="L1142" i="44"/>
  <c r="L1009" i="44"/>
  <c r="U1141" i="44"/>
  <c r="U1189" i="44" s="1"/>
  <c r="P1029" i="44"/>
  <c r="P1079" i="44"/>
  <c r="O1084" i="44"/>
  <c r="I1114" i="44"/>
  <c r="M1142" i="44"/>
  <c r="M1009" i="44"/>
  <c r="O1044" i="44"/>
  <c r="G1059" i="44"/>
  <c r="S1059" i="44"/>
  <c r="M1094" i="44"/>
  <c r="J1141" i="44"/>
  <c r="J1189" i="44" s="1"/>
  <c r="J1014" i="44"/>
  <c r="M1143" i="44"/>
  <c r="G1099" i="44"/>
  <c r="S1099" i="44"/>
  <c r="U1172" i="44"/>
  <c r="U1195" i="44" s="1"/>
  <c r="O1009" i="44"/>
  <c r="O1142" i="44"/>
  <c r="O1190" i="44" s="1"/>
  <c r="K1141" i="44"/>
  <c r="K1189" i="44" s="1"/>
  <c r="K1014" i="44"/>
  <c r="G1029" i="44"/>
  <c r="S1029" i="44"/>
  <c r="I1059" i="44"/>
  <c r="J1064" i="44"/>
  <c r="G1079" i="44"/>
  <c r="S1079" i="44"/>
  <c r="U1099" i="44"/>
  <c r="I1172" i="44"/>
  <c r="I1195" i="44" s="1"/>
  <c r="I1159" i="44"/>
  <c r="H1134" i="44"/>
  <c r="P1142" i="44"/>
  <c r="P1141" i="44"/>
  <c r="P1143" i="44"/>
  <c r="R1164" i="44"/>
  <c r="R1142" i="44"/>
  <c r="R1171" i="44"/>
  <c r="R1194" i="44" s="1"/>
  <c r="R1149" i="44"/>
  <c r="G1142" i="44"/>
  <c r="S1142" i="44"/>
  <c r="G1141" i="44"/>
  <c r="S1141" i="44"/>
  <c r="S1189" i="44" s="1"/>
  <c r="G1143" i="44"/>
  <c r="S1143" i="44"/>
  <c r="M1124" i="44"/>
  <c r="F1129" i="44"/>
  <c r="R1129" i="44"/>
  <c r="N1142" i="44"/>
  <c r="O1172" i="44"/>
  <c r="O1195" i="44" s="1"/>
  <c r="H1159" i="44"/>
  <c r="L1164" i="44"/>
  <c r="N1014" i="44"/>
  <c r="H1171" i="44"/>
  <c r="H1194" i="44" s="1"/>
  <c r="H1149" i="44"/>
  <c r="I1142" i="44"/>
  <c r="U1142" i="44"/>
  <c r="H1129" i="44"/>
  <c r="I1171" i="44"/>
  <c r="I1194" i="44" s="1"/>
  <c r="I1149" i="44"/>
  <c r="U1171" i="44"/>
  <c r="U1194" i="44" s="1"/>
  <c r="U1149" i="44"/>
  <c r="N1164" i="44"/>
  <c r="P1124" i="44"/>
  <c r="I1129" i="44"/>
  <c r="U1129" i="44"/>
  <c r="O1164" i="44"/>
  <c r="M1149" i="44"/>
  <c r="G1159" i="44"/>
  <c r="S1159" i="44"/>
  <c r="P1149" i="44"/>
  <c r="J1159" i="44"/>
  <c r="Q1149" i="44"/>
  <c r="K1159" i="44"/>
  <c r="L1159" i="44"/>
  <c r="G1149" i="44"/>
  <c r="S1149" i="44"/>
  <c r="M1159" i="44"/>
  <c r="N1159" i="44"/>
  <c r="O1159" i="44"/>
  <c r="J1149" i="44"/>
  <c r="P1159" i="44"/>
  <c r="K1149" i="44"/>
  <c r="E1159" i="44"/>
  <c r="Q1159" i="44"/>
  <c r="V193" i="44" l="1"/>
  <c r="V194" i="44" s="1"/>
  <c r="V195" i="44" s="1"/>
  <c r="V191" i="44"/>
  <c r="E629" i="44"/>
  <c r="E631" i="44"/>
  <c r="E890" i="44" s="1"/>
  <c r="O1002" i="44"/>
  <c r="O1178" i="44" s="1"/>
  <c r="O1185" i="44" s="1"/>
  <c r="O984" i="44"/>
  <c r="E889" i="44"/>
  <c r="E888" i="44"/>
  <c r="Q1190" i="44"/>
  <c r="Q1002" i="44"/>
  <c r="Q1178" i="44" s="1"/>
  <c r="Q1185" i="44" s="1"/>
  <c r="R1002" i="44"/>
  <c r="R1178" i="44" s="1"/>
  <c r="R1185" i="44" s="1"/>
  <c r="E969" i="44"/>
  <c r="E1190" i="44"/>
  <c r="J1190" i="44"/>
  <c r="J1002" i="44"/>
  <c r="J1178" i="44" s="1"/>
  <c r="J1185" i="44" s="1"/>
  <c r="U1003" i="44"/>
  <c r="U1179" i="44" s="1"/>
  <c r="U1186" i="44" s="1"/>
  <c r="K984" i="44"/>
  <c r="Q1191" i="44"/>
  <c r="G1177" i="44"/>
  <c r="G1184" i="44" s="1"/>
  <c r="E1003" i="44"/>
  <c r="E1179" i="44" s="1"/>
  <c r="E1186" i="44" s="1"/>
  <c r="I1003" i="44"/>
  <c r="I1179" i="44" s="1"/>
  <c r="I1186" i="44" s="1"/>
  <c r="I964" i="44"/>
  <c r="H1002" i="44"/>
  <c r="H1178" i="44" s="1"/>
  <c r="H1185" i="44" s="1"/>
  <c r="H1197" i="44"/>
  <c r="R1214" i="44"/>
  <c r="R1220" i="44" s="1"/>
  <c r="K1003" i="44"/>
  <c r="K1179" i="44" s="1"/>
  <c r="K1186" i="44" s="1"/>
  <c r="M1002" i="44"/>
  <c r="M1178" i="44" s="1"/>
  <c r="M1185" i="44" s="1"/>
  <c r="V781" i="44"/>
  <c r="R1191" i="44"/>
  <c r="O1003" i="44"/>
  <c r="O1179" i="44" s="1"/>
  <c r="O1186" i="44" s="1"/>
  <c r="T755" i="44"/>
  <c r="J1215" i="44"/>
  <c r="J1221" i="44" s="1"/>
  <c r="U984" i="44"/>
  <c r="V579" i="44"/>
  <c r="K890" i="44"/>
  <c r="H1189" i="44"/>
  <c r="H1192" i="44" s="1"/>
  <c r="T571" i="44"/>
  <c r="T572" i="44" s="1"/>
  <c r="N1002" i="44"/>
  <c r="N1178" i="44" s="1"/>
  <c r="N1185" i="44" s="1"/>
  <c r="T315" i="44"/>
  <c r="T316" i="44" s="1"/>
  <c r="J984" i="44"/>
  <c r="L964" i="44"/>
  <c r="U1191" i="44"/>
  <c r="L1191" i="44"/>
  <c r="V780" i="44"/>
  <c r="M1003" i="44"/>
  <c r="M1179" i="44" s="1"/>
  <c r="M1186" i="44" s="1"/>
  <c r="E1191" i="44"/>
  <c r="S1215" i="44"/>
  <c r="S1221" i="44" s="1"/>
  <c r="G890" i="44"/>
  <c r="T687" i="44"/>
  <c r="K1002" i="44"/>
  <c r="K1178" i="44" s="1"/>
  <c r="K1185" i="44" s="1"/>
  <c r="E627" i="44"/>
  <c r="L1003" i="44"/>
  <c r="L1179" i="44" s="1"/>
  <c r="L1186" i="44" s="1"/>
  <c r="V782" i="44"/>
  <c r="U1190" i="44"/>
  <c r="H984" i="44"/>
  <c r="R890" i="44"/>
  <c r="Q888" i="44"/>
  <c r="R1190" i="44"/>
  <c r="Q1003" i="44"/>
  <c r="Q1179" i="44" s="1"/>
  <c r="Q1186" i="44" s="1"/>
  <c r="L1210" i="44"/>
  <c r="H1191" i="44"/>
  <c r="J888" i="44"/>
  <c r="U1214" i="44"/>
  <c r="U1220" i="44" s="1"/>
  <c r="T582" i="44"/>
  <c r="T583" i="44" s="1"/>
  <c r="V685" i="44"/>
  <c r="V686" i="44" s="1"/>
  <c r="U964" i="44"/>
  <c r="T783" i="44"/>
  <c r="T784" i="44" s="1"/>
  <c r="J1197" i="44"/>
  <c r="L1174" i="44"/>
  <c r="N888" i="44"/>
  <c r="U1002" i="44"/>
  <c r="U1178" i="44" s="1"/>
  <c r="U1185" i="44" s="1"/>
  <c r="S1191" i="44"/>
  <c r="V312" i="44"/>
  <c r="V315" i="44"/>
  <c r="R888" i="44"/>
  <c r="V298" i="44"/>
  <c r="V299" i="44" s="1"/>
  <c r="P1003" i="44"/>
  <c r="P1179" i="44" s="1"/>
  <c r="P1186" i="44" s="1"/>
  <c r="S1003" i="44"/>
  <c r="S1179" i="44" s="1"/>
  <c r="S1186" i="44" s="1"/>
  <c r="J632" i="44"/>
  <c r="J633" i="44" s="1"/>
  <c r="N1191" i="44"/>
  <c r="N964" i="44"/>
  <c r="L984" i="44"/>
  <c r="P964" i="44"/>
  <c r="O890" i="44"/>
  <c r="L890" i="44"/>
  <c r="J1003" i="44"/>
  <c r="J1179" i="44" s="1"/>
  <c r="J1186" i="44" s="1"/>
  <c r="N984" i="44"/>
  <c r="J1214" i="44"/>
  <c r="J1220" i="44" s="1"/>
  <c r="G1002" i="44"/>
  <c r="G1178" i="44" s="1"/>
  <c r="G1185" i="44" s="1"/>
  <c r="N1003" i="44"/>
  <c r="N1179" i="44" s="1"/>
  <c r="N1186" i="44" s="1"/>
  <c r="S1002" i="44"/>
  <c r="S1178" i="44" s="1"/>
  <c r="S1185" i="44" s="1"/>
  <c r="H1214" i="44"/>
  <c r="H1220" i="44" s="1"/>
  <c r="G984" i="44"/>
  <c r="H1210" i="44"/>
  <c r="H890" i="44"/>
  <c r="N890" i="44"/>
  <c r="V436" i="44"/>
  <c r="R1174" i="44"/>
  <c r="P1215" i="44"/>
  <c r="P1221" i="44" s="1"/>
  <c r="V439" i="44"/>
  <c r="G632" i="44"/>
  <c r="G633" i="44" s="1"/>
  <c r="K1197" i="44"/>
  <c r="E284" i="44"/>
  <c r="U1174" i="44"/>
  <c r="S984" i="44"/>
  <c r="M890" i="44"/>
  <c r="P890" i="44"/>
  <c r="H888" i="44"/>
  <c r="V582" i="44"/>
  <c r="L1190" i="44"/>
  <c r="G1191" i="44"/>
  <c r="E227" i="44"/>
  <c r="E228" i="44" s="1"/>
  <c r="S1214" i="44"/>
  <c r="S1220" i="44" s="1"/>
  <c r="L1002" i="44"/>
  <c r="L1178" i="44" s="1"/>
  <c r="L1185" i="44" s="1"/>
  <c r="G1003" i="44"/>
  <c r="U632" i="44"/>
  <c r="U633" i="44" s="1"/>
  <c r="G1214" i="44"/>
  <c r="G1220" i="44" s="1"/>
  <c r="V751" i="44"/>
  <c r="V755" i="44" s="1"/>
  <c r="O1174" i="44"/>
  <c r="N1174" i="44"/>
  <c r="J890" i="44"/>
  <c r="M1174" i="44"/>
  <c r="K632" i="44"/>
  <c r="K633" i="44" s="1"/>
  <c r="K1214" i="44"/>
  <c r="K1220" i="44" s="1"/>
  <c r="K888" i="44"/>
  <c r="G1197" i="44"/>
  <c r="V683" i="44"/>
  <c r="Q1214" i="44"/>
  <c r="Q1220" i="44" s="1"/>
  <c r="T762" i="44"/>
  <c r="T440" i="44"/>
  <c r="N632" i="44"/>
  <c r="N633" i="44" s="1"/>
  <c r="S1210" i="44"/>
  <c r="P888" i="44"/>
  <c r="I1190" i="44"/>
  <c r="M1191" i="44"/>
  <c r="E1210" i="44"/>
  <c r="V1164" i="44"/>
  <c r="M1197" i="44"/>
  <c r="H1003" i="44"/>
  <c r="H1179" i="44" s="1"/>
  <c r="H1186" i="44" s="1"/>
  <c r="J1174" i="44"/>
  <c r="P1210" i="44"/>
  <c r="G889" i="44"/>
  <c r="U888" i="44"/>
  <c r="E1215" i="44"/>
  <c r="E1221" i="44" s="1"/>
  <c r="M1215" i="44"/>
  <c r="M1221" i="44" s="1"/>
  <c r="R1003" i="44"/>
  <c r="R1179" i="44" s="1"/>
  <c r="R1186" i="44" s="1"/>
  <c r="O888" i="44"/>
  <c r="L888" i="44"/>
  <c r="T791" i="44"/>
  <c r="T298" i="44"/>
  <c r="T299" i="44" s="1"/>
  <c r="G1174" i="44"/>
  <c r="K1174" i="44"/>
  <c r="P1174" i="44"/>
  <c r="H1174" i="44"/>
  <c r="O1215" i="44"/>
  <c r="O1221" i="44" s="1"/>
  <c r="S890" i="44"/>
  <c r="K1215" i="44"/>
  <c r="K1221" i="44" s="1"/>
  <c r="N1210" i="44"/>
  <c r="I1210" i="44"/>
  <c r="M1204" i="44"/>
  <c r="R984" i="44"/>
  <c r="G1215" i="44"/>
  <c r="G1221" i="44" s="1"/>
  <c r="U890" i="44"/>
  <c r="H632" i="44"/>
  <c r="H633" i="44" s="1"/>
  <c r="Q632" i="44"/>
  <c r="Q633" i="44" s="1"/>
  <c r="O632" i="44"/>
  <c r="O633" i="44" s="1"/>
  <c r="S888" i="44"/>
  <c r="R1210" i="44"/>
  <c r="G888" i="44"/>
  <c r="U1215" i="44"/>
  <c r="U1221" i="44" s="1"/>
  <c r="G964" i="44"/>
  <c r="U1197" i="44"/>
  <c r="I1215" i="44"/>
  <c r="I1221" i="44" s="1"/>
  <c r="Q890" i="44"/>
  <c r="V367" i="44"/>
  <c r="L632" i="44"/>
  <c r="L633" i="44" s="1"/>
  <c r="M1210" i="44"/>
  <c r="S1177" i="44"/>
  <c r="S1184" i="44" s="1"/>
  <c r="S1174" i="44"/>
  <c r="S1197" i="44"/>
  <c r="T483" i="44"/>
  <c r="L1214" i="44"/>
  <c r="L1220" i="44" s="1"/>
  <c r="O1210" i="44"/>
  <c r="S632" i="44"/>
  <c r="S633" i="44" s="1"/>
  <c r="K1210" i="44"/>
  <c r="K1191" i="44"/>
  <c r="H1190" i="44"/>
  <c r="V569" i="44"/>
  <c r="M1190" i="44"/>
  <c r="S1204" i="44"/>
  <c r="V381" i="44"/>
  <c r="V383" i="44"/>
  <c r="V384" i="44" s="1"/>
  <c r="J1210" i="44"/>
  <c r="Q1210" i="44"/>
  <c r="M888" i="44"/>
  <c r="P632" i="44"/>
  <c r="P633" i="44" s="1"/>
  <c r="U1210" i="44"/>
  <c r="G1210" i="44"/>
  <c r="J1192" i="44"/>
  <c r="U1192" i="44"/>
  <c r="Q1001" i="44"/>
  <c r="Q964" i="44"/>
  <c r="O964" i="44"/>
  <c r="R1197" i="44"/>
  <c r="O1197" i="44"/>
  <c r="M1144" i="44"/>
  <c r="J885" i="44"/>
  <c r="J886" i="44" s="1"/>
  <c r="J889" i="44"/>
  <c r="R889" i="44"/>
  <c r="R885" i="44"/>
  <c r="R886" i="44" s="1"/>
  <c r="O1177" i="44"/>
  <c r="G885" i="44"/>
  <c r="G886" i="44" s="1"/>
  <c r="O1214" i="44"/>
  <c r="O1220" i="44" s="1"/>
  <c r="G1219" i="44"/>
  <c r="R1219" i="44"/>
  <c r="E1189" i="44"/>
  <c r="E1192" i="44" s="1"/>
  <c r="E984" i="44"/>
  <c r="R1144" i="44"/>
  <c r="I1174" i="44"/>
  <c r="J1191" i="44"/>
  <c r="I1197" i="44"/>
  <c r="L1192" i="44"/>
  <c r="P1190" i="44"/>
  <c r="G1189" i="44"/>
  <c r="K1190" i="44"/>
  <c r="R1215" i="44"/>
  <c r="R1221" i="44" s="1"/>
  <c r="E1001" i="44"/>
  <c r="E964" i="44"/>
  <c r="T515" i="44"/>
  <c r="R1192" i="44"/>
  <c r="P1189" i="44"/>
  <c r="P984" i="44"/>
  <c r="O1191" i="44"/>
  <c r="J1144" i="44"/>
  <c r="U1177" i="44"/>
  <c r="Q1174" i="44"/>
  <c r="K1144" i="44"/>
  <c r="L1177" i="44"/>
  <c r="O1192" i="44"/>
  <c r="P889" i="44"/>
  <c r="P885" i="44"/>
  <c r="P886" i="44" s="1"/>
  <c r="O885" i="44"/>
  <c r="O886" i="44" s="1"/>
  <c r="O889" i="44"/>
  <c r="N1215" i="44"/>
  <c r="N1221" i="44" s="1"/>
  <c r="S964" i="44"/>
  <c r="V513" i="44"/>
  <c r="V514" i="44" s="1"/>
  <c r="V511" i="44"/>
  <c r="V264" i="44"/>
  <c r="P1219" i="44"/>
  <c r="R632" i="44"/>
  <c r="R633" i="44" s="1"/>
  <c r="J1204" i="44"/>
  <c r="T643" i="44"/>
  <c r="T644" i="44" s="1"/>
  <c r="N1177" i="44"/>
  <c r="V479" i="44"/>
  <c r="V481" i="44"/>
  <c r="V482" i="44" s="1"/>
  <c r="T367" i="44"/>
  <c r="P1204" i="44"/>
  <c r="U1204" i="44"/>
  <c r="J1219" i="44"/>
  <c r="I1002" i="44"/>
  <c r="I1178" i="44" s="1"/>
  <c r="I1185" i="44" s="1"/>
  <c r="U1219" i="44"/>
  <c r="K1219" i="44"/>
  <c r="E1174" i="44"/>
  <c r="M1001" i="44"/>
  <c r="M964" i="44"/>
  <c r="P1191" i="44"/>
  <c r="T1164" i="44"/>
  <c r="M1219" i="44"/>
  <c r="L1219" i="44"/>
  <c r="V946" i="44"/>
  <c r="K1204" i="44"/>
  <c r="E1197" i="44"/>
  <c r="V878" i="44"/>
  <c r="I1191" i="44"/>
  <c r="Q885" i="44"/>
  <c r="Q886" i="44" s="1"/>
  <c r="Q889" i="44"/>
  <c r="S1144" i="44"/>
  <c r="Q1197" i="44"/>
  <c r="N1144" i="44"/>
  <c r="N1190" i="44"/>
  <c r="N1192" i="44" s="1"/>
  <c r="I885" i="44"/>
  <c r="I886" i="44" s="1"/>
  <c r="H885" i="44"/>
  <c r="H886" i="44" s="1"/>
  <c r="H889" i="44"/>
  <c r="Q1215" i="44"/>
  <c r="Q1221" i="44" s="1"/>
  <c r="I890" i="44"/>
  <c r="I632" i="44"/>
  <c r="I633" i="44" s="1"/>
  <c r="L1204" i="44"/>
  <c r="P1214" i="44"/>
  <c r="P1220" i="44" s="1"/>
  <c r="N1214" i="44"/>
  <c r="N1220" i="44" s="1"/>
  <c r="P1177" i="44"/>
  <c r="M1189" i="44"/>
  <c r="M1192" i="44" s="1"/>
  <c r="M984" i="44"/>
  <c r="E1144" i="44"/>
  <c r="J1001" i="44"/>
  <c r="J964" i="44"/>
  <c r="S889" i="44"/>
  <c r="S885" i="44"/>
  <c r="S886" i="44" s="1"/>
  <c r="R964" i="44"/>
  <c r="H1215" i="44"/>
  <c r="H1221" i="44" s="1"/>
  <c r="E885" i="44"/>
  <c r="E886" i="44" s="1"/>
  <c r="V642" i="44"/>
  <c r="V640" i="44"/>
  <c r="L1144" i="44"/>
  <c r="S1190" i="44"/>
  <c r="S1192" i="44" s="1"/>
  <c r="I1214" i="44"/>
  <c r="I1220" i="44" s="1"/>
  <c r="E1202" i="44"/>
  <c r="E1214" i="44" s="1"/>
  <c r="Q1219" i="44"/>
  <c r="U1144" i="44"/>
  <c r="U889" i="44"/>
  <c r="U885" i="44"/>
  <c r="U886" i="44" s="1"/>
  <c r="V570" i="44"/>
  <c r="V568" i="44"/>
  <c r="G1144" i="44"/>
  <c r="N1197" i="44"/>
  <c r="L1197" i="44"/>
  <c r="Q1189" i="44"/>
  <c r="Q1192" i="44" s="1"/>
  <c r="Q984" i="44"/>
  <c r="K1001" i="44"/>
  <c r="K964" i="44"/>
  <c r="H1001" i="44"/>
  <c r="H964" i="44"/>
  <c r="V760" i="44"/>
  <c r="V761" i="44" s="1"/>
  <c r="V758" i="44"/>
  <c r="P1002" i="44"/>
  <c r="P1178" i="44" s="1"/>
  <c r="P1185" i="44" s="1"/>
  <c r="O1144" i="44"/>
  <c r="G1190" i="44"/>
  <c r="K889" i="44"/>
  <c r="K885" i="44"/>
  <c r="K886" i="44" s="1"/>
  <c r="E1002" i="44"/>
  <c r="E1178" i="44" s="1"/>
  <c r="O1219" i="44"/>
  <c r="V1134" i="44"/>
  <c r="Q1204" i="44"/>
  <c r="M885" i="44"/>
  <c r="M886" i="44" s="1"/>
  <c r="M889" i="44"/>
  <c r="O1204" i="44"/>
  <c r="H1204" i="44"/>
  <c r="N1219" i="44"/>
  <c r="E1201" i="44"/>
  <c r="E33" i="44"/>
  <c r="E34" i="44" s="1"/>
  <c r="P1197" i="44"/>
  <c r="K1192" i="44"/>
  <c r="N889" i="44"/>
  <c r="N885" i="44"/>
  <c r="N886" i="44" s="1"/>
  <c r="L885" i="44"/>
  <c r="L886" i="44" s="1"/>
  <c r="L889" i="44"/>
  <c r="I984" i="44"/>
  <c r="H1219" i="44"/>
  <c r="S1219" i="44"/>
  <c r="N1204" i="44"/>
  <c r="M632" i="44"/>
  <c r="M633" i="44" s="1"/>
  <c r="P1144" i="44"/>
  <c r="L1215" i="44"/>
  <c r="L1221" i="44" s="1"/>
  <c r="R1177" i="44"/>
  <c r="G1204" i="44"/>
  <c r="R1204" i="44"/>
  <c r="M1214" i="44"/>
  <c r="M1220" i="44" s="1"/>
  <c r="O1004" i="44" l="1"/>
  <c r="O1211" i="44" s="1"/>
  <c r="V783" i="44"/>
  <c r="V784" i="44" s="1"/>
  <c r="V316" i="44"/>
  <c r="V687" i="44"/>
  <c r="E1185" i="44"/>
  <c r="E632" i="44"/>
  <c r="E633" i="44" s="1"/>
  <c r="G891" i="44"/>
  <c r="G892" i="44" s="1"/>
  <c r="V583" i="44"/>
  <c r="R891" i="44"/>
  <c r="R892" i="44" s="1"/>
  <c r="N891" i="44"/>
  <c r="N892" i="44" s="1"/>
  <c r="K891" i="44"/>
  <c r="K892" i="44" s="1"/>
  <c r="E1220" i="44"/>
  <c r="G1004" i="44"/>
  <c r="G1211" i="44" s="1"/>
  <c r="J1216" i="44"/>
  <c r="J1222" i="44" s="1"/>
  <c r="L1004" i="44"/>
  <c r="L1211" i="44" s="1"/>
  <c r="M891" i="44"/>
  <c r="M892" i="44" s="1"/>
  <c r="Q891" i="44"/>
  <c r="Q892" i="44" s="1"/>
  <c r="H1205" i="44"/>
  <c r="O891" i="44"/>
  <c r="O892" i="44" s="1"/>
  <c r="S1216" i="44"/>
  <c r="S1222" i="44" s="1"/>
  <c r="G1179" i="44"/>
  <c r="G1186" i="44" s="1"/>
  <c r="Q1205" i="44"/>
  <c r="H891" i="44"/>
  <c r="H892" i="44" s="1"/>
  <c r="U1004" i="44"/>
  <c r="U1211" i="44" s="1"/>
  <c r="N1004" i="44"/>
  <c r="N1211" i="44" s="1"/>
  <c r="S1004" i="44"/>
  <c r="S1211" i="44" s="1"/>
  <c r="V440" i="44"/>
  <c r="O1216" i="44"/>
  <c r="O1222" i="44" s="1"/>
  <c r="R1004" i="44"/>
  <c r="R1211" i="44" s="1"/>
  <c r="L891" i="44"/>
  <c r="L892" i="44" s="1"/>
  <c r="G1216" i="44"/>
  <c r="G1217" i="44" s="1"/>
  <c r="U1216" i="44"/>
  <c r="U1222" i="44" s="1"/>
  <c r="J891" i="44"/>
  <c r="J892" i="44" s="1"/>
  <c r="N1205" i="44"/>
  <c r="M1205" i="44"/>
  <c r="K1216" i="44"/>
  <c r="K1222" i="44" s="1"/>
  <c r="V385" i="44"/>
  <c r="V571" i="44"/>
  <c r="V572" i="44" s="1"/>
  <c r="H1216" i="44"/>
  <c r="H1222" i="44" s="1"/>
  <c r="P891" i="44"/>
  <c r="P892" i="44" s="1"/>
  <c r="U1205" i="44"/>
  <c r="R1205" i="44"/>
  <c r="L1205" i="44"/>
  <c r="S1205" i="44"/>
  <c r="U891" i="44"/>
  <c r="U892" i="44" s="1"/>
  <c r="L1216" i="44"/>
  <c r="L1222" i="44" s="1"/>
  <c r="P1205" i="44"/>
  <c r="G1205" i="44"/>
  <c r="Q1216" i="44"/>
  <c r="Q1222" i="44" s="1"/>
  <c r="P1004" i="44"/>
  <c r="P1211" i="44" s="1"/>
  <c r="V483" i="44"/>
  <c r="R1216" i="44"/>
  <c r="R1222" i="44" s="1"/>
  <c r="O1205" i="44"/>
  <c r="V762" i="44"/>
  <c r="I1004" i="44"/>
  <c r="I1211" i="44" s="1"/>
  <c r="S891" i="44"/>
  <c r="S892" i="44" s="1"/>
  <c r="A1208" i="44"/>
  <c r="E891" i="44"/>
  <c r="E892" i="44" s="1"/>
  <c r="P1192" i="44"/>
  <c r="R1184" i="44"/>
  <c r="R1180" i="44"/>
  <c r="R1182" i="44" s="1"/>
  <c r="L1184" i="44"/>
  <c r="L1180" i="44"/>
  <c r="L1182" i="44" s="1"/>
  <c r="E1204" i="44"/>
  <c r="E1205" i="44" s="1"/>
  <c r="E1213" i="44"/>
  <c r="H1177" i="44"/>
  <c r="H1004" i="44"/>
  <c r="H1211" i="44" s="1"/>
  <c r="P1184" i="44"/>
  <c r="P1180" i="44"/>
  <c r="P1182" i="44" s="1"/>
  <c r="M1216" i="44"/>
  <c r="N1216" i="44"/>
  <c r="K1205" i="44"/>
  <c r="J1177" i="44"/>
  <c r="J1004" i="44"/>
  <c r="J1211" i="44" s="1"/>
  <c r="K1177" i="44"/>
  <c r="K1004" i="44"/>
  <c r="K1211" i="44" s="1"/>
  <c r="N1184" i="44"/>
  <c r="N1180" i="44"/>
  <c r="N1182" i="44" s="1"/>
  <c r="O1184" i="44"/>
  <c r="O1180" i="44"/>
  <c r="O1182" i="44" s="1"/>
  <c r="G1180" i="44"/>
  <c r="G1182" i="44" s="1"/>
  <c r="Q1177" i="44"/>
  <c r="Q1004" i="44"/>
  <c r="Q1211" i="44" s="1"/>
  <c r="V643" i="44"/>
  <c r="V644" i="44" s="1"/>
  <c r="V515" i="44"/>
  <c r="U1180" i="44"/>
  <c r="U1182" i="44" s="1"/>
  <c r="U1184" i="44"/>
  <c r="E1177" i="44"/>
  <c r="E1004" i="44"/>
  <c r="E1211" i="44" s="1"/>
  <c r="J1205" i="44"/>
  <c r="S1180" i="44"/>
  <c r="S1182" i="44" s="1"/>
  <c r="V961" i="44"/>
  <c r="P1216" i="44"/>
  <c r="M1177" i="44"/>
  <c r="M1004" i="44"/>
  <c r="M1211" i="44" s="1"/>
  <c r="G1192" i="44"/>
  <c r="S1217" i="44" l="1"/>
  <c r="J1217" i="44"/>
  <c r="O1217" i="44"/>
  <c r="K1217" i="44"/>
  <c r="U1217" i="44"/>
  <c r="G1222" i="44"/>
  <c r="L1217" i="44"/>
  <c r="H1217" i="44"/>
  <c r="Q1217" i="44"/>
  <c r="R1217" i="44"/>
  <c r="P1222" i="44"/>
  <c r="P1217" i="44"/>
  <c r="J1184" i="44"/>
  <c r="J1180" i="44"/>
  <c r="J1182" i="44" s="1"/>
  <c r="M1184" i="44"/>
  <c r="M1180" i="44"/>
  <c r="M1182" i="44" s="1"/>
  <c r="E1184" i="44"/>
  <c r="E1180" i="44"/>
  <c r="E1182" i="44" s="1"/>
  <c r="N1222" i="44"/>
  <c r="N1217" i="44"/>
  <c r="Q1184" i="44"/>
  <c r="Q1180" i="44"/>
  <c r="Q1182" i="44" s="1"/>
  <c r="K1184" i="44"/>
  <c r="K1180" i="44"/>
  <c r="K1182" i="44" s="1"/>
  <c r="H1184" i="44"/>
  <c r="H1180" i="44"/>
  <c r="H1182" i="44" s="1"/>
  <c r="M1222" i="44"/>
  <c r="M1217" i="44"/>
  <c r="E1216" i="44"/>
  <c r="E1219" i="44"/>
  <c r="E1222" i="44" l="1"/>
  <c r="E1217" i="44"/>
  <c r="X277" i="43" l="1"/>
  <c r="G274" i="43"/>
  <c r="U273" i="43"/>
  <c r="T273" i="43"/>
  <c r="T241" i="43" s="1"/>
  <c r="R273" i="43"/>
  <c r="Q273" i="43"/>
  <c r="P273" i="43"/>
  <c r="O273" i="43"/>
  <c r="M273" i="43"/>
  <c r="L273" i="43"/>
  <c r="J273" i="43"/>
  <c r="I273" i="43"/>
  <c r="H273" i="43"/>
  <c r="E273" i="43"/>
  <c r="G272" i="43"/>
  <c r="F834" i="44" s="1"/>
  <c r="T834" i="44" s="1"/>
  <c r="V834" i="44" s="1"/>
  <c r="G271" i="43"/>
  <c r="G270" i="43"/>
  <c r="G269" i="43"/>
  <c r="H268" i="43"/>
  <c r="E268" i="43"/>
  <c r="G266" i="43"/>
  <c r="U264" i="43"/>
  <c r="Q264" i="43"/>
  <c r="P264" i="43"/>
  <c r="O264" i="43"/>
  <c r="M264" i="43"/>
  <c r="L264" i="43"/>
  <c r="J264" i="43"/>
  <c r="I264" i="43"/>
  <c r="H264" i="43"/>
  <c r="E264" i="43"/>
  <c r="G263" i="43"/>
  <c r="U260" i="43"/>
  <c r="S260" i="43"/>
  <c r="R260" i="43"/>
  <c r="Q260" i="43"/>
  <c r="P260" i="43"/>
  <c r="O260" i="43"/>
  <c r="N260" i="43"/>
  <c r="M260" i="43"/>
  <c r="L260" i="43"/>
  <c r="J260" i="43"/>
  <c r="I260" i="43"/>
  <c r="H260" i="43"/>
  <c r="E260" i="43"/>
  <c r="G259" i="43"/>
  <c r="G258" i="43"/>
  <c r="G257" i="43"/>
  <c r="G256" i="43"/>
  <c r="G255" i="43"/>
  <c r="G254" i="43"/>
  <c r="F726" i="44" s="1"/>
  <c r="T726" i="44" s="1"/>
  <c r="V726" i="44" s="1"/>
  <c r="U252" i="43"/>
  <c r="S252" i="43"/>
  <c r="R252" i="43"/>
  <c r="Q252" i="43"/>
  <c r="P252" i="43"/>
  <c r="O252" i="43"/>
  <c r="N252" i="43"/>
  <c r="M252" i="43"/>
  <c r="L252" i="43"/>
  <c r="J252" i="43"/>
  <c r="I252" i="43"/>
  <c r="H252" i="43"/>
  <c r="E252" i="43"/>
  <c r="G251" i="43"/>
  <c r="G250" i="43"/>
  <c r="G249" i="43"/>
  <c r="G248" i="43"/>
  <c r="G247" i="43"/>
  <c r="U246" i="43"/>
  <c r="S246" i="43"/>
  <c r="R246" i="43"/>
  <c r="Q246" i="43"/>
  <c r="P246" i="43"/>
  <c r="O246" i="43"/>
  <c r="N246" i="43"/>
  <c r="M246" i="43"/>
  <c r="L246" i="43"/>
  <c r="J246" i="43"/>
  <c r="I246" i="43"/>
  <c r="H246" i="43"/>
  <c r="E246" i="43"/>
  <c r="G245" i="43"/>
  <c r="G244" i="43"/>
  <c r="G243" i="43"/>
  <c r="F654" i="44" s="1"/>
  <c r="G242" i="43"/>
  <c r="U215" i="43"/>
  <c r="T215" i="43"/>
  <c r="S215" i="43"/>
  <c r="R215" i="43"/>
  <c r="Q215" i="43"/>
  <c r="P215" i="43"/>
  <c r="O215" i="43"/>
  <c r="N215" i="43"/>
  <c r="M215" i="43"/>
  <c r="E215" i="43"/>
  <c r="G214" i="43"/>
  <c r="G213" i="43"/>
  <c r="G212" i="43"/>
  <c r="G211" i="43"/>
  <c r="K210" i="43"/>
  <c r="G206" i="43"/>
  <c r="U202" i="43"/>
  <c r="T202" i="43"/>
  <c r="S202" i="43"/>
  <c r="R202" i="43"/>
  <c r="Q202" i="43"/>
  <c r="P202" i="43"/>
  <c r="O202" i="43"/>
  <c r="N202" i="43"/>
  <c r="M202" i="43"/>
  <c r="L202" i="43"/>
  <c r="J202" i="43"/>
  <c r="I202" i="43"/>
  <c r="H202" i="43"/>
  <c r="E202" i="43"/>
  <c r="G201" i="43"/>
  <c r="G202" i="43" s="1"/>
  <c r="U199" i="43"/>
  <c r="T199" i="43"/>
  <c r="S199" i="43"/>
  <c r="R199" i="43"/>
  <c r="Q199" i="43"/>
  <c r="P199" i="43"/>
  <c r="O199" i="43"/>
  <c r="N199" i="43"/>
  <c r="M199" i="43"/>
  <c r="L199" i="43"/>
  <c r="J199" i="43"/>
  <c r="I199" i="43"/>
  <c r="H199" i="43"/>
  <c r="F199" i="43"/>
  <c r="E199" i="43"/>
  <c r="G198" i="43"/>
  <c r="G197" i="43"/>
  <c r="U195" i="43"/>
  <c r="T195" i="43"/>
  <c r="S195" i="43"/>
  <c r="R195" i="43"/>
  <c r="Q195" i="43"/>
  <c r="P195" i="43"/>
  <c r="O195" i="43"/>
  <c r="N195" i="43"/>
  <c r="M195" i="43"/>
  <c r="L195" i="43"/>
  <c r="J195" i="43"/>
  <c r="I195" i="43"/>
  <c r="H195" i="43"/>
  <c r="F195" i="43"/>
  <c r="E195" i="43"/>
  <c r="G194" i="43"/>
  <c r="V194" i="43" s="1"/>
  <c r="U183" i="43"/>
  <c r="T183" i="43"/>
  <c r="S183" i="43"/>
  <c r="R183" i="43"/>
  <c r="Q183" i="43"/>
  <c r="P183" i="43"/>
  <c r="O183" i="43"/>
  <c r="N183" i="43"/>
  <c r="M183" i="43"/>
  <c r="L183" i="43"/>
  <c r="J183" i="43"/>
  <c r="I183" i="43"/>
  <c r="H183" i="43"/>
  <c r="F183" i="43"/>
  <c r="E183" i="43"/>
  <c r="G182" i="43"/>
  <c r="G181" i="43"/>
  <c r="U177" i="43"/>
  <c r="T177" i="43"/>
  <c r="S177" i="43"/>
  <c r="R177" i="43"/>
  <c r="Q177" i="43"/>
  <c r="P177" i="43"/>
  <c r="O177" i="43"/>
  <c r="N177" i="43"/>
  <c r="M177" i="43"/>
  <c r="L177" i="43"/>
  <c r="J177" i="43"/>
  <c r="I177" i="43"/>
  <c r="H177" i="43"/>
  <c r="F177" i="43"/>
  <c r="E177" i="43"/>
  <c r="G176" i="43"/>
  <c r="G175" i="43"/>
  <c r="G174" i="43"/>
  <c r="G172" i="43"/>
  <c r="G171" i="43"/>
  <c r="U169" i="43"/>
  <c r="T169" i="43"/>
  <c r="S169" i="43"/>
  <c r="R169" i="43"/>
  <c r="Q169" i="43"/>
  <c r="P169" i="43"/>
  <c r="O169" i="43"/>
  <c r="N169" i="43"/>
  <c r="M169" i="43"/>
  <c r="L169" i="43"/>
  <c r="J169" i="43"/>
  <c r="I169" i="43"/>
  <c r="H169" i="43"/>
  <c r="F169" i="43"/>
  <c r="E169" i="43"/>
  <c r="G168" i="43"/>
  <c r="G167" i="43"/>
  <c r="F451" i="44" s="1"/>
  <c r="T451" i="44" s="1"/>
  <c r="V451" i="44" s="1"/>
  <c r="G164" i="43"/>
  <c r="G162" i="43"/>
  <c r="U160" i="43"/>
  <c r="T160" i="43"/>
  <c r="S160" i="43"/>
  <c r="R160" i="43"/>
  <c r="Q160" i="43"/>
  <c r="P160" i="43"/>
  <c r="O160" i="43"/>
  <c r="N160" i="43"/>
  <c r="M160" i="43"/>
  <c r="L160" i="43"/>
  <c r="J160" i="43"/>
  <c r="I160" i="43"/>
  <c r="H160" i="43"/>
  <c r="F160" i="43"/>
  <c r="E160" i="43"/>
  <c r="G159" i="43"/>
  <c r="G158" i="43"/>
  <c r="K151" i="43"/>
  <c r="G150" i="43"/>
  <c r="U148" i="43"/>
  <c r="T148" i="43"/>
  <c r="S148" i="43"/>
  <c r="R148" i="43"/>
  <c r="Q148" i="43"/>
  <c r="P148" i="43"/>
  <c r="O148" i="43"/>
  <c r="N148" i="43"/>
  <c r="M148" i="43"/>
  <c r="L148" i="43"/>
  <c r="J148" i="43"/>
  <c r="I148" i="43"/>
  <c r="H148" i="43"/>
  <c r="F148" i="43"/>
  <c r="E148" i="43"/>
  <c r="G147" i="43"/>
  <c r="V147" i="43" s="1"/>
  <c r="G146" i="43"/>
  <c r="G145" i="43"/>
  <c r="G144" i="43"/>
  <c r="G143" i="43"/>
  <c r="U141" i="43"/>
  <c r="T141" i="43"/>
  <c r="S141" i="43"/>
  <c r="R141" i="43"/>
  <c r="Q141" i="43"/>
  <c r="P141" i="43"/>
  <c r="O141" i="43"/>
  <c r="N141" i="43"/>
  <c r="M141" i="43"/>
  <c r="L141" i="43"/>
  <c r="J141" i="43"/>
  <c r="I141" i="43"/>
  <c r="H141" i="43"/>
  <c r="F141" i="43"/>
  <c r="E141" i="43"/>
  <c r="G140" i="43"/>
  <c r="V140" i="43" s="1"/>
  <c r="G139" i="43"/>
  <c r="V139" i="43" s="1"/>
  <c r="G138" i="43"/>
  <c r="V138" i="43" s="1"/>
  <c r="G137" i="43"/>
  <c r="F369" i="44" s="1"/>
  <c r="G132" i="43"/>
  <c r="G135" i="43" s="1"/>
  <c r="G129" i="43"/>
  <c r="G128" i="43"/>
  <c r="F351" i="44" s="1"/>
  <c r="E126" i="43"/>
  <c r="G125" i="43"/>
  <c r="V125" i="43" s="1"/>
  <c r="G124" i="43"/>
  <c r="U121" i="43"/>
  <c r="T121" i="43"/>
  <c r="S121" i="43"/>
  <c r="R121" i="43"/>
  <c r="J121" i="43"/>
  <c r="I121" i="43"/>
  <c r="H121" i="43"/>
  <c r="F121" i="43"/>
  <c r="G120" i="43"/>
  <c r="F335" i="44" s="1"/>
  <c r="T335" i="44" s="1"/>
  <c r="V335" i="44" s="1"/>
  <c r="G119" i="43"/>
  <c r="F334" i="44" s="1"/>
  <c r="T334" i="44" s="1"/>
  <c r="V334" i="44" s="1"/>
  <c r="G118" i="43"/>
  <c r="F333" i="44" s="1"/>
  <c r="T333" i="44" s="1"/>
  <c r="V333" i="44" s="1"/>
  <c r="G117" i="43"/>
  <c r="U115" i="43"/>
  <c r="T115" i="43"/>
  <c r="S115" i="43"/>
  <c r="R115" i="43"/>
  <c r="Q115" i="43"/>
  <c r="P115" i="43"/>
  <c r="O115" i="43"/>
  <c r="N115" i="43"/>
  <c r="M115" i="43"/>
  <c r="L115" i="43"/>
  <c r="J115" i="43"/>
  <c r="I115" i="43"/>
  <c r="H115" i="43"/>
  <c r="F115" i="43"/>
  <c r="E115" i="43"/>
  <c r="G114" i="43"/>
  <c r="V114" i="43" s="1"/>
  <c r="G113" i="43"/>
  <c r="G100" i="43"/>
  <c r="U98" i="43"/>
  <c r="T98" i="43"/>
  <c r="S98" i="43"/>
  <c r="R98" i="43"/>
  <c r="Q98" i="43"/>
  <c r="P98" i="43"/>
  <c r="O98" i="43"/>
  <c r="N98" i="43"/>
  <c r="M98" i="43"/>
  <c r="L98" i="43"/>
  <c r="J98" i="43"/>
  <c r="I98" i="43"/>
  <c r="H98" i="43"/>
  <c r="F98" i="43"/>
  <c r="E98" i="43"/>
  <c r="G97" i="43"/>
  <c r="F267" i="44" s="1"/>
  <c r="T267" i="44" s="1"/>
  <c r="V267" i="44" s="1"/>
  <c r="F266" i="44"/>
  <c r="T266" i="44" s="1"/>
  <c r="V266" i="44" s="1"/>
  <c r="G93" i="43"/>
  <c r="F263" i="44" s="1"/>
  <c r="G92" i="43"/>
  <c r="E90" i="43"/>
  <c r="G86" i="43"/>
  <c r="E84" i="43"/>
  <c r="G79" i="43"/>
  <c r="U77" i="43"/>
  <c r="T77" i="43"/>
  <c r="S77" i="43"/>
  <c r="R77" i="43"/>
  <c r="Q77" i="43"/>
  <c r="P77" i="43"/>
  <c r="O77" i="43"/>
  <c r="N77" i="43"/>
  <c r="M77" i="43"/>
  <c r="L77" i="43"/>
  <c r="J77" i="43"/>
  <c r="I77" i="43"/>
  <c r="H77" i="43"/>
  <c r="F77" i="43"/>
  <c r="G76" i="43"/>
  <c r="F198" i="44" s="1"/>
  <c r="T198" i="44" s="1"/>
  <c r="V198" i="44" s="1"/>
  <c r="E76" i="43"/>
  <c r="G75" i="43"/>
  <c r="F197" i="44" s="1"/>
  <c r="E75" i="43"/>
  <c r="G74" i="43"/>
  <c r="E74" i="43"/>
  <c r="F203" i="44"/>
  <c r="T203" i="44" s="1"/>
  <c r="V203" i="44" s="1"/>
  <c r="E73" i="43"/>
  <c r="E72" i="43"/>
  <c r="V72" i="43" s="1"/>
  <c r="E71" i="43"/>
  <c r="V71" i="43" s="1"/>
  <c r="G70" i="43"/>
  <c r="F201" i="44" s="1"/>
  <c r="G69" i="43"/>
  <c r="U67" i="43"/>
  <c r="T67" i="43"/>
  <c r="S67" i="43"/>
  <c r="R67" i="43"/>
  <c r="Q67" i="43"/>
  <c r="P67" i="43"/>
  <c r="O67" i="43"/>
  <c r="N67" i="43"/>
  <c r="M67" i="43"/>
  <c r="L67" i="43"/>
  <c r="J67" i="43"/>
  <c r="I67" i="43"/>
  <c r="H67" i="43"/>
  <c r="F67" i="43"/>
  <c r="E67" i="43"/>
  <c r="G66" i="43"/>
  <c r="G63" i="43"/>
  <c r="V63" i="43" s="1"/>
  <c r="U61" i="43"/>
  <c r="F61" i="43"/>
  <c r="E61" i="43"/>
  <c r="G60" i="43"/>
  <c r="G55" i="43"/>
  <c r="G54" i="43"/>
  <c r="V54" i="43" s="1"/>
  <c r="G50" i="43"/>
  <c r="G51" i="43" s="1"/>
  <c r="U47" i="43"/>
  <c r="T47" i="43"/>
  <c r="S47" i="43"/>
  <c r="R47" i="43"/>
  <c r="Q47" i="43"/>
  <c r="P47" i="43"/>
  <c r="O47" i="43"/>
  <c r="N47" i="43"/>
  <c r="M47" i="43"/>
  <c r="L47" i="43"/>
  <c r="J47" i="43"/>
  <c r="I47" i="43"/>
  <c r="H47" i="43"/>
  <c r="F47" i="43"/>
  <c r="G46" i="43"/>
  <c r="F81" i="44" s="1"/>
  <c r="G45" i="43"/>
  <c r="F82" i="44" s="1"/>
  <c r="T82" i="44" s="1"/>
  <c r="V82" i="44" s="1"/>
  <c r="G44" i="43"/>
  <c r="G43" i="43"/>
  <c r="G41" i="43"/>
  <c r="V41" i="43" s="1"/>
  <c r="G40" i="43"/>
  <c r="U38" i="43"/>
  <c r="T38" i="43"/>
  <c r="S38" i="43"/>
  <c r="R38" i="43"/>
  <c r="Q38" i="43"/>
  <c r="P38" i="43"/>
  <c r="O38" i="43"/>
  <c r="N38" i="43"/>
  <c r="M38" i="43"/>
  <c r="L38" i="43"/>
  <c r="K38" i="43"/>
  <c r="J38" i="43"/>
  <c r="I38" i="43"/>
  <c r="H38" i="43"/>
  <c r="E38" i="43"/>
  <c r="G37" i="43"/>
  <c r="G36" i="43"/>
  <c r="F70" i="44" s="1"/>
  <c r="G34" i="43"/>
  <c r="F69" i="44" s="1"/>
  <c r="T69" i="44" s="1"/>
  <c r="V69" i="44" s="1"/>
  <c r="U32" i="43"/>
  <c r="T32" i="43"/>
  <c r="S32" i="43"/>
  <c r="R32" i="43"/>
  <c r="Q32" i="43"/>
  <c r="P32" i="43"/>
  <c r="O32" i="43"/>
  <c r="N32" i="43"/>
  <c r="M32" i="43"/>
  <c r="L32" i="43"/>
  <c r="K32" i="43"/>
  <c r="J32" i="43"/>
  <c r="I32" i="43"/>
  <c r="H32" i="43"/>
  <c r="E32" i="43"/>
  <c r="G31" i="43"/>
  <c r="G30" i="43"/>
  <c r="G29" i="43"/>
  <c r="G28" i="43"/>
  <c r="G27" i="43"/>
  <c r="G26" i="43"/>
  <c r="V26" i="43" s="1"/>
  <c r="G25" i="43"/>
  <c r="V24" i="43"/>
  <c r="U21" i="43"/>
  <c r="U12" i="43" s="1"/>
  <c r="T21" i="43"/>
  <c r="T12" i="43" s="1"/>
  <c r="S21" i="43"/>
  <c r="S12" i="43" s="1"/>
  <c r="R21" i="43"/>
  <c r="R12" i="43" s="1"/>
  <c r="Q21" i="43"/>
  <c r="Q12" i="43" s="1"/>
  <c r="P21" i="43"/>
  <c r="P12" i="43" s="1"/>
  <c r="O21" i="43"/>
  <c r="O12" i="43" s="1"/>
  <c r="N21" i="43"/>
  <c r="N12" i="43" s="1"/>
  <c r="M21" i="43"/>
  <c r="M12" i="43" s="1"/>
  <c r="L21" i="43"/>
  <c r="L12" i="43" s="1"/>
  <c r="J21" i="43"/>
  <c r="J12" i="43" s="1"/>
  <c r="I21" i="43"/>
  <c r="I12" i="43" s="1"/>
  <c r="H21" i="43"/>
  <c r="H12" i="43" s="1"/>
  <c r="F21" i="43"/>
  <c r="F12" i="43" s="1"/>
  <c r="E21" i="43"/>
  <c r="E12" i="43" s="1"/>
  <c r="G20" i="43"/>
  <c r="V20" i="43" s="1"/>
  <c r="G19" i="43"/>
  <c r="V19" i="43" s="1"/>
  <c r="G18" i="43"/>
  <c r="V18" i="43" s="1"/>
  <c r="G17" i="43"/>
  <c r="G16" i="43"/>
  <c r="G14" i="43"/>
  <c r="V14" i="43" s="1"/>
  <c r="G13" i="43"/>
  <c r="U398" i="42"/>
  <c r="T398" i="42"/>
  <c r="S398" i="42"/>
  <c r="R398" i="42"/>
  <c r="Q398" i="42"/>
  <c r="P398" i="42"/>
  <c r="O398" i="42"/>
  <c r="N398" i="42"/>
  <c r="M398" i="42"/>
  <c r="L398" i="42"/>
  <c r="K398" i="42"/>
  <c r="I398" i="42"/>
  <c r="H398" i="42"/>
  <c r="G398" i="42"/>
  <c r="E398" i="42"/>
  <c r="F397" i="42"/>
  <c r="F396" i="42"/>
  <c r="F875" i="44" s="1"/>
  <c r="T875" i="44" s="1"/>
  <c r="V875" i="44" s="1"/>
  <c r="F395" i="42"/>
  <c r="F391" i="42"/>
  <c r="U389" i="42"/>
  <c r="T389" i="42"/>
  <c r="S389" i="42"/>
  <c r="R389" i="42"/>
  <c r="Q389" i="42"/>
  <c r="P389" i="42"/>
  <c r="O389" i="42"/>
  <c r="N389" i="42"/>
  <c r="M389" i="42"/>
  <c r="L389" i="42"/>
  <c r="K389" i="42"/>
  <c r="I389" i="42"/>
  <c r="H389" i="42"/>
  <c r="G389" i="42"/>
  <c r="E389" i="42"/>
  <c r="F388" i="42"/>
  <c r="F389" i="42" s="1"/>
  <c r="U386" i="42"/>
  <c r="R386" i="42"/>
  <c r="Q386" i="42"/>
  <c r="P386" i="42"/>
  <c r="O386" i="42"/>
  <c r="N386" i="42"/>
  <c r="M386" i="42"/>
  <c r="L386" i="42"/>
  <c r="K386" i="42"/>
  <c r="I386" i="42"/>
  <c r="H386" i="42"/>
  <c r="G386" i="42"/>
  <c r="E386" i="42"/>
  <c r="F385" i="42"/>
  <c r="F384" i="42"/>
  <c r="F383" i="42"/>
  <c r="F382" i="42"/>
  <c r="F381" i="42"/>
  <c r="F380" i="42"/>
  <c r="U378" i="42"/>
  <c r="R378" i="42"/>
  <c r="Q378" i="42"/>
  <c r="P378" i="42"/>
  <c r="O378" i="42"/>
  <c r="N378" i="42"/>
  <c r="M378" i="42"/>
  <c r="L378" i="42"/>
  <c r="K378" i="42"/>
  <c r="I378" i="42"/>
  <c r="H378" i="42"/>
  <c r="G378" i="42"/>
  <c r="E378" i="42"/>
  <c r="F377" i="42"/>
  <c r="F376" i="42"/>
  <c r="V376" i="42" s="1"/>
  <c r="U375" i="42"/>
  <c r="R375" i="42"/>
  <c r="Q375" i="42"/>
  <c r="P375" i="42"/>
  <c r="O375" i="42"/>
  <c r="N375" i="42"/>
  <c r="M375" i="42"/>
  <c r="L375" i="42"/>
  <c r="K375" i="42"/>
  <c r="I375" i="42"/>
  <c r="H375" i="42"/>
  <c r="G375" i="42"/>
  <c r="E375" i="42"/>
  <c r="F374" i="42"/>
  <c r="F373" i="42"/>
  <c r="F372" i="42"/>
  <c r="F371" i="42"/>
  <c r="F813" i="44" s="1"/>
  <c r="T813" i="44" s="1"/>
  <c r="V813" i="44" s="1"/>
  <c r="U369" i="42"/>
  <c r="R369" i="42"/>
  <c r="Q369" i="42"/>
  <c r="P369" i="42"/>
  <c r="O369" i="42"/>
  <c r="N369" i="42"/>
  <c r="M369" i="42"/>
  <c r="L369" i="42"/>
  <c r="K369" i="42"/>
  <c r="I369" i="42"/>
  <c r="H369" i="42"/>
  <c r="G369" i="42"/>
  <c r="E369" i="42"/>
  <c r="F368" i="42"/>
  <c r="U346" i="42"/>
  <c r="R346" i="42"/>
  <c r="Q346" i="42"/>
  <c r="P346" i="42"/>
  <c r="O346" i="42"/>
  <c r="N346" i="42"/>
  <c r="M346" i="42"/>
  <c r="L346" i="42"/>
  <c r="K346" i="42"/>
  <c r="I346" i="42"/>
  <c r="H346" i="42"/>
  <c r="G346" i="42"/>
  <c r="E346" i="42"/>
  <c r="F345" i="42"/>
  <c r="F344" i="42"/>
  <c r="F343" i="42"/>
  <c r="F342" i="42"/>
  <c r="F341" i="42"/>
  <c r="F340" i="42"/>
  <c r="F339" i="42"/>
  <c r="V339" i="42" s="1"/>
  <c r="F338" i="42"/>
  <c r="F337" i="42"/>
  <c r="F336" i="42"/>
  <c r="F334" i="42"/>
  <c r="F333" i="42"/>
  <c r="V333" i="42" s="1"/>
  <c r="U332" i="42"/>
  <c r="S332" i="42"/>
  <c r="R332" i="42"/>
  <c r="Q332" i="42"/>
  <c r="P332" i="42"/>
  <c r="O332" i="42"/>
  <c r="N332" i="42"/>
  <c r="M332" i="42"/>
  <c r="L332" i="42"/>
  <c r="K332" i="42"/>
  <c r="I332" i="42"/>
  <c r="H332" i="42"/>
  <c r="G332" i="42"/>
  <c r="E332" i="42"/>
  <c r="F331" i="42"/>
  <c r="V331" i="42" s="1"/>
  <c r="F330" i="42"/>
  <c r="F329" i="42"/>
  <c r="F328" i="42"/>
  <c r="F327" i="42"/>
  <c r="F326" i="42"/>
  <c r="F707" i="44" s="1"/>
  <c r="U324" i="42"/>
  <c r="T324" i="42"/>
  <c r="S324" i="42"/>
  <c r="R324" i="42"/>
  <c r="Q324" i="42"/>
  <c r="P324" i="42"/>
  <c r="O324" i="42"/>
  <c r="N324" i="42"/>
  <c r="M324" i="42"/>
  <c r="L324" i="42"/>
  <c r="K324" i="42"/>
  <c r="I324" i="42"/>
  <c r="H324" i="42"/>
  <c r="G324" i="42"/>
  <c r="E324" i="42"/>
  <c r="F323" i="42"/>
  <c r="F322" i="42"/>
  <c r="U320" i="42"/>
  <c r="R320" i="42"/>
  <c r="Q320" i="42"/>
  <c r="P320" i="42"/>
  <c r="O320" i="42"/>
  <c r="N320" i="42"/>
  <c r="M320" i="42"/>
  <c r="L320" i="42"/>
  <c r="K320" i="42"/>
  <c r="I320" i="42"/>
  <c r="H320" i="42"/>
  <c r="G320" i="42"/>
  <c r="E320" i="42"/>
  <c r="F319" i="42"/>
  <c r="U317" i="42"/>
  <c r="T317" i="42"/>
  <c r="S317" i="42"/>
  <c r="R317" i="42"/>
  <c r="Q317" i="42"/>
  <c r="P317" i="42"/>
  <c r="O317" i="42"/>
  <c r="N317" i="42"/>
  <c r="M317" i="42"/>
  <c r="L317" i="42"/>
  <c r="K317" i="42"/>
  <c r="I317" i="42"/>
  <c r="H317" i="42"/>
  <c r="G317" i="42"/>
  <c r="E317" i="42"/>
  <c r="F316" i="42"/>
  <c r="F315" i="42"/>
  <c r="U314" i="42"/>
  <c r="T314" i="42"/>
  <c r="S314" i="42"/>
  <c r="R314" i="42"/>
  <c r="Q314" i="42"/>
  <c r="P314" i="42"/>
  <c r="O314" i="42"/>
  <c r="N314" i="42"/>
  <c r="M314" i="42"/>
  <c r="L314" i="42"/>
  <c r="K314" i="42"/>
  <c r="I314" i="42"/>
  <c r="H314" i="42"/>
  <c r="G314" i="42"/>
  <c r="E314" i="42"/>
  <c r="F313" i="42"/>
  <c r="F670" i="44" s="1"/>
  <c r="F312" i="42"/>
  <c r="V294" i="42"/>
  <c r="U293" i="42"/>
  <c r="T293" i="42"/>
  <c r="S293" i="42"/>
  <c r="R293" i="42"/>
  <c r="Q293" i="42"/>
  <c r="P293" i="42"/>
  <c r="O293" i="42"/>
  <c r="N293" i="42"/>
  <c r="M293" i="42"/>
  <c r="L293" i="42"/>
  <c r="K293" i="42"/>
  <c r="I293" i="42"/>
  <c r="H293" i="42"/>
  <c r="G293" i="42"/>
  <c r="E293" i="42"/>
  <c r="F292" i="42"/>
  <c r="F291" i="42"/>
  <c r="F290" i="42"/>
  <c r="F289" i="42"/>
  <c r="F288" i="42"/>
  <c r="F287" i="42"/>
  <c r="F286" i="42"/>
  <c r="F285" i="42"/>
  <c r="F284" i="42"/>
  <c r="F283" i="42"/>
  <c r="F282" i="42"/>
  <c r="F621" i="44" s="1"/>
  <c r="F281" i="42"/>
  <c r="F620" i="44" s="1"/>
  <c r="F280" i="42"/>
  <c r="V280" i="42" s="1"/>
  <c r="F279" i="42"/>
  <c r="F622" i="44" s="1"/>
  <c r="F278" i="42"/>
  <c r="F606" i="44" s="1"/>
  <c r="F277" i="42"/>
  <c r="F605" i="44" s="1"/>
  <c r="F276" i="42"/>
  <c r="F604" i="44" s="1"/>
  <c r="F275" i="42"/>
  <c r="F614" i="44" s="1"/>
  <c r="T614" i="44" s="1"/>
  <c r="V614" i="44" s="1"/>
  <c r="U264" i="42"/>
  <c r="T264" i="42"/>
  <c r="S264" i="42"/>
  <c r="R264" i="42"/>
  <c r="Q264" i="42"/>
  <c r="P264" i="42"/>
  <c r="O264" i="42"/>
  <c r="N264" i="42"/>
  <c r="M264" i="42"/>
  <c r="L264" i="42"/>
  <c r="K264" i="42"/>
  <c r="I264" i="42"/>
  <c r="H264" i="42"/>
  <c r="G264" i="42"/>
  <c r="E264" i="42"/>
  <c r="F263" i="42"/>
  <c r="F262" i="42"/>
  <c r="F261" i="42"/>
  <c r="V261" i="42" s="1"/>
  <c r="F260" i="42"/>
  <c r="U258" i="42"/>
  <c r="T258" i="42"/>
  <c r="S258" i="42"/>
  <c r="R258" i="42"/>
  <c r="Q258" i="42"/>
  <c r="P258" i="42"/>
  <c r="O258" i="42"/>
  <c r="N258" i="42"/>
  <c r="M258" i="42"/>
  <c r="L258" i="42"/>
  <c r="K258" i="42"/>
  <c r="I258" i="42"/>
  <c r="H258" i="42"/>
  <c r="G258" i="42"/>
  <c r="E258" i="42"/>
  <c r="F257" i="42"/>
  <c r="F256" i="42"/>
  <c r="F255" i="42"/>
  <c r="V255" i="42" s="1"/>
  <c r="F254" i="42"/>
  <c r="U252" i="42"/>
  <c r="T252" i="42"/>
  <c r="S252" i="42"/>
  <c r="R252" i="42"/>
  <c r="Q252" i="42"/>
  <c r="P252" i="42"/>
  <c r="O252" i="42"/>
  <c r="N252" i="42"/>
  <c r="M252" i="42"/>
  <c r="L252" i="42"/>
  <c r="K252" i="42"/>
  <c r="I252" i="42"/>
  <c r="H252" i="42"/>
  <c r="G252" i="42"/>
  <c r="E252" i="42"/>
  <c r="F251" i="42"/>
  <c r="V251" i="42" s="1"/>
  <c r="F250" i="42"/>
  <c r="V250" i="42" s="1"/>
  <c r="U244" i="42"/>
  <c r="T244" i="42"/>
  <c r="S244" i="42"/>
  <c r="R244" i="42"/>
  <c r="Q244" i="42"/>
  <c r="P244" i="42"/>
  <c r="O244" i="42"/>
  <c r="N244" i="42"/>
  <c r="M244" i="42"/>
  <c r="L244" i="42"/>
  <c r="K244" i="42"/>
  <c r="I244" i="42"/>
  <c r="H244" i="42"/>
  <c r="G244" i="42"/>
  <c r="F243" i="42"/>
  <c r="V243" i="42" s="1"/>
  <c r="F242" i="42"/>
  <c r="V242" i="42" s="1"/>
  <c r="F241" i="42"/>
  <c r="V241" i="42" s="1"/>
  <c r="F240" i="42"/>
  <c r="V240" i="42" s="1"/>
  <c r="F239" i="42"/>
  <c r="F539" i="44" s="1"/>
  <c r="T539" i="44" s="1"/>
  <c r="V539" i="44" s="1"/>
  <c r="E239" i="42"/>
  <c r="F238" i="42"/>
  <c r="V238" i="42" s="1"/>
  <c r="F237" i="42"/>
  <c r="F236" i="42"/>
  <c r="V236" i="42" s="1"/>
  <c r="F231" i="42"/>
  <c r="U229" i="42"/>
  <c r="T229" i="42"/>
  <c r="S229" i="42"/>
  <c r="R229" i="42"/>
  <c r="Q229" i="42"/>
  <c r="P229" i="42"/>
  <c r="O229" i="42"/>
  <c r="N229" i="42"/>
  <c r="M229" i="42"/>
  <c r="L229" i="42"/>
  <c r="K229" i="42"/>
  <c r="I229" i="42"/>
  <c r="H229" i="42"/>
  <c r="G229" i="42"/>
  <c r="E229" i="42"/>
  <c r="F228" i="42"/>
  <c r="U227" i="42"/>
  <c r="T227" i="42"/>
  <c r="R227" i="42"/>
  <c r="N227" i="42"/>
  <c r="E227" i="42"/>
  <c r="F226" i="42"/>
  <c r="F225" i="42"/>
  <c r="F222" i="42"/>
  <c r="V222" i="42" s="1"/>
  <c r="F221" i="42"/>
  <c r="V221" i="42" s="1"/>
  <c r="F220" i="42"/>
  <c r="E220" i="42"/>
  <c r="V220" i="42" s="1"/>
  <c r="F219" i="42"/>
  <c r="F218" i="42"/>
  <c r="F217" i="42"/>
  <c r="V217" i="42" s="1"/>
  <c r="F216" i="42"/>
  <c r="V216" i="42" s="1"/>
  <c r="F215" i="42"/>
  <c r="V215" i="42" s="1"/>
  <c r="U214" i="42"/>
  <c r="T214" i="42"/>
  <c r="S214" i="42"/>
  <c r="R214" i="42"/>
  <c r="P214" i="42"/>
  <c r="M214" i="42"/>
  <c r="L214" i="42"/>
  <c r="K214" i="42"/>
  <c r="G214" i="42"/>
  <c r="E214" i="42"/>
  <c r="F213" i="42"/>
  <c r="F212" i="42"/>
  <c r="Q211" i="42"/>
  <c r="O211" i="42"/>
  <c r="O214" i="42" s="1"/>
  <c r="N211" i="42"/>
  <c r="N214" i="42" s="1"/>
  <c r="I211" i="42"/>
  <c r="I214" i="42" s="1"/>
  <c r="H211" i="42"/>
  <c r="H214" i="42" s="1"/>
  <c r="U210" i="42"/>
  <c r="T210" i="42"/>
  <c r="S210" i="42"/>
  <c r="R210" i="42"/>
  <c r="Q210" i="42"/>
  <c r="P210" i="42"/>
  <c r="O210" i="42"/>
  <c r="N210" i="42"/>
  <c r="M210" i="42"/>
  <c r="L210" i="42"/>
  <c r="K210" i="42"/>
  <c r="I210" i="42"/>
  <c r="H210" i="42"/>
  <c r="G210" i="42"/>
  <c r="E210" i="42"/>
  <c r="F209" i="42"/>
  <c r="F208" i="42"/>
  <c r="F207" i="42"/>
  <c r="F206" i="42"/>
  <c r="F205" i="42"/>
  <c r="F493" i="44" s="1"/>
  <c r="T493" i="44" s="1"/>
  <c r="V493" i="44" s="1"/>
  <c r="U203" i="42"/>
  <c r="R203" i="42"/>
  <c r="Q203" i="42"/>
  <c r="P203" i="42"/>
  <c r="O203" i="42"/>
  <c r="N203" i="42"/>
  <c r="M203" i="42"/>
  <c r="L203" i="42"/>
  <c r="K203" i="42"/>
  <c r="I203" i="42"/>
  <c r="H203" i="42"/>
  <c r="G203" i="42"/>
  <c r="E203" i="42"/>
  <c r="F202" i="42"/>
  <c r="V202" i="42" s="1"/>
  <c r="F201" i="42"/>
  <c r="F200" i="42"/>
  <c r="U193" i="42"/>
  <c r="T193" i="42"/>
  <c r="S193" i="42"/>
  <c r="R193" i="42"/>
  <c r="Q193" i="42"/>
  <c r="P193" i="42"/>
  <c r="O193" i="42"/>
  <c r="N193" i="42"/>
  <c r="M193" i="42"/>
  <c r="L193" i="42"/>
  <c r="K193" i="42"/>
  <c r="I193" i="42"/>
  <c r="H193" i="42"/>
  <c r="G193" i="42"/>
  <c r="F192" i="42"/>
  <c r="F191" i="42"/>
  <c r="F190" i="42"/>
  <c r="F189" i="42"/>
  <c r="E189" i="42"/>
  <c r="F186" i="42"/>
  <c r="V186" i="42" s="1"/>
  <c r="F185" i="42"/>
  <c r="F184" i="42"/>
  <c r="F180" i="42"/>
  <c r="F179" i="42"/>
  <c r="F177" i="42"/>
  <c r="F176" i="42"/>
  <c r="V174" i="42"/>
  <c r="U160" i="42"/>
  <c r="T160" i="42"/>
  <c r="S160" i="42"/>
  <c r="R160" i="42"/>
  <c r="Q160" i="42"/>
  <c r="P160" i="42"/>
  <c r="O160" i="42"/>
  <c r="N160" i="42"/>
  <c r="M160" i="42"/>
  <c r="L160" i="42"/>
  <c r="K160" i="42"/>
  <c r="I160" i="42"/>
  <c r="H160" i="42"/>
  <c r="G160" i="42"/>
  <c r="E160" i="42"/>
  <c r="F159" i="42"/>
  <c r="U157" i="42"/>
  <c r="T157" i="42"/>
  <c r="S157" i="42"/>
  <c r="R157" i="42"/>
  <c r="Q157" i="42"/>
  <c r="P157" i="42"/>
  <c r="O157" i="42"/>
  <c r="N157" i="42"/>
  <c r="M157" i="42"/>
  <c r="L157" i="42"/>
  <c r="K157" i="42"/>
  <c r="I157" i="42"/>
  <c r="H157" i="42"/>
  <c r="G157" i="42"/>
  <c r="F156" i="42"/>
  <c r="F155" i="42"/>
  <c r="F154" i="42"/>
  <c r="F153" i="42"/>
  <c r="F152" i="42"/>
  <c r="F151" i="42"/>
  <c r="F216" i="44" s="1"/>
  <c r="T216" i="44" s="1"/>
  <c r="V216" i="44" s="1"/>
  <c r="E151" i="42"/>
  <c r="F150" i="42"/>
  <c r="F149" i="42"/>
  <c r="F214" i="44" s="1"/>
  <c r="T214" i="44" s="1"/>
  <c r="V214" i="44" s="1"/>
  <c r="E149" i="42"/>
  <c r="F148" i="42"/>
  <c r="F147" i="42"/>
  <c r="F219" i="44" s="1"/>
  <c r="T219" i="44" s="1"/>
  <c r="V219" i="44" s="1"/>
  <c r="E147" i="42"/>
  <c r="F146" i="42"/>
  <c r="V146" i="42" s="1"/>
  <c r="F145" i="42"/>
  <c r="F144" i="42"/>
  <c r="F143" i="42"/>
  <c r="F142" i="42"/>
  <c r="F141" i="42"/>
  <c r="F208" i="44" s="1"/>
  <c r="T208" i="44" s="1"/>
  <c r="V208" i="44" s="1"/>
  <c r="F140" i="42"/>
  <c r="F139" i="42"/>
  <c r="F206" i="44" s="1"/>
  <c r="E139" i="42"/>
  <c r="F138" i="42"/>
  <c r="U136" i="42"/>
  <c r="T136" i="42"/>
  <c r="S136" i="42"/>
  <c r="R136" i="42"/>
  <c r="Q136" i="42"/>
  <c r="P136" i="42"/>
  <c r="O136" i="42"/>
  <c r="N136" i="42"/>
  <c r="M136" i="42"/>
  <c r="L136" i="42"/>
  <c r="K136" i="42"/>
  <c r="I136" i="42"/>
  <c r="H136" i="42"/>
  <c r="G136" i="42"/>
  <c r="E136" i="42"/>
  <c r="F135" i="42"/>
  <c r="F134" i="42"/>
  <c r="U132" i="42"/>
  <c r="T132" i="42"/>
  <c r="S132" i="42"/>
  <c r="R132" i="42"/>
  <c r="Q132" i="42"/>
  <c r="P132" i="42"/>
  <c r="O132" i="42"/>
  <c r="N132" i="42"/>
  <c r="M132" i="42"/>
  <c r="L132" i="42"/>
  <c r="K132" i="42"/>
  <c r="I132" i="42"/>
  <c r="H132" i="42"/>
  <c r="G132" i="42"/>
  <c r="E132" i="42"/>
  <c r="F131" i="42"/>
  <c r="F130" i="42"/>
  <c r="F167" i="44" s="1"/>
  <c r="F129" i="42"/>
  <c r="U114" i="42"/>
  <c r="T114" i="42"/>
  <c r="S114" i="42"/>
  <c r="R114" i="42"/>
  <c r="Q114" i="42"/>
  <c r="P114" i="42"/>
  <c r="O114" i="42"/>
  <c r="N114" i="42"/>
  <c r="M114" i="42"/>
  <c r="L114" i="42"/>
  <c r="K114" i="42"/>
  <c r="I114" i="42"/>
  <c r="H114" i="42"/>
  <c r="G114" i="42"/>
  <c r="E114" i="42"/>
  <c r="F113" i="42"/>
  <c r="F112" i="42"/>
  <c r="U110" i="42"/>
  <c r="T110" i="42"/>
  <c r="S110" i="42"/>
  <c r="R110" i="42"/>
  <c r="Q110" i="42"/>
  <c r="P110" i="42"/>
  <c r="O110" i="42"/>
  <c r="N110" i="42"/>
  <c r="M110" i="42"/>
  <c r="L110" i="42"/>
  <c r="K110" i="42"/>
  <c r="I110" i="42"/>
  <c r="H110" i="42"/>
  <c r="G110" i="42"/>
  <c r="E110" i="42"/>
  <c r="F109" i="42"/>
  <c r="F110" i="42" s="1"/>
  <c r="U107" i="42"/>
  <c r="T107" i="42"/>
  <c r="S107" i="42"/>
  <c r="R107" i="42"/>
  <c r="Q107" i="42"/>
  <c r="P107" i="42"/>
  <c r="O107" i="42"/>
  <c r="N107" i="42"/>
  <c r="M107" i="42"/>
  <c r="L107" i="42"/>
  <c r="K107" i="42"/>
  <c r="I107" i="42"/>
  <c r="H107" i="42"/>
  <c r="G107" i="42"/>
  <c r="F105" i="42"/>
  <c r="F104" i="42"/>
  <c r="F103" i="42"/>
  <c r="F102" i="42"/>
  <c r="F101" i="42"/>
  <c r="F100" i="42"/>
  <c r="F99" i="42"/>
  <c r="F98" i="42"/>
  <c r="F97" i="42"/>
  <c r="F96" i="42"/>
  <c r="F94" i="42"/>
  <c r="F93" i="42"/>
  <c r="F92" i="42"/>
  <c r="F91" i="42"/>
  <c r="U89" i="42"/>
  <c r="T89" i="42"/>
  <c r="S89" i="42"/>
  <c r="R89" i="42"/>
  <c r="Q89" i="42"/>
  <c r="P89" i="42"/>
  <c r="O89" i="42"/>
  <c r="N89" i="42"/>
  <c r="M89" i="42"/>
  <c r="L89" i="42"/>
  <c r="K89" i="42"/>
  <c r="I89" i="42"/>
  <c r="H89" i="42"/>
  <c r="G89" i="42"/>
  <c r="E89" i="42"/>
  <c r="F88" i="42"/>
  <c r="F90" i="44" s="1"/>
  <c r="T90" i="44" s="1"/>
  <c r="V90" i="44" s="1"/>
  <c r="F87" i="42"/>
  <c r="F95" i="44" s="1"/>
  <c r="T95" i="44" s="1"/>
  <c r="V95" i="44" s="1"/>
  <c r="F86" i="42"/>
  <c r="F85" i="42"/>
  <c r="F84" i="42"/>
  <c r="F92" i="44" s="1"/>
  <c r="F83" i="42"/>
  <c r="F82" i="42"/>
  <c r="F91" i="44" s="1"/>
  <c r="T91" i="44" s="1"/>
  <c r="V91" i="44" s="1"/>
  <c r="F81" i="42"/>
  <c r="F100" i="44" s="1"/>
  <c r="T100" i="44" s="1"/>
  <c r="V100" i="44" s="1"/>
  <c r="F80" i="42"/>
  <c r="F79" i="42"/>
  <c r="V79" i="42" s="1"/>
  <c r="F78" i="42"/>
  <c r="V78" i="42" s="1"/>
  <c r="F77" i="42"/>
  <c r="V77" i="42" s="1"/>
  <c r="F76" i="42"/>
  <c r="F101" i="44" s="1"/>
  <c r="T101" i="44" s="1"/>
  <c r="V101" i="44" s="1"/>
  <c r="F75" i="42"/>
  <c r="F89" i="44" s="1"/>
  <c r="T89" i="44" s="1"/>
  <c r="V89" i="44" s="1"/>
  <c r="F74" i="42"/>
  <c r="F73" i="42"/>
  <c r="F72" i="42"/>
  <c r="V72" i="42" s="1"/>
  <c r="Z71" i="42"/>
  <c r="V60" i="42"/>
  <c r="U59" i="42"/>
  <c r="R59" i="42"/>
  <c r="Q59" i="42"/>
  <c r="P59" i="42"/>
  <c r="O59" i="42"/>
  <c r="N59" i="42"/>
  <c r="M59" i="42"/>
  <c r="L59" i="42"/>
  <c r="K59" i="42"/>
  <c r="I59" i="42"/>
  <c r="H59" i="42"/>
  <c r="G59" i="42"/>
  <c r="E59" i="42"/>
  <c r="F58" i="42"/>
  <c r="F57" i="42"/>
  <c r="U55" i="42"/>
  <c r="T55" i="42"/>
  <c r="S55" i="42"/>
  <c r="R55" i="42"/>
  <c r="Q55" i="42"/>
  <c r="P55" i="42"/>
  <c r="O55" i="42"/>
  <c r="N55" i="42"/>
  <c r="M55" i="42"/>
  <c r="L55" i="42"/>
  <c r="K55" i="42"/>
  <c r="E55" i="42"/>
  <c r="F54" i="42"/>
  <c r="V54" i="42" s="1"/>
  <c r="F53" i="42"/>
  <c r="V53" i="42" s="1"/>
  <c r="F52" i="42"/>
  <c r="F51" i="42"/>
  <c r="F50" i="42"/>
  <c r="V50" i="42" s="1"/>
  <c r="F49" i="42"/>
  <c r="F48" i="42"/>
  <c r="F47" i="42"/>
  <c r="V47" i="42" s="1"/>
  <c r="F46" i="42"/>
  <c r="Z45" i="42"/>
  <c r="F45" i="42"/>
  <c r="F44" i="42"/>
  <c r="V44" i="42" s="1"/>
  <c r="F43" i="42"/>
  <c r="V43" i="42" s="1"/>
  <c r="F42" i="42"/>
  <c r="F61" i="44" s="1"/>
  <c r="F41" i="42"/>
  <c r="F49" i="44" s="1"/>
  <c r="F40" i="42"/>
  <c r="F39" i="42"/>
  <c r="F38" i="42"/>
  <c r="F37" i="42"/>
  <c r="F56" i="44" s="1"/>
  <c r="U33" i="42"/>
  <c r="T33" i="42"/>
  <c r="S33" i="42"/>
  <c r="R33" i="42"/>
  <c r="Q33" i="42"/>
  <c r="P33" i="42"/>
  <c r="O33" i="42"/>
  <c r="N33" i="42"/>
  <c r="M33" i="42"/>
  <c r="L33" i="42"/>
  <c r="K33" i="42"/>
  <c r="I33" i="42"/>
  <c r="G32" i="42"/>
  <c r="F32" i="42" s="1"/>
  <c r="H31" i="42"/>
  <c r="H33" i="42" s="1"/>
  <c r="G31" i="42"/>
  <c r="F30" i="42"/>
  <c r="V30" i="42" s="1"/>
  <c r="F29" i="42"/>
  <c r="V29" i="42" s="1"/>
  <c r="F28" i="42"/>
  <c r="V28" i="42" s="1"/>
  <c r="F27" i="42"/>
  <c r="V27" i="42" s="1"/>
  <c r="F26" i="42"/>
  <c r="V26" i="42" s="1"/>
  <c r="F25" i="42"/>
  <c r="V25" i="42" s="1"/>
  <c r="F24" i="42"/>
  <c r="V24" i="42" s="1"/>
  <c r="F23" i="42"/>
  <c r="V23" i="42" s="1"/>
  <c r="F22" i="42"/>
  <c r="V22" i="42" s="1"/>
  <c r="J20" i="42"/>
  <c r="F19" i="42"/>
  <c r="F25" i="44" s="1"/>
  <c r="F17" i="42"/>
  <c r="F16" i="42"/>
  <c r="F15" i="42"/>
  <c r="V15" i="42" s="1"/>
  <c r="F13" i="42"/>
  <c r="V13" i="42" s="1"/>
  <c r="Z11" i="42"/>
  <c r="F607" i="44" l="1"/>
  <c r="V283" i="42"/>
  <c r="F217" i="44"/>
  <c r="T217" i="44" s="1"/>
  <c r="V217" i="44" s="1"/>
  <c r="V145" i="42"/>
  <c r="F20" i="42"/>
  <c r="F18" i="44" s="1"/>
  <c r="I18" i="44"/>
  <c r="J33" i="42"/>
  <c r="F169" i="44"/>
  <c r="T167" i="44"/>
  <c r="F617" i="44"/>
  <c r="V287" i="42"/>
  <c r="E193" i="42"/>
  <c r="V189" i="42"/>
  <c r="E244" i="42"/>
  <c r="V239" i="42"/>
  <c r="F246" i="44"/>
  <c r="T246" i="44" s="1"/>
  <c r="V190" i="42"/>
  <c r="F247" i="44"/>
  <c r="T247" i="44" s="1"/>
  <c r="V247" i="44" s="1"/>
  <c r="V191" i="42"/>
  <c r="F443" i="44"/>
  <c r="F445" i="44" s="1"/>
  <c r="V218" i="42"/>
  <c r="F248" i="44"/>
  <c r="T248" i="44" s="1"/>
  <c r="V248" i="44" s="1"/>
  <c r="V192" i="42"/>
  <c r="F502" i="44"/>
  <c r="T502" i="44" s="1"/>
  <c r="V219" i="42"/>
  <c r="V252" i="42"/>
  <c r="F533" i="44"/>
  <c r="T533" i="44" s="1"/>
  <c r="V533" i="44" s="1"/>
  <c r="V237" i="42"/>
  <c r="F50" i="44"/>
  <c r="V39" i="42"/>
  <c r="F29" i="44"/>
  <c r="F1121" i="44" s="1"/>
  <c r="V16" i="42"/>
  <c r="F19" i="44"/>
  <c r="F1016" i="44" s="1"/>
  <c r="V17" i="42"/>
  <c r="V37" i="43"/>
  <c r="F71" i="44"/>
  <c r="T71" i="44" s="1"/>
  <c r="V71" i="44" s="1"/>
  <c r="T607" i="44"/>
  <c r="V607" i="44" s="1"/>
  <c r="G210" i="43"/>
  <c r="F601" i="44" s="1"/>
  <c r="T601" i="44" s="1"/>
  <c r="V601" i="44" s="1"/>
  <c r="K215" i="43"/>
  <c r="G151" i="43"/>
  <c r="K153" i="43"/>
  <c r="V162" i="43"/>
  <c r="G165" i="43"/>
  <c r="V247" i="43"/>
  <c r="F699" i="44"/>
  <c r="T699" i="44" s="1"/>
  <c r="V699" i="44" s="1"/>
  <c r="V248" i="43"/>
  <c r="F704" i="44"/>
  <c r="V263" i="43"/>
  <c r="F808" i="44"/>
  <c r="T808" i="44" s="1"/>
  <c r="V808" i="44" s="1"/>
  <c r="G268" i="43"/>
  <c r="F821" i="44"/>
  <c r="F728" i="44"/>
  <c r="T728" i="44" s="1"/>
  <c r="V728" i="44" s="1"/>
  <c r="F703" i="44"/>
  <c r="V250" i="43"/>
  <c r="F701" i="44"/>
  <c r="T701" i="44" s="1"/>
  <c r="V701" i="44" s="1"/>
  <c r="V251" i="43"/>
  <c r="F698" i="44"/>
  <c r="V269" i="43"/>
  <c r="F832" i="44"/>
  <c r="T832" i="44" s="1"/>
  <c r="V832" i="44" s="1"/>
  <c r="V270" i="43"/>
  <c r="F830" i="44"/>
  <c r="F120" i="44"/>
  <c r="T120" i="44" s="1"/>
  <c r="V120" i="44" s="1"/>
  <c r="V55" i="43"/>
  <c r="V242" i="43"/>
  <c r="F646" i="44"/>
  <c r="V255" i="43"/>
  <c r="F727" i="44"/>
  <c r="V271" i="43"/>
  <c r="F833" i="44"/>
  <c r="T833" i="44" s="1"/>
  <c r="V833" i="44" s="1"/>
  <c r="T654" i="44"/>
  <c r="F659" i="44"/>
  <c r="V256" i="43"/>
  <c r="F807" i="44"/>
  <c r="G246" i="43"/>
  <c r="F665" i="44"/>
  <c r="V257" i="43"/>
  <c r="F729" i="44"/>
  <c r="T729" i="44" s="1"/>
  <c r="V729" i="44" s="1"/>
  <c r="V274" i="43"/>
  <c r="F764" i="44"/>
  <c r="V245" i="43"/>
  <c r="F666" i="44"/>
  <c r="T666" i="44" s="1"/>
  <c r="V666" i="44" s="1"/>
  <c r="V258" i="43"/>
  <c r="F723" i="44"/>
  <c r="V259" i="43"/>
  <c r="F724" i="44"/>
  <c r="T724" i="44" s="1"/>
  <c r="V724" i="44" s="1"/>
  <c r="F242" i="44"/>
  <c r="G90" i="43"/>
  <c r="F231" i="44"/>
  <c r="G84" i="43"/>
  <c r="F175" i="44"/>
  <c r="T175" i="44" s="1"/>
  <c r="V175" i="44" s="1"/>
  <c r="V198" i="43"/>
  <c r="F587" i="44"/>
  <c r="T587" i="44" s="1"/>
  <c r="V587" i="44" s="1"/>
  <c r="V214" i="43"/>
  <c r="F598" i="44"/>
  <c r="N241" i="43"/>
  <c r="V206" i="43"/>
  <c r="F600" i="44"/>
  <c r="T600" i="44" s="1"/>
  <c r="V600" i="44" s="1"/>
  <c r="V211" i="43"/>
  <c r="F602" i="44"/>
  <c r="T602" i="44" s="1"/>
  <c r="V602" i="44" s="1"/>
  <c r="V212" i="43"/>
  <c r="F603" i="44"/>
  <c r="V197" i="43"/>
  <c r="F585" i="44"/>
  <c r="T585" i="44" s="1"/>
  <c r="V585" i="44" s="1"/>
  <c r="V213" i="43"/>
  <c r="F597" i="44"/>
  <c r="V181" i="43"/>
  <c r="F549" i="44"/>
  <c r="T549" i="44" s="1"/>
  <c r="V549" i="44" s="1"/>
  <c r="V182" i="43"/>
  <c r="F547" i="44"/>
  <c r="V172" i="43"/>
  <c r="F530" i="44"/>
  <c r="T530" i="44" s="1"/>
  <c r="V530" i="44" s="1"/>
  <c r="V174" i="43"/>
  <c r="F528" i="44"/>
  <c r="T528" i="44" s="1"/>
  <c r="V528" i="44" s="1"/>
  <c r="V175" i="43"/>
  <c r="F526" i="44"/>
  <c r="T526" i="44" s="1"/>
  <c r="V526" i="44" s="1"/>
  <c r="V176" i="43"/>
  <c r="F525" i="44"/>
  <c r="T525" i="44" s="1"/>
  <c r="V525" i="44" s="1"/>
  <c r="V168" i="43"/>
  <c r="F450" i="44"/>
  <c r="V171" i="43"/>
  <c r="F529" i="44"/>
  <c r="V164" i="43"/>
  <c r="F501" i="44"/>
  <c r="G153" i="43"/>
  <c r="V158" i="43"/>
  <c r="F488" i="44"/>
  <c r="T488" i="44" s="1"/>
  <c r="V488" i="44" s="1"/>
  <c r="V159" i="43"/>
  <c r="F486" i="44"/>
  <c r="V150" i="43"/>
  <c r="F422" i="44"/>
  <c r="T422" i="44" s="1"/>
  <c r="V422" i="44" s="1"/>
  <c r="I155" i="43"/>
  <c r="V143" i="43"/>
  <c r="F405" i="44"/>
  <c r="F470" i="44"/>
  <c r="V144" i="43"/>
  <c r="F406" i="44"/>
  <c r="T406" i="44" s="1"/>
  <c r="V406" i="44" s="1"/>
  <c r="V145" i="43"/>
  <c r="F407" i="44"/>
  <c r="T407" i="44" s="1"/>
  <c r="V407" i="44" s="1"/>
  <c r="V146" i="43"/>
  <c r="F409" i="44"/>
  <c r="T409" i="44" s="1"/>
  <c r="V409" i="44" s="1"/>
  <c r="V75" i="43"/>
  <c r="G264" i="43"/>
  <c r="U241" i="43"/>
  <c r="S241" i="43"/>
  <c r="F373" i="44"/>
  <c r="T369" i="44"/>
  <c r="F375" i="44"/>
  <c r="F376" i="44" s="1"/>
  <c r="V73" i="43"/>
  <c r="V94" i="43"/>
  <c r="G183" i="43"/>
  <c r="E241" i="43"/>
  <c r="H241" i="43"/>
  <c r="G32" i="43"/>
  <c r="V97" i="43"/>
  <c r="V118" i="43"/>
  <c r="J241" i="43"/>
  <c r="V76" i="43"/>
  <c r="V93" i="43"/>
  <c r="V132" i="43"/>
  <c r="V135" i="43" s="1"/>
  <c r="F360" i="44"/>
  <c r="V195" i="43"/>
  <c r="V119" i="43"/>
  <c r="G141" i="43"/>
  <c r="G38" i="43"/>
  <c r="V120" i="43"/>
  <c r="V45" i="43"/>
  <c r="V36" i="43"/>
  <c r="G169" i="43"/>
  <c r="V27" i="43"/>
  <c r="F43" i="44"/>
  <c r="V46" i="43"/>
  <c r="V79" i="43"/>
  <c r="V84" i="43" s="1"/>
  <c r="V16" i="43"/>
  <c r="F15" i="44"/>
  <c r="V28" i="43"/>
  <c r="F45" i="44"/>
  <c r="T45" i="44" s="1"/>
  <c r="V45" i="44" s="1"/>
  <c r="G67" i="43"/>
  <c r="G199" i="43"/>
  <c r="V17" i="43"/>
  <c r="F16" i="44"/>
  <c r="V29" i="43"/>
  <c r="F46" i="44"/>
  <c r="T46" i="44" s="1"/>
  <c r="V46" i="44" s="1"/>
  <c r="V65" i="43"/>
  <c r="G98" i="43"/>
  <c r="V30" i="43"/>
  <c r="F41" i="44"/>
  <c r="V50" i="43"/>
  <c r="V51" i="43" s="1"/>
  <c r="F109" i="44"/>
  <c r="V66" i="43"/>
  <c r="F177" i="44"/>
  <c r="T177" i="44" s="1"/>
  <c r="V177" i="44" s="1"/>
  <c r="V86" i="43"/>
  <c r="V90" i="43" s="1"/>
  <c r="V137" i="43"/>
  <c r="V141" i="43" s="1"/>
  <c r="M241" i="43"/>
  <c r="L241" i="43"/>
  <c r="V31" i="43"/>
  <c r="F44" i="44"/>
  <c r="F119" i="44"/>
  <c r="T119" i="44" s="1"/>
  <c r="V119" i="44" s="1"/>
  <c r="V74" i="43"/>
  <c r="F204" i="44"/>
  <c r="T204" i="44" s="1"/>
  <c r="V204" i="44" s="1"/>
  <c r="V100" i="43"/>
  <c r="F319" i="44"/>
  <c r="V201" i="43"/>
  <c r="V202" i="43" s="1"/>
  <c r="G47" i="43"/>
  <c r="F83" i="44"/>
  <c r="T83" i="44" s="1"/>
  <c r="V83" i="44" s="1"/>
  <c r="V92" i="43"/>
  <c r="F256" i="44"/>
  <c r="V113" i="43"/>
  <c r="V115" i="43" s="1"/>
  <c r="F517" i="44"/>
  <c r="O241" i="43"/>
  <c r="F84" i="44"/>
  <c r="T84" i="44" s="1"/>
  <c r="V84" i="44" s="1"/>
  <c r="T197" i="44"/>
  <c r="T263" i="44"/>
  <c r="F282" i="44"/>
  <c r="G252" i="43"/>
  <c r="P241" i="43"/>
  <c r="V43" i="43"/>
  <c r="F85" i="44"/>
  <c r="T85" i="44" s="1"/>
  <c r="V85" i="44" s="1"/>
  <c r="V59" i="43"/>
  <c r="F117" i="44"/>
  <c r="T117" i="44" s="1"/>
  <c r="V117" i="44" s="1"/>
  <c r="V69" i="43"/>
  <c r="F202" i="44"/>
  <c r="T202" i="44" s="1"/>
  <c r="V202" i="44" s="1"/>
  <c r="V124" i="43"/>
  <c r="V126" i="43" s="1"/>
  <c r="F344" i="44"/>
  <c r="F346" i="44" s="1"/>
  <c r="Q241" i="43"/>
  <c r="V44" i="43"/>
  <c r="F86" i="44"/>
  <c r="T86" i="44" s="1"/>
  <c r="V86" i="44" s="1"/>
  <c r="V60" i="43"/>
  <c r="F116" i="44"/>
  <c r="T201" i="44"/>
  <c r="V243" i="43"/>
  <c r="R241" i="43"/>
  <c r="G273" i="43"/>
  <c r="V34" i="43"/>
  <c r="V70" i="43"/>
  <c r="V13" i="43"/>
  <c r="F13" i="44"/>
  <c r="V25" i="43"/>
  <c r="F42" i="44"/>
  <c r="T70" i="44"/>
  <c r="F77" i="44"/>
  <c r="E77" i="43"/>
  <c r="E23" i="43" s="1"/>
  <c r="V117" i="43"/>
  <c r="G121" i="43"/>
  <c r="F332" i="44"/>
  <c r="T351" i="44"/>
  <c r="V244" i="43"/>
  <c r="V246" i="43" s="1"/>
  <c r="I241" i="43"/>
  <c r="T81" i="44"/>
  <c r="G61" i="43"/>
  <c r="V129" i="43"/>
  <c r="F352" i="44"/>
  <c r="T352" i="44" s="1"/>
  <c r="V352" i="44" s="1"/>
  <c r="G148" i="43"/>
  <c r="G260" i="43"/>
  <c r="V58" i="42"/>
  <c r="F73" i="44"/>
  <c r="V385" i="42"/>
  <c r="F839" i="44"/>
  <c r="T839" i="44" s="1"/>
  <c r="V839" i="44" s="1"/>
  <c r="V343" i="42"/>
  <c r="F735" i="44"/>
  <c r="T735" i="44" s="1"/>
  <c r="V735" i="44" s="1"/>
  <c r="V377" i="42"/>
  <c r="V378" i="42" s="1"/>
  <c r="F852" i="44"/>
  <c r="V391" i="42"/>
  <c r="F862" i="44"/>
  <c r="V345" i="42"/>
  <c r="F733" i="44"/>
  <c r="T733" i="44" s="1"/>
  <c r="V733" i="44" s="1"/>
  <c r="V380" i="42"/>
  <c r="F835" i="44"/>
  <c r="V395" i="42"/>
  <c r="F873" i="44"/>
  <c r="V381" i="42"/>
  <c r="F836" i="44"/>
  <c r="T836" i="44" s="1"/>
  <c r="V836" i="44" s="1"/>
  <c r="V368" i="42"/>
  <c r="F796" i="44"/>
  <c r="V382" i="42"/>
  <c r="F845" i="44"/>
  <c r="T845" i="44" s="1"/>
  <c r="V845" i="44" s="1"/>
  <c r="V397" i="42"/>
  <c r="F874" i="44"/>
  <c r="T874" i="44" s="1"/>
  <c r="V874" i="44" s="1"/>
  <c r="V344" i="42"/>
  <c r="F736" i="44"/>
  <c r="V383" i="42"/>
  <c r="F838" i="44"/>
  <c r="T838" i="44" s="1"/>
  <c r="V838" i="44" s="1"/>
  <c r="V384" i="42"/>
  <c r="F840" i="44"/>
  <c r="T840" i="44" s="1"/>
  <c r="V840" i="44" s="1"/>
  <c r="V373" i="42"/>
  <c r="F811" i="44"/>
  <c r="V372" i="42"/>
  <c r="F810" i="44"/>
  <c r="V57" i="42"/>
  <c r="F74" i="44"/>
  <c r="T74" i="44" s="1"/>
  <c r="V74" i="44" s="1"/>
  <c r="V374" i="42"/>
  <c r="F809" i="44"/>
  <c r="V262" i="42"/>
  <c r="F553" i="44"/>
  <c r="T553" i="44" s="1"/>
  <c r="V553" i="44" s="1"/>
  <c r="V282" i="42"/>
  <c r="T621" i="44"/>
  <c r="V621" i="44" s="1"/>
  <c r="V330" i="42"/>
  <c r="F711" i="44"/>
  <c r="V342" i="42"/>
  <c r="F741" i="44"/>
  <c r="V263" i="42"/>
  <c r="F550" i="44"/>
  <c r="F320" i="42"/>
  <c r="F647" i="44"/>
  <c r="F249" i="44"/>
  <c r="T249" i="44" s="1"/>
  <c r="V249" i="44" s="1"/>
  <c r="F193" i="42"/>
  <c r="V284" i="42"/>
  <c r="V254" i="42"/>
  <c r="V258" i="42" s="1"/>
  <c r="F586" i="44"/>
  <c r="V285" i="42"/>
  <c r="F618" i="44"/>
  <c r="V312" i="42"/>
  <c r="F672" i="44"/>
  <c r="V322" i="42"/>
  <c r="F691" i="44"/>
  <c r="T691" i="44" s="1"/>
  <c r="V691" i="44" s="1"/>
  <c r="V286" i="42"/>
  <c r="F619" i="44"/>
  <c r="T619" i="44" s="1"/>
  <c r="V619" i="44" s="1"/>
  <c r="T670" i="44"/>
  <c r="V323" i="42"/>
  <c r="F690" i="44"/>
  <c r="V256" i="42"/>
  <c r="F588" i="44"/>
  <c r="V334" i="42"/>
  <c r="F771" i="44"/>
  <c r="V257" i="42"/>
  <c r="F589" i="44"/>
  <c r="T589" i="44" s="1"/>
  <c r="V589" i="44" s="1"/>
  <c r="V276" i="42"/>
  <c r="V288" i="42"/>
  <c r="F609" i="44"/>
  <c r="T609" i="44" s="1"/>
  <c r="V609" i="44" s="1"/>
  <c r="V336" i="42"/>
  <c r="F732" i="44"/>
  <c r="T732" i="44" s="1"/>
  <c r="V732" i="44" s="1"/>
  <c r="V277" i="42"/>
  <c r="T605" i="44"/>
  <c r="V605" i="44" s="1"/>
  <c r="V289" i="42"/>
  <c r="F608" i="44"/>
  <c r="T608" i="44" s="1"/>
  <c r="V608" i="44" s="1"/>
  <c r="V337" i="42"/>
  <c r="F731" i="44"/>
  <c r="V278" i="42"/>
  <c r="T606" i="44"/>
  <c r="V606" i="44" s="1"/>
  <c r="V290" i="42"/>
  <c r="F612" i="44"/>
  <c r="T612" i="44" s="1"/>
  <c r="V612" i="44" s="1"/>
  <c r="V315" i="42"/>
  <c r="F656" i="44"/>
  <c r="T656" i="44" s="1"/>
  <c r="V656" i="44" s="1"/>
  <c r="T707" i="44"/>
  <c r="V338" i="42"/>
  <c r="F742" i="44"/>
  <c r="T742" i="44" s="1"/>
  <c r="V742" i="44" s="1"/>
  <c r="V279" i="42"/>
  <c r="T622" i="44"/>
  <c r="V622" i="44" s="1"/>
  <c r="V291" i="42"/>
  <c r="F611" i="44"/>
  <c r="T611" i="44" s="1"/>
  <c r="V611" i="44" s="1"/>
  <c r="V316" i="42"/>
  <c r="F655" i="44"/>
  <c r="V327" i="42"/>
  <c r="F706" i="44"/>
  <c r="V260" i="42"/>
  <c r="F551" i="44"/>
  <c r="T551" i="44" s="1"/>
  <c r="V551" i="44" s="1"/>
  <c r="V292" i="42"/>
  <c r="V328" i="42"/>
  <c r="F716" i="44"/>
  <c r="T716" i="44" s="1"/>
  <c r="V716" i="44" s="1"/>
  <c r="V340" i="42"/>
  <c r="F739" i="44"/>
  <c r="V281" i="42"/>
  <c r="T620" i="44"/>
  <c r="V620" i="44" s="1"/>
  <c r="V329" i="42"/>
  <c r="F709" i="44"/>
  <c r="T709" i="44" s="1"/>
  <c r="V709" i="44" s="1"/>
  <c r="V341" i="42"/>
  <c r="F734" i="44"/>
  <c r="F535" i="44"/>
  <c r="T535" i="44" s="1"/>
  <c r="V535" i="44" s="1"/>
  <c r="F536" i="44"/>
  <c r="T536" i="44" s="1"/>
  <c r="V536" i="44" s="1"/>
  <c r="F537" i="44"/>
  <c r="T537" i="44" s="1"/>
  <c r="V537" i="44" s="1"/>
  <c r="F426" i="44"/>
  <c r="F428" i="44" s="1"/>
  <c r="F223" i="42"/>
  <c r="F244" i="42"/>
  <c r="F534" i="44"/>
  <c r="T534" i="44" s="1"/>
  <c r="V534" i="44" s="1"/>
  <c r="F532" i="44"/>
  <c r="V213" i="42"/>
  <c r="F454" i="44"/>
  <c r="T454" i="44" s="1"/>
  <c r="V454" i="44" s="1"/>
  <c r="F229" i="42"/>
  <c r="F518" i="44"/>
  <c r="V212" i="42"/>
  <c r="F453" i="44"/>
  <c r="V225" i="42"/>
  <c r="F462" i="44"/>
  <c r="V226" i="42"/>
  <c r="F463" i="44"/>
  <c r="T463" i="44" s="1"/>
  <c r="V463" i="44" s="1"/>
  <c r="V206" i="42"/>
  <c r="F492" i="44"/>
  <c r="T492" i="44" s="1"/>
  <c r="V492" i="44" s="1"/>
  <c r="V207" i="42"/>
  <c r="F489" i="44"/>
  <c r="V208" i="42"/>
  <c r="F491" i="44"/>
  <c r="T491" i="44" s="1"/>
  <c r="V491" i="44" s="1"/>
  <c r="V209" i="42"/>
  <c r="F490" i="44"/>
  <c r="T490" i="44" s="1"/>
  <c r="V490" i="44" s="1"/>
  <c r="V139" i="42"/>
  <c r="V200" i="42"/>
  <c r="F410" i="44"/>
  <c r="V201" i="42"/>
  <c r="F412" i="44"/>
  <c r="T412" i="44" s="1"/>
  <c r="V412" i="44" s="1"/>
  <c r="F305" i="44"/>
  <c r="V185" i="42"/>
  <c r="V184" i="42"/>
  <c r="F187" i="42"/>
  <c r="V149" i="42"/>
  <c r="V150" i="42"/>
  <c r="F215" i="44"/>
  <c r="T215" i="44" s="1"/>
  <c r="V215" i="44" s="1"/>
  <c r="V76" i="42"/>
  <c r="V143" i="42"/>
  <c r="F221" i="44"/>
  <c r="T221" i="44" s="1"/>
  <c r="V221" i="44" s="1"/>
  <c r="V152" i="42"/>
  <c r="F209" i="44"/>
  <c r="T209" i="44" s="1"/>
  <c r="V209" i="44" s="1"/>
  <c r="V176" i="42"/>
  <c r="F269" i="44"/>
  <c r="F182" i="42"/>
  <c r="V112" i="42"/>
  <c r="F157" i="44"/>
  <c r="V144" i="42"/>
  <c r="F222" i="44"/>
  <c r="T222" i="44" s="1"/>
  <c r="V222" i="44" s="1"/>
  <c r="V153" i="42"/>
  <c r="F220" i="44"/>
  <c r="T220" i="44" s="1"/>
  <c r="V220" i="44" s="1"/>
  <c r="V177" i="42"/>
  <c r="F279" i="44"/>
  <c r="T279" i="44" s="1"/>
  <c r="V279" i="44" s="1"/>
  <c r="V113" i="42"/>
  <c r="F158" i="44"/>
  <c r="T158" i="44" s="1"/>
  <c r="V158" i="44" s="1"/>
  <c r="V154" i="42"/>
  <c r="F211" i="44"/>
  <c r="V179" i="42"/>
  <c r="F276" i="44"/>
  <c r="T276" i="44" s="1"/>
  <c r="V276" i="44" s="1"/>
  <c r="V155" i="42"/>
  <c r="F213" i="44"/>
  <c r="T213" i="44" s="1"/>
  <c r="V213" i="44" s="1"/>
  <c r="V180" i="42"/>
  <c r="F273" i="44"/>
  <c r="T273" i="44" s="1"/>
  <c r="V273" i="44" s="1"/>
  <c r="V156" i="42"/>
  <c r="F212" i="44"/>
  <c r="T212" i="44" s="1"/>
  <c r="V212" i="44" s="1"/>
  <c r="V129" i="42"/>
  <c r="F336" i="44"/>
  <c r="V148" i="42"/>
  <c r="F210" i="44"/>
  <c r="T210" i="44" s="1"/>
  <c r="V210" i="44" s="1"/>
  <c r="F160" i="42"/>
  <c r="F321" i="44"/>
  <c r="V97" i="42"/>
  <c r="F137" i="44"/>
  <c r="T137" i="44" s="1"/>
  <c r="V137" i="44" s="1"/>
  <c r="V88" i="42"/>
  <c r="V99" i="42"/>
  <c r="F135" i="44"/>
  <c r="T135" i="44" s="1"/>
  <c r="V135" i="44" s="1"/>
  <c r="V142" i="42"/>
  <c r="F223" i="44"/>
  <c r="T223" i="44" s="1"/>
  <c r="V223" i="44" s="1"/>
  <c r="V100" i="42"/>
  <c r="F130" i="44"/>
  <c r="T130" i="44" s="1"/>
  <c r="V130" i="44" s="1"/>
  <c r="V101" i="42"/>
  <c r="F131" i="44"/>
  <c r="T131" i="44" s="1"/>
  <c r="V131" i="44" s="1"/>
  <c r="V135" i="42"/>
  <c r="F147" i="44"/>
  <c r="T147" i="44" s="1"/>
  <c r="V147" i="44" s="1"/>
  <c r="F252" i="42"/>
  <c r="V98" i="42"/>
  <c r="F138" i="44"/>
  <c r="T138" i="44" s="1"/>
  <c r="V138" i="44" s="1"/>
  <c r="V102" i="42"/>
  <c r="F132" i="44"/>
  <c r="T132" i="44" s="1"/>
  <c r="V132" i="44" s="1"/>
  <c r="V103" i="42"/>
  <c r="F125" i="44"/>
  <c r="T125" i="44" s="1"/>
  <c r="V125" i="44" s="1"/>
  <c r="V104" i="42"/>
  <c r="F136" i="44"/>
  <c r="V147" i="42"/>
  <c r="V105" i="42"/>
  <c r="F128" i="44"/>
  <c r="V138" i="42"/>
  <c r="F218" i="44"/>
  <c r="T218" i="44" s="1"/>
  <c r="V218" i="44" s="1"/>
  <c r="V130" i="42"/>
  <c r="F170" i="44"/>
  <c r="F172" i="44" s="1"/>
  <c r="T206" i="44"/>
  <c r="V131" i="42"/>
  <c r="F146" i="44"/>
  <c r="V140" i="42"/>
  <c r="F207" i="44"/>
  <c r="T207" i="44" s="1"/>
  <c r="V207" i="44" s="1"/>
  <c r="F136" i="42"/>
  <c r="F317" i="42"/>
  <c r="F369" i="42"/>
  <c r="P400" i="42"/>
  <c r="V41" i="42"/>
  <c r="F210" i="42"/>
  <c r="F314" i="42"/>
  <c r="V84" i="42"/>
  <c r="V205" i="42"/>
  <c r="F211" i="42"/>
  <c r="V313" i="42"/>
  <c r="V42" i="42"/>
  <c r="V109" i="42"/>
  <c r="V110" i="42" s="1"/>
  <c r="E157" i="42"/>
  <c r="G295" i="42"/>
  <c r="T295" i="42"/>
  <c r="M400" i="42"/>
  <c r="T56" i="44"/>
  <c r="V85" i="42"/>
  <c r="F94" i="44"/>
  <c r="T94" i="44" s="1"/>
  <c r="V94" i="44" s="1"/>
  <c r="V93" i="42"/>
  <c r="F124" i="44"/>
  <c r="T124" i="44" s="1"/>
  <c r="V124" i="44" s="1"/>
  <c r="F114" i="42"/>
  <c r="U295" i="42"/>
  <c r="F332" i="42"/>
  <c r="L400" i="42"/>
  <c r="N400" i="42"/>
  <c r="F20" i="44"/>
  <c r="V38" i="42"/>
  <c r="F47" i="44"/>
  <c r="V86" i="42"/>
  <c r="F93" i="44"/>
  <c r="V94" i="42"/>
  <c r="F139" i="44"/>
  <c r="T139" i="44" s="1"/>
  <c r="V139" i="44" s="1"/>
  <c r="I295" i="42"/>
  <c r="T50" i="44"/>
  <c r="V96" i="42"/>
  <c r="F126" i="44"/>
  <c r="T126" i="44" s="1"/>
  <c r="V126" i="44" s="1"/>
  <c r="F227" i="42"/>
  <c r="F293" i="42"/>
  <c r="F346" i="42"/>
  <c r="F398" i="42"/>
  <c r="V40" i="42"/>
  <c r="F48" i="44"/>
  <c r="V87" i="42"/>
  <c r="N295" i="42"/>
  <c r="K295" i="42"/>
  <c r="O400" i="42"/>
  <c r="Q400" i="42"/>
  <c r="V92" i="42"/>
  <c r="F123" i="44"/>
  <c r="T49" i="44"/>
  <c r="F89" i="42"/>
  <c r="F96" i="44"/>
  <c r="T96" i="44" s="1"/>
  <c r="V96" i="44" s="1"/>
  <c r="V80" i="42"/>
  <c r="F99" i="44"/>
  <c r="T99" i="44" s="1"/>
  <c r="V99" i="44" s="1"/>
  <c r="F157" i="42"/>
  <c r="V151" i="42"/>
  <c r="F264" i="42"/>
  <c r="M295" i="42"/>
  <c r="V319" i="42"/>
  <c r="V320" i="42" s="1"/>
  <c r="R400" i="42"/>
  <c r="E400" i="42"/>
  <c r="S400" i="42"/>
  <c r="T61" i="44"/>
  <c r="V51" i="42"/>
  <c r="F54" i="44"/>
  <c r="V73" i="42"/>
  <c r="F87" i="44"/>
  <c r="V81" i="42"/>
  <c r="O295" i="42"/>
  <c r="F375" i="42"/>
  <c r="G400" i="42"/>
  <c r="T400" i="42"/>
  <c r="F1011" i="44"/>
  <c r="T18" i="44"/>
  <c r="V18" i="44" s="1"/>
  <c r="V52" i="42"/>
  <c r="F55" i="44"/>
  <c r="V74" i="42"/>
  <c r="F88" i="44"/>
  <c r="T88" i="44" s="1"/>
  <c r="V88" i="44" s="1"/>
  <c r="P295" i="42"/>
  <c r="V371" i="42"/>
  <c r="H400" i="42"/>
  <c r="U400" i="42"/>
  <c r="G33" i="42"/>
  <c r="V82" i="42"/>
  <c r="F132" i="42"/>
  <c r="F1071" i="44"/>
  <c r="T25" i="44"/>
  <c r="V75" i="42"/>
  <c r="V83" i="42"/>
  <c r="F98" i="44"/>
  <c r="T98" i="44" s="1"/>
  <c r="V98" i="44" s="1"/>
  <c r="F107" i="42"/>
  <c r="F133" i="44"/>
  <c r="T133" i="44" s="1"/>
  <c r="V133" i="44" s="1"/>
  <c r="F203" i="42"/>
  <c r="R295" i="42"/>
  <c r="K400" i="42"/>
  <c r="V32" i="42"/>
  <c r="F26" i="44"/>
  <c r="T92" i="44"/>
  <c r="V91" i="42"/>
  <c r="F122" i="44"/>
  <c r="V141" i="42"/>
  <c r="S295" i="42"/>
  <c r="I400" i="42"/>
  <c r="V49" i="42"/>
  <c r="F51" i="44"/>
  <c r="V48" i="42"/>
  <c r="F58" i="44"/>
  <c r="L295" i="42"/>
  <c r="V46" i="42"/>
  <c r="F60" i="44"/>
  <c r="V45" i="42"/>
  <c r="F59" i="44"/>
  <c r="F55" i="42"/>
  <c r="G115" i="43"/>
  <c r="V167" i="43"/>
  <c r="V180" i="43"/>
  <c r="G21" i="43"/>
  <c r="V128" i="43"/>
  <c r="V249" i="43"/>
  <c r="V261" i="43"/>
  <c r="G160" i="43"/>
  <c r="G195" i="43"/>
  <c r="V40" i="43"/>
  <c r="G77" i="43"/>
  <c r="V266" i="43"/>
  <c r="V268" i="43" s="1"/>
  <c r="V272" i="43"/>
  <c r="G177" i="43"/>
  <c r="V254" i="43"/>
  <c r="H295" i="42"/>
  <c r="AC138" i="42"/>
  <c r="V231" i="42"/>
  <c r="V275" i="42"/>
  <c r="F324" i="42"/>
  <c r="F378" i="42"/>
  <c r="F31" i="42"/>
  <c r="F27" i="44" s="1"/>
  <c r="V37" i="42"/>
  <c r="V134" i="42"/>
  <c r="Q214" i="42"/>
  <c r="Q295" i="42" s="1"/>
  <c r="V367" i="42"/>
  <c r="F386" i="42"/>
  <c r="V19" i="42"/>
  <c r="V159" i="42"/>
  <c r="V160" i="42" s="1"/>
  <c r="V228" i="42"/>
  <c r="V229" i="42" s="1"/>
  <c r="V326" i="42"/>
  <c r="V396" i="42"/>
  <c r="V90" i="42"/>
  <c r="F258" i="42"/>
  <c r="V388" i="42"/>
  <c r="V389" i="42" s="1"/>
  <c r="V369" i="42" l="1"/>
  <c r="V314" i="42"/>
  <c r="V20" i="42"/>
  <c r="V264" i="42"/>
  <c r="T443" i="44"/>
  <c r="E295" i="42"/>
  <c r="E402" i="42" s="1"/>
  <c r="I1011" i="44"/>
  <c r="I31" i="44"/>
  <c r="I30" i="44"/>
  <c r="I35" i="44" s="1"/>
  <c r="I888" i="44" s="1"/>
  <c r="V317" i="42"/>
  <c r="F503" i="44"/>
  <c r="F421" i="44"/>
  <c r="T421" i="44" s="1"/>
  <c r="V421" i="44" s="1"/>
  <c r="V151" i="43"/>
  <c r="V153" i="43" s="1"/>
  <c r="F237" i="44"/>
  <c r="F238" i="44" s="1"/>
  <c r="T231" i="44"/>
  <c r="V246" i="44"/>
  <c r="V251" i="44" s="1"/>
  <c r="T251" i="44"/>
  <c r="F252" i="44"/>
  <c r="T242" i="44"/>
  <c r="T169" i="44"/>
  <c r="V167" i="44"/>
  <c r="T170" i="44"/>
  <c r="V223" i="42"/>
  <c r="V59" i="42"/>
  <c r="T19" i="44"/>
  <c r="T1016" i="44" s="1"/>
  <c r="V203" i="42"/>
  <c r="V193" i="42"/>
  <c r="V324" i="42"/>
  <c r="V398" i="42"/>
  <c r="T29" i="44"/>
  <c r="V29" i="44" s="1"/>
  <c r="V1121" i="44" s="1"/>
  <c r="V332" i="42"/>
  <c r="V227" i="42"/>
  <c r="V346" i="42"/>
  <c r="V386" i="42"/>
  <c r="G12" i="43"/>
  <c r="E216" i="43"/>
  <c r="F625" i="44"/>
  <c r="F142" i="44"/>
  <c r="T123" i="44"/>
  <c r="V123" i="44" s="1"/>
  <c r="F141" i="44"/>
  <c r="F624" i="44"/>
  <c r="V210" i="43"/>
  <c r="V215" i="43" s="1"/>
  <c r="G215" i="43"/>
  <c r="G216" i="43" s="1"/>
  <c r="G277" i="43" s="1"/>
  <c r="V264" i="43"/>
  <c r="G155" i="43"/>
  <c r="G156" i="43" s="1"/>
  <c r="I156" i="43"/>
  <c r="V165" i="43"/>
  <c r="V169" i="43"/>
  <c r="V260" i="43"/>
  <c r="V252" i="43"/>
  <c r="V273" i="43"/>
  <c r="F978" i="44"/>
  <c r="T727" i="44"/>
  <c r="T646" i="44"/>
  <c r="F650" i="44"/>
  <c r="F973" i="44"/>
  <c r="T703" i="44"/>
  <c r="F993" i="44"/>
  <c r="F958" i="44"/>
  <c r="F675" i="44"/>
  <c r="T665" i="44"/>
  <c r="T821" i="44"/>
  <c r="F826" i="44"/>
  <c r="F827" i="44" s="1"/>
  <c r="F824" i="44"/>
  <c r="T807" i="44"/>
  <c r="F816" i="44"/>
  <c r="T830" i="44"/>
  <c r="F848" i="44"/>
  <c r="T723" i="44"/>
  <c r="F745" i="44"/>
  <c r="F953" i="44"/>
  <c r="F998" i="44"/>
  <c r="T704" i="44"/>
  <c r="T659" i="44"/>
  <c r="V654" i="44"/>
  <c r="F948" i="44"/>
  <c r="T698" i="44"/>
  <c r="F719" i="44"/>
  <c r="F767" i="44"/>
  <c r="F768" i="44" s="1"/>
  <c r="F765" i="44"/>
  <c r="T764" i="44"/>
  <c r="F1028" i="44"/>
  <c r="F505" i="44"/>
  <c r="F506" i="44" s="1"/>
  <c r="F507" i="44" s="1"/>
  <c r="F235" i="44"/>
  <c r="F239" i="44" s="1"/>
  <c r="V199" i="43"/>
  <c r="V130" i="43"/>
  <c r="V183" i="43"/>
  <c r="V177" i="43"/>
  <c r="T603" i="44"/>
  <c r="F1007" i="44"/>
  <c r="F1009" i="44" s="1"/>
  <c r="F957" i="44"/>
  <c r="T598" i="44"/>
  <c r="T597" i="44"/>
  <c r="V160" i="43"/>
  <c r="F558" i="44"/>
  <c r="T547" i="44"/>
  <c r="E277" i="43"/>
  <c r="E282" i="43" s="1"/>
  <c r="F543" i="44"/>
  <c r="T529" i="44"/>
  <c r="T450" i="44"/>
  <c r="F457" i="44"/>
  <c r="T486" i="44"/>
  <c r="F496" i="44"/>
  <c r="F338" i="44"/>
  <c r="V21" i="43"/>
  <c r="V12" i="43" s="1"/>
  <c r="F377" i="44"/>
  <c r="F972" i="44"/>
  <c r="V61" i="43"/>
  <c r="V148" i="43"/>
  <c r="V32" i="43"/>
  <c r="T470" i="44"/>
  <c r="F473" i="44"/>
  <c r="F474" i="44" s="1"/>
  <c r="F471" i="44"/>
  <c r="F417" i="44"/>
  <c r="T405" i="44"/>
  <c r="V369" i="44"/>
  <c r="T373" i="44"/>
  <c r="T375" i="44"/>
  <c r="T376" i="44" s="1"/>
  <c r="V98" i="43"/>
  <c r="V77" i="43"/>
  <c r="V67" i="43"/>
  <c r="V121" i="43"/>
  <c r="V47" i="43"/>
  <c r="V38" i="43"/>
  <c r="F992" i="44"/>
  <c r="G241" i="43"/>
  <c r="V241" i="43" s="1"/>
  <c r="F952" i="44"/>
  <c r="F104" i="44"/>
  <c r="F251" i="44"/>
  <c r="F253" i="44" s="1"/>
  <c r="V201" i="44"/>
  <c r="V972" i="44" s="1"/>
  <c r="T972" i="44"/>
  <c r="F112" i="44"/>
  <c r="F113" i="44" s="1"/>
  <c r="F110" i="44"/>
  <c r="T109" i="44"/>
  <c r="V81" i="44"/>
  <c r="V104" i="44" s="1"/>
  <c r="T104" i="44"/>
  <c r="V70" i="44"/>
  <c r="V77" i="44" s="1"/>
  <c r="T77" i="44"/>
  <c r="F967" i="44"/>
  <c r="T42" i="44"/>
  <c r="T116" i="44"/>
  <c r="F64" i="44"/>
  <c r="T41" i="44"/>
  <c r="T517" i="44"/>
  <c r="F521" i="44"/>
  <c r="F32" i="44"/>
  <c r="F966" i="44"/>
  <c r="T13" i="44"/>
  <c r="T44" i="44"/>
  <c r="F987" i="44"/>
  <c r="F989" i="44" s="1"/>
  <c r="F991" i="44"/>
  <c r="T15" i="44"/>
  <c r="F355" i="44"/>
  <c r="F356" i="44" s="1"/>
  <c r="T256" i="44"/>
  <c r="F259" i="44"/>
  <c r="F260" i="44" s="1"/>
  <c r="F257" i="44"/>
  <c r="F181" i="44"/>
  <c r="F182" i="44" s="1"/>
  <c r="F179" i="44"/>
  <c r="T174" i="44"/>
  <c r="F353" i="44"/>
  <c r="V351" i="44"/>
  <c r="T355" i="44"/>
  <c r="T356" i="44" s="1"/>
  <c r="T353" i="44"/>
  <c r="V263" i="44"/>
  <c r="V282" i="44" s="1"/>
  <c r="T282" i="44"/>
  <c r="F340" i="44"/>
  <c r="F341" i="44" s="1"/>
  <c r="T332" i="44"/>
  <c r="F345" i="44"/>
  <c r="T344" i="44"/>
  <c r="T346" i="44" s="1"/>
  <c r="F347" i="44"/>
  <c r="F348" i="44" s="1"/>
  <c r="V197" i="44"/>
  <c r="T226" i="44"/>
  <c r="T43" i="44"/>
  <c r="F977" i="44"/>
  <c r="F226" i="44"/>
  <c r="T16" i="44"/>
  <c r="F996" i="44"/>
  <c r="F327" i="44"/>
  <c r="T319" i="44"/>
  <c r="T810" i="44"/>
  <c r="F1158" i="44"/>
  <c r="F865" i="44"/>
  <c r="T862" i="44"/>
  <c r="F866" i="44"/>
  <c r="F868" i="44" s="1"/>
  <c r="F250" i="44"/>
  <c r="T811" i="44"/>
  <c r="F1073" i="44"/>
  <c r="F799" i="44"/>
  <c r="F801" i="44" s="1"/>
  <c r="F798" i="44"/>
  <c r="T796" i="44"/>
  <c r="F854" i="44"/>
  <c r="F856" i="44" s="1"/>
  <c r="F853" i="44"/>
  <c r="T852" i="44"/>
  <c r="V375" i="42"/>
  <c r="T873" i="44"/>
  <c r="F877" i="44"/>
  <c r="F879" i="44" s="1"/>
  <c r="F876" i="44"/>
  <c r="V293" i="42"/>
  <c r="T809" i="44"/>
  <c r="F815" i="44"/>
  <c r="F814" i="44"/>
  <c r="T736" i="44"/>
  <c r="F1063" i="44"/>
  <c r="F847" i="44"/>
  <c r="F846" i="44"/>
  <c r="T835" i="44"/>
  <c r="F76" i="44"/>
  <c r="F78" i="44" s="1"/>
  <c r="F75" i="44"/>
  <c r="T73" i="44"/>
  <c r="F649" i="44"/>
  <c r="F648" i="44"/>
  <c r="T647" i="44"/>
  <c r="F773" i="44"/>
  <c r="F775" i="44" s="1"/>
  <c r="F772" i="44"/>
  <c r="T771" i="44"/>
  <c r="F1033" i="44"/>
  <c r="T672" i="44"/>
  <c r="F1123" i="44"/>
  <c r="T550" i="44"/>
  <c r="F557" i="44"/>
  <c r="F556" i="44"/>
  <c r="F1043" i="44"/>
  <c r="T734" i="44"/>
  <c r="V707" i="44"/>
  <c r="V1028" i="44" s="1"/>
  <c r="T1028" i="44"/>
  <c r="T588" i="44"/>
  <c r="F591" i="44"/>
  <c r="F1087" i="44"/>
  <c r="F1089" i="44" s="1"/>
  <c r="T618" i="44"/>
  <c r="F1113" i="44"/>
  <c r="T741" i="44"/>
  <c r="F718" i="44"/>
  <c r="F1018" i="44"/>
  <c r="F717" i="44"/>
  <c r="T706" i="44"/>
  <c r="F692" i="44"/>
  <c r="T690" i="44"/>
  <c r="F693" i="44"/>
  <c r="F695" i="44" s="1"/>
  <c r="F590" i="44"/>
  <c r="F592" i="44"/>
  <c r="T586" i="44"/>
  <c r="F997" i="44"/>
  <c r="T711" i="44"/>
  <c r="F1068" i="44"/>
  <c r="F657" i="44"/>
  <c r="F1058" i="44"/>
  <c r="T655" i="44"/>
  <c r="F658" i="44"/>
  <c r="F660" i="44" s="1"/>
  <c r="V670" i="44"/>
  <c r="F673" i="44"/>
  <c r="F1117" i="44"/>
  <c r="F1119" i="44" s="1"/>
  <c r="F1093" i="44"/>
  <c r="T739" i="44"/>
  <c r="F623" i="44"/>
  <c r="T604" i="44"/>
  <c r="F674" i="44"/>
  <c r="T731" i="44"/>
  <c r="F744" i="44"/>
  <c r="F743" i="44"/>
  <c r="F542" i="44"/>
  <c r="T532" i="44"/>
  <c r="F541" i="44"/>
  <c r="F519" i="44"/>
  <c r="T518" i="44"/>
  <c r="F1052" i="44"/>
  <c r="F1054" i="44" s="1"/>
  <c r="F520" i="44"/>
  <c r="V502" i="44"/>
  <c r="T503" i="44"/>
  <c r="T505" i="44"/>
  <c r="T506" i="44" s="1"/>
  <c r="V443" i="44"/>
  <c r="F464" i="44"/>
  <c r="T462" i="44"/>
  <c r="F465" i="44"/>
  <c r="F467" i="44" s="1"/>
  <c r="F214" i="42"/>
  <c r="F295" i="42" s="1"/>
  <c r="F452" i="44"/>
  <c r="F1017" i="44" s="1"/>
  <c r="I402" i="42"/>
  <c r="V211" i="42"/>
  <c r="V214" i="42" s="1"/>
  <c r="V136" i="42"/>
  <c r="V210" i="42"/>
  <c r="F495" i="44"/>
  <c r="F494" i="44"/>
  <c r="T489" i="44"/>
  <c r="T402" i="42"/>
  <c r="H402" i="42"/>
  <c r="L402" i="42"/>
  <c r="T410" i="44"/>
  <c r="F416" i="44"/>
  <c r="F415" i="44"/>
  <c r="F1167" i="44"/>
  <c r="F1169" i="44" s="1"/>
  <c r="V187" i="42"/>
  <c r="V182" i="42"/>
  <c r="F313" i="44"/>
  <c r="F315" i="44" s="1"/>
  <c r="F312" i="44"/>
  <c r="G402" i="42"/>
  <c r="Q402" i="42"/>
  <c r="U402" i="42"/>
  <c r="V114" i="42"/>
  <c r="V244" i="42"/>
  <c r="O402" i="42"/>
  <c r="T211" i="44"/>
  <c r="T224" i="44" s="1"/>
  <c r="F1037" i="44"/>
  <c r="F1039" i="44" s="1"/>
  <c r="T269" i="44"/>
  <c r="T281" i="44" s="1"/>
  <c r="F280" i="44"/>
  <c r="F281" i="44"/>
  <c r="F283" i="44" s="1"/>
  <c r="V132" i="42"/>
  <c r="S402" i="42"/>
  <c r="V107" i="42"/>
  <c r="F325" i="44"/>
  <c r="T321" i="44"/>
  <c r="F326" i="44"/>
  <c r="F161" i="44"/>
  <c r="T157" i="44"/>
  <c r="F162" i="44"/>
  <c r="F164" i="44" s="1"/>
  <c r="F225" i="44"/>
  <c r="N402" i="42"/>
  <c r="F224" i="44"/>
  <c r="F1032" i="44"/>
  <c r="V157" i="42"/>
  <c r="T128" i="44"/>
  <c r="F1047" i="44"/>
  <c r="F1049" i="44" s="1"/>
  <c r="V206" i="44"/>
  <c r="P402" i="42"/>
  <c r="M402" i="42"/>
  <c r="F148" i="44"/>
  <c r="T146" i="44"/>
  <c r="F149" i="44"/>
  <c r="F151" i="44" s="1"/>
  <c r="T136" i="44"/>
  <c r="F1097" i="44"/>
  <c r="F1099" i="44" s="1"/>
  <c r="V89" i="42"/>
  <c r="R402" i="42"/>
  <c r="F1027" i="44"/>
  <c r="V49" i="44"/>
  <c r="V1027" i="44" s="1"/>
  <c r="T1027" i="44"/>
  <c r="T48" i="44"/>
  <c r="V50" i="44"/>
  <c r="T1071" i="44"/>
  <c r="V25" i="44"/>
  <c r="V1071" i="44" s="1"/>
  <c r="F102" i="44"/>
  <c r="T87" i="44"/>
  <c r="F103" i="44"/>
  <c r="T26" i="44"/>
  <c r="F1076" i="44"/>
  <c r="F1079" i="44" s="1"/>
  <c r="T55" i="44"/>
  <c r="F1067" i="44"/>
  <c r="V31" i="42"/>
  <c r="V33" i="42" s="1"/>
  <c r="F1057" i="44"/>
  <c r="T93" i="44"/>
  <c r="F400" i="42"/>
  <c r="F33" i="42"/>
  <c r="T1011" i="44"/>
  <c r="F1062" i="44"/>
  <c r="T54" i="44"/>
  <c r="F1012" i="44"/>
  <c r="F1014" i="44" s="1"/>
  <c r="T47" i="44"/>
  <c r="V56" i="44"/>
  <c r="V1072" i="44" s="1"/>
  <c r="T1072" i="44"/>
  <c r="F1122" i="44"/>
  <c r="F1072" i="44"/>
  <c r="T1167" i="44"/>
  <c r="V92" i="44"/>
  <c r="V61" i="44"/>
  <c r="V1122" i="44" s="1"/>
  <c r="T1122" i="44"/>
  <c r="K402" i="42"/>
  <c r="F1146" i="44"/>
  <c r="T20" i="44"/>
  <c r="F140" i="44"/>
  <c r="T122" i="44"/>
  <c r="F1042" i="44"/>
  <c r="T51" i="44"/>
  <c r="V55" i="42"/>
  <c r="F1092" i="44"/>
  <c r="T58" i="44"/>
  <c r="T60" i="44"/>
  <c r="F1112" i="44"/>
  <c r="F62" i="44"/>
  <c r="F1107" i="44"/>
  <c r="T59" i="44"/>
  <c r="F63" i="44"/>
  <c r="F427" i="44" l="1"/>
  <c r="T1121" i="44"/>
  <c r="F1074" i="44"/>
  <c r="I1201" i="44"/>
  <c r="I33" i="44"/>
  <c r="I34" i="44" s="1"/>
  <c r="I889" i="44"/>
  <c r="I891" i="44" s="1"/>
  <c r="I892" i="44" s="1"/>
  <c r="I1014" i="44"/>
  <c r="I1141" i="44"/>
  <c r="X23" i="43"/>
  <c r="T427" i="44"/>
  <c r="T429" i="44"/>
  <c r="T430" i="44" s="1"/>
  <c r="T431" i="44" s="1"/>
  <c r="F429" i="44"/>
  <c r="F430" i="44" s="1"/>
  <c r="V19" i="44"/>
  <c r="V1016" i="44" s="1"/>
  <c r="V169" i="44"/>
  <c r="V170" i="44"/>
  <c r="T181" i="44"/>
  <c r="T179" i="44"/>
  <c r="V242" i="44"/>
  <c r="T250" i="44"/>
  <c r="T252" i="44"/>
  <c r="T253" i="44"/>
  <c r="T254" i="44" s="1"/>
  <c r="V231" i="44"/>
  <c r="T237" i="44"/>
  <c r="T238" i="44" s="1"/>
  <c r="T235" i="44"/>
  <c r="V400" i="42"/>
  <c r="F720" i="44"/>
  <c r="F721" i="44" s="1"/>
  <c r="F1044" i="44"/>
  <c r="F1029" i="44"/>
  <c r="F979" i="44"/>
  <c r="F817" i="44"/>
  <c r="F818" i="44" s="1"/>
  <c r="F442" i="44"/>
  <c r="F947" i="44" s="1"/>
  <c r="F949" i="44" s="1"/>
  <c r="V155" i="43"/>
  <c r="V156" i="43" s="1"/>
  <c r="F849" i="44"/>
  <c r="F850" i="44" s="1"/>
  <c r="F983" i="44"/>
  <c r="F1207" i="44"/>
  <c r="F974" i="44"/>
  <c r="F746" i="44"/>
  <c r="F747" i="44" s="1"/>
  <c r="F828" i="44"/>
  <c r="F676" i="44"/>
  <c r="F677" i="44" s="1"/>
  <c r="F959" i="44"/>
  <c r="F559" i="44"/>
  <c r="F560" i="44" s="1"/>
  <c r="T673" i="44"/>
  <c r="F954" i="44"/>
  <c r="V821" i="44"/>
  <c r="V953" i="44" s="1"/>
  <c r="T824" i="44"/>
  <c r="T826" i="44"/>
  <c r="T827" i="44" s="1"/>
  <c r="V704" i="44"/>
  <c r="T998" i="44"/>
  <c r="V665" i="44"/>
  <c r="T675" i="44"/>
  <c r="T958" i="44"/>
  <c r="T765" i="44"/>
  <c r="T767" i="44"/>
  <c r="T768" i="44" s="1"/>
  <c r="V764" i="44"/>
  <c r="F769" i="44"/>
  <c r="T745" i="44"/>
  <c r="V723" i="44"/>
  <c r="T993" i="44"/>
  <c r="V703" i="44"/>
  <c r="V698" i="44"/>
  <c r="T948" i="44"/>
  <c r="T719" i="44"/>
  <c r="T848" i="44"/>
  <c r="V830" i="44"/>
  <c r="V848" i="44" s="1"/>
  <c r="F1209" i="44"/>
  <c r="F884" i="44"/>
  <c r="F963" i="44"/>
  <c r="T973" i="44"/>
  <c r="T974" i="44" s="1"/>
  <c r="V646" i="44"/>
  <c r="T650" i="44"/>
  <c r="T953" i="44"/>
  <c r="V807" i="44"/>
  <c r="V816" i="44" s="1"/>
  <c r="T816" i="44"/>
  <c r="V727" i="44"/>
  <c r="V978" i="44" s="1"/>
  <c r="T978" i="44"/>
  <c r="V659" i="44"/>
  <c r="T1029" i="44"/>
  <c r="F1064" i="44"/>
  <c r="V1029" i="44"/>
  <c r="F626" i="44"/>
  <c r="F627" i="44" s="1"/>
  <c r="T952" i="44"/>
  <c r="F349" i="44"/>
  <c r="T992" i="44"/>
  <c r="V597" i="44"/>
  <c r="T625" i="44"/>
  <c r="V603" i="44"/>
  <c r="V1007" i="44" s="1"/>
  <c r="V1009" i="44" s="1"/>
  <c r="T1007" i="44"/>
  <c r="T1009" i="44" s="1"/>
  <c r="F497" i="44"/>
  <c r="F498" i="44" s="1"/>
  <c r="T957" i="44"/>
  <c r="V598" i="44"/>
  <c r="V957" i="44" s="1"/>
  <c r="F544" i="44"/>
  <c r="F545" i="44" s="1"/>
  <c r="T377" i="44"/>
  <c r="V547" i="44"/>
  <c r="V558" i="44" s="1"/>
  <c r="T558" i="44"/>
  <c r="V450" i="44"/>
  <c r="V457" i="44" s="1"/>
  <c r="T457" i="44"/>
  <c r="F418" i="44"/>
  <c r="F419" i="44" s="1"/>
  <c r="V529" i="44"/>
  <c r="V543" i="44" s="1"/>
  <c r="T543" i="44"/>
  <c r="F857" i="44"/>
  <c r="F342" i="44"/>
  <c r="V486" i="44"/>
  <c r="V496" i="44" s="1"/>
  <c r="T496" i="44"/>
  <c r="V429" i="44"/>
  <c r="V430" i="44" s="1"/>
  <c r="V427" i="44"/>
  <c r="F105" i="44"/>
  <c r="F106" i="44" s="1"/>
  <c r="V405" i="44"/>
  <c r="V417" i="44" s="1"/>
  <c r="T417" i="44"/>
  <c r="F475" i="44"/>
  <c r="V470" i="44"/>
  <c r="T473" i="44"/>
  <c r="T474" i="44" s="1"/>
  <c r="T471" i="44"/>
  <c r="F261" i="44"/>
  <c r="V373" i="44"/>
  <c r="V375" i="44"/>
  <c r="V376" i="44" s="1"/>
  <c r="F522" i="44"/>
  <c r="F523" i="44" s="1"/>
  <c r="F994" i="44"/>
  <c r="T357" i="44"/>
  <c r="F143" i="44"/>
  <c r="F144" i="44" s="1"/>
  <c r="F227" i="44"/>
  <c r="F228" i="44" s="1"/>
  <c r="F999" i="44"/>
  <c r="F114" i="44"/>
  <c r="F982" i="44"/>
  <c r="F328" i="44"/>
  <c r="F329" i="44" s="1"/>
  <c r="F1114" i="44"/>
  <c r="F1094" i="44"/>
  <c r="F254" i="44"/>
  <c r="F869" i="44"/>
  <c r="V43" i="44"/>
  <c r="V977" i="44" s="1"/>
  <c r="T977" i="44"/>
  <c r="V42" i="44"/>
  <c r="T967" i="44"/>
  <c r="V226" i="44"/>
  <c r="V355" i="44"/>
  <c r="V356" i="44" s="1"/>
  <c r="V353" i="44"/>
  <c r="T987" i="44"/>
  <c r="T989" i="44" s="1"/>
  <c r="V44" i="44"/>
  <c r="V987" i="44" s="1"/>
  <c r="V989" i="44" s="1"/>
  <c r="T966" i="44"/>
  <c r="V13" i="44"/>
  <c r="T32" i="44"/>
  <c r="T1207" i="44" s="1"/>
  <c r="V174" i="44"/>
  <c r="T182" i="44"/>
  <c r="F969" i="44"/>
  <c r="F981" i="44"/>
  <c r="V319" i="44"/>
  <c r="V327" i="44" s="1"/>
  <c r="T327" i="44"/>
  <c r="T345" i="44"/>
  <c r="V344" i="44"/>
  <c r="V346" i="44" s="1"/>
  <c r="T348" i="44"/>
  <c r="F183" i="44"/>
  <c r="V109" i="44"/>
  <c r="T112" i="44"/>
  <c r="T113" i="44" s="1"/>
  <c r="T110" i="44"/>
  <c r="V332" i="44"/>
  <c r="T340" i="44"/>
  <c r="T341" i="44" s="1"/>
  <c r="T338" i="44"/>
  <c r="T521" i="44"/>
  <c r="V517" i="44"/>
  <c r="V521" i="44" s="1"/>
  <c r="V41" i="44"/>
  <c r="T64" i="44"/>
  <c r="T996" i="44"/>
  <c r="V16" i="44"/>
  <c r="V996" i="44" s="1"/>
  <c r="T257" i="44"/>
  <c r="T259" i="44"/>
  <c r="T260" i="44" s="1"/>
  <c r="V256" i="44"/>
  <c r="F357" i="44"/>
  <c r="V116" i="44"/>
  <c r="V142" i="44" s="1"/>
  <c r="T142" i="44"/>
  <c r="T991" i="44"/>
  <c r="V15" i="44"/>
  <c r="V991" i="44" s="1"/>
  <c r="V736" i="44"/>
  <c r="T1063" i="44"/>
  <c r="T799" i="44"/>
  <c r="T801" i="44" s="1"/>
  <c r="T798" i="44"/>
  <c r="V796" i="44"/>
  <c r="F802" i="44"/>
  <c r="T815" i="44"/>
  <c r="V809" i="44"/>
  <c r="T814" i="44"/>
  <c r="V811" i="44"/>
  <c r="V1073" i="44" s="1"/>
  <c r="V1074" i="44" s="1"/>
  <c r="T1073" i="44"/>
  <c r="T1074" i="44" s="1"/>
  <c r="V73" i="44"/>
  <c r="T75" i="44"/>
  <c r="T76" i="44"/>
  <c r="T78" i="44" s="1"/>
  <c r="F880" i="44"/>
  <c r="F79" i="44"/>
  <c r="T877" i="44"/>
  <c r="T879" i="44" s="1"/>
  <c r="T876" i="44"/>
  <c r="V873" i="44"/>
  <c r="V862" i="44"/>
  <c r="T865" i="44"/>
  <c r="T866" i="44"/>
  <c r="T868" i="44" s="1"/>
  <c r="V835" i="44"/>
  <c r="T846" i="44"/>
  <c r="T847" i="44"/>
  <c r="V852" i="44"/>
  <c r="T854" i="44"/>
  <c r="T856" i="44" s="1"/>
  <c r="T853" i="44"/>
  <c r="F1173" i="44"/>
  <c r="F1196" i="44" s="1"/>
  <c r="F1159" i="44"/>
  <c r="V810" i="44"/>
  <c r="V1158" i="44" s="1"/>
  <c r="T1158" i="44"/>
  <c r="F1124" i="44"/>
  <c r="T674" i="44"/>
  <c r="F593" i="44"/>
  <c r="F594" i="44" s="1"/>
  <c r="F696" i="44"/>
  <c r="F776" i="44"/>
  <c r="F661" i="44"/>
  <c r="F1034" i="44"/>
  <c r="F1059" i="44"/>
  <c r="F1143" i="44"/>
  <c r="V711" i="44"/>
  <c r="V1068" i="44" s="1"/>
  <c r="T1068" i="44"/>
  <c r="V1117" i="44"/>
  <c r="V1119" i="44" s="1"/>
  <c r="T1117" i="44"/>
  <c r="T1119" i="44" s="1"/>
  <c r="V741" i="44"/>
  <c r="V1113" i="44" s="1"/>
  <c r="T1113" i="44"/>
  <c r="T557" i="44"/>
  <c r="T556" i="44"/>
  <c r="V550" i="44"/>
  <c r="V586" i="44"/>
  <c r="T592" i="44"/>
  <c r="T590" i="44"/>
  <c r="T997" i="44"/>
  <c r="F1019" i="44"/>
  <c r="T1087" i="44"/>
  <c r="T1089" i="44" s="1"/>
  <c r="V618" i="44"/>
  <c r="V1087" i="44" s="1"/>
  <c r="V1089" i="44" s="1"/>
  <c r="T1123" i="44"/>
  <c r="T1124" i="44" s="1"/>
  <c r="V672" i="44"/>
  <c r="V1123" i="44" s="1"/>
  <c r="V1124" i="44" s="1"/>
  <c r="V690" i="44"/>
  <c r="T692" i="44"/>
  <c r="T693" i="44"/>
  <c r="T695" i="44" s="1"/>
  <c r="V588" i="44"/>
  <c r="V591" i="44" s="1"/>
  <c r="T591" i="44"/>
  <c r="V655" i="44"/>
  <c r="T657" i="44"/>
  <c r="T658" i="44"/>
  <c r="T660" i="44" s="1"/>
  <c r="T1058" i="44"/>
  <c r="F1069" i="44"/>
  <c r="V604" i="44"/>
  <c r="T624" i="44"/>
  <c r="T623" i="44"/>
  <c r="T648" i="44"/>
  <c r="T649" i="44"/>
  <c r="V647" i="44"/>
  <c r="V731" i="44"/>
  <c r="T743" i="44"/>
  <c r="T744" i="44"/>
  <c r="V706" i="44"/>
  <c r="T1018" i="44"/>
  <c r="T717" i="44"/>
  <c r="T718" i="44"/>
  <c r="T1043" i="44"/>
  <c r="V734" i="44"/>
  <c r="V1043" i="44" s="1"/>
  <c r="F882" i="44"/>
  <c r="T772" i="44"/>
  <c r="T773" i="44"/>
  <c r="T775" i="44" s="1"/>
  <c r="T1033" i="44"/>
  <c r="V771" i="44"/>
  <c r="V739" i="44"/>
  <c r="V1093" i="44" s="1"/>
  <c r="T1093" i="44"/>
  <c r="F1203" i="44"/>
  <c r="F883" i="44"/>
  <c r="F651" i="44"/>
  <c r="F652" i="44" s="1"/>
  <c r="F468" i="44"/>
  <c r="V532" i="44"/>
  <c r="T542" i="44"/>
  <c r="T541" i="44"/>
  <c r="T507" i="44"/>
  <c r="F456" i="44"/>
  <c r="F458" i="44" s="1"/>
  <c r="F455" i="44"/>
  <c r="T452" i="44"/>
  <c r="T1017" i="44" s="1"/>
  <c r="V503" i="44"/>
  <c r="V505" i="44"/>
  <c r="V506" i="44" s="1"/>
  <c r="T1032" i="44"/>
  <c r="T464" i="44"/>
  <c r="V462" i="44"/>
  <c r="T465" i="44"/>
  <c r="T467" i="44" s="1"/>
  <c r="T1052" i="44"/>
  <c r="T1054" i="44" s="1"/>
  <c r="V518" i="44"/>
  <c r="T520" i="44"/>
  <c r="T519" i="44"/>
  <c r="F1172" i="44"/>
  <c r="F1195" i="44" s="1"/>
  <c r="V489" i="44"/>
  <c r="T495" i="44"/>
  <c r="T494" i="44"/>
  <c r="V410" i="44"/>
  <c r="T415" i="44"/>
  <c r="T416" i="44"/>
  <c r="F316" i="44"/>
  <c r="T225" i="44"/>
  <c r="T227" i="44" s="1"/>
  <c r="T228" i="44" s="1"/>
  <c r="F284" i="44"/>
  <c r="V295" i="42"/>
  <c r="V402" i="42" s="1"/>
  <c r="T325" i="44"/>
  <c r="V321" i="44"/>
  <c r="T326" i="44"/>
  <c r="V269" i="44"/>
  <c r="T283" i="44"/>
  <c r="T280" i="44"/>
  <c r="V157" i="44"/>
  <c r="T162" i="44"/>
  <c r="T164" i="44" s="1"/>
  <c r="T161" i="44"/>
  <c r="V211" i="44"/>
  <c r="V1037" i="44" s="1"/>
  <c r="V1039" i="44" s="1"/>
  <c r="T1037" i="44"/>
  <c r="T1039" i="44" s="1"/>
  <c r="F402" i="42"/>
  <c r="V128" i="44"/>
  <c r="T1047" i="44"/>
  <c r="T1049" i="44" s="1"/>
  <c r="V136" i="44"/>
  <c r="V1097" i="44" s="1"/>
  <c r="V1099" i="44" s="1"/>
  <c r="T1097" i="44"/>
  <c r="T1099" i="44" s="1"/>
  <c r="F152" i="44"/>
  <c r="T148" i="44"/>
  <c r="V146" i="44"/>
  <c r="T149" i="44"/>
  <c r="T151" i="44" s="1"/>
  <c r="V47" i="44"/>
  <c r="T1012" i="44"/>
  <c r="T1014" i="44" s="1"/>
  <c r="T27" i="44"/>
  <c r="T31" i="44" s="1"/>
  <c r="F1081" i="44"/>
  <c r="V54" i="44"/>
  <c r="V1062" i="44" s="1"/>
  <c r="T1062" i="44"/>
  <c r="V55" i="44"/>
  <c r="V1067" i="44" s="1"/>
  <c r="T1067" i="44"/>
  <c r="T1169" i="44"/>
  <c r="T1172" i="44"/>
  <c r="T1076" i="44"/>
  <c r="T1079" i="44" s="1"/>
  <c r="V26" i="44"/>
  <c r="V1076" i="44" s="1"/>
  <c r="V1079" i="44" s="1"/>
  <c r="V1011" i="44"/>
  <c r="F30" i="44"/>
  <c r="F35" i="44" s="1"/>
  <c r="F31" i="44"/>
  <c r="V87" i="44"/>
  <c r="T102" i="44"/>
  <c r="T103" i="44"/>
  <c r="T105" i="44" s="1"/>
  <c r="V48" i="44"/>
  <c r="V122" i="44"/>
  <c r="T141" i="44"/>
  <c r="T140" i="44"/>
  <c r="V1167" i="44"/>
  <c r="T1146" i="44"/>
  <c r="V20" i="44"/>
  <c r="V1146" i="44" s="1"/>
  <c r="F1171" i="44"/>
  <c r="F1194" i="44" s="1"/>
  <c r="F1149" i="44"/>
  <c r="V93" i="44"/>
  <c r="T1057" i="44"/>
  <c r="T1042" i="44"/>
  <c r="V51" i="44"/>
  <c r="V1042" i="44" s="1"/>
  <c r="V58" i="44"/>
  <c r="V1092" i="44" s="1"/>
  <c r="T1092" i="44"/>
  <c r="V60" i="44"/>
  <c r="V1112" i="44" s="1"/>
  <c r="V1114" i="44" s="1"/>
  <c r="T1112" i="44"/>
  <c r="F65" i="44"/>
  <c r="F66" i="44" s="1"/>
  <c r="V59" i="44"/>
  <c r="T62" i="44"/>
  <c r="T1107" i="44"/>
  <c r="T63" i="44"/>
  <c r="F1109" i="44"/>
  <c r="F1142" i="44"/>
  <c r="I1189" i="44" l="1"/>
  <c r="I1192" i="44" s="1"/>
  <c r="I1144" i="44"/>
  <c r="I1177" i="44"/>
  <c r="I1213" i="44"/>
  <c r="I1204" i="44"/>
  <c r="V179" i="44"/>
  <c r="V181" i="44"/>
  <c r="V182" i="44" s="1"/>
  <c r="T239" i="44"/>
  <c r="V237" i="44"/>
  <c r="V238" i="44" s="1"/>
  <c r="V235" i="44"/>
  <c r="V250" i="44"/>
  <c r="V252" i="44"/>
  <c r="V253" i="44" s="1"/>
  <c r="T746" i="44"/>
  <c r="F1003" i="44"/>
  <c r="F1179" i="44" s="1"/>
  <c r="F1186" i="44" s="1"/>
  <c r="T1094" i="44"/>
  <c r="F630" i="44"/>
  <c r="F889" i="44" s="1"/>
  <c r="F962" i="44"/>
  <c r="F964" i="44" s="1"/>
  <c r="F885" i="44"/>
  <c r="F886" i="44" s="1"/>
  <c r="F446" i="44"/>
  <c r="F631" i="44" s="1"/>
  <c r="F444" i="44"/>
  <c r="F629" i="44" s="1"/>
  <c r="F888" i="44" s="1"/>
  <c r="T442" i="44"/>
  <c r="T947" i="44" s="1"/>
  <c r="T962" i="44" s="1"/>
  <c r="T828" i="44"/>
  <c r="T720" i="44"/>
  <c r="T721" i="44" s="1"/>
  <c r="T954" i="44"/>
  <c r="F1215" i="44"/>
  <c r="F1221" i="44" s="1"/>
  <c r="T849" i="44"/>
  <c r="T850" i="44" s="1"/>
  <c r="T676" i="44"/>
  <c r="T677" i="44" s="1"/>
  <c r="V745" i="44"/>
  <c r="T963" i="44"/>
  <c r="T817" i="44"/>
  <c r="T818" i="44" s="1"/>
  <c r="T1195" i="44"/>
  <c r="T769" i="44"/>
  <c r="V998" i="44"/>
  <c r="V765" i="44"/>
  <c r="V767" i="44"/>
  <c r="V768" i="44" s="1"/>
  <c r="V719" i="44"/>
  <c r="V948" i="44"/>
  <c r="V993" i="44"/>
  <c r="V958" i="44"/>
  <c r="V959" i="44" s="1"/>
  <c r="V675" i="44"/>
  <c r="T1209" i="44"/>
  <c r="T884" i="44"/>
  <c r="T983" i="44"/>
  <c r="V973" i="44"/>
  <c r="V650" i="44"/>
  <c r="T979" i="44"/>
  <c r="T959" i="44"/>
  <c r="V979" i="44"/>
  <c r="V826" i="44"/>
  <c r="V827" i="44" s="1"/>
  <c r="V824" i="44"/>
  <c r="T1064" i="44"/>
  <c r="T1114" i="44"/>
  <c r="V1044" i="44"/>
  <c r="V1047" i="44"/>
  <c r="V1049" i="44" s="1"/>
  <c r="F1174" i="44"/>
  <c r="T994" i="44"/>
  <c r="T559" i="44"/>
  <c r="T560" i="44" s="1"/>
  <c r="V377" i="44"/>
  <c r="V625" i="44"/>
  <c r="T593" i="44"/>
  <c r="T594" i="44" s="1"/>
  <c r="T626" i="44"/>
  <c r="T627" i="44" s="1"/>
  <c r="T497" i="44"/>
  <c r="T498" i="44" s="1"/>
  <c r="T418" i="44"/>
  <c r="T419" i="44" s="1"/>
  <c r="T544" i="44"/>
  <c r="T545" i="44" s="1"/>
  <c r="T869" i="44"/>
  <c r="F1202" i="44"/>
  <c r="F1208" i="44"/>
  <c r="F1210" i="44" s="1"/>
  <c r="V431" i="44"/>
  <c r="V952" i="44"/>
  <c r="V954" i="44" s="1"/>
  <c r="T475" i="44"/>
  <c r="V471" i="44"/>
  <c r="V473" i="44"/>
  <c r="V474" i="44" s="1"/>
  <c r="T143" i="44"/>
  <c r="T144" i="44" s="1"/>
  <c r="T349" i="44"/>
  <c r="T999" i="44"/>
  <c r="T261" i="44"/>
  <c r="T183" i="44"/>
  <c r="V64" i="44"/>
  <c r="T982" i="44"/>
  <c r="V357" i="44"/>
  <c r="T522" i="44"/>
  <c r="T523" i="44" s="1"/>
  <c r="T328" i="44"/>
  <c r="T329" i="44" s="1"/>
  <c r="T79" i="44"/>
  <c r="V992" i="44"/>
  <c r="V966" i="44"/>
  <c r="V32" i="44"/>
  <c r="V1207" i="44" s="1"/>
  <c r="T981" i="44"/>
  <c r="T969" i="44"/>
  <c r="V348" i="44"/>
  <c r="V345" i="44"/>
  <c r="F1001" i="44"/>
  <c r="F984" i="44"/>
  <c r="T342" i="44"/>
  <c r="V257" i="44"/>
  <c r="V259" i="44"/>
  <c r="V260" i="44" s="1"/>
  <c r="V340" i="44"/>
  <c r="V341" i="44" s="1"/>
  <c r="V338" i="44"/>
  <c r="V967" i="44"/>
  <c r="V982" i="44" s="1"/>
  <c r="T114" i="44"/>
  <c r="V110" i="44"/>
  <c r="V112" i="44"/>
  <c r="V113" i="44" s="1"/>
  <c r="T747" i="44"/>
  <c r="V847" i="44"/>
  <c r="V849" i="44" s="1"/>
  <c r="V846" i="44"/>
  <c r="V76" i="44"/>
  <c r="V78" i="44" s="1"/>
  <c r="V75" i="44"/>
  <c r="T1173" i="44"/>
  <c r="T1196" i="44" s="1"/>
  <c r="T1159" i="44"/>
  <c r="T776" i="44"/>
  <c r="V1173" i="44"/>
  <c r="V1196" i="44" s="1"/>
  <c r="V1159" i="44"/>
  <c r="V865" i="44"/>
  <c r="V866" i="44"/>
  <c r="V868" i="44" s="1"/>
  <c r="V877" i="44"/>
  <c r="V879" i="44" s="1"/>
  <c r="V876" i="44"/>
  <c r="V815" i="44"/>
  <c r="V817" i="44" s="1"/>
  <c r="V814" i="44"/>
  <c r="T880" i="44"/>
  <c r="V799" i="44"/>
  <c r="V801" i="44" s="1"/>
  <c r="V798" i="44"/>
  <c r="T857" i="44"/>
  <c r="V853" i="44"/>
  <c r="V854" i="44"/>
  <c r="V856" i="44" s="1"/>
  <c r="T802" i="44"/>
  <c r="V1094" i="44"/>
  <c r="T661" i="44"/>
  <c r="V1063" i="44"/>
  <c r="V1064" i="44" s="1"/>
  <c r="T1069" i="44"/>
  <c r="V1069" i="44"/>
  <c r="V674" i="44"/>
  <c r="T1034" i="44"/>
  <c r="T1059" i="44"/>
  <c r="V623" i="44"/>
  <c r="V624" i="44"/>
  <c r="V693" i="44"/>
  <c r="V695" i="44" s="1"/>
  <c r="V692" i="44"/>
  <c r="V557" i="44"/>
  <c r="V559" i="44" s="1"/>
  <c r="V556" i="44"/>
  <c r="V718" i="44"/>
  <c r="V717" i="44"/>
  <c r="V1018" i="44"/>
  <c r="V673" i="44"/>
  <c r="T1143" i="44"/>
  <c r="T1044" i="44"/>
  <c r="V773" i="44"/>
  <c r="V775" i="44" s="1"/>
  <c r="V772" i="44"/>
  <c r="V1033" i="44"/>
  <c r="V592" i="44"/>
  <c r="V593" i="44" s="1"/>
  <c r="V997" i="44"/>
  <c r="V590" i="44"/>
  <c r="V744" i="44"/>
  <c r="V743" i="44"/>
  <c r="T1019" i="44"/>
  <c r="V648" i="44"/>
  <c r="V649" i="44"/>
  <c r="V657" i="44"/>
  <c r="V1058" i="44"/>
  <c r="V658" i="44"/>
  <c r="V660" i="44" s="1"/>
  <c r="T883" i="44"/>
  <c r="T651" i="44"/>
  <c r="T652" i="44" s="1"/>
  <c r="T1203" i="44"/>
  <c r="T882" i="44"/>
  <c r="T696" i="44"/>
  <c r="F1191" i="44"/>
  <c r="T468" i="44"/>
  <c r="F1197" i="44"/>
  <c r="V542" i="44"/>
  <c r="V544" i="44" s="1"/>
  <c r="V541" i="44"/>
  <c r="V519" i="44"/>
  <c r="V1052" i="44"/>
  <c r="V1054" i="44" s="1"/>
  <c r="V520" i="44"/>
  <c r="V522" i="44" s="1"/>
  <c r="V452" i="44"/>
  <c r="T456" i="44"/>
  <c r="T458" i="44" s="1"/>
  <c r="T455" i="44"/>
  <c r="F459" i="44"/>
  <c r="V465" i="44"/>
  <c r="V467" i="44" s="1"/>
  <c r="V464" i="44"/>
  <c r="V507" i="44"/>
  <c r="V495" i="44"/>
  <c r="V497" i="44" s="1"/>
  <c r="V494" i="44"/>
  <c r="V416" i="44"/>
  <c r="V418" i="44" s="1"/>
  <c r="V415" i="44"/>
  <c r="V1057" i="44"/>
  <c r="V161" i="44"/>
  <c r="V162" i="44"/>
  <c r="V164" i="44" s="1"/>
  <c r="T284" i="44"/>
  <c r="V224" i="44"/>
  <c r="V281" i="44"/>
  <c r="V283" i="44" s="1"/>
  <c r="V280" i="44"/>
  <c r="V225" i="44"/>
  <c r="V227" i="44" s="1"/>
  <c r="V326" i="44"/>
  <c r="V328" i="44" s="1"/>
  <c r="V325" i="44"/>
  <c r="T152" i="44"/>
  <c r="V149" i="44"/>
  <c r="V151" i="44" s="1"/>
  <c r="V148" i="44"/>
  <c r="V1032" i="44"/>
  <c r="T106" i="44"/>
  <c r="V102" i="44"/>
  <c r="V1171" i="44"/>
  <c r="V1194" i="44" s="1"/>
  <c r="V1149" i="44"/>
  <c r="T1149" i="44"/>
  <c r="T1171" i="44"/>
  <c r="T1194" i="44" s="1"/>
  <c r="F1201" i="44"/>
  <c r="F1213" i="44" s="1"/>
  <c r="F1219" i="44" s="1"/>
  <c r="F33" i="44"/>
  <c r="F34" i="44" s="1"/>
  <c r="T1201" i="44"/>
  <c r="T1213" i="44" s="1"/>
  <c r="T33" i="44"/>
  <c r="V1169" i="44"/>
  <c r="V1172" i="44"/>
  <c r="V1195" i="44" s="1"/>
  <c r="V103" i="44"/>
  <c r="V105" i="44" s="1"/>
  <c r="V140" i="44"/>
  <c r="V141" i="44"/>
  <c r="V143" i="44" s="1"/>
  <c r="F1084" i="44"/>
  <c r="F1141" i="44"/>
  <c r="T1081" i="44"/>
  <c r="V27" i="44"/>
  <c r="V1081" i="44" s="1"/>
  <c r="V1084" i="44" s="1"/>
  <c r="T30" i="44"/>
  <c r="T35" i="44" s="1"/>
  <c r="V1012" i="44"/>
  <c r="V1014" i="44" s="1"/>
  <c r="T65" i="44"/>
  <c r="T66" i="44" s="1"/>
  <c r="F1190" i="44"/>
  <c r="T1109" i="44"/>
  <c r="T1142" i="44"/>
  <c r="V1107" i="44"/>
  <c r="V62" i="44"/>
  <c r="V63" i="44"/>
  <c r="V254" i="44" l="1"/>
  <c r="I1219" i="44"/>
  <c r="I1216" i="44"/>
  <c r="I1184" i="44"/>
  <c r="I1180" i="44"/>
  <c r="I1182" i="44" s="1"/>
  <c r="I1205" i="44"/>
  <c r="F1002" i="44"/>
  <c r="F1178" i="44" s="1"/>
  <c r="F1185" i="44" s="1"/>
  <c r="V239" i="44"/>
  <c r="V999" i="44"/>
  <c r="T444" i="44"/>
  <c r="V776" i="44"/>
  <c r="F447" i="44"/>
  <c r="F448" i="44" s="1"/>
  <c r="F890" i="44"/>
  <c r="F891" i="44" s="1"/>
  <c r="V994" i="44"/>
  <c r="T446" i="44"/>
  <c r="T447" i="44" s="1"/>
  <c r="T949" i="44"/>
  <c r="V442" i="44"/>
  <c r="V947" i="44" s="1"/>
  <c r="V949" i="44" s="1"/>
  <c r="V676" i="44"/>
  <c r="V677" i="44" s="1"/>
  <c r="V720" i="44"/>
  <c r="V721" i="44" s="1"/>
  <c r="V746" i="44"/>
  <c r="V747" i="44" s="1"/>
  <c r="T1197" i="44"/>
  <c r="T1215" i="44"/>
  <c r="T1221" i="44" s="1"/>
  <c r="T964" i="44"/>
  <c r="V769" i="44"/>
  <c r="T1003" i="44"/>
  <c r="T1179" i="44" s="1"/>
  <c r="T1186" i="44" s="1"/>
  <c r="V828" i="44"/>
  <c r="V963" i="44"/>
  <c r="V884" i="44"/>
  <c r="V1209" i="44"/>
  <c r="V983" i="44"/>
  <c r="V974" i="44"/>
  <c r="T885" i="44"/>
  <c r="T886" i="44" s="1"/>
  <c r="V1034" i="44"/>
  <c r="V818" i="44"/>
  <c r="V626" i="44"/>
  <c r="V627" i="44" s="1"/>
  <c r="T629" i="44"/>
  <c r="T888" i="44" s="1"/>
  <c r="F632" i="44"/>
  <c r="F633" i="44" s="1"/>
  <c r="F1214" i="44"/>
  <c r="F1220" i="44" s="1"/>
  <c r="V857" i="44"/>
  <c r="V475" i="44"/>
  <c r="V594" i="44"/>
  <c r="V880" i="44"/>
  <c r="T1202" i="44"/>
  <c r="T630" i="44"/>
  <c r="T889" i="44" s="1"/>
  <c r="T1002" i="44"/>
  <c r="T1178" i="44" s="1"/>
  <c r="V183" i="44"/>
  <c r="V114" i="44"/>
  <c r="T1174" i="44"/>
  <c r="V349" i="44"/>
  <c r="T1001" i="44"/>
  <c r="T984" i="44"/>
  <c r="V342" i="44"/>
  <c r="V261" i="44"/>
  <c r="V981" i="44"/>
  <c r="V969" i="44"/>
  <c r="V106" i="44"/>
  <c r="V802" i="44"/>
  <c r="V79" i="44"/>
  <c r="V850" i="44"/>
  <c r="V869" i="44"/>
  <c r="V1059" i="44"/>
  <c r="V661" i="44"/>
  <c r="V882" i="44"/>
  <c r="V523" i="44"/>
  <c r="V1143" i="44"/>
  <c r="V560" i="44"/>
  <c r="V1203" i="44"/>
  <c r="V883" i="44"/>
  <c r="V651" i="44"/>
  <c r="V652" i="44" s="1"/>
  <c r="T1191" i="44"/>
  <c r="V696" i="44"/>
  <c r="V545" i="44"/>
  <c r="V468" i="44"/>
  <c r="T459" i="44"/>
  <c r="V455" i="44"/>
  <c r="V456" i="44"/>
  <c r="V458" i="44" s="1"/>
  <c r="V1017" i="44"/>
  <c r="V1019" i="44" s="1"/>
  <c r="V165" i="44"/>
  <c r="V166" i="44" s="1"/>
  <c r="V498" i="44"/>
  <c r="V228" i="44"/>
  <c r="V419" i="44"/>
  <c r="V329" i="44"/>
  <c r="V284" i="44"/>
  <c r="V152" i="44"/>
  <c r="F1204" i="44"/>
  <c r="V144" i="44"/>
  <c r="T1219" i="44"/>
  <c r="T1084" i="44"/>
  <c r="T1141" i="44"/>
  <c r="T1144" i="44" s="1"/>
  <c r="V30" i="44"/>
  <c r="V35" i="44" s="1"/>
  <c r="F1177" i="44"/>
  <c r="F1189" i="44"/>
  <c r="F1192" i="44" s="1"/>
  <c r="F1144" i="44"/>
  <c r="V31" i="44"/>
  <c r="V1141" i="44"/>
  <c r="T34" i="44"/>
  <c r="V1174" i="44"/>
  <c r="V1197" i="44"/>
  <c r="T1190" i="44"/>
  <c r="V65" i="44"/>
  <c r="V66" i="44" s="1"/>
  <c r="V1109" i="44"/>
  <c r="T448" i="44" l="1"/>
  <c r="I1222" i="44"/>
  <c r="I1217" i="44"/>
  <c r="F1004" i="44"/>
  <c r="F1211" i="44" s="1"/>
  <c r="T1208" i="44"/>
  <c r="T1210" i="44" s="1"/>
  <c r="T631" i="44"/>
  <c r="T890" i="44" s="1"/>
  <c r="T891" i="44" s="1"/>
  <c r="T892" i="44" s="1"/>
  <c r="V962" i="44"/>
  <c r="V1002" i="44" s="1"/>
  <c r="V446" i="44"/>
  <c r="V447" i="44" s="1"/>
  <c r="V444" i="44"/>
  <c r="V629" i="44" s="1"/>
  <c r="V888" i="44" s="1"/>
  <c r="V1215" i="44"/>
  <c r="V1221" i="44" s="1"/>
  <c r="V885" i="44"/>
  <c r="V886" i="44" s="1"/>
  <c r="V1003" i="44"/>
  <c r="V1179" i="44" s="1"/>
  <c r="V1186" i="44" s="1"/>
  <c r="F1216" i="44"/>
  <c r="F1217" i="44" s="1"/>
  <c r="T1185" i="44"/>
  <c r="T1204" i="44"/>
  <c r="T1205" i="44" s="1"/>
  <c r="T1004" i="44"/>
  <c r="V459" i="44"/>
  <c r="V1001" i="44"/>
  <c r="V1177" i="44" s="1"/>
  <c r="V984" i="44"/>
  <c r="V1191" i="44"/>
  <c r="V1202" i="44"/>
  <c r="V630" i="44"/>
  <c r="V889" i="44" s="1"/>
  <c r="V1142" i="44"/>
  <c r="F1205" i="44"/>
  <c r="F1180" i="44"/>
  <c r="F1182" i="44" s="1"/>
  <c r="F1184" i="44"/>
  <c r="T1189" i="44"/>
  <c r="T1192" i="44" s="1"/>
  <c r="T1177" i="44"/>
  <c r="V1201" i="44"/>
  <c r="V1213" i="44" s="1"/>
  <c r="V1219" i="44" s="1"/>
  <c r="V33" i="44"/>
  <c r="V34" i="44" s="1"/>
  <c r="V1189" i="44"/>
  <c r="V1144" i="44"/>
  <c r="V1208" i="44" l="1"/>
  <c r="V1210" i="44" s="1"/>
  <c r="F1005" i="44"/>
  <c r="V964" i="44"/>
  <c r="V1178" i="44"/>
  <c r="V1185" i="44" s="1"/>
  <c r="T1214" i="44"/>
  <c r="T1216" i="44" s="1"/>
  <c r="T1217" i="44" s="1"/>
  <c r="T1211" i="44"/>
  <c r="T632" i="44"/>
  <c r="T633" i="44" s="1"/>
  <c r="V448" i="44"/>
  <c r="V631" i="44"/>
  <c r="V890" i="44" s="1"/>
  <c r="V891" i="44" s="1"/>
  <c r="V892" i="44" s="1"/>
  <c r="V1214" i="44"/>
  <c r="V1220" i="44" s="1"/>
  <c r="F1222" i="44"/>
  <c r="V1004" i="44"/>
  <c r="V1211" i="44" s="1"/>
  <c r="V1204" i="44"/>
  <c r="V1205" i="44" s="1"/>
  <c r="V1190" i="44"/>
  <c r="V1192" i="44"/>
  <c r="V1184" i="44"/>
  <c r="V1180" i="44"/>
  <c r="V1182" i="44" s="1"/>
  <c r="T1184" i="44"/>
  <c r="T1180" i="44"/>
  <c r="T1182" i="44" s="1"/>
  <c r="T1222" i="44" l="1"/>
  <c r="T1220" i="44"/>
  <c r="V632" i="44"/>
  <c r="V633" i="44" s="1"/>
  <c r="V1216" i="44"/>
  <c r="V1222" i="44" s="1"/>
  <c r="V1217" i="44" l="1"/>
  <c r="F282" i="43" l="1"/>
  <c r="V216" i="43"/>
  <c r="P288" i="43"/>
  <c r="P282" i="43"/>
  <c r="P277" i="43"/>
  <c r="P23" i="43"/>
  <c r="P130" i="43"/>
  <c r="J288" i="43"/>
  <c r="J130" i="43"/>
  <c r="J23" i="43"/>
  <c r="J277" i="43"/>
  <c r="J282" i="43"/>
  <c r="Q126" i="43"/>
  <c r="V288" i="43"/>
  <c r="H288" i="43"/>
  <c r="I288" i="43"/>
  <c r="I282" i="43"/>
  <c r="I130" i="43"/>
  <c r="I23" i="43"/>
  <c r="I277" i="43"/>
  <c r="P126" i="43"/>
  <c r="N126" i="43"/>
  <c r="R126" i="43"/>
  <c r="V291" i="43"/>
  <c r="V283" i="43"/>
  <c r="O130" i="43"/>
  <c r="O23" i="43"/>
  <c r="O277" i="43"/>
  <c r="O282" i="43"/>
  <c r="O288" i="43"/>
  <c r="U126" i="43"/>
  <c r="N288" i="43"/>
  <c r="N130" i="43"/>
  <c r="N23" i="43"/>
  <c r="N277" i="43"/>
  <c r="N282" i="43"/>
  <c r="I126" i="43"/>
  <c r="I216" i="43"/>
  <c r="L288" i="43"/>
  <c r="L282" i="43"/>
  <c r="L277" i="43"/>
  <c r="L23" i="43"/>
  <c r="L130" i="43"/>
  <c r="H216" i="43"/>
  <c r="H126" i="43"/>
  <c r="V277" i="43"/>
  <c r="G130" i="43"/>
  <c r="G23" i="43"/>
  <c r="V23" i="43"/>
  <c r="J126" i="43"/>
  <c r="J216" i="43"/>
  <c r="Q130" i="43"/>
  <c r="Q23" i="43"/>
  <c r="Q277" i="43"/>
  <c r="Q282" i="43"/>
  <c r="Q288" i="43"/>
  <c r="R288" i="43"/>
  <c r="R130" i="43"/>
  <c r="R23" i="43"/>
  <c r="R277" i="43"/>
  <c r="R282" i="43"/>
  <c r="S126" i="43"/>
  <c r="L126" i="43"/>
  <c r="M126" i="43"/>
  <c r="O126" i="43"/>
  <c r="T126" i="43"/>
  <c r="H130" i="43"/>
  <c r="H23" i="43"/>
  <c r="H277" i="43"/>
  <c r="H282" i="43"/>
  <c r="V282" i="43"/>
  <c r="G126" i="43"/>
  <c r="I217" i="43"/>
  <c r="S130" i="43"/>
  <c r="S23" i="43"/>
  <c r="S277" i="43"/>
  <c r="S282" i="43"/>
  <c r="S288" i="43"/>
  <c r="F130" i="43"/>
  <c r="M130" i="43"/>
  <c r="M23" i="43"/>
  <c r="M277" i="43"/>
  <c r="M282" i="43"/>
  <c r="M288" i="43"/>
  <c r="T130" i="43"/>
  <c r="T23" i="43"/>
  <c r="T277" i="43"/>
  <c r="T282" i="43"/>
  <c r="T288" i="43"/>
  <c r="K130" i="43"/>
  <c r="U130" i="43"/>
  <c r="U23" i="43"/>
  <c r="U277" i="43"/>
  <c r="U282" i="43"/>
  <c r="U288" i="43"/>
  <c r="F126" i="43"/>
  <c r="K216" i="43"/>
  <c r="K126" i="4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T679" authorId="0" shapeId="0" xr:uid="{5926746F-A5BF-4092-BD4E-B036D06BB474}">
      <text>
        <r>
          <rPr>
            <sz val="9"/>
            <color indexed="81"/>
            <rFont val="Tahoma"/>
            <family val="2"/>
          </rPr>
          <t>Upgrading of Drainage Structure at EVSU Main Campus (Phase 1) per Modification Advice Form (MAF) No. 2024-02-001 dated February 15, 2024)
4,976,281.56</t>
        </r>
      </text>
    </comment>
    <comment ref="T682" authorId="0" shapeId="0" xr:uid="{A9BC00D7-05A6-48A3-B54D-A0603A756CEE}">
      <text>
        <r>
          <rPr>
            <sz val="9"/>
            <color indexed="81"/>
            <rFont val="Tahoma"/>
            <family val="2"/>
          </rPr>
          <t>Improvement of EVSU Gate 1, Gate 2 (Main Gate), Gate 4 and Gate 5, and Perimeter Fence) per Modification Advice Form (MAF) No. 2024-02-001 dated February 15, 2024)
7,477,821.24</t>
        </r>
      </text>
    </comment>
  </commentList>
</comments>
</file>

<file path=xl/sharedStrings.xml><?xml version="1.0" encoding="utf-8"?>
<sst xmlns="http://schemas.openxmlformats.org/spreadsheetml/2006/main" count="1951" uniqueCount="477">
  <si>
    <t>Particulars</t>
  </si>
  <si>
    <t>Approved Budget</t>
  </si>
  <si>
    <t>Total</t>
  </si>
  <si>
    <t>GRAND TOTAL</t>
  </si>
  <si>
    <t>SUMMARY</t>
  </si>
  <si>
    <t>Traveling Expenses - Local</t>
  </si>
  <si>
    <t>Traveling Expenses - Foreign</t>
  </si>
  <si>
    <t>Training Expenses</t>
  </si>
  <si>
    <t>Office Supplies Expenses</t>
  </si>
  <si>
    <t>Accountable Forms Expenses</t>
  </si>
  <si>
    <t>Water Expenses</t>
  </si>
  <si>
    <t>Electricity Expenses</t>
  </si>
  <si>
    <t>School Buildings</t>
  </si>
  <si>
    <t>Office Equipment</t>
  </si>
  <si>
    <t>Scholarship Expenses</t>
  </si>
  <si>
    <t>Consultancy Services</t>
  </si>
  <si>
    <t>Other Professional Services</t>
  </si>
  <si>
    <t>Janitorial Services</t>
  </si>
  <si>
    <t>Security Services</t>
  </si>
  <si>
    <t>Insurance Expenses</t>
  </si>
  <si>
    <t>Labor and Wages</t>
  </si>
  <si>
    <t>Printing and Publication Expenses</t>
  </si>
  <si>
    <t>Subscription Expenses</t>
  </si>
  <si>
    <t>Other Structures</t>
  </si>
  <si>
    <t>Communication Equipment</t>
  </si>
  <si>
    <t>Sports Equipment</t>
  </si>
  <si>
    <t>Motor Vehicle</t>
  </si>
  <si>
    <t>Books</t>
  </si>
  <si>
    <t>Telephone Expenses - Mobile</t>
  </si>
  <si>
    <t>5-02-13-040-99</t>
  </si>
  <si>
    <t>5-02-13-040-02</t>
  </si>
  <si>
    <t>5-02-13-050-02</t>
  </si>
  <si>
    <t>5-02-13-050-03</t>
  </si>
  <si>
    <t>5-02-13-050-99</t>
  </si>
  <si>
    <t>5-02-13-050-14</t>
  </si>
  <si>
    <t>5-02-13-070-00</t>
  </si>
  <si>
    <t>5-02-13-060-01</t>
  </si>
  <si>
    <t>5-02-01-010-00</t>
  </si>
  <si>
    <t>5-02-01-020-00</t>
  </si>
  <si>
    <t>5-02-02-010-00</t>
  </si>
  <si>
    <t>5-02-02-020-00</t>
  </si>
  <si>
    <t>5-02-03-010-00</t>
  </si>
  <si>
    <t>5-02-03-070-00</t>
  </si>
  <si>
    <t>5-02-03-080-00</t>
  </si>
  <si>
    <t>5-02-03-090-00</t>
  </si>
  <si>
    <t>5-02-03-110-01</t>
  </si>
  <si>
    <t>5-02-03-990-00</t>
  </si>
  <si>
    <t>5-02-04-010-00</t>
  </si>
  <si>
    <t>5-02-04-020-00</t>
  </si>
  <si>
    <t>5-02-05-010-00</t>
  </si>
  <si>
    <t>5-02-05-020-01</t>
  </si>
  <si>
    <t>5-02-05-020-02</t>
  </si>
  <si>
    <t>5-02-05-030-00</t>
  </si>
  <si>
    <t>5-02-05-040-00</t>
  </si>
  <si>
    <t>5-02-11-030-00</t>
  </si>
  <si>
    <t>5-02-11-990-00</t>
  </si>
  <si>
    <t>5-02-12-020-00</t>
  </si>
  <si>
    <t>5-02-12-030-00</t>
  </si>
  <si>
    <t>5-02-15-020-00</t>
  </si>
  <si>
    <t>5-02-15-030-00</t>
  </si>
  <si>
    <t>5-02-16-010-00</t>
  </si>
  <si>
    <t>5-02-99-020-00</t>
  </si>
  <si>
    <t>5-02-99-060-00</t>
  </si>
  <si>
    <t>5-02-99-070-00</t>
  </si>
  <si>
    <t>5-06-04-040-01</t>
  </si>
  <si>
    <t>5-06-04-040-02</t>
  </si>
  <si>
    <t>5-06-04-040-99</t>
  </si>
  <si>
    <t>5-06-04-050-01</t>
  </si>
  <si>
    <t>5-06-04-050-02</t>
  </si>
  <si>
    <t>5-06-04-050-03</t>
  </si>
  <si>
    <t>5-06-04-050-07</t>
  </si>
  <si>
    <t>5-06-04-050-13</t>
  </si>
  <si>
    <t>5-06-04-050-14</t>
  </si>
  <si>
    <t>5-06-04-050-99</t>
  </si>
  <si>
    <t>5-06-04-060-01</t>
  </si>
  <si>
    <t>5-06-04-070-01</t>
  </si>
  <si>
    <t>5-06-04-070-02</t>
  </si>
  <si>
    <t>Page 3 of 3</t>
  </si>
  <si>
    <t>5-02-13-050-01</t>
  </si>
  <si>
    <t>Machinery</t>
  </si>
  <si>
    <t>Disaster Response and Rescue Equipment</t>
  </si>
  <si>
    <t>5-06-04-050-09</t>
  </si>
  <si>
    <t>5-06-04-050-12</t>
  </si>
  <si>
    <t>Printing Equipment</t>
  </si>
  <si>
    <t>Computer Software</t>
  </si>
  <si>
    <t>5-06-06-020-00</t>
  </si>
  <si>
    <t>5-06-04-030-05</t>
  </si>
  <si>
    <t>Power Supply Systems</t>
  </si>
  <si>
    <t>Honoraria</t>
  </si>
  <si>
    <t>Rewards and Incentives</t>
  </si>
  <si>
    <t>5-02-06-010-02</t>
  </si>
  <si>
    <t>5-06-04-090-99</t>
  </si>
  <si>
    <t>Medical Equipment</t>
  </si>
  <si>
    <t>5-06-04-050-11</t>
  </si>
  <si>
    <t>Page 1 of 3</t>
  </si>
  <si>
    <t>Page 2 of 3</t>
  </si>
  <si>
    <t>5-02-13-050-12</t>
  </si>
  <si>
    <t>PS</t>
  </si>
  <si>
    <t>MOOE</t>
  </si>
  <si>
    <t>CO</t>
  </si>
  <si>
    <t xml:space="preserve"> </t>
  </si>
  <si>
    <t>5-02-13-020-99</t>
  </si>
  <si>
    <t>5-02-13-030-04</t>
  </si>
  <si>
    <t>5-02-13-030-05</t>
  </si>
  <si>
    <t>School Building</t>
  </si>
  <si>
    <t>Other Machinery and Equipment</t>
  </si>
  <si>
    <t>COMPARATIVE APPROVED BUDGET and ACTUAL COLLECTION</t>
  </si>
  <si>
    <t>INTERNALLY GENERATED FUNDS (IGF) - Fiduciary Fees</t>
  </si>
  <si>
    <t>CY 2025</t>
  </si>
  <si>
    <t>EVSU ORMOC CAMPUS</t>
  </si>
  <si>
    <t>Page 1 of 7</t>
  </si>
  <si>
    <t>Approved</t>
  </si>
  <si>
    <t xml:space="preserve">A L L O T M E N T </t>
  </si>
  <si>
    <t>Budget</t>
  </si>
  <si>
    <t>(ACTUAL COLLECTION)</t>
  </si>
  <si>
    <t>PROGRAM / ACTIVITY</t>
  </si>
  <si>
    <t>Fiduciary</t>
  </si>
  <si>
    <t>(Based on</t>
  </si>
  <si>
    <t>Available</t>
  </si>
  <si>
    <t>FHE</t>
  </si>
  <si>
    <t>Fees</t>
  </si>
  <si>
    <t>Estimated</t>
  </si>
  <si>
    <t>Allotment</t>
  </si>
  <si>
    <t>Jan</t>
  </si>
  <si>
    <t>Feb</t>
  </si>
  <si>
    <t>March</t>
  </si>
  <si>
    <t>Apr</t>
  </si>
  <si>
    <t>May</t>
  </si>
  <si>
    <t>June</t>
  </si>
  <si>
    <t>July</t>
  </si>
  <si>
    <t>August</t>
  </si>
  <si>
    <t>Sept</t>
  </si>
  <si>
    <t>Oct</t>
  </si>
  <si>
    <t>Nov</t>
  </si>
  <si>
    <t>Dec</t>
  </si>
  <si>
    <t>Balance</t>
  </si>
  <si>
    <t xml:space="preserve"> Collection)</t>
  </si>
  <si>
    <t>2025</t>
  </si>
  <si>
    <t>SS 2024-2025</t>
  </si>
  <si>
    <t>I.</t>
  </si>
  <si>
    <t>Personnel Services (PS)</t>
  </si>
  <si>
    <t>Honoraria - Overload</t>
  </si>
  <si>
    <t>Laboratory</t>
  </si>
  <si>
    <t>Honoraria - Part-time</t>
  </si>
  <si>
    <t>Development Fee</t>
  </si>
  <si>
    <t>Computer Fee</t>
  </si>
  <si>
    <t>NSTP</t>
  </si>
  <si>
    <t>Athletic</t>
  </si>
  <si>
    <t>Cultural</t>
  </si>
  <si>
    <t>Computer/ Internet</t>
  </si>
  <si>
    <t>Dev Fee</t>
  </si>
  <si>
    <t>Grad School</t>
  </si>
  <si>
    <t>SLD</t>
  </si>
  <si>
    <t>Senior High</t>
  </si>
  <si>
    <t>School Organ Fee</t>
  </si>
  <si>
    <t>Guidance</t>
  </si>
  <si>
    <t>Compre Exam</t>
  </si>
  <si>
    <t>GS/Defense fee</t>
  </si>
  <si>
    <t>Petition</t>
  </si>
  <si>
    <t>OJT/Practicum</t>
  </si>
  <si>
    <t>II.</t>
  </si>
  <si>
    <t>Maintenance and Other</t>
  </si>
  <si>
    <t>Operating Expenses</t>
  </si>
  <si>
    <t>(MOOE)</t>
  </si>
  <si>
    <t>Traveling Expenses</t>
  </si>
  <si>
    <t>SCUAA</t>
  </si>
  <si>
    <t>Comp Fee</t>
  </si>
  <si>
    <t>Sec Lab Schl</t>
  </si>
  <si>
    <t>SAF</t>
  </si>
  <si>
    <t>SCF</t>
  </si>
  <si>
    <t>SCF -SLD</t>
  </si>
  <si>
    <t>SOF</t>
  </si>
  <si>
    <t>Library</t>
  </si>
  <si>
    <t>Medical</t>
  </si>
  <si>
    <t>Dental</t>
  </si>
  <si>
    <t>OJT fee</t>
  </si>
  <si>
    <t>.</t>
  </si>
  <si>
    <t>EVSU ORMOC  CAMPUS</t>
  </si>
  <si>
    <t>SS 2023-2024</t>
  </si>
  <si>
    <t>Cultural Fee</t>
  </si>
  <si>
    <t>Grad Schl</t>
  </si>
  <si>
    <t>Journal Fee</t>
  </si>
  <si>
    <t>Office Supplies</t>
  </si>
  <si>
    <t>Comp Fee/Int</t>
  </si>
  <si>
    <t>Cultural Fees</t>
  </si>
  <si>
    <t>SCF-SLD</t>
  </si>
  <si>
    <t>School ID</t>
  </si>
  <si>
    <t>Handbook</t>
  </si>
  <si>
    <t>OJT Fee</t>
  </si>
  <si>
    <t>Textbooks and Intructional Materials</t>
  </si>
  <si>
    <t>Laboratory Supplies Expenses</t>
  </si>
  <si>
    <t>Lab</t>
  </si>
  <si>
    <t>INTERNALLY GENERATED FUNDS (IGF)</t>
  </si>
  <si>
    <t>Page 3 of 7</t>
  </si>
  <si>
    <t>Aug</t>
  </si>
  <si>
    <t>Medical, Dental Laboratory Exp</t>
  </si>
  <si>
    <t>Drugs and Medicines Exp</t>
  </si>
  <si>
    <t>Other Supplies Expenses</t>
  </si>
  <si>
    <t>Comp Fee/Internet</t>
  </si>
  <si>
    <t>Internet</t>
  </si>
  <si>
    <t>ID Fee</t>
  </si>
  <si>
    <t>Grad Fee</t>
  </si>
  <si>
    <t>Cable, Satellite, Tel and Radio Exp</t>
  </si>
  <si>
    <t>Computer/Int</t>
  </si>
  <si>
    <t>Page 5 of 7</t>
  </si>
  <si>
    <t>Telephone - Mobile</t>
  </si>
  <si>
    <t>Athletics</t>
  </si>
  <si>
    <t>Comp Fees</t>
  </si>
  <si>
    <t>Dev Fees</t>
  </si>
  <si>
    <t xml:space="preserve">Medical </t>
  </si>
  <si>
    <t>Internet Subscription</t>
  </si>
  <si>
    <t>Internet Fee</t>
  </si>
  <si>
    <t xml:space="preserve">Electricity </t>
  </si>
  <si>
    <t>Medical Dental</t>
  </si>
  <si>
    <t>Fuel Oil and Lubricants</t>
  </si>
  <si>
    <t>Rep and Maint-School Building</t>
  </si>
  <si>
    <t>Rep and Maint-Other Mach &amp; Equip</t>
  </si>
  <si>
    <t>Rep and Maint-ICT Equipment</t>
  </si>
  <si>
    <t>Rep and Maint- Water System</t>
  </si>
  <si>
    <t>Rep and Maint - Other Land Improvements</t>
  </si>
  <si>
    <t>Rep and Maint- Power Supply system</t>
  </si>
  <si>
    <t>Rep and Maint- Office Equipment</t>
  </si>
  <si>
    <t>Rep and Main- Motor Vehicles</t>
  </si>
  <si>
    <t>Rep and Maint Other Structures</t>
  </si>
  <si>
    <t>Rep and Maint-Medical Equipment</t>
  </si>
  <si>
    <t xml:space="preserve">Insurance </t>
  </si>
  <si>
    <t xml:space="preserve">Laboratory </t>
  </si>
  <si>
    <t>Membership Dues to Org</t>
  </si>
  <si>
    <t>Athletic/SCUAA</t>
  </si>
  <si>
    <t>Subscription Exp</t>
  </si>
  <si>
    <t>Comp Fees/Internet</t>
  </si>
  <si>
    <t>Journal</t>
  </si>
  <si>
    <t>Handbook Fee</t>
  </si>
  <si>
    <t>Other MOOE</t>
  </si>
  <si>
    <t>GS</t>
  </si>
  <si>
    <t>ID FEE</t>
  </si>
  <si>
    <t>Yearbook</t>
  </si>
  <si>
    <t>Total MOOE</t>
  </si>
  <si>
    <t>Page 6 of 7</t>
  </si>
  <si>
    <t xml:space="preserve">July </t>
  </si>
  <si>
    <t>III.</t>
  </si>
  <si>
    <t>CAPITAL OUTLAY (CO)</t>
  </si>
  <si>
    <r>
      <t xml:space="preserve">Buildings &amp; </t>
    </r>
    <r>
      <rPr>
        <u/>
        <sz val="11"/>
        <rFont val="Arial"/>
        <family val="2"/>
      </rPr>
      <t>Other Structures</t>
    </r>
  </si>
  <si>
    <t>Power Supply</t>
  </si>
  <si>
    <t>ICT Equipment</t>
  </si>
  <si>
    <t>Page 7 of 7</t>
  </si>
  <si>
    <t>Technical and Scientific Eqpt</t>
  </si>
  <si>
    <t>Furniture and Fixtures</t>
  </si>
  <si>
    <t xml:space="preserve">Cultural </t>
  </si>
  <si>
    <t>Other Property</t>
  </si>
  <si>
    <t>Other Property, Plant &amp; Equipment</t>
  </si>
  <si>
    <t>Total CO</t>
  </si>
  <si>
    <t>Non-Fiduciary</t>
  </si>
  <si>
    <t>Programs</t>
  </si>
  <si>
    <t>FHE March 13,2025</t>
  </si>
  <si>
    <t>Mar</t>
  </si>
  <si>
    <t>Sep</t>
  </si>
  <si>
    <t>I.  Personnel Services (PS)</t>
  </si>
  <si>
    <t>Fac &amp; Staff Dev</t>
  </si>
  <si>
    <t>Curr Devt</t>
  </si>
  <si>
    <t>Student Dev</t>
  </si>
  <si>
    <t>Research</t>
  </si>
  <si>
    <t>Extension</t>
  </si>
  <si>
    <t>Admin</t>
  </si>
  <si>
    <t>II. Maintenance and Other Operating</t>
  </si>
  <si>
    <t xml:space="preserve">    Expenses (MOOE)</t>
  </si>
  <si>
    <t>Production</t>
  </si>
  <si>
    <t>Student Devt</t>
  </si>
  <si>
    <t>Curr. Dev.</t>
  </si>
  <si>
    <t>Fuel, Oil and Lubricants Expenses</t>
  </si>
  <si>
    <t>Facilities Dev</t>
  </si>
  <si>
    <t>Other Supplies and Materials</t>
  </si>
  <si>
    <t>Postage and Courier Services</t>
  </si>
  <si>
    <t>Cable, Sattelite Radio, Telegraph</t>
  </si>
  <si>
    <t>Jul</t>
  </si>
  <si>
    <t>Insurance Expense</t>
  </si>
  <si>
    <t>Fac and Staff Dev</t>
  </si>
  <si>
    <t>Repairs and Maintenance - Printing Equipment</t>
  </si>
  <si>
    <t>Repairs and Maintenance - SB</t>
  </si>
  <si>
    <t>Repairs &amp; Main. - Bldgs &amp; Other Structures</t>
  </si>
  <si>
    <t>Repairs and Maintenance - Office Equipment</t>
  </si>
  <si>
    <t>Repairs and Maintenance - Other Machinery</t>
  </si>
  <si>
    <t>Repairs and Maintenance-MV</t>
  </si>
  <si>
    <t>Repairs and Maintenance-ICT</t>
  </si>
  <si>
    <t>Textbooks &amp; Instructional Materials</t>
  </si>
  <si>
    <t>Accountabel Forms</t>
  </si>
  <si>
    <t>Taxes, Duties and Licenses</t>
  </si>
  <si>
    <t xml:space="preserve">Fuel Oil &amp; Lubricants </t>
  </si>
  <si>
    <t>Membership Dues</t>
  </si>
  <si>
    <t>Fedility Bond Prem.</t>
  </si>
  <si>
    <t>Faculty &amp; Staff Dev.</t>
  </si>
  <si>
    <t>Curr. Dev</t>
  </si>
  <si>
    <t>Mandatory Reserve</t>
  </si>
  <si>
    <t>III.  Capital Outlay (CO)</t>
  </si>
  <si>
    <t>Building</t>
  </si>
  <si>
    <t>Facilities</t>
  </si>
  <si>
    <t>Stud Dev't</t>
  </si>
  <si>
    <t>ICT Software</t>
  </si>
  <si>
    <t>Furnitures and Fixtures</t>
  </si>
  <si>
    <t>TOTAL. Fiduciary &amp; Non-Fiduciary</t>
  </si>
  <si>
    <t>Unalloted amount</t>
  </si>
  <si>
    <t>Grand Total</t>
  </si>
  <si>
    <t xml:space="preserve">Internally Generated Funds (IGF) </t>
  </si>
  <si>
    <t>CY 2024 Detailed Balances</t>
  </si>
  <si>
    <t>EVSU Main Campus</t>
  </si>
  <si>
    <t>Page 1 of 20</t>
  </si>
  <si>
    <t>Beginning</t>
  </si>
  <si>
    <t>BOR Res</t>
  </si>
  <si>
    <t>GAS</t>
  </si>
  <si>
    <t>MAF</t>
  </si>
  <si>
    <t>Actual</t>
  </si>
  <si>
    <t>Ending</t>
  </si>
  <si>
    <t xml:space="preserve">Balance </t>
  </si>
  <si>
    <t>(Actual Collection)</t>
  </si>
  <si>
    <t>INSERT</t>
  </si>
  <si>
    <t>Utilizations</t>
  </si>
  <si>
    <t>as of</t>
  </si>
  <si>
    <t>ADJUSTMENT</t>
  </si>
  <si>
    <t>01/01/2025</t>
  </si>
  <si>
    <t>(As of January 2025)</t>
  </si>
  <si>
    <t>HERE</t>
  </si>
  <si>
    <t>December 31, 2025</t>
  </si>
  <si>
    <t>(1)</t>
  </si>
  <si>
    <t>(2)</t>
  </si>
  <si>
    <t>(3)</t>
  </si>
  <si>
    <t>(4.a)</t>
  </si>
  <si>
    <t>(4.b)</t>
  </si>
  <si>
    <t>(5)</t>
  </si>
  <si>
    <t>(4.c)</t>
  </si>
  <si>
    <t>(6)</t>
  </si>
  <si>
    <t>(4.d)</t>
  </si>
  <si>
    <t>(4.e)</t>
  </si>
  <si>
    <t>(4.f)</t>
  </si>
  <si>
    <t>(7)=(2)+(3)+(4)+(5)+(6)</t>
  </si>
  <si>
    <t>(8)</t>
  </si>
  <si>
    <t>(9)=(7)-(8)</t>
  </si>
  <si>
    <t>5-01-02-100-01</t>
  </si>
  <si>
    <t>Fac &amp; Staff Dev/Curri Dev</t>
  </si>
  <si>
    <t>Adv Educ</t>
  </si>
  <si>
    <t>Student Dev Fee ( NF)</t>
  </si>
  <si>
    <t>Laboratory Fee</t>
  </si>
  <si>
    <t>GS Defense Fee</t>
  </si>
  <si>
    <t>Guidance Fee</t>
  </si>
  <si>
    <t>Medical Fee</t>
  </si>
  <si>
    <t>NSTP Fee</t>
  </si>
  <si>
    <t>Petitioned Subject Fee</t>
  </si>
  <si>
    <t>Sub-Total</t>
  </si>
  <si>
    <t>FID</t>
  </si>
  <si>
    <t>NF</t>
  </si>
  <si>
    <t>Total, PS</t>
  </si>
  <si>
    <t>Maintenance and Other Operating Expenses (MOOE)</t>
  </si>
  <si>
    <t xml:space="preserve">Travelling Expenses - </t>
  </si>
  <si>
    <t>Local</t>
  </si>
  <si>
    <t>Student Development - NF</t>
  </si>
  <si>
    <t xml:space="preserve">Research </t>
  </si>
  <si>
    <t>Athletic Fee</t>
  </si>
  <si>
    <t>Dental Fee</t>
  </si>
  <si>
    <t>Graduation Fee</t>
  </si>
  <si>
    <t>Library Fee</t>
  </si>
  <si>
    <t>Student Activities Fee</t>
  </si>
  <si>
    <t>Student Council Fee</t>
  </si>
  <si>
    <t>Student Development Fee</t>
  </si>
  <si>
    <t>SDF-SLS</t>
  </si>
  <si>
    <t>Foreign</t>
  </si>
  <si>
    <t>SDF-Senior HS</t>
  </si>
  <si>
    <t>Student Development</t>
  </si>
  <si>
    <t>Student Dev ( NF)</t>
  </si>
  <si>
    <t>S.ID Fee</t>
  </si>
  <si>
    <t>Drugs and Medicines</t>
  </si>
  <si>
    <t>Laboratory Supp Exp</t>
  </si>
  <si>
    <t>GS Laboratory Fee</t>
  </si>
  <si>
    <t>2023-12-0081 dated December 13, 2023</t>
  </si>
  <si>
    <t>Fuel, Oil and Lubricants Exp</t>
  </si>
  <si>
    <t>Reseach</t>
  </si>
  <si>
    <t>Textbooks and Instructional Exp</t>
  </si>
  <si>
    <t>Other Suppl and Mat Exp</t>
  </si>
  <si>
    <t>Facilities Development</t>
  </si>
  <si>
    <t>Alumni</t>
  </si>
  <si>
    <t>HandBook</t>
  </si>
  <si>
    <t>Facilties Dev</t>
  </si>
  <si>
    <t>Postage and Courier Serv</t>
  </si>
  <si>
    <t>Telephone Exp-Mobile</t>
  </si>
  <si>
    <t>Student Devt - NF</t>
  </si>
  <si>
    <t>Athletic Fees</t>
  </si>
  <si>
    <t>Lab Fees</t>
  </si>
  <si>
    <t>Telephone Exp-Landline</t>
  </si>
  <si>
    <t>Internet Subscription Exp</t>
  </si>
  <si>
    <t>Cable Expenses</t>
  </si>
  <si>
    <t>Other Professional Fees</t>
  </si>
  <si>
    <t>Extension Program</t>
  </si>
  <si>
    <t>- 1 unit Digitl Temperature Control Heating Plate with Mag (Biobase Hotplate with Magnetic Stirrer MS-H280-Pro)</t>
  </si>
  <si>
    <t>R &amp; M - School Building</t>
  </si>
  <si>
    <t>Research Program</t>
  </si>
  <si>
    <t>R &amp; M - Other Structures</t>
  </si>
  <si>
    <t>Facilties Dev.</t>
  </si>
  <si>
    <t>R &amp; M - Machinery</t>
  </si>
  <si>
    <t>R &amp; M - Office Equipment</t>
  </si>
  <si>
    <t>R &amp; M - ICT Equipment</t>
  </si>
  <si>
    <t>R &amp; M - Medical Equipment</t>
  </si>
  <si>
    <t>5-02-13-050-11</t>
  </si>
  <si>
    <t>R &amp; M - Printing Equipment</t>
  </si>
  <si>
    <t>R &amp; M - Tech and Sci Eqpt</t>
  </si>
  <si>
    <t>R &amp; M - Other Mach and Eqpt</t>
  </si>
  <si>
    <t>R &amp; M - Motor Vehicle</t>
  </si>
  <si>
    <t>R &amp; M - Furniture &amp; Fix</t>
  </si>
  <si>
    <t>Insurance Fee</t>
  </si>
  <si>
    <t>Curri Devt/ FSD - HEd</t>
  </si>
  <si>
    <t>Printing and Pub Exp</t>
  </si>
  <si>
    <t>Journal Fee - Adv Educ</t>
  </si>
  <si>
    <t>SCUAA Fee</t>
  </si>
  <si>
    <t>Fidility Bond Prem</t>
  </si>
  <si>
    <t>5-02-99-990-99</t>
  </si>
  <si>
    <t>Mandatory</t>
  </si>
  <si>
    <t>OJT COT Build Up Fund</t>
  </si>
  <si>
    <t>Practicum Fee</t>
  </si>
  <si>
    <t>Total, MOOE</t>
  </si>
  <si>
    <t>Capital Outlay (CO)</t>
  </si>
  <si>
    <t>Other Land Improvements</t>
  </si>
  <si>
    <t>5-06-04-020-99</t>
  </si>
  <si>
    <t>Facilities Devt</t>
  </si>
  <si>
    <t>Student Devt Fee</t>
  </si>
  <si>
    <t>Curri Devt/ Fac &amp; Staff Dev</t>
  </si>
  <si>
    <t>5 02 03 020 00</t>
  </si>
  <si>
    <t>Communication Eqpt</t>
  </si>
  <si>
    <t>Disaster Response and Rescue Eqpt</t>
  </si>
  <si>
    <t>Tech and Sci Equipment</t>
  </si>
  <si>
    <t>Other Machinery &amp; Eqpt</t>
  </si>
  <si>
    <t>Student Organ Fee</t>
  </si>
  <si>
    <t>Other PPE</t>
  </si>
  <si>
    <t>Total, CO</t>
  </si>
  <si>
    <t>Prepared by:</t>
  </si>
  <si>
    <t>NON-FID</t>
  </si>
  <si>
    <t>HE</t>
  </si>
  <si>
    <t>Adv Ed</t>
  </si>
  <si>
    <t>TOTAL NON FID</t>
  </si>
  <si>
    <t>Alumni Fee</t>
  </si>
  <si>
    <t>COT Build-Up</t>
  </si>
  <si>
    <t>Petition Fee</t>
  </si>
  <si>
    <t>School ID Fee</t>
  </si>
  <si>
    <t>Student Council Fee - SLD</t>
  </si>
  <si>
    <t>SDF-Senior High School</t>
  </si>
  <si>
    <t>YearBook</t>
  </si>
  <si>
    <t>TOTAL FID (HEd)</t>
  </si>
  <si>
    <t>GS Comprehensive Exam Fee</t>
  </si>
  <si>
    <t>gs</t>
  </si>
  <si>
    <t>GS Student Devt Fee</t>
  </si>
  <si>
    <t>Journal Fee - GS</t>
  </si>
  <si>
    <t>TOTAL FID (Adv Ed)</t>
  </si>
  <si>
    <t>FID &amp; NON FID</t>
  </si>
  <si>
    <t>MFO 1 (HEd) Total</t>
  </si>
  <si>
    <t>MFO 2 (Adv Ed - GS) Total</t>
  </si>
  <si>
    <t>TOTAL</t>
  </si>
  <si>
    <t>Dev't Fee (F)</t>
  </si>
  <si>
    <t>Medical, Dental, Laboratory Exp</t>
  </si>
  <si>
    <t>Printing and Binding Expenses</t>
  </si>
  <si>
    <t>Devt Fee</t>
  </si>
  <si>
    <t xml:space="preserve">GS </t>
  </si>
  <si>
    <t xml:space="preserve">Admin </t>
  </si>
  <si>
    <t>Registrar Fee</t>
  </si>
  <si>
    <t>Student Dev't.</t>
  </si>
  <si>
    <t>Curriculum Dev't.</t>
  </si>
  <si>
    <t>Dev't. Fee</t>
  </si>
  <si>
    <t>Development</t>
  </si>
  <si>
    <t>Curriculum</t>
  </si>
  <si>
    <t xml:space="preserve">Curiculum </t>
  </si>
  <si>
    <t>Student Development NF</t>
  </si>
  <si>
    <t>R &amp; M - Other Land Improvements</t>
  </si>
  <si>
    <t xml:space="preserve">Facilities </t>
  </si>
  <si>
    <t>R &amp; M Water Supply Systems</t>
  </si>
  <si>
    <t>R &amp; M Power Supply Systems</t>
  </si>
  <si>
    <t>2024-095</t>
  </si>
  <si>
    <t>Dated 
July 8, 2024</t>
  </si>
  <si>
    <t>2025-002</t>
  </si>
  <si>
    <t>Dated
March 11, 2025</t>
  </si>
  <si>
    <t>001 Dated June 27, 2025</t>
  </si>
  <si>
    <t>BRF</t>
  </si>
  <si>
    <t>Registrar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</si>
</sst>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_(* #,##0.00_);_(* \(#,##0.00\);_(* &quot;-&quot;??_);_(@_)"/>
  </numFmts>
  <fonts count="60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i/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8"/>
      <name val="Arial"/>
      <family val="2"/>
    </font>
    <font>
      <b/>
      <i/>
      <sz val="11"/>
      <name val="Arial"/>
      <family val="2"/>
    </font>
    <font>
      <u/>
      <sz val="11"/>
      <name val="Arial"/>
      <family val="2"/>
    </font>
    <font>
      <i/>
      <sz val="11"/>
      <name val="Arial"/>
      <family val="2"/>
    </font>
    <font>
      <sz val="11"/>
      <color rgb="FFFF0000"/>
      <name val="Arial"/>
      <family val="2"/>
    </font>
    <font>
      <sz val="10"/>
      <color indexed="9"/>
      <name val="Arial"/>
      <family val="2"/>
    </font>
    <font>
      <b/>
      <i/>
      <sz val="10"/>
      <color rgb="FFFF0000"/>
      <name val="Arial"/>
      <family val="2"/>
    </font>
    <font>
      <sz val="11"/>
      <color theme="1"/>
      <name val="Arial Narrow"/>
      <family val="2"/>
    </font>
    <font>
      <i/>
      <sz val="10"/>
      <color theme="1"/>
      <name val="Arial Narrow"/>
      <family val="2"/>
    </font>
    <font>
      <b/>
      <sz val="11"/>
      <color rgb="FFFF0000"/>
      <name val="Arial Narrow"/>
      <family val="2"/>
    </font>
    <font>
      <b/>
      <sz val="11"/>
      <color theme="1"/>
      <name val="Arial Narrow"/>
      <family val="2"/>
    </font>
    <font>
      <sz val="11"/>
      <color rgb="FFFF0000"/>
      <name val="Arial Narrow"/>
      <family val="2"/>
    </font>
    <font>
      <i/>
      <sz val="11"/>
      <color rgb="FFFF0000"/>
      <name val="Arial Narrow"/>
      <family val="2"/>
    </font>
    <font>
      <i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sz val="11"/>
      <color theme="4" tint="-0.249977111117893"/>
      <name val="Arial Narrow"/>
      <family val="2"/>
    </font>
    <font>
      <i/>
      <sz val="10"/>
      <color rgb="FFFF0000"/>
      <name val="Arial Narrow"/>
      <family val="2"/>
    </font>
    <font>
      <sz val="11"/>
      <color theme="0"/>
      <name val="Arial Narrow"/>
      <family val="2"/>
    </font>
    <font>
      <sz val="11"/>
      <name val="Arial Narrow"/>
      <family val="2"/>
    </font>
    <font>
      <b/>
      <i/>
      <sz val="11"/>
      <color rgb="FFFF0000"/>
      <name val="Arial Narrow"/>
      <family val="2"/>
    </font>
    <font>
      <u val="singleAccounting"/>
      <sz val="11"/>
      <color theme="1"/>
      <name val="Arial Narrow"/>
      <family val="2"/>
    </font>
    <font>
      <b/>
      <i/>
      <u val="singleAccounting"/>
      <sz val="11"/>
      <color theme="1"/>
      <name val="Arial Narrow"/>
      <family val="2"/>
    </font>
    <font>
      <b/>
      <u val="singleAccounting"/>
      <sz val="11"/>
      <color theme="1"/>
      <name val="Arial Narrow"/>
      <family val="2"/>
    </font>
    <font>
      <i/>
      <u val="singleAccounting"/>
      <sz val="10"/>
      <color rgb="FFFF0000"/>
      <name val="Arial Narrow"/>
      <family val="2"/>
    </font>
    <font>
      <sz val="9"/>
      <color indexed="81"/>
      <name val="Tahoma"/>
      <family val="2"/>
    </font>
    <font>
      <b/>
      <sz val="11"/>
      <color theme="3"/>
      <name val="Arial"/>
      <family val="2"/>
    </font>
    <font>
      <b/>
      <sz val="10"/>
      <color theme="3"/>
      <name val="Arial"/>
      <family val="2"/>
    </font>
    <font>
      <sz val="9"/>
      <color rgb="FFFF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EDD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7FFFF"/>
        <bgColor indexed="64"/>
      </patternFill>
    </fill>
  </fills>
  <borders count="19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 style="thin">
        <color indexed="64"/>
      </top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indexed="64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double">
        <color auto="1"/>
      </right>
      <top/>
      <bottom style="double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theme="0" tint="-0.24994659260841701"/>
      </bottom>
      <diagonal/>
    </border>
    <border>
      <left style="medium">
        <color auto="1"/>
      </left>
      <right style="medium">
        <color auto="1"/>
      </right>
      <top/>
      <bottom style="thin">
        <color theme="0" tint="-0.24994659260841701"/>
      </bottom>
      <diagonal/>
    </border>
    <border>
      <left/>
      <right style="medium">
        <color auto="1"/>
      </right>
      <top/>
      <bottom style="thin">
        <color theme="0" tint="-0.2499465926084170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theme="0" tint="-0.24994659260841701"/>
      </bottom>
      <diagonal/>
    </border>
    <border>
      <left/>
      <right/>
      <top style="hair">
        <color indexed="64"/>
      </top>
      <bottom style="thin">
        <color theme="0" tint="-0.24994659260841701"/>
      </bottom>
      <diagonal/>
    </border>
    <border>
      <left/>
      <right style="medium">
        <color auto="1"/>
      </right>
      <top style="hair">
        <color auto="1"/>
      </top>
      <bottom style="thin">
        <color theme="0" tint="-0.2499465926084170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hair">
        <color indexed="64"/>
      </top>
      <bottom style="hair">
        <color indexed="64"/>
      </bottom>
      <diagonal/>
    </border>
    <border>
      <left style="medium">
        <color rgb="FF000000"/>
      </left>
      <right style="medium">
        <color rgb="FF000000"/>
      </right>
      <top style="hair">
        <color indexed="64"/>
      </top>
      <bottom style="thin">
        <color theme="0" tint="-0.2499465926084170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theme="0" tint="-0.24994659260841701"/>
      </bottom>
      <diagonal/>
    </border>
    <border>
      <left style="medium">
        <color auto="1"/>
      </left>
      <right/>
      <top style="thin">
        <color theme="0" tint="-0.24994659260841701"/>
      </top>
      <bottom style="hair">
        <color auto="1"/>
      </bottom>
      <diagonal/>
    </border>
    <border>
      <left style="medium">
        <color rgb="FF000000"/>
      </left>
      <right style="medium">
        <color rgb="FF000000"/>
      </right>
      <top style="thin">
        <color theme="0" tint="-0.24994659260841701"/>
      </top>
      <bottom style="hair">
        <color auto="1"/>
      </bottom>
      <diagonal/>
    </border>
    <border>
      <left/>
      <right/>
      <top style="thin">
        <color theme="0" tint="-0.2499465926084170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theme="0" tint="-0.24994659260841701"/>
      </top>
      <bottom style="hair">
        <color auto="1"/>
      </bottom>
      <diagonal/>
    </border>
    <border>
      <left/>
      <right style="medium">
        <color auto="1"/>
      </right>
      <top style="thin">
        <color theme="0" tint="-0.24994659260841701"/>
      </top>
      <bottom style="hair">
        <color auto="1"/>
      </bottom>
      <diagonal/>
    </border>
    <border>
      <left style="medium">
        <color rgb="FF000000"/>
      </left>
      <right style="medium">
        <color rgb="FF000000"/>
      </right>
      <top style="hair">
        <color indexed="64"/>
      </top>
      <bottom style="medium">
        <color rgb="FF000000"/>
      </bottom>
      <diagonal/>
    </border>
    <border>
      <left style="medium">
        <color auto="1"/>
      </left>
      <right/>
      <top/>
      <bottom style="thin">
        <color rgb="FFD7D7D7"/>
      </bottom>
      <diagonal/>
    </border>
    <border>
      <left/>
      <right/>
      <top/>
      <bottom style="thin">
        <color rgb="FFD7D7D7"/>
      </bottom>
      <diagonal/>
    </border>
    <border>
      <left style="medium">
        <color rgb="FF000000"/>
      </left>
      <right/>
      <top/>
      <bottom style="thin">
        <color rgb="FFD7D7D7"/>
      </bottom>
      <diagonal/>
    </border>
    <border>
      <left style="medium">
        <color rgb="FF000000"/>
      </left>
      <right/>
      <top/>
      <bottom style="hair">
        <color auto="1"/>
      </bottom>
      <diagonal/>
    </border>
    <border>
      <left style="medium">
        <color rgb="FF000000"/>
      </left>
      <right/>
      <top style="hair">
        <color auto="1"/>
      </top>
      <bottom style="hair">
        <color auto="1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hair">
        <color auto="1"/>
      </top>
      <bottom style="thin">
        <color theme="0" tint="-0.2499465926084170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auto="1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double">
        <color auto="1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auto="1"/>
      </top>
      <bottom style="thin">
        <color rgb="FFD7D7D7"/>
      </bottom>
      <diagonal/>
    </border>
    <border>
      <left/>
      <right style="medium">
        <color indexed="64"/>
      </right>
      <top/>
      <bottom style="thin">
        <color rgb="FFD7D7D7"/>
      </bottom>
      <diagonal/>
    </border>
    <border>
      <left/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indexed="64"/>
      </left>
      <right/>
      <top/>
      <bottom/>
      <diagonal/>
    </border>
  </borders>
  <cellStyleXfs count="4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6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  <xf numFmtId="164" fontId="20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44" fontId="29" fillId="0" borderId="0" applyFont="0" applyFill="0" applyBorder="0" applyAlignment="0" applyProtection="0"/>
  </cellStyleXfs>
  <cellXfs count="1375">
    <xf numFmtId="0" fontId="0" fillId="0" borderId="0" xfId="0"/>
    <xf numFmtId="0" fontId="6" fillId="0" borderId="0" xfId="0" applyFont="1"/>
    <xf numFmtId="0" fontId="19" fillId="0" borderId="0" xfId="0" applyFont="1"/>
    <xf numFmtId="0" fontId="6" fillId="0" borderId="0" xfId="0" applyFont="1" applyAlignment="1">
      <alignment horizontal="left"/>
    </xf>
    <xf numFmtId="0" fontId="21" fillId="0" borderId="0" xfId="0" applyFont="1"/>
    <xf numFmtId="0" fontId="2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6" fillId="0" borderId="0" xfId="0" applyFont="1"/>
    <xf numFmtId="0" fontId="27" fillId="0" borderId="0" xfId="0" applyFont="1"/>
    <xf numFmtId="164" fontId="27" fillId="0" borderId="0" xfId="43" applyFont="1"/>
    <xf numFmtId="0" fontId="27" fillId="0" borderId="0" xfId="0" applyFont="1" applyAlignment="1">
      <alignment shrinkToFit="1"/>
    </xf>
    <xf numFmtId="0" fontId="21" fillId="0" borderId="0" xfId="0" applyFont="1" applyAlignment="1">
      <alignment horizontal="left"/>
    </xf>
    <xf numFmtId="0" fontId="27" fillId="0" borderId="0" xfId="0" applyFont="1" applyAlignment="1">
      <alignment horizontal="right"/>
    </xf>
    <xf numFmtId="0" fontId="27" fillId="0" borderId="36" xfId="0" applyFont="1" applyBorder="1"/>
    <xf numFmtId="0" fontId="27" fillId="0" borderId="19" xfId="0" applyFont="1" applyBorder="1"/>
    <xf numFmtId="0" fontId="27" fillId="0" borderId="14" xfId="0" applyFont="1" applyBorder="1"/>
    <xf numFmtId="0" fontId="27" fillId="0" borderId="14" xfId="0" applyFont="1" applyBorder="1" applyAlignment="1">
      <alignment horizontal="center"/>
    </xf>
    <xf numFmtId="0" fontId="27" fillId="0" borderId="21" xfId="0" applyFont="1" applyBorder="1"/>
    <xf numFmtId="0" fontId="21" fillId="0" borderId="22" xfId="0" applyFont="1" applyBorder="1"/>
    <xf numFmtId="0" fontId="27" fillId="0" borderId="12" xfId="0" applyFont="1" applyBorder="1"/>
    <xf numFmtId="0" fontId="27" fillId="0" borderId="12" xfId="0" applyFont="1" applyBorder="1" applyAlignment="1">
      <alignment horizontal="center"/>
    </xf>
    <xf numFmtId="0" fontId="27" fillId="0" borderId="17" xfId="0" applyFont="1" applyBorder="1"/>
    <xf numFmtId="0" fontId="27" fillId="0" borderId="33" xfId="0" applyFont="1" applyBorder="1" applyAlignment="1">
      <alignment horizontal="center"/>
    </xf>
    <xf numFmtId="164" fontId="27" fillId="0" borderId="13" xfId="43" applyFont="1" applyFill="1" applyBorder="1" applyAlignment="1">
      <alignment horizontal="center"/>
    </xf>
    <xf numFmtId="0" fontId="27" fillId="0" borderId="12" xfId="0" applyFont="1" applyBorder="1" applyAlignment="1">
      <alignment horizontal="center" shrinkToFit="1"/>
    </xf>
    <xf numFmtId="164" fontId="27" fillId="0" borderId="12" xfId="43" applyFont="1" applyFill="1" applyBorder="1" applyAlignment="1">
      <alignment horizontal="center"/>
    </xf>
    <xf numFmtId="0" fontId="27" fillId="0" borderId="13" xfId="0" applyFont="1" applyBorder="1" applyAlignment="1">
      <alignment horizontal="center"/>
    </xf>
    <xf numFmtId="0" fontId="30" fillId="0" borderId="12" xfId="0" applyFont="1" applyBorder="1" applyAlignment="1">
      <alignment horizontal="center"/>
    </xf>
    <xf numFmtId="0" fontId="27" fillId="0" borderId="39" xfId="0" applyFont="1" applyBorder="1"/>
    <xf numFmtId="0" fontId="27" fillId="0" borderId="17" xfId="0" applyFont="1" applyBorder="1" applyAlignment="1">
      <alignment horizontal="center"/>
    </xf>
    <xf numFmtId="0" fontId="27" fillId="0" borderId="22" xfId="0" applyFont="1" applyBorder="1"/>
    <xf numFmtId="17" fontId="27" fillId="0" borderId="33" xfId="0" applyNumberFormat="1" applyFont="1" applyBorder="1" applyAlignment="1">
      <alignment horizontal="center"/>
    </xf>
    <xf numFmtId="164" fontId="6" fillId="24" borderId="12" xfId="43" applyFont="1" applyFill="1" applyBorder="1" applyAlignment="1">
      <alignment horizontal="center" shrinkToFit="1"/>
    </xf>
    <xf numFmtId="164" fontId="6" fillId="24" borderId="12" xfId="43" applyFont="1" applyFill="1" applyBorder="1" applyAlignment="1">
      <alignment horizontal="center"/>
    </xf>
    <xf numFmtId="0" fontId="31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27" fillId="0" borderId="24" xfId="0" applyFont="1" applyBorder="1"/>
    <xf numFmtId="0" fontId="27" fillId="0" borderId="28" xfId="0" applyFont="1" applyBorder="1"/>
    <xf numFmtId="0" fontId="27" fillId="0" borderId="30" xfId="0" applyFont="1" applyBorder="1"/>
    <xf numFmtId="164" fontId="27" fillId="0" borderId="30" xfId="43" applyFont="1" applyBorder="1" applyAlignment="1">
      <alignment horizontal="center" shrinkToFit="1"/>
    </xf>
    <xf numFmtId="164" fontId="27" fillId="0" borderId="30" xfId="43" applyFont="1" applyBorder="1"/>
    <xf numFmtId="164" fontId="32" fillId="24" borderId="30" xfId="43" applyFont="1" applyFill="1" applyBorder="1"/>
    <xf numFmtId="164" fontId="27" fillId="0" borderId="29" xfId="43" quotePrefix="1" applyFont="1" applyBorder="1" applyAlignment="1">
      <alignment horizontal="center"/>
    </xf>
    <xf numFmtId="0" fontId="27" fillId="0" borderId="30" xfId="0" applyFont="1" applyBorder="1" applyAlignment="1">
      <alignment shrinkToFit="1"/>
    </xf>
    <xf numFmtId="164" fontId="24" fillId="24" borderId="30" xfId="43" applyFont="1" applyFill="1" applyBorder="1" applyAlignment="1">
      <alignment horizontal="center"/>
    </xf>
    <xf numFmtId="0" fontId="25" fillId="24" borderId="30" xfId="0" applyFont="1" applyFill="1" applyBorder="1" applyAlignment="1">
      <alignment shrinkToFit="1"/>
    </xf>
    <xf numFmtId="0" fontId="6" fillId="24" borderId="30" xfId="0" applyFont="1" applyFill="1" applyBorder="1"/>
    <xf numFmtId="0" fontId="31" fillId="0" borderId="30" xfId="0" applyFont="1" applyBorder="1" applyAlignment="1">
      <alignment horizontal="center"/>
    </xf>
    <xf numFmtId="0" fontId="30" fillId="0" borderId="30" xfId="0" applyFont="1" applyBorder="1"/>
    <xf numFmtId="0" fontId="32" fillId="24" borderId="30" xfId="0" applyFont="1" applyFill="1" applyBorder="1"/>
    <xf numFmtId="0" fontId="27" fillId="0" borderId="31" xfId="0" applyFont="1" applyBorder="1"/>
    <xf numFmtId="164" fontId="27" fillId="0" borderId="0" xfId="0" applyNumberFormat="1" applyFont="1"/>
    <xf numFmtId="164" fontId="27" fillId="0" borderId="12" xfId="43" applyFont="1" applyBorder="1" applyAlignment="1">
      <alignment horizontal="center" shrinkToFit="1"/>
    </xf>
    <xf numFmtId="164" fontId="27" fillId="0" borderId="12" xfId="43" applyFont="1" applyBorder="1"/>
    <xf numFmtId="164" fontId="27" fillId="0" borderId="33" xfId="43" quotePrefix="1" applyFont="1" applyBorder="1" applyAlignment="1">
      <alignment horizontal="center"/>
    </xf>
    <xf numFmtId="0" fontId="27" fillId="0" borderId="12" xfId="0" applyFont="1" applyBorder="1" applyAlignment="1">
      <alignment shrinkToFit="1"/>
    </xf>
    <xf numFmtId="0" fontId="25" fillId="24" borderId="40" xfId="0" applyFont="1" applyFill="1" applyBorder="1"/>
    <xf numFmtId="164" fontId="27" fillId="24" borderId="40" xfId="43" applyFont="1" applyFill="1" applyBorder="1" applyAlignment="1">
      <alignment horizontal="center" shrinkToFit="1"/>
    </xf>
    <xf numFmtId="164" fontId="27" fillId="24" borderId="40" xfId="43" applyFont="1" applyFill="1" applyBorder="1"/>
    <xf numFmtId="0" fontId="25" fillId="0" borderId="12" xfId="0" applyFont="1" applyBorder="1"/>
    <xf numFmtId="0" fontId="27" fillId="24" borderId="41" xfId="0" applyFont="1" applyFill="1" applyBorder="1"/>
    <xf numFmtId="0" fontId="27" fillId="24" borderId="42" xfId="0" applyFont="1" applyFill="1" applyBorder="1"/>
    <xf numFmtId="164" fontId="27" fillId="24" borderId="40" xfId="43" applyFont="1" applyFill="1" applyBorder="1" applyAlignment="1">
      <alignment shrinkToFit="1"/>
    </xf>
    <xf numFmtId="164" fontId="27" fillId="24" borderId="42" xfId="43" applyFont="1" applyFill="1" applyBorder="1"/>
    <xf numFmtId="0" fontId="27" fillId="24" borderId="0" xfId="0" applyFont="1" applyFill="1"/>
    <xf numFmtId="164" fontId="27" fillId="24" borderId="0" xfId="43" applyFont="1" applyFill="1"/>
    <xf numFmtId="164" fontId="27" fillId="24" borderId="44" xfId="43" applyFont="1" applyFill="1" applyBorder="1"/>
    <xf numFmtId="0" fontId="27" fillId="24" borderId="40" xfId="0" applyFont="1" applyFill="1" applyBorder="1"/>
    <xf numFmtId="0" fontId="32" fillId="24" borderId="40" xfId="0" applyFont="1" applyFill="1" applyBorder="1"/>
    <xf numFmtId="164" fontId="27" fillId="24" borderId="44" xfId="43" quotePrefix="1" applyFont="1" applyFill="1" applyBorder="1" applyAlignment="1">
      <alignment horizontal="center"/>
    </xf>
    <xf numFmtId="0" fontId="27" fillId="0" borderId="41" xfId="0" applyFont="1" applyBorder="1"/>
    <xf numFmtId="0" fontId="27" fillId="0" borderId="42" xfId="0" applyFont="1" applyBorder="1"/>
    <xf numFmtId="0" fontId="32" fillId="0" borderId="40" xfId="0" applyFont="1" applyBorder="1"/>
    <xf numFmtId="164" fontId="27" fillId="0" borderId="40" xfId="43" applyFont="1" applyFill="1" applyBorder="1" applyAlignment="1">
      <alignment horizontal="center" shrinkToFit="1"/>
    </xf>
    <xf numFmtId="164" fontId="27" fillId="0" borderId="40" xfId="43" applyFont="1" applyBorder="1"/>
    <xf numFmtId="164" fontId="27" fillId="0" borderId="44" xfId="43" quotePrefix="1" applyFont="1" applyBorder="1" applyAlignment="1">
      <alignment horizontal="center"/>
    </xf>
    <xf numFmtId="164" fontId="27" fillId="0" borderId="40" xfId="43" applyFont="1" applyBorder="1" applyAlignment="1">
      <alignment shrinkToFit="1"/>
    </xf>
    <xf numFmtId="164" fontId="27" fillId="0" borderId="42" xfId="43" applyFont="1" applyBorder="1"/>
    <xf numFmtId="0" fontId="25" fillId="0" borderId="40" xfId="0" applyFont="1" applyBorder="1"/>
    <xf numFmtId="164" fontId="27" fillId="0" borderId="40" xfId="43" applyFont="1" applyBorder="1" applyAlignment="1">
      <alignment horizontal="center" shrinkToFit="1"/>
    </xf>
    <xf numFmtId="43" fontId="27" fillId="0" borderId="0" xfId="0" applyNumberFormat="1" applyFont="1"/>
    <xf numFmtId="164" fontId="27" fillId="0" borderId="12" xfId="43" applyFont="1" applyBorder="1" applyAlignment="1">
      <alignment shrinkToFit="1"/>
    </xf>
    <xf numFmtId="164" fontId="27" fillId="0" borderId="0" xfId="43" applyFont="1" applyBorder="1"/>
    <xf numFmtId="164" fontId="33" fillId="25" borderId="12" xfId="43" applyFont="1" applyFill="1" applyBorder="1" applyAlignment="1">
      <alignment horizontal="center" shrinkToFit="1"/>
    </xf>
    <xf numFmtId="0" fontId="21" fillId="0" borderId="45" xfId="0" applyFont="1" applyBorder="1"/>
    <xf numFmtId="0" fontId="21" fillId="0" borderId="46" xfId="0" applyFont="1" applyBorder="1"/>
    <xf numFmtId="0" fontId="21" fillId="0" borderId="47" xfId="0" applyFont="1" applyBorder="1"/>
    <xf numFmtId="0" fontId="27" fillId="0" borderId="48" xfId="0" applyFont="1" applyBorder="1" applyAlignment="1">
      <alignment horizontal="center"/>
    </xf>
    <xf numFmtId="0" fontId="27" fillId="0" borderId="49" xfId="0" applyFont="1" applyBorder="1"/>
    <xf numFmtId="0" fontId="21" fillId="0" borderId="33" xfId="0" applyFont="1" applyBorder="1"/>
    <xf numFmtId="164" fontId="27" fillId="0" borderId="33" xfId="43" applyFont="1" applyBorder="1"/>
    <xf numFmtId="0" fontId="27" fillId="0" borderId="33" xfId="0" applyFont="1" applyBorder="1"/>
    <xf numFmtId="0" fontId="27" fillId="24" borderId="44" xfId="0" applyFont="1" applyFill="1" applyBorder="1"/>
    <xf numFmtId="0" fontId="6" fillId="24" borderId="40" xfId="0" applyFont="1" applyFill="1" applyBorder="1" applyAlignment="1">
      <alignment horizontal="left"/>
    </xf>
    <xf numFmtId="164" fontId="27" fillId="24" borderId="50" xfId="43" applyFont="1" applyFill="1" applyBorder="1"/>
    <xf numFmtId="164" fontId="27" fillId="24" borderId="43" xfId="0" applyNumberFormat="1" applyFont="1" applyFill="1" applyBorder="1"/>
    <xf numFmtId="43" fontId="27" fillId="24" borderId="44" xfId="0" applyNumberFormat="1" applyFont="1" applyFill="1" applyBorder="1"/>
    <xf numFmtId="0" fontId="27" fillId="0" borderId="44" xfId="0" applyFont="1" applyBorder="1"/>
    <xf numFmtId="0" fontId="6" fillId="0" borderId="40" xfId="0" applyFont="1" applyBorder="1" applyAlignment="1">
      <alignment horizontal="left"/>
    </xf>
    <xf numFmtId="164" fontId="33" fillId="26" borderId="40" xfId="43" applyFont="1" applyFill="1" applyBorder="1" applyAlignment="1">
      <alignment shrinkToFit="1"/>
    </xf>
    <xf numFmtId="44" fontId="27" fillId="0" borderId="41" xfId="45" applyFont="1" applyBorder="1"/>
    <xf numFmtId="44" fontId="27" fillId="0" borderId="42" xfId="45" applyFont="1" applyBorder="1"/>
    <xf numFmtId="44" fontId="27" fillId="0" borderId="44" xfId="45" applyFont="1" applyBorder="1"/>
    <xf numFmtId="44" fontId="6" fillId="0" borderId="40" xfId="45" applyFont="1" applyBorder="1" applyAlignment="1">
      <alignment horizontal="left"/>
    </xf>
    <xf numFmtId="39" fontId="6" fillId="0" borderId="40" xfId="45" applyNumberFormat="1" applyFont="1" applyBorder="1"/>
    <xf numFmtId="164" fontId="6" fillId="0" borderId="40" xfId="43" applyFont="1" applyBorder="1"/>
    <xf numFmtId="2" fontId="6" fillId="0" borderId="44" xfId="45" applyNumberFormat="1" applyFont="1" applyBorder="1"/>
    <xf numFmtId="44" fontId="6" fillId="0" borderId="40" xfId="45" applyFont="1" applyBorder="1"/>
    <xf numFmtId="2" fontId="6" fillId="0" borderId="40" xfId="45" applyNumberFormat="1" applyFont="1" applyBorder="1" applyAlignment="1">
      <alignment shrinkToFit="1"/>
    </xf>
    <xf numFmtId="164" fontId="6" fillId="0" borderId="40" xfId="43" applyFont="1" applyBorder="1" applyAlignment="1">
      <alignment shrinkToFit="1"/>
    </xf>
    <xf numFmtId="164" fontId="6" fillId="0" borderId="42" xfId="43" applyFont="1" applyBorder="1"/>
    <xf numFmtId="164" fontId="27" fillId="0" borderId="43" xfId="0" applyNumberFormat="1" applyFont="1" applyBorder="1"/>
    <xf numFmtId="44" fontId="27" fillId="0" borderId="0" xfId="45" applyFont="1"/>
    <xf numFmtId="2" fontId="6" fillId="0" borderId="42" xfId="45" applyNumberFormat="1" applyFont="1" applyBorder="1"/>
    <xf numFmtId="44" fontId="6" fillId="0" borderId="51" xfId="45" applyFont="1" applyBorder="1"/>
    <xf numFmtId="0" fontId="27" fillId="0" borderId="52" xfId="0" applyFont="1" applyBorder="1"/>
    <xf numFmtId="0" fontId="27" fillId="0" borderId="53" xfId="0" applyFont="1" applyBorder="1"/>
    <xf numFmtId="0" fontId="27" fillId="0" borderId="54" xfId="0" applyFont="1" applyBorder="1"/>
    <xf numFmtId="0" fontId="6" fillId="0" borderId="55" xfId="0" applyFont="1" applyBorder="1" applyAlignment="1">
      <alignment horizontal="left"/>
    </xf>
    <xf numFmtId="164" fontId="33" fillId="26" borderId="55" xfId="43" applyFont="1" applyFill="1" applyBorder="1" applyAlignment="1">
      <alignment shrinkToFit="1"/>
    </xf>
    <xf numFmtId="44" fontId="27" fillId="0" borderId="0" xfId="45" applyFont="1" applyBorder="1"/>
    <xf numFmtId="44" fontId="6" fillId="0" borderId="0" xfId="45" applyFont="1" applyBorder="1" applyAlignment="1">
      <alignment horizontal="left"/>
    </xf>
    <xf numFmtId="39" fontId="6" fillId="0" borderId="0" xfId="45" applyNumberFormat="1" applyFont="1" applyBorder="1"/>
    <xf numFmtId="164" fontId="6" fillId="0" borderId="0" xfId="43" applyFont="1" applyBorder="1"/>
    <xf numFmtId="2" fontId="6" fillId="0" borderId="0" xfId="45" applyNumberFormat="1" applyFont="1" applyBorder="1"/>
    <xf numFmtId="44" fontId="6" fillId="0" borderId="0" xfId="45" applyFont="1" applyBorder="1"/>
    <xf numFmtId="2" fontId="6" fillId="0" borderId="0" xfId="45" applyNumberFormat="1" applyFont="1" applyBorder="1" applyAlignment="1">
      <alignment shrinkToFit="1"/>
    </xf>
    <xf numFmtId="164" fontId="6" fillId="0" borderId="0" xfId="43" applyFont="1" applyBorder="1" applyAlignment="1">
      <alignment shrinkToFit="1"/>
    </xf>
    <xf numFmtId="0" fontId="27" fillId="0" borderId="45" xfId="0" applyFont="1" applyBorder="1"/>
    <xf numFmtId="0" fontId="27" fillId="0" borderId="46" xfId="0" applyFont="1" applyBorder="1"/>
    <xf numFmtId="0" fontId="27" fillId="0" borderId="48" xfId="0" applyFont="1" applyBorder="1"/>
    <xf numFmtId="0" fontId="30" fillId="0" borderId="0" xfId="0" applyFont="1" applyAlignment="1">
      <alignment horizontal="center"/>
    </xf>
    <xf numFmtId="0" fontId="31" fillId="0" borderId="30" xfId="0" applyFont="1" applyBorder="1"/>
    <xf numFmtId="44" fontId="27" fillId="24" borderId="41" xfId="45" applyFont="1" applyFill="1" applyBorder="1"/>
    <xf numFmtId="44" fontId="27" fillId="24" borderId="42" xfId="45" applyFont="1" applyFill="1" applyBorder="1"/>
    <xf numFmtId="44" fontId="27" fillId="24" borderId="44" xfId="45" applyFont="1" applyFill="1" applyBorder="1"/>
    <xf numFmtId="164" fontId="6" fillId="24" borderId="40" xfId="43" applyFont="1" applyFill="1" applyBorder="1"/>
    <xf numFmtId="2" fontId="6" fillId="24" borderId="44" xfId="45" applyNumberFormat="1" applyFont="1" applyFill="1" applyBorder="1"/>
    <xf numFmtId="164" fontId="6" fillId="24" borderId="44" xfId="43" applyFont="1" applyFill="1" applyBorder="1"/>
    <xf numFmtId="44" fontId="6" fillId="24" borderId="40" xfId="45" applyFont="1" applyFill="1" applyBorder="1"/>
    <xf numFmtId="2" fontId="6" fillId="24" borderId="40" xfId="45" applyNumberFormat="1" applyFont="1" applyFill="1" applyBorder="1" applyAlignment="1">
      <alignment shrinkToFit="1"/>
    </xf>
    <xf numFmtId="164" fontId="6" fillId="24" borderId="40" xfId="43" applyFont="1" applyFill="1" applyBorder="1" applyAlignment="1">
      <alignment shrinkToFit="1"/>
    </xf>
    <xf numFmtId="164" fontId="6" fillId="24" borderId="42" xfId="43" applyFont="1" applyFill="1" applyBorder="1"/>
    <xf numFmtId="44" fontId="27" fillId="24" borderId="0" xfId="45" applyFont="1" applyFill="1"/>
    <xf numFmtId="164" fontId="6" fillId="24" borderId="51" xfId="43" applyFont="1" applyFill="1" applyBorder="1"/>
    <xf numFmtId="164" fontId="26" fillId="26" borderId="55" xfId="43" applyFont="1" applyFill="1" applyBorder="1"/>
    <xf numFmtId="164" fontId="26" fillId="26" borderId="55" xfId="43" applyFont="1" applyFill="1" applyBorder="1" applyAlignment="1">
      <alignment shrinkToFit="1"/>
    </xf>
    <xf numFmtId="0" fontId="27" fillId="24" borderId="57" xfId="0" applyFont="1" applyFill="1" applyBorder="1"/>
    <xf numFmtId="0" fontId="27" fillId="24" borderId="42" xfId="0" applyFont="1" applyFill="1" applyBorder="1" applyAlignment="1">
      <alignment horizontal="left"/>
    </xf>
    <xf numFmtId="0" fontId="25" fillId="24" borderId="40" xfId="0" applyFont="1" applyFill="1" applyBorder="1" applyAlignment="1">
      <alignment horizontal="left"/>
    </xf>
    <xf numFmtId="0" fontId="27" fillId="0" borderId="42" xfId="0" applyFont="1" applyBorder="1" applyAlignment="1">
      <alignment horizontal="left"/>
    </xf>
    <xf numFmtId="164" fontId="26" fillId="26" borderId="40" xfId="43" applyFont="1" applyFill="1" applyBorder="1"/>
    <xf numFmtId="164" fontId="26" fillId="26" borderId="40" xfId="43" applyFont="1" applyFill="1" applyBorder="1" applyAlignment="1">
      <alignment shrinkToFit="1"/>
    </xf>
    <xf numFmtId="164" fontId="26" fillId="0" borderId="40" xfId="43" applyFont="1" applyBorder="1"/>
    <xf numFmtId="164" fontId="26" fillId="0" borderId="44" xfId="43" applyFont="1" applyBorder="1"/>
    <xf numFmtId="164" fontId="26" fillId="0" borderId="42" xfId="43" applyFont="1" applyBorder="1"/>
    <xf numFmtId="164" fontId="26" fillId="0" borderId="51" xfId="43" applyFont="1" applyBorder="1"/>
    <xf numFmtId="0" fontId="32" fillId="24" borderId="44" xfId="0" applyFont="1" applyFill="1" applyBorder="1" applyAlignment="1">
      <alignment horizontal="left"/>
    </xf>
    <xf numFmtId="0" fontId="6" fillId="24" borderId="40" xfId="0" applyFont="1" applyFill="1" applyBorder="1" applyAlignment="1">
      <alignment horizontal="left" shrinkToFit="1"/>
    </xf>
    <xf numFmtId="164" fontId="6" fillId="24" borderId="42" xfId="43" applyFont="1" applyFill="1" applyBorder="1" applyAlignment="1">
      <alignment shrinkToFit="1"/>
    </xf>
    <xf numFmtId="164" fontId="27" fillId="24" borderId="17" xfId="0" applyNumberFormat="1" applyFont="1" applyFill="1" applyBorder="1"/>
    <xf numFmtId="164" fontId="33" fillId="24" borderId="40" xfId="43" applyFont="1" applyFill="1" applyBorder="1"/>
    <xf numFmtId="164" fontId="26" fillId="24" borderId="40" xfId="43" applyFont="1" applyFill="1" applyBorder="1"/>
    <xf numFmtId="43" fontId="27" fillId="24" borderId="0" xfId="0" applyNumberFormat="1" applyFont="1" applyFill="1"/>
    <xf numFmtId="164" fontId="26" fillId="24" borderId="44" xfId="43" applyFont="1" applyFill="1" applyBorder="1"/>
    <xf numFmtId="164" fontId="26" fillId="24" borderId="42" xfId="43" applyFont="1" applyFill="1" applyBorder="1"/>
    <xf numFmtId="164" fontId="26" fillId="24" borderId="51" xfId="43" applyFont="1" applyFill="1" applyBorder="1"/>
    <xf numFmtId="0" fontId="27" fillId="24" borderId="58" xfId="0" applyFont="1" applyFill="1" applyBorder="1" applyAlignment="1">
      <alignment horizontal="left"/>
    </xf>
    <xf numFmtId="0" fontId="27" fillId="24" borderId="0" xfId="0" applyFont="1" applyFill="1" applyAlignment="1">
      <alignment horizontal="left"/>
    </xf>
    <xf numFmtId="0" fontId="27" fillId="0" borderId="59" xfId="0" applyFont="1" applyBorder="1"/>
    <xf numFmtId="0" fontId="27" fillId="0" borderId="60" xfId="0" applyFont="1" applyBorder="1" applyAlignment="1">
      <alignment horizontal="left"/>
    </xf>
    <xf numFmtId="0" fontId="27" fillId="0" borderId="61" xfId="0" applyFont="1" applyBorder="1"/>
    <xf numFmtId="0" fontId="6" fillId="0" borderId="62" xfId="0" applyFont="1" applyBorder="1" applyAlignment="1">
      <alignment horizontal="left"/>
    </xf>
    <xf numFmtId="164" fontId="26" fillId="26" borderId="62" xfId="43" applyFont="1" applyFill="1" applyBorder="1"/>
    <xf numFmtId="0" fontId="27" fillId="0" borderId="0" xfId="0" applyFont="1" applyAlignment="1">
      <alignment horizontal="left"/>
    </xf>
    <xf numFmtId="164" fontId="26" fillId="24" borderId="0" xfId="43" applyFont="1" applyFill="1" applyBorder="1"/>
    <xf numFmtId="0" fontId="27" fillId="24" borderId="12" xfId="0" applyFont="1" applyFill="1" applyBorder="1" applyAlignment="1">
      <alignment horizontal="center"/>
    </xf>
    <xf numFmtId="164" fontId="19" fillId="24" borderId="40" xfId="43" applyFont="1" applyFill="1" applyBorder="1"/>
    <xf numFmtId="164" fontId="23" fillId="24" borderId="40" xfId="43" applyFont="1" applyFill="1" applyBorder="1"/>
    <xf numFmtId="164" fontId="6" fillId="0" borderId="44" xfId="43" applyFont="1" applyBorder="1"/>
    <xf numFmtId="164" fontId="6" fillId="0" borderId="51" xfId="43" applyFont="1" applyBorder="1"/>
    <xf numFmtId="0" fontId="27" fillId="0" borderId="44" xfId="0" applyFont="1" applyBorder="1" applyAlignment="1">
      <alignment horizontal="left"/>
    </xf>
    <xf numFmtId="164" fontId="6" fillId="0" borderId="40" xfId="43" applyFont="1" applyFill="1" applyBorder="1"/>
    <xf numFmtId="43" fontId="27" fillId="0" borderId="44" xfId="0" applyNumberFormat="1" applyFont="1" applyBorder="1"/>
    <xf numFmtId="164" fontId="27" fillId="0" borderId="17" xfId="0" applyNumberFormat="1" applyFont="1" applyBorder="1"/>
    <xf numFmtId="164" fontId="26" fillId="24" borderId="40" xfId="43" applyFont="1" applyFill="1" applyBorder="1" applyAlignment="1">
      <alignment shrinkToFit="1"/>
    </xf>
    <xf numFmtId="0" fontId="32" fillId="0" borderId="42" xfId="0" applyFont="1" applyBorder="1" applyAlignment="1">
      <alignment horizontal="left"/>
    </xf>
    <xf numFmtId="164" fontId="19" fillId="26" borderId="40" xfId="43" applyFont="1" applyFill="1" applyBorder="1"/>
    <xf numFmtId="164" fontId="6" fillId="26" borderId="40" xfId="43" applyFont="1" applyFill="1" applyBorder="1"/>
    <xf numFmtId="0" fontId="32" fillId="24" borderId="42" xfId="0" applyFont="1" applyFill="1" applyBorder="1" applyAlignment="1">
      <alignment horizontal="left"/>
    </xf>
    <xf numFmtId="164" fontId="19" fillId="24" borderId="44" xfId="43" applyFont="1" applyFill="1" applyBorder="1"/>
    <xf numFmtId="164" fontId="19" fillId="24" borderId="42" xfId="43" applyFont="1" applyFill="1" applyBorder="1"/>
    <xf numFmtId="164" fontId="19" fillId="24" borderId="51" xfId="43" applyFont="1" applyFill="1" applyBorder="1"/>
    <xf numFmtId="0" fontId="6" fillId="0" borderId="44" xfId="0" applyFont="1" applyBorder="1" applyAlignment="1">
      <alignment horizontal="left"/>
    </xf>
    <xf numFmtId="164" fontId="6" fillId="0" borderId="44" xfId="43" applyFont="1" applyFill="1" applyBorder="1"/>
    <xf numFmtId="164" fontId="6" fillId="0" borderId="42" xfId="43" applyFont="1" applyFill="1" applyBorder="1"/>
    <xf numFmtId="164" fontId="6" fillId="0" borderId="51" xfId="43" applyFont="1" applyFill="1" applyBorder="1"/>
    <xf numFmtId="164" fontId="6" fillId="0" borderId="40" xfId="43" applyFont="1" applyFill="1" applyBorder="1" applyAlignment="1">
      <alignment shrinkToFit="1"/>
    </xf>
    <xf numFmtId="164" fontId="19" fillId="0" borderId="40" xfId="43" applyFont="1" applyFill="1" applyBorder="1"/>
    <xf numFmtId="164" fontId="27" fillId="26" borderId="40" xfId="43" applyFont="1" applyFill="1" applyBorder="1"/>
    <xf numFmtId="164" fontId="6" fillId="26" borderId="51" xfId="43" applyFont="1" applyFill="1" applyBorder="1"/>
    <xf numFmtId="164" fontId="6" fillId="26" borderId="40" xfId="43" applyFont="1" applyFill="1" applyBorder="1" applyAlignment="1">
      <alignment shrinkToFit="1"/>
    </xf>
    <xf numFmtId="0" fontId="25" fillId="0" borderId="40" xfId="0" applyFont="1" applyBorder="1" applyAlignment="1">
      <alignment horizontal="left"/>
    </xf>
    <xf numFmtId="164" fontId="25" fillId="0" borderId="42" xfId="43" applyFont="1" applyBorder="1"/>
    <xf numFmtId="0" fontId="27" fillId="0" borderId="57" xfId="0" applyFont="1" applyBorder="1"/>
    <xf numFmtId="0" fontId="27" fillId="0" borderId="65" xfId="0" applyFont="1" applyBorder="1"/>
    <xf numFmtId="0" fontId="6" fillId="0" borderId="50" xfId="0" applyFont="1" applyBorder="1" applyAlignment="1">
      <alignment horizontal="left"/>
    </xf>
    <xf numFmtId="164" fontId="6" fillId="0" borderId="50" xfId="43" applyFont="1" applyFill="1" applyBorder="1"/>
    <xf numFmtId="164" fontId="6" fillId="0" borderId="50" xfId="43" applyFont="1" applyBorder="1"/>
    <xf numFmtId="164" fontId="6" fillId="0" borderId="65" xfId="43" applyFont="1" applyBorder="1" applyAlignment="1">
      <alignment shrinkToFit="1"/>
    </xf>
    <xf numFmtId="164" fontId="6" fillId="0" borderId="66" xfId="43" applyFont="1" applyBorder="1" applyAlignment="1">
      <alignment shrinkToFit="1"/>
    </xf>
    <xf numFmtId="164" fontId="6" fillId="0" borderId="67" xfId="43" applyFont="1" applyBorder="1"/>
    <xf numFmtId="164" fontId="6" fillId="0" borderId="50" xfId="43" applyFont="1" applyBorder="1" applyAlignment="1">
      <alignment shrinkToFit="1"/>
    </xf>
    <xf numFmtId="164" fontId="6" fillId="0" borderId="66" xfId="43" applyFont="1" applyBorder="1"/>
    <xf numFmtId="164" fontId="27" fillId="0" borderId="68" xfId="0" applyNumberFormat="1" applyFont="1" applyBorder="1"/>
    <xf numFmtId="164" fontId="6" fillId="0" borderId="44" xfId="43" applyFont="1" applyBorder="1" applyAlignment="1">
      <alignment shrinkToFit="1"/>
    </xf>
    <xf numFmtId="164" fontId="6" fillId="0" borderId="42" xfId="43" applyFont="1" applyBorder="1" applyAlignment="1">
      <alignment shrinkToFit="1"/>
    </xf>
    <xf numFmtId="0" fontId="6" fillId="0" borderId="40" xfId="0" applyFont="1" applyBorder="1" applyAlignment="1">
      <alignment horizontal="left" shrinkToFit="1"/>
    </xf>
    <xf numFmtId="164" fontId="6" fillId="0" borderId="69" xfId="43" applyFont="1" applyBorder="1"/>
    <xf numFmtId="164" fontId="6" fillId="0" borderId="62" xfId="43" applyFont="1" applyBorder="1"/>
    <xf numFmtId="0" fontId="27" fillId="0" borderId="70" xfId="0" applyFont="1" applyBorder="1"/>
    <xf numFmtId="0" fontId="27" fillId="0" borderId="71" xfId="0" applyFont="1" applyBorder="1" applyAlignment="1">
      <alignment horizontal="left" indent="2"/>
    </xf>
    <xf numFmtId="0" fontId="27" fillId="0" borderId="71" xfId="0" applyFont="1" applyBorder="1"/>
    <xf numFmtId="0" fontId="6" fillId="0" borderId="30" xfId="0" applyFont="1" applyBorder="1" applyAlignment="1">
      <alignment horizontal="center"/>
    </xf>
    <xf numFmtId="164" fontId="26" fillId="25" borderId="72" xfId="43" applyFont="1" applyFill="1" applyBorder="1"/>
    <xf numFmtId="0" fontId="27" fillId="0" borderId="0" xfId="0" applyFont="1" applyAlignment="1">
      <alignment horizontal="left" indent="2"/>
    </xf>
    <xf numFmtId="164" fontId="6" fillId="24" borderId="12" xfId="43" applyFont="1" applyFill="1" applyBorder="1"/>
    <xf numFmtId="164" fontId="6" fillId="24" borderId="33" xfId="43" applyFont="1" applyFill="1" applyBorder="1"/>
    <xf numFmtId="164" fontId="6" fillId="24" borderId="0" xfId="43" applyFont="1" applyFill="1" applyBorder="1"/>
    <xf numFmtId="164" fontId="6" fillId="24" borderId="34" xfId="43" applyFont="1" applyFill="1" applyBorder="1"/>
    <xf numFmtId="0" fontId="6" fillId="0" borderId="40" xfId="0" applyFont="1" applyBorder="1" applyAlignment="1">
      <alignment horizontal="center"/>
    </xf>
    <xf numFmtId="0" fontId="21" fillId="24" borderId="22" xfId="0" applyFont="1" applyFill="1" applyBorder="1"/>
    <xf numFmtId="0" fontId="21" fillId="24" borderId="33" xfId="0" applyFont="1" applyFill="1" applyBorder="1"/>
    <xf numFmtId="0" fontId="6" fillId="24" borderId="40" xfId="0" applyFont="1" applyFill="1" applyBorder="1" applyAlignment="1">
      <alignment horizontal="center"/>
    </xf>
    <xf numFmtId="0" fontId="19" fillId="0" borderId="40" xfId="0" applyFont="1" applyBorder="1" applyAlignment="1">
      <alignment horizontal="center"/>
    </xf>
    <xf numFmtId="164" fontId="19" fillId="27" borderId="40" xfId="43" applyFont="1" applyFill="1" applyBorder="1"/>
    <xf numFmtId="164" fontId="6" fillId="27" borderId="40" xfId="43" applyFont="1" applyFill="1" applyBorder="1"/>
    <xf numFmtId="164" fontId="26" fillId="27" borderId="40" xfId="43" applyFont="1" applyFill="1" applyBorder="1"/>
    <xf numFmtId="164" fontId="6" fillId="24" borderId="44" xfId="43" applyFont="1" applyFill="1" applyBorder="1" applyAlignment="1">
      <alignment shrinkToFit="1"/>
    </xf>
    <xf numFmtId="164" fontId="27" fillId="24" borderId="64" xfId="0" applyNumberFormat="1" applyFont="1" applyFill="1" applyBorder="1"/>
    <xf numFmtId="164" fontId="26" fillId="27" borderId="51" xfId="43" applyFont="1" applyFill="1" applyBorder="1"/>
    <xf numFmtId="0" fontId="0" fillId="0" borderId="40" xfId="0" applyBorder="1" applyAlignment="1">
      <alignment horizontal="left" shrinkToFit="1"/>
    </xf>
    <xf numFmtId="164" fontId="6" fillId="27" borderId="44" xfId="43" applyFont="1" applyFill="1" applyBorder="1" applyAlignment="1">
      <alignment shrinkToFit="1"/>
    </xf>
    <xf numFmtId="164" fontId="6" fillId="27" borderId="42" xfId="43" applyFont="1" applyFill="1" applyBorder="1" applyAlignment="1">
      <alignment shrinkToFit="1"/>
    </xf>
    <xf numFmtId="164" fontId="6" fillId="27" borderId="40" xfId="43" applyFont="1" applyFill="1" applyBorder="1" applyAlignment="1">
      <alignment shrinkToFit="1"/>
    </xf>
    <xf numFmtId="164" fontId="6" fillId="27" borderId="51" xfId="43" applyFont="1" applyFill="1" applyBorder="1"/>
    <xf numFmtId="164" fontId="26" fillId="27" borderId="40" xfId="43" applyFont="1" applyFill="1" applyBorder="1" applyAlignment="1">
      <alignment shrinkToFit="1"/>
    </xf>
    <xf numFmtId="0" fontId="0" fillId="0" borderId="0" xfId="0" applyAlignment="1">
      <alignment horizontal="left" shrinkToFit="1"/>
    </xf>
    <xf numFmtId="164" fontId="6" fillId="0" borderId="51" xfId="43" applyFont="1" applyBorder="1" applyAlignment="1">
      <alignment shrinkToFit="1"/>
    </xf>
    <xf numFmtId="0" fontId="6" fillId="0" borderId="55" xfId="0" applyFont="1" applyBorder="1" applyAlignment="1">
      <alignment horizontal="left" shrinkToFit="1"/>
    </xf>
    <xf numFmtId="164" fontId="6" fillId="0" borderId="55" xfId="43" applyFont="1" applyBorder="1"/>
    <xf numFmtId="164" fontId="6" fillId="0" borderId="55" xfId="43" applyFont="1" applyBorder="1" applyAlignment="1">
      <alignment shrinkToFit="1"/>
    </xf>
    <xf numFmtId="164" fontId="6" fillId="0" borderId="54" xfId="43" applyFont="1" applyBorder="1" applyAlignment="1">
      <alignment shrinkToFit="1"/>
    </xf>
    <xf numFmtId="164" fontId="6" fillId="0" borderId="53" xfId="43" applyFont="1" applyBorder="1" applyAlignment="1">
      <alignment shrinkToFit="1"/>
    </xf>
    <xf numFmtId="164" fontId="6" fillId="0" borderId="74" xfId="43" applyFont="1" applyBorder="1" applyAlignment="1">
      <alignment shrinkToFit="1"/>
    </xf>
    <xf numFmtId="164" fontId="6" fillId="0" borderId="74" xfId="43" applyFont="1" applyBorder="1"/>
    <xf numFmtId="164" fontId="6" fillId="24" borderId="51" xfId="43" applyFont="1" applyFill="1" applyBorder="1" applyAlignment="1">
      <alignment shrinkToFit="1"/>
    </xf>
    <xf numFmtId="0" fontId="27" fillId="0" borderId="66" xfId="0" applyFont="1" applyBorder="1"/>
    <xf numFmtId="0" fontId="6" fillId="0" borderId="50" xfId="0" applyFont="1" applyBorder="1" applyAlignment="1">
      <alignment horizontal="left" shrinkToFit="1"/>
    </xf>
    <xf numFmtId="164" fontId="26" fillId="27" borderId="12" xfId="43" applyFont="1" applyFill="1" applyBorder="1"/>
    <xf numFmtId="164" fontId="6" fillId="0" borderId="12" xfId="43" applyFont="1" applyBorder="1" applyAlignment="1">
      <alignment shrinkToFit="1"/>
    </xf>
    <xf numFmtId="164" fontId="6" fillId="0" borderId="33" xfId="43" applyFont="1" applyBorder="1" applyAlignment="1">
      <alignment shrinkToFit="1"/>
    </xf>
    <xf numFmtId="164" fontId="6" fillId="0" borderId="34" xfId="43" applyFont="1" applyBorder="1" applyAlignment="1">
      <alignment shrinkToFit="1"/>
    </xf>
    <xf numFmtId="164" fontId="6" fillId="0" borderId="12" xfId="43" applyFont="1" applyBorder="1"/>
    <xf numFmtId="164" fontId="6" fillId="0" borderId="34" xfId="43" applyFont="1" applyBorder="1"/>
    <xf numFmtId="164" fontId="6" fillId="0" borderId="50" xfId="0" applyNumberFormat="1" applyFont="1" applyBorder="1" applyAlignment="1">
      <alignment horizontal="left" shrinkToFit="1"/>
    </xf>
    <xf numFmtId="0" fontId="21" fillId="0" borderId="57" xfId="0" applyFont="1" applyBorder="1"/>
    <xf numFmtId="0" fontId="21" fillId="0" borderId="66" xfId="0" applyFont="1" applyBorder="1"/>
    <xf numFmtId="0" fontId="21" fillId="0" borderId="65" xfId="0" applyFont="1" applyBorder="1"/>
    <xf numFmtId="0" fontId="6" fillId="24" borderId="50" xfId="0" applyFont="1" applyFill="1" applyBorder="1" applyAlignment="1">
      <alignment horizontal="left" shrinkToFit="1"/>
    </xf>
    <xf numFmtId="164" fontId="6" fillId="24" borderId="12" xfId="43" applyFont="1" applyFill="1" applyBorder="1" applyAlignment="1">
      <alignment shrinkToFit="1"/>
    </xf>
    <xf numFmtId="164" fontId="6" fillId="24" borderId="33" xfId="43" applyFont="1" applyFill="1" applyBorder="1" applyAlignment="1">
      <alignment shrinkToFit="1"/>
    </xf>
    <xf numFmtId="164" fontId="6" fillId="24" borderId="0" xfId="43" applyFont="1" applyFill="1" applyBorder="1" applyAlignment="1">
      <alignment shrinkToFit="1"/>
    </xf>
    <xf numFmtId="164" fontId="6" fillId="24" borderId="34" xfId="43" applyFont="1" applyFill="1" applyBorder="1" applyAlignment="1">
      <alignment shrinkToFit="1"/>
    </xf>
    <xf numFmtId="0" fontId="21" fillId="24" borderId="57" xfId="0" applyFont="1" applyFill="1" applyBorder="1"/>
    <xf numFmtId="0" fontId="21" fillId="24" borderId="66" xfId="0" applyFont="1" applyFill="1" applyBorder="1"/>
    <xf numFmtId="0" fontId="21" fillId="24" borderId="65" xfId="0" applyFont="1" applyFill="1" applyBorder="1"/>
    <xf numFmtId="0" fontId="19" fillId="24" borderId="50" xfId="0" applyFont="1" applyFill="1" applyBorder="1" applyAlignment="1">
      <alignment horizontal="left" shrinkToFit="1"/>
    </xf>
    <xf numFmtId="164" fontId="19" fillId="24" borderId="12" xfId="43" applyFont="1" applyFill="1" applyBorder="1"/>
    <xf numFmtId="0" fontId="21" fillId="24" borderId="0" xfId="0" applyFont="1" applyFill="1"/>
    <xf numFmtId="0" fontId="27" fillId="24" borderId="66" xfId="0" applyFont="1" applyFill="1" applyBorder="1"/>
    <xf numFmtId="0" fontId="27" fillId="24" borderId="65" xfId="0" applyFont="1" applyFill="1" applyBorder="1"/>
    <xf numFmtId="0" fontId="0" fillId="0" borderId="50" xfId="0" applyBorder="1" applyAlignment="1">
      <alignment horizontal="left"/>
    </xf>
    <xf numFmtId="164" fontId="6" fillId="0" borderId="37" xfId="43" applyFont="1" applyBorder="1" applyAlignment="1">
      <alignment shrinkToFit="1"/>
    </xf>
    <xf numFmtId="164" fontId="6" fillId="0" borderId="75" xfId="43" applyFont="1" applyBorder="1" applyAlignment="1">
      <alignment shrinkToFit="1"/>
    </xf>
    <xf numFmtId="164" fontId="6" fillId="0" borderId="75" xfId="43" applyFont="1" applyBorder="1"/>
    <xf numFmtId="164" fontId="6" fillId="0" borderId="37" xfId="43" applyFont="1" applyBorder="1"/>
    <xf numFmtId="0" fontId="27" fillId="0" borderId="42" xfId="0" applyFont="1" applyBorder="1" applyAlignment="1">
      <alignment horizontal="left" indent="2"/>
    </xf>
    <xf numFmtId="164" fontId="26" fillId="25" borderId="39" xfId="43" applyFont="1" applyFill="1" applyBorder="1" applyAlignment="1">
      <alignment shrinkToFit="1"/>
    </xf>
    <xf numFmtId="164" fontId="6" fillId="0" borderId="12" xfId="43" applyFont="1" applyFill="1" applyBorder="1" applyAlignment="1">
      <alignment shrinkToFit="1"/>
    </xf>
    <xf numFmtId="0" fontId="27" fillId="0" borderId="77" xfId="0" applyFont="1" applyBorder="1"/>
    <xf numFmtId="0" fontId="6" fillId="0" borderId="78" xfId="0" applyFont="1" applyBorder="1" applyAlignment="1">
      <alignment horizontal="center"/>
    </xf>
    <xf numFmtId="164" fontId="26" fillId="28" borderId="72" xfId="43" applyFont="1" applyFill="1" applyBorder="1" applyAlignment="1">
      <alignment shrinkToFit="1"/>
    </xf>
    <xf numFmtId="164" fontId="27" fillId="0" borderId="0" xfId="43" applyFont="1" applyAlignment="1">
      <alignment shrinkToFit="1"/>
    </xf>
    <xf numFmtId="164" fontId="27" fillId="0" borderId="0" xfId="43" quotePrefix="1" applyFont="1" applyAlignment="1">
      <alignment shrinkToFit="1"/>
    </xf>
    <xf numFmtId="164" fontId="27" fillId="0" borderId="0" xfId="43" quotePrefix="1" applyFont="1" applyAlignment="1"/>
    <xf numFmtId="164" fontId="32" fillId="0" borderId="0" xfId="43" applyFont="1" applyAlignment="1">
      <alignment shrinkToFit="1"/>
    </xf>
    <xf numFmtId="164" fontId="27" fillId="0" borderId="0" xfId="43" applyFont="1" applyAlignment="1">
      <alignment horizontal="center" shrinkToFit="1"/>
    </xf>
    <xf numFmtId="164" fontId="27" fillId="0" borderId="0" xfId="43" applyFont="1" applyBorder="1" applyAlignment="1">
      <alignment shrinkToFit="1"/>
    </xf>
    <xf numFmtId="164" fontId="35" fillId="0" borderId="0" xfId="43" applyFont="1"/>
    <xf numFmtId="164" fontId="35" fillId="0" borderId="0" xfId="43" applyFont="1" applyAlignment="1">
      <alignment shrinkToFit="1"/>
    </xf>
    <xf numFmtId="164" fontId="32" fillId="0" borderId="0" xfId="43" applyFont="1"/>
    <xf numFmtId="164" fontId="26" fillId="24" borderId="0" xfId="43" applyFont="1" applyFill="1" applyBorder="1" applyAlignment="1">
      <alignment shrinkToFit="1"/>
    </xf>
    <xf numFmtId="164" fontId="35" fillId="0" borderId="0" xfId="43" applyFont="1" applyBorder="1" applyAlignment="1">
      <alignment shrinkToFit="1"/>
    </xf>
    <xf numFmtId="0" fontId="27" fillId="0" borderId="0" xfId="0" quotePrefix="1" applyFont="1"/>
    <xf numFmtId="164" fontId="6" fillId="0" borderId="0" xfId="43"/>
    <xf numFmtId="0" fontId="0" fillId="0" borderId="0" xfId="0" applyAlignment="1">
      <alignment shrinkToFit="1"/>
    </xf>
    <xf numFmtId="0" fontId="32" fillId="24" borderId="12" xfId="0" applyFont="1" applyFill="1" applyBorder="1" applyAlignment="1">
      <alignment horizontal="center" shrinkToFit="1"/>
    </xf>
    <xf numFmtId="0" fontId="36" fillId="0" borderId="13" xfId="0" applyFont="1" applyBorder="1" applyAlignment="1">
      <alignment horizontal="center"/>
    </xf>
    <xf numFmtId="164" fontId="19" fillId="24" borderId="12" xfId="43" applyFont="1" applyFill="1" applyBorder="1" applyAlignment="1">
      <alignment horizontal="center" shrinkToFit="1"/>
    </xf>
    <xf numFmtId="164" fontId="19" fillId="24" borderId="12" xfId="43" applyFont="1" applyFill="1" applyBorder="1" applyAlignment="1">
      <alignment horizontal="center"/>
    </xf>
    <xf numFmtId="164" fontId="27" fillId="24" borderId="30" xfId="43" applyFont="1" applyFill="1" applyBorder="1" applyAlignment="1">
      <alignment horizontal="center"/>
    </xf>
    <xf numFmtId="164" fontId="30" fillId="0" borderId="29" xfId="43" quotePrefix="1" applyFont="1" applyBorder="1" applyAlignment="1">
      <alignment horizontal="center"/>
    </xf>
    <xf numFmtId="0" fontId="0" fillId="24" borderId="30" xfId="0" applyFill="1" applyBorder="1" applyAlignment="1">
      <alignment horizontal="center" shrinkToFit="1"/>
    </xf>
    <xf numFmtId="0" fontId="36" fillId="0" borderId="30" xfId="0" applyFont="1" applyBorder="1"/>
    <xf numFmtId="0" fontId="33" fillId="0" borderId="22" xfId="0" applyFont="1" applyBorder="1"/>
    <xf numFmtId="0" fontId="33" fillId="0" borderId="0" xfId="0" applyFont="1"/>
    <xf numFmtId="164" fontId="33" fillId="29" borderId="39" xfId="43" applyFont="1" applyFill="1" applyBorder="1" applyAlignment="1">
      <alignment horizontal="center" shrinkToFit="1"/>
    </xf>
    <xf numFmtId="164" fontId="33" fillId="24" borderId="0" xfId="43" applyFont="1" applyFill="1"/>
    <xf numFmtId="0" fontId="27" fillId="24" borderId="41" xfId="0" applyFont="1" applyFill="1" applyBorder="1" applyAlignment="1">
      <alignment horizontal="left" indent="3"/>
    </xf>
    <xf numFmtId="164" fontId="27" fillId="24" borderId="12" xfId="43" applyFont="1" applyFill="1" applyBorder="1" applyAlignment="1">
      <alignment horizontal="center" shrinkToFit="1"/>
    </xf>
    <xf numFmtId="164" fontId="27" fillId="24" borderId="12" xfId="43" applyFont="1" applyFill="1" applyBorder="1" applyAlignment="1">
      <alignment horizontal="left" shrinkToFit="1"/>
    </xf>
    <xf numFmtId="164" fontId="27" fillId="24" borderId="12" xfId="43" applyFont="1" applyFill="1" applyBorder="1"/>
    <xf numFmtId="164" fontId="27" fillId="24" borderId="12" xfId="43" applyFont="1" applyFill="1" applyBorder="1" applyAlignment="1">
      <alignment shrinkToFit="1"/>
    </xf>
    <xf numFmtId="164" fontId="0" fillId="24" borderId="12" xfId="43" applyFont="1" applyFill="1" applyBorder="1"/>
    <xf numFmtId="0" fontId="27" fillId="24" borderId="0" xfId="0" quotePrefix="1" applyFont="1" applyFill="1"/>
    <xf numFmtId="164" fontId="27" fillId="24" borderId="0" xfId="43" applyFont="1" applyFill="1" applyBorder="1"/>
    <xf numFmtId="0" fontId="27" fillId="24" borderId="22" xfId="0" applyFont="1" applyFill="1" applyBorder="1" applyAlignment="1">
      <alignment horizontal="left" indent="2"/>
    </xf>
    <xf numFmtId="164" fontId="27" fillId="24" borderId="40" xfId="43" applyFont="1" applyFill="1" applyBorder="1" applyAlignment="1">
      <alignment horizontal="left" shrinkToFit="1"/>
    </xf>
    <xf numFmtId="164" fontId="0" fillId="24" borderId="40" xfId="43" applyFont="1" applyFill="1" applyBorder="1"/>
    <xf numFmtId="164" fontId="27" fillId="24" borderId="0" xfId="43" quotePrefix="1" applyFont="1" applyFill="1"/>
    <xf numFmtId="0" fontId="27" fillId="24" borderId="12" xfId="0" applyFont="1" applyFill="1" applyBorder="1"/>
    <xf numFmtId="164" fontId="27" fillId="0" borderId="0" xfId="43" quotePrefix="1" applyFont="1"/>
    <xf numFmtId="164" fontId="33" fillId="0" borderId="12" xfId="43" applyFont="1" applyBorder="1"/>
    <xf numFmtId="164" fontId="33" fillId="0" borderId="33" xfId="43" applyFont="1" applyBorder="1"/>
    <xf numFmtId="0" fontId="33" fillId="0" borderId="12" xfId="0" applyFont="1" applyBorder="1" applyAlignment="1">
      <alignment shrinkToFit="1"/>
    </xf>
    <xf numFmtId="0" fontId="33" fillId="0" borderId="12" xfId="0" applyFont="1" applyBorder="1"/>
    <xf numFmtId="0" fontId="33" fillId="0" borderId="17" xfId="0" applyFont="1" applyBorder="1"/>
    <xf numFmtId="164" fontId="33" fillId="29" borderId="39" xfId="43" applyFont="1" applyFill="1" applyBorder="1"/>
    <xf numFmtId="0" fontId="27" fillId="0" borderId="41" xfId="0" applyFont="1" applyBorder="1" applyAlignment="1">
      <alignment horizontal="left" indent="3"/>
    </xf>
    <xf numFmtId="0" fontId="27" fillId="0" borderId="42" xfId="0" applyFont="1" applyBorder="1" applyAlignment="1">
      <alignment horizontal="left" indent="1"/>
    </xf>
    <xf numFmtId="164" fontId="27" fillId="0" borderId="44" xfId="43" applyFont="1" applyBorder="1"/>
    <xf numFmtId="0" fontId="27" fillId="0" borderId="40" xfId="0" applyFont="1" applyBorder="1" applyAlignment="1">
      <alignment shrinkToFit="1"/>
    </xf>
    <xf numFmtId="0" fontId="27" fillId="0" borderId="40" xfId="0" applyFont="1" applyBorder="1"/>
    <xf numFmtId="0" fontId="36" fillId="24" borderId="22" xfId="0" applyFont="1" applyFill="1" applyBorder="1" applyAlignment="1">
      <alignment horizontal="left" indent="3"/>
    </xf>
    <xf numFmtId="0" fontId="36" fillId="24" borderId="0" xfId="0" applyFont="1" applyFill="1"/>
    <xf numFmtId="164" fontId="36" fillId="24" borderId="40" xfId="43" applyFont="1" applyFill="1" applyBorder="1"/>
    <xf numFmtId="0" fontId="36" fillId="24" borderId="40" xfId="0" applyFont="1" applyFill="1" applyBorder="1" applyAlignment="1">
      <alignment shrinkToFit="1"/>
    </xf>
    <xf numFmtId="164" fontId="36" fillId="24" borderId="40" xfId="43" applyFont="1" applyFill="1" applyBorder="1" applyAlignment="1">
      <alignment shrinkToFit="1"/>
    </xf>
    <xf numFmtId="0" fontId="36" fillId="24" borderId="40" xfId="0" applyFont="1" applyFill="1" applyBorder="1"/>
    <xf numFmtId="0" fontId="36" fillId="24" borderId="0" xfId="0" quotePrefix="1" applyFont="1" applyFill="1"/>
    <xf numFmtId="164" fontId="36" fillId="24" borderId="0" xfId="43" applyFont="1" applyFill="1"/>
    <xf numFmtId="0" fontId="27" fillId="24" borderId="22" xfId="0" applyFont="1" applyFill="1" applyBorder="1" applyAlignment="1">
      <alignment horizontal="left" indent="3"/>
    </xf>
    <xf numFmtId="164" fontId="27" fillId="24" borderId="40" xfId="43" applyFont="1" applyFill="1" applyBorder="1" applyAlignment="1">
      <alignment horizontal="left"/>
    </xf>
    <xf numFmtId="164" fontId="27" fillId="24" borderId="40" xfId="0" applyNumberFormat="1" applyFont="1" applyFill="1" applyBorder="1"/>
    <xf numFmtId="164" fontId="27" fillId="24" borderId="12" xfId="43" applyFont="1" applyFill="1" applyBorder="1" applyAlignment="1">
      <alignment horizontal="left"/>
    </xf>
    <xf numFmtId="164" fontId="27" fillId="24" borderId="33" xfId="43" applyFont="1" applyFill="1" applyBorder="1"/>
    <xf numFmtId="0" fontId="27" fillId="0" borderId="22" xfId="0" applyFont="1" applyBorder="1" applyAlignment="1">
      <alignment horizontal="left" indent="3"/>
    </xf>
    <xf numFmtId="164" fontId="27" fillId="27" borderId="39" xfId="43" applyFont="1" applyFill="1" applyBorder="1"/>
    <xf numFmtId="164" fontId="27" fillId="24" borderId="79" xfId="43" applyFont="1" applyFill="1" applyBorder="1"/>
    <xf numFmtId="164" fontId="27" fillId="0" borderId="50" xfId="43" applyFont="1" applyBorder="1"/>
    <xf numFmtId="164" fontId="0" fillId="0" borderId="12" xfId="43" applyFont="1" applyBorder="1"/>
    <xf numFmtId="164" fontId="0" fillId="0" borderId="33" xfId="43" applyFont="1" applyBorder="1"/>
    <xf numFmtId="164" fontId="0" fillId="0" borderId="12" xfId="43" applyFont="1" applyBorder="1" applyAlignment="1">
      <alignment shrinkToFit="1"/>
    </xf>
    <xf numFmtId="164" fontId="27" fillId="0" borderId="12" xfId="43" applyFont="1" applyBorder="1" applyAlignment="1">
      <alignment horizontal="left" shrinkToFit="1"/>
    </xf>
    <xf numFmtId="164" fontId="27" fillId="27" borderId="39" xfId="0" applyNumberFormat="1" applyFont="1" applyFill="1" applyBorder="1"/>
    <xf numFmtId="0" fontId="27" fillId="24" borderId="80" xfId="0" applyFont="1" applyFill="1" applyBorder="1" applyAlignment="1">
      <alignment horizontal="left" indent="3"/>
    </xf>
    <xf numFmtId="0" fontId="27" fillId="24" borderId="81" xfId="0" applyFont="1" applyFill="1" applyBorder="1" applyAlignment="1">
      <alignment horizontal="left" indent="1"/>
    </xf>
    <xf numFmtId="0" fontId="27" fillId="24" borderId="81" xfId="0" applyFont="1" applyFill="1" applyBorder="1"/>
    <xf numFmtId="164" fontId="0" fillId="24" borderId="44" xfId="43" applyFont="1" applyFill="1" applyBorder="1"/>
    <xf numFmtId="164" fontId="0" fillId="24" borderId="40" xfId="43" applyFont="1" applyFill="1" applyBorder="1" applyAlignment="1">
      <alignment shrinkToFit="1"/>
    </xf>
    <xf numFmtId="164" fontId="0" fillId="24" borderId="42" xfId="43" applyFont="1" applyFill="1" applyBorder="1"/>
    <xf numFmtId="0" fontId="27" fillId="0" borderId="57" xfId="0" applyFont="1" applyBorder="1" applyAlignment="1">
      <alignment horizontal="left" indent="3"/>
    </xf>
    <xf numFmtId="0" fontId="27" fillId="0" borderId="66" xfId="0" applyFont="1" applyBorder="1" applyAlignment="1">
      <alignment horizontal="left" indent="1"/>
    </xf>
    <xf numFmtId="164" fontId="0" fillId="27" borderId="39" xfId="43" applyFont="1" applyFill="1" applyBorder="1"/>
    <xf numFmtId="0" fontId="27" fillId="24" borderId="42" xfId="0" applyFont="1" applyFill="1" applyBorder="1" applyAlignment="1">
      <alignment horizontal="left" indent="1"/>
    </xf>
    <xf numFmtId="164" fontId="0" fillId="24" borderId="33" xfId="43" applyFont="1" applyFill="1" applyBorder="1"/>
    <xf numFmtId="164" fontId="0" fillId="24" borderId="0" xfId="43" applyFont="1" applyFill="1" applyBorder="1"/>
    <xf numFmtId="164" fontId="0" fillId="24" borderId="84" xfId="43" applyFont="1" applyFill="1" applyBorder="1"/>
    <xf numFmtId="164" fontId="0" fillId="24" borderId="34" xfId="43" applyFont="1" applyFill="1" applyBorder="1"/>
    <xf numFmtId="164" fontId="0" fillId="24" borderId="12" xfId="43" applyFont="1" applyFill="1" applyBorder="1" applyAlignment="1">
      <alignment shrinkToFit="1"/>
    </xf>
    <xf numFmtId="164" fontId="0" fillId="24" borderId="85" xfId="43" applyFont="1" applyFill="1" applyBorder="1"/>
    <xf numFmtId="164" fontId="0" fillId="24" borderId="51" xfId="43" applyFont="1" applyFill="1" applyBorder="1"/>
    <xf numFmtId="164" fontId="27" fillId="24" borderId="51" xfId="43" applyFont="1" applyFill="1" applyBorder="1"/>
    <xf numFmtId="164" fontId="27" fillId="24" borderId="34" xfId="43" applyFont="1" applyFill="1" applyBorder="1"/>
    <xf numFmtId="164" fontId="0" fillId="27" borderId="86" xfId="43" applyFont="1" applyFill="1" applyBorder="1"/>
    <xf numFmtId="0" fontId="27" fillId="0" borderId="80" xfId="0" applyFont="1" applyBorder="1" applyAlignment="1">
      <alignment horizontal="left" indent="3"/>
    </xf>
    <xf numFmtId="164" fontId="0" fillId="24" borderId="79" xfId="43" applyFont="1" applyFill="1" applyBorder="1"/>
    <xf numFmtId="164" fontId="0" fillId="24" borderId="75" xfId="43" applyFont="1" applyFill="1" applyBorder="1"/>
    <xf numFmtId="0" fontId="27" fillId="0" borderId="81" xfId="0" applyFont="1" applyBorder="1" applyAlignment="1">
      <alignment horizontal="left" indent="1"/>
    </xf>
    <xf numFmtId="0" fontId="27" fillId="0" borderId="81" xfId="0" applyFont="1" applyBorder="1"/>
    <xf numFmtId="0" fontId="27" fillId="0" borderId="58" xfId="0" applyFont="1" applyBorder="1"/>
    <xf numFmtId="164" fontId="0" fillId="24" borderId="13" xfId="43" applyFont="1" applyFill="1" applyBorder="1"/>
    <xf numFmtId="164" fontId="27" fillId="24" borderId="13" xfId="43" applyFont="1" applyFill="1" applyBorder="1"/>
    <xf numFmtId="164" fontId="0" fillId="24" borderId="87" xfId="43" applyFont="1" applyFill="1" applyBorder="1"/>
    <xf numFmtId="164" fontId="27" fillId="24" borderId="13" xfId="43" applyFont="1" applyFill="1" applyBorder="1" applyAlignment="1">
      <alignment shrinkToFit="1"/>
    </xf>
    <xf numFmtId="164" fontId="0" fillId="24" borderId="58" xfId="43" applyFont="1" applyFill="1" applyBorder="1"/>
    <xf numFmtId="164" fontId="27" fillId="24" borderId="58" xfId="43" applyFont="1" applyFill="1" applyBorder="1"/>
    <xf numFmtId="164" fontId="27" fillId="24" borderId="81" xfId="43" applyFont="1" applyFill="1" applyBorder="1"/>
    <xf numFmtId="164" fontId="27" fillId="24" borderId="88" xfId="43" applyFont="1" applyFill="1" applyBorder="1"/>
    <xf numFmtId="164" fontId="27" fillId="24" borderId="69" xfId="43" applyFont="1" applyFill="1" applyBorder="1"/>
    <xf numFmtId="164" fontId="0" fillId="24" borderId="44" xfId="43" applyFont="1" applyFill="1" applyBorder="1" applyAlignment="1">
      <alignment shrinkToFit="1"/>
    </xf>
    <xf numFmtId="164" fontId="0" fillId="24" borderId="33" xfId="43" applyFont="1" applyFill="1" applyBorder="1" applyAlignment="1">
      <alignment shrinkToFit="1"/>
    </xf>
    <xf numFmtId="164" fontId="27" fillId="24" borderId="75" xfId="43" applyFont="1" applyFill="1" applyBorder="1"/>
    <xf numFmtId="164" fontId="27" fillId="27" borderId="76" xfId="0" applyNumberFormat="1" applyFont="1" applyFill="1" applyBorder="1"/>
    <xf numFmtId="164" fontId="0" fillId="27" borderId="76" xfId="43" applyFont="1" applyFill="1" applyBorder="1"/>
    <xf numFmtId="164" fontId="0" fillId="24" borderId="12" xfId="43" applyFont="1" applyFill="1" applyBorder="1" applyAlignment="1">
      <alignment horizontal="center"/>
    </xf>
    <xf numFmtId="0" fontId="0" fillId="24" borderId="30" xfId="0" applyFill="1" applyBorder="1" applyAlignment="1">
      <alignment horizontal="center"/>
    </xf>
    <xf numFmtId="164" fontId="0" fillId="24" borderId="50" xfId="43" applyFont="1" applyFill="1" applyBorder="1"/>
    <xf numFmtId="164" fontId="0" fillId="24" borderId="65" xfId="43" applyFont="1" applyFill="1" applyBorder="1"/>
    <xf numFmtId="164" fontId="0" fillId="24" borderId="66" xfId="43" applyFont="1" applyFill="1" applyBorder="1"/>
    <xf numFmtId="164" fontId="0" fillId="24" borderId="73" xfId="43" applyFont="1" applyFill="1" applyBorder="1"/>
    <xf numFmtId="164" fontId="0" fillId="24" borderId="67" xfId="43" applyFont="1" applyFill="1" applyBorder="1"/>
    <xf numFmtId="164" fontId="27" fillId="24" borderId="67" xfId="43" applyFont="1" applyFill="1" applyBorder="1"/>
    <xf numFmtId="164" fontId="0" fillId="24" borderId="50" xfId="43" applyFont="1" applyFill="1" applyBorder="1" applyAlignment="1">
      <alignment shrinkToFit="1"/>
    </xf>
    <xf numFmtId="164" fontId="27" fillId="0" borderId="58" xfId="43" applyFont="1" applyBorder="1"/>
    <xf numFmtId="0" fontId="27" fillId="0" borderId="69" xfId="0" applyFont="1" applyBorder="1"/>
    <xf numFmtId="164" fontId="0" fillId="0" borderId="0" xfId="43" applyFont="1" applyBorder="1"/>
    <xf numFmtId="164" fontId="27" fillId="0" borderId="69" xfId="43" applyFont="1" applyBorder="1"/>
    <xf numFmtId="164" fontId="27" fillId="24" borderId="26" xfId="43" applyFont="1" applyFill="1" applyBorder="1"/>
    <xf numFmtId="164" fontId="27" fillId="0" borderId="0" xfId="43" applyFont="1" applyFill="1"/>
    <xf numFmtId="0" fontId="27" fillId="24" borderId="41" xfId="0" applyFont="1" applyFill="1" applyBorder="1" applyAlignment="1">
      <alignment horizontal="left" indent="3" shrinkToFit="1"/>
    </xf>
    <xf numFmtId="0" fontId="27" fillId="24" borderId="42" xfId="0" applyFont="1" applyFill="1" applyBorder="1" applyAlignment="1">
      <alignment horizontal="left" indent="3" shrinkToFit="1"/>
    </xf>
    <xf numFmtId="0" fontId="27" fillId="0" borderId="41" xfId="0" applyFont="1" applyBorder="1" applyAlignment="1">
      <alignment horizontal="left" indent="3" shrinkToFit="1"/>
    </xf>
    <xf numFmtId="0" fontId="27" fillId="0" borderId="42" xfId="0" applyFont="1" applyBorder="1" applyAlignment="1">
      <alignment horizontal="left" indent="3" shrinkToFit="1"/>
    </xf>
    <xf numFmtId="0" fontId="25" fillId="24" borderId="41" xfId="0" applyFont="1" applyFill="1" applyBorder="1" applyAlignment="1">
      <alignment horizontal="center" shrinkToFit="1"/>
    </xf>
    <xf numFmtId="0" fontId="25" fillId="24" borderId="42" xfId="0" applyFont="1" applyFill="1" applyBorder="1" applyAlignment="1">
      <alignment horizontal="center" shrinkToFit="1"/>
    </xf>
    <xf numFmtId="164" fontId="27" fillId="24" borderId="37" xfId="43" applyFont="1" applyFill="1" applyBorder="1"/>
    <xf numFmtId="0" fontId="27" fillId="24" borderId="81" xfId="0" applyFont="1" applyFill="1" applyBorder="1" applyAlignment="1">
      <alignment horizontal="left" indent="3" shrinkToFit="1"/>
    </xf>
    <xf numFmtId="0" fontId="27" fillId="0" borderId="81" xfId="0" applyFont="1" applyBorder="1" applyAlignment="1">
      <alignment horizontal="left" indent="3" shrinkToFit="1"/>
    </xf>
    <xf numFmtId="164" fontId="0" fillId="0" borderId="40" xfId="43" applyFont="1" applyBorder="1"/>
    <xf numFmtId="164" fontId="0" fillId="0" borderId="51" xfId="43" applyFont="1" applyBorder="1"/>
    <xf numFmtId="164" fontId="0" fillId="0" borderId="40" xfId="43" applyFont="1" applyBorder="1" applyAlignment="1">
      <alignment shrinkToFit="1"/>
    </xf>
    <xf numFmtId="164" fontId="0" fillId="0" borderId="34" xfId="43" applyFont="1" applyBorder="1"/>
    <xf numFmtId="0" fontId="27" fillId="0" borderId="22" xfId="0" applyFont="1" applyBorder="1" applyAlignment="1">
      <alignment horizontal="left" indent="2"/>
    </xf>
    <xf numFmtId="164" fontId="0" fillId="24" borderId="69" xfId="43" applyFont="1" applyFill="1" applyBorder="1"/>
    <xf numFmtId="0" fontId="27" fillId="24" borderId="41" xfId="0" applyFont="1" applyFill="1" applyBorder="1" applyAlignment="1">
      <alignment horizontal="center"/>
    </xf>
    <xf numFmtId="0" fontId="27" fillId="24" borderId="42" xfId="0" applyFont="1" applyFill="1" applyBorder="1" applyAlignment="1">
      <alignment horizontal="center"/>
    </xf>
    <xf numFmtId="164" fontId="27" fillId="0" borderId="75" xfId="43" applyFont="1" applyBorder="1"/>
    <xf numFmtId="164" fontId="36" fillId="24" borderId="0" xfId="43" quotePrefix="1" applyFont="1" applyFill="1"/>
    <xf numFmtId="164" fontId="0" fillId="0" borderId="0" xfId="43" applyFont="1" applyBorder="1" applyAlignment="1">
      <alignment shrinkToFit="1"/>
    </xf>
    <xf numFmtId="164" fontId="0" fillId="0" borderId="0" xfId="0" applyNumberFormat="1"/>
    <xf numFmtId="0" fontId="36" fillId="0" borderId="0" xfId="0" applyFont="1" applyAlignment="1">
      <alignment horizontal="center"/>
    </xf>
    <xf numFmtId="164" fontId="36" fillId="0" borderId="12" xfId="43" applyFont="1" applyFill="1" applyBorder="1" applyAlignment="1">
      <alignment horizontal="center"/>
    </xf>
    <xf numFmtId="164" fontId="32" fillId="24" borderId="0" xfId="43" applyFont="1" applyFill="1" applyBorder="1" applyAlignment="1">
      <alignment horizontal="center"/>
    </xf>
    <xf numFmtId="164" fontId="27" fillId="0" borderId="28" xfId="43" quotePrefix="1" applyFont="1" applyBorder="1" applyAlignment="1">
      <alignment horizontal="center"/>
    </xf>
    <xf numFmtId="0" fontId="0" fillId="24" borderId="30" xfId="0" applyFill="1" applyBorder="1"/>
    <xf numFmtId="0" fontId="36" fillId="0" borderId="28" xfId="0" applyFont="1" applyBorder="1"/>
    <xf numFmtId="0" fontId="32" fillId="24" borderId="0" xfId="0" applyFont="1" applyFill="1"/>
    <xf numFmtId="0" fontId="33" fillId="0" borderId="41" xfId="0" applyFont="1" applyBorder="1"/>
    <xf numFmtId="0" fontId="33" fillId="0" borderId="42" xfId="0" applyFont="1" applyBorder="1"/>
    <xf numFmtId="164" fontId="26" fillId="29" borderId="39" xfId="43" applyFont="1" applyFill="1" applyBorder="1"/>
    <xf numFmtId="164" fontId="26" fillId="29" borderId="89" xfId="43" applyFont="1" applyFill="1" applyBorder="1"/>
    <xf numFmtId="0" fontId="33" fillId="24" borderId="42" xfId="0" applyFont="1" applyFill="1" applyBorder="1"/>
    <xf numFmtId="0" fontId="33" fillId="24" borderId="0" xfId="0" applyFont="1" applyFill="1"/>
    <xf numFmtId="164" fontId="0" fillId="0" borderId="33" xfId="43" applyFont="1" applyBorder="1" applyAlignment="1">
      <alignment shrinkToFit="1"/>
    </xf>
    <xf numFmtId="164" fontId="0" fillId="27" borderId="39" xfId="43" applyFont="1" applyFill="1" applyBorder="1" applyAlignment="1">
      <alignment shrinkToFit="1"/>
    </xf>
    <xf numFmtId="164" fontId="27" fillId="27" borderId="76" xfId="43" applyFont="1" applyFill="1" applyBorder="1"/>
    <xf numFmtId="164" fontId="0" fillId="0" borderId="44" xfId="43" applyFont="1" applyBorder="1" applyAlignment="1">
      <alignment shrinkToFit="1"/>
    </xf>
    <xf numFmtId="164" fontId="0" fillId="0" borderId="42" xfId="43" applyFont="1" applyBorder="1" applyAlignment="1">
      <alignment shrinkToFit="1"/>
    </xf>
    <xf numFmtId="164" fontId="0" fillId="0" borderId="42" xfId="43" applyFont="1" applyBorder="1"/>
    <xf numFmtId="0" fontId="27" fillId="0" borderId="80" xfId="0" applyFont="1" applyBorder="1"/>
    <xf numFmtId="164" fontId="27" fillId="0" borderId="51" xfId="43" applyFont="1" applyBorder="1"/>
    <xf numFmtId="0" fontId="27" fillId="24" borderId="22" xfId="0" applyFont="1" applyFill="1" applyBorder="1"/>
    <xf numFmtId="164" fontId="0" fillId="24" borderId="0" xfId="43" applyFont="1" applyFill="1" applyBorder="1" applyAlignment="1">
      <alignment shrinkToFit="1"/>
    </xf>
    <xf numFmtId="164" fontId="19" fillId="27" borderId="39" xfId="43" applyFont="1" applyFill="1" applyBorder="1"/>
    <xf numFmtId="0" fontId="0" fillId="0" borderId="22" xfId="0" applyBorder="1"/>
    <xf numFmtId="164" fontId="37" fillId="0" borderId="84" xfId="43" applyFont="1" applyBorder="1" applyAlignment="1">
      <alignment shrinkToFit="1"/>
    </xf>
    <xf numFmtId="164" fontId="0" fillId="0" borderId="13" xfId="43" applyFont="1" applyBorder="1" applyAlignment="1">
      <alignment shrinkToFit="1"/>
    </xf>
    <xf numFmtId="164" fontId="37" fillId="0" borderId="13" xfId="43" applyFont="1" applyBorder="1" applyAlignment="1">
      <alignment shrinkToFit="1"/>
    </xf>
    <xf numFmtId="164" fontId="37" fillId="0" borderId="16" xfId="43" applyFont="1" applyBorder="1" applyAlignment="1">
      <alignment shrinkToFit="1"/>
    </xf>
    <xf numFmtId="164" fontId="0" fillId="24" borderId="0" xfId="43" applyFont="1" applyFill="1"/>
    <xf numFmtId="164" fontId="0" fillId="0" borderId="62" xfId="43" applyFont="1" applyBorder="1"/>
    <xf numFmtId="164" fontId="27" fillId="0" borderId="62" xfId="43" applyFont="1" applyBorder="1"/>
    <xf numFmtId="164" fontId="0" fillId="0" borderId="61" xfId="43" applyFont="1" applyBorder="1"/>
    <xf numFmtId="164" fontId="0" fillId="0" borderId="60" xfId="43" applyFont="1" applyBorder="1"/>
    <xf numFmtId="164" fontId="0" fillId="0" borderId="91" xfId="43" applyFont="1" applyBorder="1"/>
    <xf numFmtId="164" fontId="27" fillId="0" borderId="91" xfId="43" applyFont="1" applyBorder="1"/>
    <xf numFmtId="164" fontId="0" fillId="0" borderId="62" xfId="43" applyFont="1" applyBorder="1" applyAlignment="1">
      <alignment shrinkToFit="1"/>
    </xf>
    <xf numFmtId="164" fontId="27" fillId="0" borderId="63" xfId="0" applyNumberFormat="1" applyFont="1" applyBorder="1"/>
    <xf numFmtId="164" fontId="19" fillId="27" borderId="86" xfId="43" applyFont="1" applyFill="1" applyBorder="1"/>
    <xf numFmtId="164" fontId="21" fillId="27" borderId="39" xfId="43" applyFont="1" applyFill="1" applyBorder="1"/>
    <xf numFmtId="0" fontId="0" fillId="0" borderId="41" xfId="0" applyBorder="1" applyAlignment="1">
      <alignment horizontal="left" indent="3"/>
    </xf>
    <xf numFmtId="164" fontId="27" fillId="0" borderId="16" xfId="0" applyNumberFormat="1" applyFont="1" applyBorder="1"/>
    <xf numFmtId="0" fontId="0" fillId="0" borderId="42" xfId="0" applyBorder="1"/>
    <xf numFmtId="164" fontId="0" fillId="27" borderId="86" xfId="43" applyFont="1" applyFill="1" applyBorder="1" applyAlignment="1">
      <alignment shrinkToFit="1"/>
    </xf>
    <xf numFmtId="164" fontId="27" fillId="27" borderId="86" xfId="43" applyFont="1" applyFill="1" applyBorder="1" applyAlignment="1">
      <alignment shrinkToFit="1"/>
    </xf>
    <xf numFmtId="164" fontId="27" fillId="27" borderId="39" xfId="43" applyFont="1" applyFill="1" applyBorder="1" applyAlignment="1">
      <alignment shrinkToFit="1"/>
    </xf>
    <xf numFmtId="0" fontId="0" fillId="24" borderId="0" xfId="0" applyFill="1"/>
    <xf numFmtId="164" fontId="0" fillId="24" borderId="85" xfId="43" applyFont="1" applyFill="1" applyBorder="1" applyAlignment="1">
      <alignment shrinkToFit="1"/>
    </xf>
    <xf numFmtId="164" fontId="0" fillId="24" borderId="34" xfId="43" applyFont="1" applyFill="1" applyBorder="1" applyAlignment="1">
      <alignment shrinkToFit="1"/>
    </xf>
    <xf numFmtId="164" fontId="0" fillId="0" borderId="51" xfId="43" applyFont="1" applyBorder="1" applyAlignment="1">
      <alignment shrinkToFit="1"/>
    </xf>
    <xf numFmtId="0" fontId="0" fillId="0" borderId="22" xfId="0" applyBorder="1" applyAlignment="1">
      <alignment horizontal="left" indent="3"/>
    </xf>
    <xf numFmtId="164" fontId="0" fillId="0" borderId="34" xfId="43" applyFont="1" applyBorder="1" applyAlignment="1">
      <alignment shrinkToFit="1"/>
    </xf>
    <xf numFmtId="164" fontId="0" fillId="0" borderId="37" xfId="43" applyFont="1" applyBorder="1" applyAlignment="1">
      <alignment shrinkToFit="1"/>
    </xf>
    <xf numFmtId="164" fontId="0" fillId="0" borderId="75" xfId="43" applyFont="1" applyBorder="1" applyAlignment="1">
      <alignment shrinkToFit="1"/>
    </xf>
    <xf numFmtId="164" fontId="27" fillId="0" borderId="90" xfId="0" applyNumberFormat="1" applyFont="1" applyBorder="1"/>
    <xf numFmtId="164" fontId="0" fillId="27" borderId="76" xfId="43" applyFont="1" applyFill="1" applyBorder="1" applyAlignment="1">
      <alignment shrinkToFit="1"/>
    </xf>
    <xf numFmtId="164" fontId="0" fillId="0" borderId="17" xfId="43" applyFont="1" applyBorder="1" applyAlignment="1">
      <alignment shrinkToFit="1"/>
    </xf>
    <xf numFmtId="0" fontId="26" fillId="0" borderId="22" xfId="0" applyFont="1" applyBorder="1"/>
    <xf numFmtId="164" fontId="26" fillId="28" borderId="86" xfId="43" applyFont="1" applyFill="1" applyBorder="1" applyAlignment="1">
      <alignment shrinkToFit="1"/>
    </xf>
    <xf numFmtId="164" fontId="26" fillId="0" borderId="0" xfId="43" applyFont="1"/>
    <xf numFmtId="164" fontId="26" fillId="24" borderId="0" xfId="43" applyFont="1" applyFill="1"/>
    <xf numFmtId="164" fontId="0" fillId="0" borderId="0" xfId="43" applyFont="1" applyAlignment="1">
      <alignment shrinkToFit="1"/>
    </xf>
    <xf numFmtId="0" fontId="0" fillId="0" borderId="24" xfId="0" applyBorder="1"/>
    <xf numFmtId="0" fontId="0" fillId="0" borderId="28" xfId="0" applyBorder="1"/>
    <xf numFmtId="164" fontId="0" fillId="0" borderId="27" xfId="43" applyFont="1" applyBorder="1" applyAlignment="1">
      <alignment shrinkToFit="1"/>
    </xf>
    <xf numFmtId="164" fontId="0" fillId="0" borderId="30" xfId="43" applyFont="1" applyBorder="1" applyAlignment="1">
      <alignment shrinkToFit="1"/>
    </xf>
    <xf numFmtId="164" fontId="0" fillId="0" borderId="31" xfId="43" applyFont="1" applyBorder="1" applyAlignment="1">
      <alignment shrinkToFit="1"/>
    </xf>
    <xf numFmtId="164" fontId="0" fillId="24" borderId="0" xfId="43" applyFont="1" applyFill="1" applyAlignment="1">
      <alignment shrinkToFit="1"/>
    </xf>
    <xf numFmtId="164" fontId="0" fillId="0" borderId="56" xfId="43" applyFont="1" applyBorder="1" applyAlignment="1">
      <alignment shrinkToFit="1"/>
    </xf>
    <xf numFmtId="164" fontId="0" fillId="0" borderId="0" xfId="43" applyFont="1" applyAlignment="1">
      <alignment horizontal="center" shrinkToFit="1"/>
    </xf>
    <xf numFmtId="164" fontId="22" fillId="0" borderId="0" xfId="43" applyFont="1" applyBorder="1" applyAlignment="1">
      <alignment horizontal="center" shrinkToFit="1"/>
    </xf>
    <xf numFmtId="0" fontId="26" fillId="28" borderId="39" xfId="0" applyFont="1" applyFill="1" applyBorder="1"/>
    <xf numFmtId="164" fontId="26" fillId="28" borderId="39" xfId="43" applyFont="1" applyFill="1" applyBorder="1" applyAlignment="1">
      <alignment shrinkToFit="1"/>
    </xf>
    <xf numFmtId="164" fontId="26" fillId="28" borderId="39" xfId="43" applyFont="1" applyFill="1" applyBorder="1" applyAlignment="1">
      <alignment horizontal="right" shrinkToFit="1"/>
    </xf>
    <xf numFmtId="164" fontId="0" fillId="0" borderId="0" xfId="43" applyFont="1" applyAlignment="1">
      <alignment horizontal="right" shrinkToFit="1"/>
    </xf>
    <xf numFmtId="164" fontId="0" fillId="24" borderId="0" xfId="43" applyFont="1" applyFill="1" applyAlignment="1">
      <alignment horizontal="right"/>
    </xf>
    <xf numFmtId="0" fontId="0" fillId="0" borderId="0" xfId="0" applyAlignment="1">
      <alignment horizontal="right"/>
    </xf>
    <xf numFmtId="0" fontId="38" fillId="29" borderId="0" xfId="0" applyFont="1" applyFill="1"/>
    <xf numFmtId="164" fontId="0" fillId="0" borderId="0" xfId="43" applyFont="1"/>
    <xf numFmtId="0" fontId="30" fillId="29" borderId="0" xfId="0" applyFont="1" applyFill="1"/>
    <xf numFmtId="0" fontId="0" fillId="29" borderId="0" xfId="0" applyFill="1"/>
    <xf numFmtId="164" fontId="0" fillId="29" borderId="0" xfId="43" applyFont="1" applyFill="1" applyAlignment="1">
      <alignment shrinkToFit="1"/>
    </xf>
    <xf numFmtId="164" fontId="23" fillId="29" borderId="0" xfId="43" applyFont="1" applyFill="1" applyAlignment="1">
      <alignment shrinkToFit="1"/>
    </xf>
    <xf numFmtId="164" fontId="0" fillId="29" borderId="0" xfId="43" applyFont="1" applyFill="1" applyAlignment="1">
      <alignment horizontal="right" shrinkToFit="1"/>
    </xf>
    <xf numFmtId="164" fontId="0" fillId="29" borderId="0" xfId="0" applyNumberFormat="1" applyFill="1" applyAlignment="1">
      <alignment horizontal="right"/>
    </xf>
    <xf numFmtId="164" fontId="0" fillId="29" borderId="0" xfId="43" applyFont="1" applyFill="1" applyAlignment="1">
      <alignment horizontal="right"/>
    </xf>
    <xf numFmtId="0" fontId="0" fillId="29" borderId="0" xfId="0" applyFill="1" applyAlignment="1">
      <alignment horizontal="right"/>
    </xf>
    <xf numFmtId="164" fontId="0" fillId="29" borderId="0" xfId="43" applyFont="1" applyFill="1"/>
    <xf numFmtId="164" fontId="0" fillId="0" borderId="0" xfId="43" applyFont="1" applyAlignment="1">
      <alignment horizontal="right"/>
    </xf>
    <xf numFmtId="43" fontId="0" fillId="0" borderId="0" xfId="0" applyNumberFormat="1"/>
    <xf numFmtId="0" fontId="39" fillId="0" borderId="0" xfId="0" applyFont="1" applyAlignment="1">
      <alignment vertical="center"/>
    </xf>
    <xf numFmtId="164" fontId="39" fillId="0" borderId="0" xfId="42" applyFont="1" applyAlignment="1">
      <alignment vertical="center"/>
    </xf>
    <xf numFmtId="164" fontId="40" fillId="0" borderId="0" xfId="42" applyFont="1" applyAlignment="1">
      <alignment horizontal="right" vertical="center"/>
    </xf>
    <xf numFmtId="164" fontId="39" fillId="0" borderId="93" xfId="42" applyFont="1" applyBorder="1" applyAlignment="1">
      <alignment horizontal="center" vertical="center" shrinkToFit="1"/>
    </xf>
    <xf numFmtId="164" fontId="41" fillId="26" borderId="93" xfId="42" applyFont="1" applyFill="1" applyBorder="1" applyAlignment="1">
      <alignment horizontal="center" vertical="center" shrinkToFit="1"/>
    </xf>
    <xf numFmtId="164" fontId="41" fillId="30" borderId="93" xfId="42" applyFont="1" applyFill="1" applyBorder="1" applyAlignment="1">
      <alignment horizontal="center" vertical="center" shrinkToFit="1"/>
    </xf>
    <xf numFmtId="164" fontId="41" fillId="32" borderId="93" xfId="42" applyFont="1" applyFill="1" applyBorder="1" applyAlignment="1">
      <alignment horizontal="center" vertical="center" shrinkToFit="1"/>
    </xf>
    <xf numFmtId="164" fontId="41" fillId="33" borderId="93" xfId="42" applyFont="1" applyFill="1" applyBorder="1" applyAlignment="1">
      <alignment horizontal="center" vertical="center" shrinkToFit="1"/>
    </xf>
    <xf numFmtId="164" fontId="42" fillId="30" borderId="93" xfId="42" applyFont="1" applyFill="1" applyBorder="1" applyAlignment="1">
      <alignment horizontal="center" vertical="center" shrinkToFit="1"/>
    </xf>
    <xf numFmtId="164" fontId="39" fillId="0" borderId="93" xfId="42" applyFont="1" applyBorder="1" applyAlignment="1">
      <alignment horizontal="center" vertical="center"/>
    </xf>
    <xf numFmtId="164" fontId="39" fillId="0" borderId="32" xfId="42" applyFont="1" applyBorder="1" applyAlignment="1">
      <alignment horizontal="center" vertical="center"/>
    </xf>
    <xf numFmtId="0" fontId="39" fillId="0" borderId="0" xfId="0" applyFont="1" applyAlignment="1">
      <alignment horizontal="left" vertical="center"/>
    </xf>
    <xf numFmtId="0" fontId="39" fillId="0" borderId="0" xfId="0" applyFont="1" applyAlignment="1">
      <alignment horizontal="center" vertical="center"/>
    </xf>
    <xf numFmtId="164" fontId="39" fillId="0" borderId="95" xfId="42" applyFont="1" applyBorder="1" applyAlignment="1">
      <alignment horizontal="center" vertical="center" shrinkToFit="1"/>
    </xf>
    <xf numFmtId="164" fontId="43" fillId="26" borderId="95" xfId="42" applyFont="1" applyFill="1" applyBorder="1" applyAlignment="1">
      <alignment horizontal="center" vertical="center" shrinkToFit="1"/>
    </xf>
    <xf numFmtId="164" fontId="43" fillId="30" borderId="95" xfId="42" applyFont="1" applyFill="1" applyBorder="1" applyAlignment="1">
      <alignment horizontal="center" vertical="center" shrinkToFit="1"/>
    </xf>
    <xf numFmtId="164" fontId="43" fillId="31" borderId="95" xfId="42" applyFont="1" applyFill="1" applyBorder="1" applyAlignment="1">
      <alignment horizontal="center" vertical="center" shrinkToFit="1"/>
    </xf>
    <xf numFmtId="164" fontId="43" fillId="32" borderId="95" xfId="42" applyFont="1" applyFill="1" applyBorder="1" applyAlignment="1">
      <alignment horizontal="center" vertical="center" shrinkToFit="1"/>
    </xf>
    <xf numFmtId="164" fontId="43" fillId="33" borderId="95" xfId="42" applyFont="1" applyFill="1" applyBorder="1" applyAlignment="1">
      <alignment horizontal="center" vertical="center" shrinkToFit="1"/>
    </xf>
    <xf numFmtId="164" fontId="39" fillId="0" borderId="95" xfId="42" applyFont="1" applyBorder="1" applyAlignment="1">
      <alignment horizontal="center" vertical="center"/>
    </xf>
    <xf numFmtId="164" fontId="39" fillId="0" borderId="0" xfId="42" applyFont="1" applyBorder="1" applyAlignment="1">
      <alignment horizontal="center" vertical="center"/>
    </xf>
    <xf numFmtId="164" fontId="44" fillId="30" borderId="95" xfId="42" applyFont="1" applyFill="1" applyBorder="1" applyAlignment="1">
      <alignment horizontal="center" vertical="center" shrinkToFit="1"/>
    </xf>
    <xf numFmtId="164" fontId="39" fillId="0" borderId="97" xfId="42" quotePrefix="1" applyFont="1" applyBorder="1" applyAlignment="1">
      <alignment horizontal="center" vertical="center" shrinkToFit="1"/>
    </xf>
    <xf numFmtId="164" fontId="45" fillId="0" borderId="97" xfId="42" applyFont="1" applyBorder="1" applyAlignment="1">
      <alignment horizontal="center" vertical="center" shrinkToFit="1"/>
    </xf>
    <xf numFmtId="164" fontId="43" fillId="26" borderId="97" xfId="42" applyFont="1" applyFill="1" applyBorder="1" applyAlignment="1">
      <alignment horizontal="center" vertical="center" shrinkToFit="1"/>
    </xf>
    <xf numFmtId="164" fontId="43" fillId="30" borderId="97" xfId="42" applyFont="1" applyFill="1" applyBorder="1" applyAlignment="1">
      <alignment horizontal="center" vertical="center" shrinkToFit="1"/>
    </xf>
    <xf numFmtId="15" fontId="43" fillId="33" borderId="97" xfId="42" applyNumberFormat="1" applyFont="1" applyFill="1" applyBorder="1" applyAlignment="1">
      <alignment horizontal="center" vertical="center" shrinkToFit="1"/>
    </xf>
    <xf numFmtId="15" fontId="43" fillId="30" borderId="97" xfId="42" applyNumberFormat="1" applyFont="1" applyFill="1" applyBorder="1" applyAlignment="1">
      <alignment horizontal="center" vertical="center" shrinkToFit="1"/>
    </xf>
    <xf numFmtId="14" fontId="43" fillId="30" borderId="97" xfId="42" applyNumberFormat="1" applyFont="1" applyFill="1" applyBorder="1" applyAlignment="1">
      <alignment horizontal="center" vertical="center" shrinkToFit="1"/>
    </xf>
    <xf numFmtId="164" fontId="39" fillId="0" borderId="97" xfId="42" applyFont="1" applyBorder="1" applyAlignment="1">
      <alignment horizontal="center" vertical="center"/>
    </xf>
    <xf numFmtId="164" fontId="46" fillId="0" borderId="11" xfId="42" quotePrefix="1" applyFont="1" applyBorder="1" applyAlignment="1">
      <alignment horizontal="center" vertical="center"/>
    </xf>
    <xf numFmtId="164" fontId="46" fillId="0" borderId="97" xfId="42" quotePrefix="1" applyFont="1" applyBorder="1" applyAlignment="1">
      <alignment horizontal="center" vertical="center"/>
    </xf>
    <xf numFmtId="164" fontId="39" fillId="0" borderId="95" xfId="42" quotePrefix="1" applyFont="1" applyBorder="1" applyAlignment="1">
      <alignment horizontal="center" vertical="center"/>
    </xf>
    <xf numFmtId="164" fontId="39" fillId="0" borderId="95" xfId="42" quotePrefix="1" applyFont="1" applyBorder="1" applyAlignment="1">
      <alignment horizontal="center" vertical="center" shrinkToFit="1"/>
    </xf>
    <xf numFmtId="164" fontId="39" fillId="0" borderId="0" xfId="42" quotePrefix="1" applyFont="1" applyBorder="1" applyAlignment="1">
      <alignment horizontal="center" vertical="center"/>
    </xf>
    <xf numFmtId="164" fontId="39" fillId="0" borderId="0" xfId="42" applyFont="1" applyAlignment="1">
      <alignment horizontal="center" vertical="center"/>
    </xf>
    <xf numFmtId="0" fontId="42" fillId="0" borderId="98" xfId="0" applyFont="1" applyBorder="1" applyAlignment="1">
      <alignment vertical="center"/>
    </xf>
    <xf numFmtId="0" fontId="39" fillId="0" borderId="42" xfId="0" applyFont="1" applyBorder="1" applyAlignment="1">
      <alignment vertical="center"/>
    </xf>
    <xf numFmtId="164" fontId="39" fillId="0" borderId="99" xfId="42" applyFont="1" applyBorder="1" applyAlignment="1">
      <alignment horizontal="right" vertical="center"/>
    </xf>
    <xf numFmtId="164" fontId="44" fillId="0" borderId="99" xfId="42" applyFont="1" applyBorder="1" applyAlignment="1">
      <alignment horizontal="right" vertical="center"/>
    </xf>
    <xf numFmtId="164" fontId="39" fillId="0" borderId="42" xfId="42" applyFont="1" applyBorder="1" applyAlignment="1">
      <alignment horizontal="right" vertical="center"/>
    </xf>
    <xf numFmtId="0" fontId="39" fillId="0" borderId="98" xfId="0" applyFont="1" applyBorder="1" applyAlignment="1">
      <alignment horizontal="left" vertical="center"/>
    </xf>
    <xf numFmtId="164" fontId="47" fillId="0" borderId="42" xfId="42" applyFont="1" applyBorder="1" applyAlignment="1">
      <alignment horizontal="right" vertical="center"/>
    </xf>
    <xf numFmtId="0" fontId="45" fillId="0" borderId="98" xfId="0" applyFont="1" applyBorder="1" applyAlignment="1">
      <alignment vertical="center"/>
    </xf>
    <xf numFmtId="43" fontId="39" fillId="0" borderId="98" xfId="0" applyNumberFormat="1" applyFont="1" applyBorder="1" applyAlignment="1">
      <alignment vertical="center"/>
    </xf>
    <xf numFmtId="0" fontId="39" fillId="0" borderId="98" xfId="0" applyFont="1" applyBorder="1" applyAlignment="1">
      <alignment vertical="center"/>
    </xf>
    <xf numFmtId="0" fontId="45" fillId="24" borderId="42" xfId="0" applyFont="1" applyFill="1" applyBorder="1" applyAlignment="1">
      <alignment vertical="center"/>
    </xf>
    <xf numFmtId="0" fontId="39" fillId="24" borderId="42" xfId="0" applyFont="1" applyFill="1" applyBorder="1" applyAlignment="1">
      <alignment vertical="center"/>
    </xf>
    <xf numFmtId="0" fontId="39" fillId="0" borderId="100" xfId="0" applyFont="1" applyBorder="1" applyAlignment="1">
      <alignment vertical="center"/>
    </xf>
    <xf numFmtId="0" fontId="39" fillId="0" borderId="42" xfId="0" applyFont="1" applyBorder="1" applyAlignment="1">
      <alignment horizontal="left" vertical="center"/>
    </xf>
    <xf numFmtId="164" fontId="39" fillId="27" borderId="35" xfId="42" applyFont="1" applyFill="1" applyBorder="1" applyAlignment="1">
      <alignment horizontal="right" vertical="center"/>
    </xf>
    <xf numFmtId="0" fontId="44" fillId="0" borderId="100" xfId="0" applyFont="1" applyBorder="1" applyAlignment="1">
      <alignment vertical="center"/>
    </xf>
    <xf numFmtId="164" fontId="48" fillId="27" borderId="95" xfId="42" applyFont="1" applyFill="1" applyBorder="1" applyAlignment="1">
      <alignment horizontal="right" vertical="center"/>
    </xf>
    <xf numFmtId="164" fontId="39" fillId="0" borderId="42" xfId="0" applyNumberFormat="1" applyFont="1" applyBorder="1" applyAlignment="1">
      <alignment vertical="center"/>
    </xf>
    <xf numFmtId="164" fontId="43" fillId="0" borderId="95" xfId="42" applyFont="1" applyBorder="1" applyAlignment="1">
      <alignment horizontal="right" vertical="center"/>
    </xf>
    <xf numFmtId="0" fontId="42" fillId="0" borderId="98" xfId="0" applyFont="1" applyBorder="1" applyAlignment="1">
      <alignment horizontal="left" vertical="center"/>
    </xf>
    <xf numFmtId="0" fontId="42" fillId="0" borderId="42" xfId="0" applyFont="1" applyBorder="1" applyAlignment="1">
      <alignment vertical="center"/>
    </xf>
    <xf numFmtId="0" fontId="42" fillId="0" borderId="100" xfId="0" applyFont="1" applyBorder="1" applyAlignment="1">
      <alignment vertical="center"/>
    </xf>
    <xf numFmtId="164" fontId="42" fillId="29" borderId="35" xfId="42" applyFont="1" applyFill="1" applyBorder="1" applyAlignment="1">
      <alignment horizontal="right" vertical="center"/>
    </xf>
    <xf numFmtId="0" fontId="42" fillId="0" borderId="0" xfId="0" applyFont="1" applyAlignment="1">
      <alignment vertical="center"/>
    </xf>
    <xf numFmtId="0" fontId="39" fillId="0" borderId="96" xfId="0" applyFont="1" applyBorder="1" applyAlignment="1">
      <alignment vertical="center"/>
    </xf>
    <xf numFmtId="0" fontId="39" fillId="0" borderId="11" xfId="0" applyFont="1" applyBorder="1" applyAlignment="1">
      <alignment vertical="center"/>
    </xf>
    <xf numFmtId="164" fontId="39" fillId="0" borderId="97" xfId="42" applyFont="1" applyBorder="1" applyAlignment="1">
      <alignment horizontal="right" vertical="center"/>
    </xf>
    <xf numFmtId="164" fontId="39" fillId="0" borderId="11" xfId="42" applyFont="1" applyBorder="1" applyAlignment="1">
      <alignment horizontal="right" vertical="center"/>
    </xf>
    <xf numFmtId="0" fontId="39" fillId="0" borderId="101" xfId="0" applyFont="1" applyBorder="1" applyAlignment="1">
      <alignment vertical="center"/>
    </xf>
    <xf numFmtId="0" fontId="39" fillId="0" borderId="101" xfId="0" applyFont="1" applyBorder="1" applyAlignment="1">
      <alignment horizontal="right" vertical="center"/>
    </xf>
    <xf numFmtId="164" fontId="39" fillId="0" borderId="101" xfId="42" applyFont="1" applyBorder="1" applyAlignment="1">
      <alignment horizontal="right" vertical="center"/>
    </xf>
    <xf numFmtId="164" fontId="39" fillId="0" borderId="100" xfId="42" applyFont="1" applyBorder="1" applyAlignment="1">
      <alignment horizontal="right" vertical="center"/>
    </xf>
    <xf numFmtId="0" fontId="39" fillId="0" borderId="94" xfId="0" applyFont="1" applyBorder="1" applyAlignment="1">
      <alignment vertical="center"/>
    </xf>
    <xf numFmtId="164" fontId="39" fillId="0" borderId="95" xfId="42" applyFont="1" applyBorder="1" applyAlignment="1">
      <alignment horizontal="right" vertical="center"/>
    </xf>
    <xf numFmtId="164" fontId="39" fillId="0" borderId="99" xfId="42" applyFont="1" applyFill="1" applyBorder="1" applyAlignment="1">
      <alignment horizontal="right" vertical="center"/>
    </xf>
    <xf numFmtId="164" fontId="47" fillId="0" borderId="99" xfId="42" applyFont="1" applyBorder="1" applyAlignment="1">
      <alignment horizontal="right" vertical="center"/>
    </xf>
    <xf numFmtId="0" fontId="45" fillId="0" borderId="98" xfId="0" applyFont="1" applyBorder="1" applyAlignment="1">
      <alignment horizontal="left" vertical="center"/>
    </xf>
    <xf numFmtId="164" fontId="39" fillId="0" borderId="95" xfId="42" applyFont="1" applyFill="1" applyBorder="1" applyAlignment="1">
      <alignment horizontal="right" vertical="center"/>
    </xf>
    <xf numFmtId="164" fontId="47" fillId="0" borderId="95" xfId="42" applyFont="1" applyBorder="1" applyAlignment="1">
      <alignment horizontal="right" vertical="center"/>
    </xf>
    <xf numFmtId="0" fontId="39" fillId="0" borderId="102" xfId="0" applyFont="1" applyBorder="1" applyAlignment="1">
      <alignment vertical="center"/>
    </xf>
    <xf numFmtId="0" fontId="39" fillId="0" borderId="10" xfId="0" applyFont="1" applyBorder="1" applyAlignment="1">
      <alignment vertical="center"/>
    </xf>
    <xf numFmtId="164" fontId="39" fillId="0" borderId="103" xfId="42" applyFont="1" applyBorder="1" applyAlignment="1">
      <alignment horizontal="right" vertical="center"/>
    </xf>
    <xf numFmtId="164" fontId="39" fillId="0" borderId="104" xfId="42" applyFont="1" applyBorder="1" applyAlignment="1">
      <alignment horizontal="right" vertical="center"/>
    </xf>
    <xf numFmtId="0" fontId="39" fillId="0" borderId="105" xfId="0" applyFont="1" applyBorder="1" applyAlignment="1">
      <alignment horizontal="left" vertical="center"/>
    </xf>
    <xf numFmtId="0" fontId="39" fillId="0" borderId="66" xfId="0" applyFont="1" applyBorder="1" applyAlignment="1">
      <alignment vertical="center"/>
    </xf>
    <xf numFmtId="164" fontId="39" fillId="0" borderId="106" xfId="42" applyFont="1" applyBorder="1" applyAlignment="1">
      <alignment horizontal="right" vertical="center"/>
    </xf>
    <xf numFmtId="164" fontId="39" fillId="0" borderId="107" xfId="42" applyFont="1" applyBorder="1" applyAlignment="1">
      <alignment horizontal="right" vertical="center"/>
    </xf>
    <xf numFmtId="164" fontId="39" fillId="0" borderId="108" xfId="42" applyFont="1" applyBorder="1" applyAlignment="1">
      <alignment horizontal="right" vertical="center"/>
    </xf>
    <xf numFmtId="164" fontId="39" fillId="27" borderId="109" xfId="42" applyFont="1" applyFill="1" applyBorder="1" applyAlignment="1">
      <alignment horizontal="right" vertical="center"/>
    </xf>
    <xf numFmtId="0" fontId="39" fillId="0" borderId="107" xfId="0" applyFont="1" applyBorder="1" applyAlignment="1">
      <alignment vertical="center"/>
    </xf>
    <xf numFmtId="164" fontId="39" fillId="0" borderId="106" xfId="42" applyFont="1" applyFill="1" applyBorder="1" applyAlignment="1">
      <alignment horizontal="right" vertical="center"/>
    </xf>
    <xf numFmtId="164" fontId="47" fillId="0" borderId="106" xfId="42" applyFont="1" applyBorder="1" applyAlignment="1">
      <alignment horizontal="right" vertical="center"/>
    </xf>
    <xf numFmtId="164" fontId="39" fillId="0" borderId="110" xfId="42" applyFont="1" applyFill="1" applyBorder="1" applyAlignment="1">
      <alignment horizontal="right" vertical="center"/>
    </xf>
    <xf numFmtId="164" fontId="39" fillId="0" borderId="110" xfId="42" applyFont="1" applyBorder="1" applyAlignment="1">
      <alignment horizontal="right" vertical="center"/>
    </xf>
    <xf numFmtId="164" fontId="47" fillId="0" borderId="110" xfId="42" applyFont="1" applyBorder="1" applyAlignment="1">
      <alignment horizontal="right" vertical="center"/>
    </xf>
    <xf numFmtId="164" fontId="39" fillId="0" borderId="111" xfId="42" applyFont="1" applyBorder="1" applyAlignment="1">
      <alignment horizontal="right" vertical="center"/>
    </xf>
    <xf numFmtId="164" fontId="48" fillId="27" borderId="94" xfId="42" applyFont="1" applyFill="1" applyBorder="1" applyAlignment="1">
      <alignment horizontal="right" vertical="center"/>
    </xf>
    <xf numFmtId="164" fontId="48" fillId="27" borderId="93" xfId="42" applyFont="1" applyFill="1" applyBorder="1" applyAlignment="1">
      <alignment horizontal="right" vertical="center"/>
    </xf>
    <xf numFmtId="164" fontId="43" fillId="0" borderId="94" xfId="42" applyFont="1" applyBorder="1" applyAlignment="1">
      <alignment horizontal="right" vertical="center"/>
    </xf>
    <xf numFmtId="164" fontId="47" fillId="0" borderId="105" xfId="42" applyFont="1" applyBorder="1" applyAlignment="1">
      <alignment horizontal="right" vertical="center"/>
    </xf>
    <xf numFmtId="164" fontId="47" fillId="0" borderId="98" xfId="42" applyFont="1" applyBorder="1" applyAlignment="1">
      <alignment horizontal="right" vertical="center"/>
    </xf>
    <xf numFmtId="164" fontId="47" fillId="0" borderId="94" xfId="42" applyFont="1" applyBorder="1" applyAlignment="1">
      <alignment horizontal="right" vertical="center"/>
    </xf>
    <xf numFmtId="164" fontId="39" fillId="0" borderId="94" xfId="42" applyFont="1" applyBorder="1" applyAlignment="1">
      <alignment horizontal="right" vertical="center"/>
    </xf>
    <xf numFmtId="164" fontId="39" fillId="0" borderId="112" xfId="42" applyFont="1" applyBorder="1" applyAlignment="1">
      <alignment horizontal="right" vertical="center"/>
    </xf>
    <xf numFmtId="164" fontId="39" fillId="24" borderId="103" xfId="42" applyFont="1" applyFill="1" applyBorder="1" applyAlignment="1">
      <alignment horizontal="right" vertical="center"/>
    </xf>
    <xf numFmtId="0" fontId="49" fillId="0" borderId="100" xfId="0" applyFont="1" applyBorder="1" applyAlignment="1">
      <alignment vertical="center"/>
    </xf>
    <xf numFmtId="164" fontId="47" fillId="0" borderId="112" xfId="42" applyFont="1" applyBorder="1" applyAlignment="1">
      <alignment horizontal="right" vertical="center"/>
    </xf>
    <xf numFmtId="164" fontId="39" fillId="0" borderId="113" xfId="42" applyFont="1" applyBorder="1" applyAlignment="1">
      <alignment horizontal="right" vertical="center"/>
    </xf>
    <xf numFmtId="164" fontId="47" fillId="0" borderId="97" xfId="42" applyFont="1" applyBorder="1" applyAlignment="1">
      <alignment horizontal="right" vertical="center"/>
    </xf>
    <xf numFmtId="164" fontId="39" fillId="0" borderId="114" xfId="42" applyFont="1" applyBorder="1" applyAlignment="1">
      <alignment horizontal="right" vertical="center"/>
    </xf>
    <xf numFmtId="0" fontId="39" fillId="0" borderId="102" xfId="0" applyFont="1" applyBorder="1" applyAlignment="1">
      <alignment horizontal="left" vertical="center"/>
    </xf>
    <xf numFmtId="164" fontId="47" fillId="0" borderId="99" xfId="42" applyFont="1" applyFill="1" applyBorder="1" applyAlignment="1">
      <alignment horizontal="right" vertical="center"/>
    </xf>
    <xf numFmtId="164" fontId="39" fillId="0" borderId="100" xfId="42" applyFont="1" applyFill="1" applyBorder="1" applyAlignment="1">
      <alignment horizontal="right" vertical="center"/>
    </xf>
    <xf numFmtId="164" fontId="39" fillId="27" borderId="101" xfId="42" applyFont="1" applyFill="1" applyBorder="1" applyAlignment="1">
      <alignment horizontal="right" vertical="center"/>
    </xf>
    <xf numFmtId="0" fontId="44" fillId="0" borderId="42" xfId="0" applyFont="1" applyBorder="1" applyAlignment="1">
      <alignment vertical="center"/>
    </xf>
    <xf numFmtId="0" fontId="39" fillId="0" borderId="115" xfId="0" applyFont="1" applyBorder="1" applyAlignment="1">
      <alignment horizontal="left" vertical="center"/>
    </xf>
    <xf numFmtId="0" fontId="39" fillId="0" borderId="81" xfId="0" applyFont="1" applyBorder="1" applyAlignment="1">
      <alignment vertical="center"/>
    </xf>
    <xf numFmtId="164" fontId="39" fillId="0" borderId="0" xfId="42" applyFont="1" applyBorder="1" applyAlignment="1">
      <alignment horizontal="right" vertical="center"/>
    </xf>
    <xf numFmtId="0" fontId="45" fillId="0" borderId="115" xfId="0" applyFont="1" applyBorder="1" applyAlignment="1">
      <alignment horizontal="left" vertical="center"/>
    </xf>
    <xf numFmtId="0" fontId="39" fillId="0" borderId="81" xfId="0" applyFont="1" applyBorder="1" applyAlignment="1">
      <alignment horizontal="left" vertical="center"/>
    </xf>
    <xf numFmtId="0" fontId="39" fillId="0" borderId="116" xfId="0" applyFont="1" applyBorder="1" applyAlignment="1">
      <alignment horizontal="left" vertical="center"/>
    </xf>
    <xf numFmtId="0" fontId="39" fillId="0" borderId="117" xfId="0" applyFont="1" applyBorder="1" applyAlignment="1">
      <alignment vertical="center"/>
    </xf>
    <xf numFmtId="164" fontId="39" fillId="0" borderId="96" xfId="42" applyFont="1" applyFill="1" applyBorder="1" applyAlignment="1">
      <alignment horizontal="right" vertical="center"/>
    </xf>
    <xf numFmtId="164" fontId="47" fillId="0" borderId="114" xfId="42" applyFont="1" applyBorder="1" applyAlignment="1">
      <alignment horizontal="right" vertical="center"/>
    </xf>
    <xf numFmtId="164" fontId="39" fillId="27" borderId="118" xfId="42" applyFont="1" applyFill="1" applyBorder="1" applyAlignment="1">
      <alignment horizontal="right" vertical="center"/>
    </xf>
    <xf numFmtId="164" fontId="39" fillId="0" borderId="119" xfId="42" applyFont="1" applyFill="1" applyBorder="1" applyAlignment="1">
      <alignment horizontal="right" vertical="center"/>
    </xf>
    <xf numFmtId="164" fontId="47" fillId="0" borderId="113" xfId="42" applyFont="1" applyBorder="1" applyAlignment="1">
      <alignment horizontal="right" vertical="center"/>
    </xf>
    <xf numFmtId="164" fontId="39" fillId="0" borderId="98" xfId="42" applyFont="1" applyFill="1" applyBorder="1" applyAlignment="1">
      <alignment horizontal="right" vertical="center"/>
    </xf>
    <xf numFmtId="164" fontId="47" fillId="0" borderId="100" xfId="42" applyFont="1" applyBorder="1" applyAlignment="1">
      <alignment horizontal="right" vertical="center"/>
    </xf>
    <xf numFmtId="164" fontId="39" fillId="0" borderId="94" xfId="42" applyFont="1" applyFill="1" applyBorder="1" applyAlignment="1">
      <alignment horizontal="right" vertical="center"/>
    </xf>
    <xf numFmtId="0" fontId="39" fillId="0" borderId="120" xfId="0" applyFont="1" applyBorder="1" applyAlignment="1">
      <alignment horizontal="left" vertical="center"/>
    </xf>
    <xf numFmtId="0" fontId="39" fillId="0" borderId="121" xfId="0" applyFont="1" applyBorder="1" applyAlignment="1">
      <alignment horizontal="left" vertical="center"/>
    </xf>
    <xf numFmtId="0" fontId="39" fillId="0" borderId="121" xfId="0" applyFont="1" applyBorder="1" applyAlignment="1">
      <alignment vertical="center"/>
    </xf>
    <xf numFmtId="0" fontId="39" fillId="0" borderId="122" xfId="0" applyFont="1" applyBorder="1" applyAlignment="1">
      <alignment vertical="center"/>
    </xf>
    <xf numFmtId="164" fontId="47" fillId="0" borderId="108" xfId="42" applyFont="1" applyBorder="1" applyAlignment="1">
      <alignment horizontal="right" vertical="center"/>
    </xf>
    <xf numFmtId="164" fontId="39" fillId="27" borderId="93" xfId="42" applyFont="1" applyFill="1" applyBorder="1" applyAlignment="1">
      <alignment horizontal="right" vertical="center"/>
    </xf>
    <xf numFmtId="164" fontId="48" fillId="27" borderId="108" xfId="42" applyFont="1" applyFill="1" applyBorder="1" applyAlignment="1">
      <alignment horizontal="right" vertical="center"/>
    </xf>
    <xf numFmtId="164" fontId="43" fillId="0" borderId="124" xfId="42" applyFont="1" applyBorder="1" applyAlignment="1">
      <alignment horizontal="right" vertical="center"/>
    </xf>
    <xf numFmtId="164" fontId="43" fillId="0" borderId="108" xfId="42" applyFont="1" applyBorder="1" applyAlignment="1">
      <alignment horizontal="right" vertical="center"/>
    </xf>
    <xf numFmtId="0" fontId="39" fillId="0" borderId="94" xfId="0" applyFont="1" applyBorder="1" applyAlignment="1">
      <alignment horizontal="left" vertical="center"/>
    </xf>
    <xf numFmtId="164" fontId="39" fillId="0" borderId="124" xfId="42" applyFont="1" applyBorder="1" applyAlignment="1">
      <alignment horizontal="right" vertical="center"/>
    </xf>
    <xf numFmtId="164" fontId="39" fillId="0" borderId="125" xfId="42" applyFont="1" applyBorder="1" applyAlignment="1">
      <alignment horizontal="right" vertical="center"/>
    </xf>
    <xf numFmtId="164" fontId="39" fillId="0" borderId="120" xfId="42" applyFont="1" applyFill="1" applyBorder="1" applyAlignment="1">
      <alignment horizontal="right" vertical="center"/>
    </xf>
    <xf numFmtId="164" fontId="39" fillId="0" borderId="126" xfId="42" applyFont="1" applyBorder="1" applyAlignment="1">
      <alignment horizontal="right" vertical="center"/>
    </xf>
    <xf numFmtId="164" fontId="39" fillId="0" borderId="121" xfId="42" applyFont="1" applyBorder="1" applyAlignment="1">
      <alignment horizontal="right" vertical="center"/>
    </xf>
    <xf numFmtId="164" fontId="39" fillId="0" borderId="127" xfId="42" applyFont="1" applyBorder="1" applyAlignment="1">
      <alignment horizontal="right" vertical="center"/>
    </xf>
    <xf numFmtId="164" fontId="47" fillId="0" borderId="127" xfId="42" applyFont="1" applyBorder="1" applyAlignment="1">
      <alignment horizontal="right" vertical="center"/>
    </xf>
    <xf numFmtId="164" fontId="39" fillId="0" borderId="122" xfId="42" applyFont="1" applyBorder="1" applyAlignment="1">
      <alignment horizontal="right" vertical="center"/>
    </xf>
    <xf numFmtId="164" fontId="39" fillId="0" borderId="128" xfId="42" applyFont="1" applyFill="1" applyBorder="1" applyAlignment="1">
      <alignment horizontal="right" vertical="center"/>
    </xf>
    <xf numFmtId="164" fontId="39" fillId="0" borderId="129" xfId="42" applyFont="1" applyBorder="1" applyAlignment="1">
      <alignment horizontal="right" vertical="center"/>
    </xf>
    <xf numFmtId="164" fontId="39" fillId="0" borderId="130" xfId="42" applyFont="1" applyBorder="1" applyAlignment="1">
      <alignment horizontal="right" vertical="center"/>
    </xf>
    <xf numFmtId="164" fontId="39" fillId="0" borderId="131" xfId="42" applyFont="1" applyBorder="1" applyAlignment="1">
      <alignment horizontal="right" vertical="center"/>
    </xf>
    <xf numFmtId="164" fontId="47" fillId="0" borderId="131" xfId="42" applyFont="1" applyBorder="1" applyAlignment="1">
      <alignment horizontal="right" vertical="center"/>
    </xf>
    <xf numFmtId="164" fontId="39" fillId="0" borderId="132" xfId="42" applyFont="1" applyBorder="1" applyAlignment="1">
      <alignment horizontal="right" vertical="center"/>
    </xf>
    <xf numFmtId="164" fontId="39" fillId="0" borderId="133" xfId="42" applyFont="1" applyBorder="1" applyAlignment="1">
      <alignment horizontal="right" vertical="center"/>
    </xf>
    <xf numFmtId="164" fontId="39" fillId="27" borderId="97" xfId="42" applyFont="1" applyFill="1" applyBorder="1" applyAlignment="1">
      <alignment horizontal="right" vertical="center"/>
    </xf>
    <xf numFmtId="0" fontId="39" fillId="0" borderId="134" xfId="0" applyFont="1" applyBorder="1" applyAlignment="1">
      <alignment horizontal="left" vertical="center"/>
    </xf>
    <xf numFmtId="0" fontId="39" fillId="0" borderId="135" xfId="0" applyFont="1" applyBorder="1" applyAlignment="1">
      <alignment vertical="center"/>
    </xf>
    <xf numFmtId="0" fontId="49" fillId="0" borderId="100" xfId="0" quotePrefix="1" applyFont="1" applyBorder="1" applyAlignment="1">
      <alignment vertical="center"/>
    </xf>
    <xf numFmtId="0" fontId="39" fillId="0" borderId="136" xfId="0" applyFont="1" applyBorder="1" applyAlignment="1">
      <alignment horizontal="left" vertical="center"/>
    </xf>
    <xf numFmtId="0" fontId="39" fillId="0" borderId="137" xfId="0" applyFont="1" applyBorder="1" applyAlignment="1">
      <alignment horizontal="left" vertical="center"/>
    </xf>
    <xf numFmtId="0" fontId="45" fillId="0" borderId="138" xfId="0" applyFont="1" applyBorder="1" applyAlignment="1">
      <alignment horizontal="left" vertical="center"/>
    </xf>
    <xf numFmtId="0" fontId="39" fillId="0" borderId="139" xfId="0" applyFont="1" applyBorder="1" applyAlignment="1">
      <alignment vertical="center"/>
    </xf>
    <xf numFmtId="0" fontId="39" fillId="0" borderId="138" xfId="0" applyFont="1" applyBorder="1" applyAlignment="1">
      <alignment vertical="center"/>
    </xf>
    <xf numFmtId="0" fontId="39" fillId="0" borderId="138" xfId="0" applyFont="1" applyBorder="1" applyAlignment="1">
      <alignment horizontal="left" vertical="center"/>
    </xf>
    <xf numFmtId="0" fontId="39" fillId="0" borderId="140" xfId="0" applyFont="1" applyBorder="1" applyAlignment="1">
      <alignment horizontal="left" vertical="center"/>
    </xf>
    <xf numFmtId="0" fontId="39" fillId="0" borderId="139" xfId="0" applyFont="1" applyBorder="1" applyAlignment="1">
      <alignment horizontal="left" vertical="center"/>
    </xf>
    <xf numFmtId="0" fontId="50" fillId="0" borderId="42" xfId="0" applyFont="1" applyBorder="1" applyAlignment="1">
      <alignment vertical="center"/>
    </xf>
    <xf numFmtId="164" fontId="39" fillId="0" borderId="0" xfId="42" applyFont="1" applyFill="1" applyAlignment="1">
      <alignment vertical="center"/>
    </xf>
    <xf numFmtId="164" fontId="42" fillId="0" borderId="0" xfId="42" applyFont="1" applyAlignment="1">
      <alignment vertical="center"/>
    </xf>
    <xf numFmtId="0" fontId="42" fillId="0" borderId="105" xfId="0" applyFont="1" applyBorder="1" applyAlignment="1">
      <alignment vertical="center"/>
    </xf>
    <xf numFmtId="164" fontId="39" fillId="0" borderId="98" xfId="42" applyFont="1" applyFill="1" applyBorder="1" applyAlignment="1">
      <alignment horizontal="left" vertical="center"/>
    </xf>
    <xf numFmtId="43" fontId="48" fillId="27" borderId="95" xfId="42" applyNumberFormat="1" applyFont="1" applyFill="1" applyBorder="1" applyAlignment="1">
      <alignment horizontal="right" vertical="center"/>
    </xf>
    <xf numFmtId="164" fontId="42" fillId="29" borderId="109" xfId="42" applyFont="1" applyFill="1" applyBorder="1" applyAlignment="1">
      <alignment horizontal="right" vertical="center"/>
    </xf>
    <xf numFmtId="0" fontId="51" fillId="0" borderId="100" xfId="0" applyFont="1" applyBorder="1" applyAlignment="1">
      <alignment vertical="center"/>
    </xf>
    <xf numFmtId="4" fontId="48" fillId="27" borderId="95" xfId="42" applyNumberFormat="1" applyFont="1" applyFill="1" applyBorder="1" applyAlignment="1">
      <alignment horizontal="right" vertical="center"/>
    </xf>
    <xf numFmtId="0" fontId="49" fillId="0" borderId="0" xfId="0" applyFont="1" applyAlignment="1">
      <alignment vertical="center"/>
    </xf>
    <xf numFmtId="164" fontId="49" fillId="0" borderId="0" xfId="42" applyFont="1" applyAlignment="1">
      <alignment horizontal="right" vertical="center"/>
    </xf>
    <xf numFmtId="164" fontId="49" fillId="0" borderId="0" xfId="42" applyFont="1" applyAlignment="1">
      <alignment vertical="center"/>
    </xf>
    <xf numFmtId="164" fontId="52" fillId="0" borderId="0" xfId="42" applyFont="1" applyAlignment="1">
      <alignment vertical="center"/>
    </xf>
    <xf numFmtId="164" fontId="45" fillId="0" borderId="0" xfId="42" applyFont="1" applyAlignment="1">
      <alignment vertical="center"/>
    </xf>
    <xf numFmtId="0" fontId="46" fillId="0" borderId="0" xfId="0" applyFont="1" applyAlignment="1">
      <alignment vertical="center"/>
    </xf>
    <xf numFmtId="164" fontId="46" fillId="0" borderId="0" xfId="42" applyFont="1" applyAlignment="1">
      <alignment vertical="center"/>
    </xf>
    <xf numFmtId="164" fontId="53" fillId="0" borderId="0" xfId="42" applyFont="1" applyAlignment="1">
      <alignment vertical="center"/>
    </xf>
    <xf numFmtId="0" fontId="51" fillId="0" borderId="0" xfId="0" applyFont="1" applyAlignment="1">
      <alignment horizontal="center" vertical="center"/>
    </xf>
    <xf numFmtId="164" fontId="54" fillId="0" borderId="0" xfId="42" applyFont="1" applyAlignment="1">
      <alignment vertical="center"/>
    </xf>
    <xf numFmtId="164" fontId="43" fillId="0" borderId="0" xfId="42" applyFont="1" applyAlignment="1">
      <alignment vertical="center"/>
    </xf>
    <xf numFmtId="0" fontId="39" fillId="0" borderId="0" xfId="0" applyFont="1" applyAlignment="1">
      <alignment horizontal="right" vertical="center"/>
    </xf>
    <xf numFmtId="164" fontId="44" fillId="0" borderId="0" xfId="42" applyFont="1" applyAlignment="1">
      <alignment vertical="center"/>
    </xf>
    <xf numFmtId="0" fontId="44" fillId="0" borderId="0" xfId="0" applyFont="1" applyAlignment="1">
      <alignment vertical="center"/>
    </xf>
    <xf numFmtId="164" fontId="48" fillId="0" borderId="0" xfId="42" applyFont="1" applyAlignment="1">
      <alignment vertical="center"/>
    </xf>
    <xf numFmtId="0" fontId="43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164" fontId="48" fillId="27" borderId="0" xfId="42" applyFont="1" applyFill="1" applyBorder="1" applyAlignment="1">
      <alignment vertical="center"/>
    </xf>
    <xf numFmtId="164" fontId="55" fillId="27" borderId="0" xfId="42" applyFont="1" applyFill="1" applyBorder="1" applyAlignment="1">
      <alignment vertical="center"/>
    </xf>
    <xf numFmtId="164" fontId="48" fillId="0" borderId="0" xfId="42" applyFont="1" applyBorder="1" applyAlignment="1">
      <alignment vertical="center"/>
    </xf>
    <xf numFmtId="43" fontId="39" fillId="0" borderId="0" xfId="0" applyNumberFormat="1" applyFont="1" applyAlignment="1">
      <alignment vertical="center"/>
    </xf>
    <xf numFmtId="0" fontId="39" fillId="0" borderId="98" xfId="0" applyFont="1" applyBorder="1" applyAlignment="1">
      <alignment vertical="center" wrapText="1"/>
    </xf>
    <xf numFmtId="164" fontId="43" fillId="27" borderId="95" xfId="42" applyFont="1" applyFill="1" applyBorder="1" applyAlignment="1">
      <alignment horizontal="right" vertical="center"/>
    </xf>
    <xf numFmtId="164" fontId="39" fillId="27" borderId="95" xfId="42" applyFont="1" applyFill="1" applyBorder="1" applyAlignment="1">
      <alignment horizontal="right" vertical="center"/>
    </xf>
    <xf numFmtId="164" fontId="47" fillId="27" borderId="95" xfId="42" applyFont="1" applyFill="1" applyBorder="1" applyAlignment="1">
      <alignment horizontal="right" vertical="center"/>
    </xf>
    <xf numFmtId="164" fontId="39" fillId="27" borderId="108" xfId="42" applyFont="1" applyFill="1" applyBorder="1" applyAlignment="1">
      <alignment horizontal="right" vertical="center"/>
    </xf>
    <xf numFmtId="164" fontId="44" fillId="27" borderId="95" xfId="42" applyFont="1" applyFill="1" applyBorder="1" applyAlignment="1">
      <alignment horizontal="right" vertical="center"/>
    </xf>
    <xf numFmtId="164" fontId="26" fillId="26" borderId="44" xfId="43" applyFont="1" applyFill="1" applyBorder="1"/>
    <xf numFmtId="164" fontId="26" fillId="26" borderId="42" xfId="43" applyFont="1" applyFill="1" applyBorder="1"/>
    <xf numFmtId="164" fontId="26" fillId="26" borderId="51" xfId="43" applyFont="1" applyFill="1" applyBorder="1"/>
    <xf numFmtId="0" fontId="45" fillId="0" borderId="42" xfId="0" applyFont="1" applyBorder="1" applyAlignment="1">
      <alignment vertical="center"/>
    </xf>
    <xf numFmtId="164" fontId="26" fillId="0" borderId="40" xfId="43" applyFont="1" applyFill="1" applyBorder="1"/>
    <xf numFmtId="164" fontId="26" fillId="0" borderId="44" xfId="43" applyFont="1" applyFill="1" applyBorder="1"/>
    <xf numFmtId="164" fontId="26" fillId="0" borderId="42" xfId="43" applyFont="1" applyFill="1" applyBorder="1"/>
    <xf numFmtId="164" fontId="26" fillId="0" borderId="51" xfId="43" applyFont="1" applyFill="1" applyBorder="1"/>
    <xf numFmtId="164" fontId="26" fillId="0" borderId="40" xfId="43" applyFont="1" applyFill="1" applyBorder="1" applyAlignment="1">
      <alignment shrinkToFit="1"/>
    </xf>
    <xf numFmtId="164" fontId="33" fillId="0" borderId="40" xfId="43" applyFont="1" applyFill="1" applyBorder="1" applyAlignment="1">
      <alignment shrinkToFit="1"/>
    </xf>
    <xf numFmtId="164" fontId="33" fillId="0" borderId="44" xfId="43" applyFont="1" applyFill="1" applyBorder="1" applyAlignment="1">
      <alignment shrinkToFit="1"/>
    </xf>
    <xf numFmtId="164" fontId="33" fillId="0" borderId="42" xfId="43" applyFont="1" applyFill="1" applyBorder="1" applyAlignment="1">
      <alignment shrinkToFit="1"/>
    </xf>
    <xf numFmtId="164" fontId="33" fillId="0" borderId="51" xfId="43" applyFont="1" applyFill="1" applyBorder="1" applyAlignment="1">
      <alignment shrinkToFit="1"/>
    </xf>
    <xf numFmtId="164" fontId="27" fillId="0" borderId="33" xfId="43" applyFont="1" applyFill="1" applyBorder="1"/>
    <xf numFmtId="164" fontId="27" fillId="0" borderId="33" xfId="0" applyNumberFormat="1" applyFont="1" applyBorder="1"/>
    <xf numFmtId="164" fontId="27" fillId="0" borderId="13" xfId="43" applyFont="1" applyFill="1" applyBorder="1"/>
    <xf numFmtId="164" fontId="27" fillId="0" borderId="87" xfId="43" applyFont="1" applyFill="1" applyBorder="1"/>
    <xf numFmtId="164" fontId="0" fillId="0" borderId="13" xfId="43" applyFont="1" applyFill="1" applyBorder="1"/>
    <xf numFmtId="164" fontId="0" fillId="0" borderId="87" xfId="43" applyFont="1" applyFill="1" applyBorder="1"/>
    <xf numFmtId="164" fontId="0" fillId="0" borderId="85" xfId="43" applyFont="1" applyFill="1" applyBorder="1"/>
    <xf numFmtId="164" fontId="0" fillId="0" borderId="84" xfId="43" applyFont="1" applyFill="1" applyBorder="1"/>
    <xf numFmtId="164" fontId="27" fillId="24" borderId="68" xfId="0" applyNumberFormat="1" applyFont="1" applyFill="1" applyBorder="1"/>
    <xf numFmtId="164" fontId="0" fillId="24" borderId="62" xfId="43" applyFont="1" applyFill="1" applyBorder="1"/>
    <xf numFmtId="164" fontId="0" fillId="24" borderId="38" xfId="43" applyFont="1" applyFill="1" applyBorder="1"/>
    <xf numFmtId="164" fontId="0" fillId="24" borderId="26" xfId="43" applyFont="1" applyFill="1" applyBorder="1"/>
    <xf numFmtId="164" fontId="0" fillId="24" borderId="37" xfId="43" applyFont="1" applyFill="1" applyBorder="1"/>
    <xf numFmtId="164" fontId="27" fillId="24" borderId="75" xfId="43" applyFont="1" applyFill="1" applyBorder="1" applyAlignment="1">
      <alignment shrinkToFit="1"/>
    </xf>
    <xf numFmtId="164" fontId="27" fillId="24" borderId="90" xfId="0" applyNumberFormat="1" applyFont="1" applyFill="1" applyBorder="1"/>
    <xf numFmtId="0" fontId="27" fillId="0" borderId="57" xfId="0" applyFont="1" applyBorder="1" applyAlignment="1">
      <alignment horizontal="left" indent="2"/>
    </xf>
    <xf numFmtId="164" fontId="6" fillId="0" borderId="69" xfId="43" applyFont="1" applyFill="1" applyBorder="1"/>
    <xf numFmtId="164" fontId="6" fillId="0" borderId="81" xfId="43" applyFont="1" applyFill="1" applyBorder="1"/>
    <xf numFmtId="164" fontId="6" fillId="0" borderId="88" xfId="43" applyFont="1" applyFill="1" applyBorder="1"/>
    <xf numFmtId="164" fontId="6" fillId="0" borderId="69" xfId="43" applyFont="1" applyFill="1" applyBorder="1" applyAlignment="1">
      <alignment shrinkToFit="1"/>
    </xf>
    <xf numFmtId="164" fontId="19" fillId="0" borderId="69" xfId="43" applyFont="1" applyFill="1" applyBorder="1"/>
    <xf numFmtId="164" fontId="6" fillId="24" borderId="50" xfId="43" applyFont="1" applyFill="1" applyBorder="1"/>
    <xf numFmtId="164" fontId="6" fillId="24" borderId="65" xfId="43" applyFont="1" applyFill="1" applyBorder="1"/>
    <xf numFmtId="164" fontId="6" fillId="24" borderId="66" xfId="43" applyFont="1" applyFill="1" applyBorder="1"/>
    <xf numFmtId="164" fontId="6" fillId="24" borderId="67" xfId="43" applyFont="1" applyFill="1" applyBorder="1"/>
    <xf numFmtId="164" fontId="6" fillId="24" borderId="50" xfId="43" applyFont="1" applyFill="1" applyBorder="1" applyAlignment="1">
      <alignment shrinkToFit="1"/>
    </xf>
    <xf numFmtId="0" fontId="21" fillId="0" borderId="22" xfId="0" applyFont="1" applyBorder="1" applyAlignment="1">
      <alignment horizontal="left" indent="3"/>
    </xf>
    <xf numFmtId="164" fontId="21" fillId="24" borderId="0" xfId="43" applyFont="1" applyFill="1"/>
    <xf numFmtId="0" fontId="21" fillId="0" borderId="41" xfId="0" applyFont="1" applyBorder="1" applyAlignment="1">
      <alignment horizontal="left" indent="3"/>
    </xf>
    <xf numFmtId="0" fontId="21" fillId="0" borderId="42" xfId="0" applyFont="1" applyBorder="1" applyAlignment="1">
      <alignment horizontal="left" indent="1"/>
    </xf>
    <xf numFmtId="0" fontId="21" fillId="0" borderId="57" xfId="0" applyFont="1" applyBorder="1" applyAlignment="1">
      <alignment horizontal="left" indent="2"/>
    </xf>
    <xf numFmtId="164" fontId="19" fillId="27" borderId="75" xfId="43" applyFont="1" applyFill="1" applyBorder="1"/>
    <xf numFmtId="0" fontId="21" fillId="0" borderId="41" xfId="0" applyFont="1" applyBorder="1" applyAlignment="1">
      <alignment horizontal="left" indent="3" shrinkToFit="1"/>
    </xf>
    <xf numFmtId="0" fontId="21" fillId="0" borderId="42" xfId="0" applyFont="1" applyBorder="1" applyAlignment="1">
      <alignment horizontal="left" indent="3" shrinkToFit="1"/>
    </xf>
    <xf numFmtId="164" fontId="6" fillId="24" borderId="75" xfId="43" applyFont="1" applyFill="1" applyBorder="1"/>
    <xf numFmtId="0" fontId="21" fillId="0" borderId="42" xfId="0" applyFont="1" applyBorder="1"/>
    <xf numFmtId="0" fontId="21" fillId="24" borderId="41" xfId="0" applyFont="1" applyFill="1" applyBorder="1" applyAlignment="1">
      <alignment horizontal="left" indent="3" shrinkToFit="1"/>
    </xf>
    <xf numFmtId="0" fontId="21" fillId="24" borderId="42" xfId="0" applyFont="1" applyFill="1" applyBorder="1" applyAlignment="1">
      <alignment horizontal="left" indent="3" shrinkToFit="1"/>
    </xf>
    <xf numFmtId="164" fontId="27" fillId="24" borderId="84" xfId="43" applyFont="1" applyFill="1" applyBorder="1"/>
    <xf numFmtId="0" fontId="21" fillId="24" borderId="41" xfId="0" applyFont="1" applyFill="1" applyBorder="1" applyAlignment="1">
      <alignment horizontal="left" indent="3"/>
    </xf>
    <xf numFmtId="0" fontId="21" fillId="24" borderId="42" xfId="0" applyFont="1" applyFill="1" applyBorder="1"/>
    <xf numFmtId="164" fontId="25" fillId="24" borderId="44" xfId="43" applyFont="1" applyFill="1" applyBorder="1"/>
    <xf numFmtId="164" fontId="25" fillId="0" borderId="58" xfId="43" applyFont="1" applyBorder="1"/>
    <xf numFmtId="164" fontId="21" fillId="27" borderId="76" xfId="0" applyNumberFormat="1" applyFont="1" applyFill="1" applyBorder="1"/>
    <xf numFmtId="164" fontId="21" fillId="0" borderId="0" xfId="43" applyFont="1"/>
    <xf numFmtId="164" fontId="6" fillId="0" borderId="81" xfId="43" applyFont="1" applyBorder="1"/>
    <xf numFmtId="0" fontId="21" fillId="0" borderId="57" xfId="0" applyFont="1" applyBorder="1" applyAlignment="1">
      <alignment horizontal="left" indent="3"/>
    </xf>
    <xf numFmtId="164" fontId="19" fillId="27" borderId="76" xfId="43" applyFont="1" applyFill="1" applyBorder="1"/>
    <xf numFmtId="164" fontId="27" fillId="24" borderId="142" xfId="0" applyNumberFormat="1" applyFont="1" applyFill="1" applyBorder="1"/>
    <xf numFmtId="0" fontId="19" fillId="24" borderId="41" xfId="0" applyFont="1" applyFill="1" applyBorder="1" applyAlignment="1">
      <alignment horizontal="left" indent="3"/>
    </xf>
    <xf numFmtId="0" fontId="19" fillId="24" borderId="42" xfId="0" applyFont="1" applyFill="1" applyBorder="1"/>
    <xf numFmtId="164" fontId="19" fillId="27" borderId="76" xfId="0" applyNumberFormat="1" applyFont="1" applyFill="1" applyBorder="1"/>
    <xf numFmtId="0" fontId="19" fillId="24" borderId="0" xfId="0" applyFont="1" applyFill="1"/>
    <xf numFmtId="164" fontId="19" fillId="24" borderId="0" xfId="43" applyFont="1" applyFill="1"/>
    <xf numFmtId="0" fontId="21" fillId="0" borderId="66" xfId="0" applyFont="1" applyBorder="1" applyAlignment="1">
      <alignment horizontal="left" indent="1"/>
    </xf>
    <xf numFmtId="0" fontId="21" fillId="0" borderId="81" xfId="0" applyFont="1" applyBorder="1" applyAlignment="1">
      <alignment horizontal="left" indent="1"/>
    </xf>
    <xf numFmtId="0" fontId="21" fillId="0" borderId="81" xfId="0" applyFont="1" applyBorder="1"/>
    <xf numFmtId="164" fontId="0" fillId="24" borderId="75" xfId="43" applyFont="1" applyFill="1" applyBorder="1" applyAlignment="1">
      <alignment shrinkToFit="1"/>
    </xf>
    <xf numFmtId="0" fontId="6" fillId="0" borderId="41" xfId="0" applyFont="1" applyBorder="1" applyAlignment="1">
      <alignment horizontal="left" indent="3"/>
    </xf>
    <xf numFmtId="0" fontId="6" fillId="0" borderId="42" xfId="0" applyFont="1" applyBorder="1" applyAlignment="1">
      <alignment horizontal="left" indent="1"/>
    </xf>
    <xf numFmtId="0" fontId="6" fillId="0" borderId="42" xfId="0" applyFont="1" applyBorder="1"/>
    <xf numFmtId="164" fontId="6" fillId="0" borderId="0" xfId="43" applyFont="1"/>
    <xf numFmtId="164" fontId="6" fillId="24" borderId="0" xfId="43" applyFont="1" applyFill="1"/>
    <xf numFmtId="0" fontId="19" fillId="0" borderId="41" xfId="0" applyFont="1" applyBorder="1" applyAlignment="1">
      <alignment horizontal="left" indent="3"/>
    </xf>
    <xf numFmtId="0" fontId="19" fillId="0" borderId="42" xfId="0" applyFont="1" applyBorder="1" applyAlignment="1">
      <alignment horizontal="left" indent="1"/>
    </xf>
    <xf numFmtId="0" fontId="19" fillId="0" borderId="42" xfId="0" applyFont="1" applyBorder="1"/>
    <xf numFmtId="164" fontId="19" fillId="27" borderId="39" xfId="0" applyNumberFormat="1" applyFont="1" applyFill="1" applyBorder="1"/>
    <xf numFmtId="164" fontId="19" fillId="0" borderId="0" xfId="43" applyFont="1"/>
    <xf numFmtId="0" fontId="19" fillId="0" borderId="22" xfId="0" applyFont="1" applyBorder="1" applyAlignment="1">
      <alignment horizontal="left" indent="4"/>
    </xf>
    <xf numFmtId="164" fontId="19" fillId="0" borderId="0" xfId="43" applyFont="1" applyBorder="1"/>
    <xf numFmtId="164" fontId="19" fillId="27" borderId="39" xfId="43" applyFont="1" applyFill="1" applyBorder="1" applyAlignment="1">
      <alignment horizontal="center" shrinkToFit="1"/>
    </xf>
    <xf numFmtId="164" fontId="19" fillId="0" borderId="0" xfId="43" quotePrefix="1" applyFont="1"/>
    <xf numFmtId="164" fontId="27" fillId="24" borderId="69" xfId="43" applyFont="1" applyFill="1" applyBorder="1" applyAlignment="1">
      <alignment shrinkToFit="1"/>
    </xf>
    <xf numFmtId="164" fontId="19" fillId="27" borderId="75" xfId="43" applyFont="1" applyFill="1" applyBorder="1" applyAlignment="1">
      <alignment horizontal="center" shrinkToFit="1"/>
    </xf>
    <xf numFmtId="164" fontId="6" fillId="0" borderId="12" xfId="43" applyFont="1" applyFill="1" applyBorder="1"/>
    <xf numFmtId="0" fontId="57" fillId="0" borderId="0" xfId="0" applyFont="1"/>
    <xf numFmtId="164" fontId="57" fillId="24" borderId="0" xfId="43" applyFont="1" applyFill="1"/>
    <xf numFmtId="164" fontId="28" fillId="0" borderId="0" xfId="43" applyFont="1" applyBorder="1"/>
    <xf numFmtId="0" fontId="39" fillId="0" borderId="111" xfId="0" applyFont="1" applyBorder="1" applyAlignment="1">
      <alignment vertical="center"/>
    </xf>
    <xf numFmtId="43" fontId="39" fillId="0" borderId="42" xfId="0" applyNumberFormat="1" applyFont="1" applyBorder="1" applyAlignment="1">
      <alignment horizontal="left" vertical="center"/>
    </xf>
    <xf numFmtId="0" fontId="39" fillId="0" borderId="115" xfId="0" applyFont="1" applyBorder="1" applyAlignment="1">
      <alignment vertical="center"/>
    </xf>
    <xf numFmtId="164" fontId="48" fillId="0" borderId="95" xfId="42" applyFont="1" applyFill="1" applyBorder="1" applyAlignment="1">
      <alignment horizontal="right" vertical="center"/>
    </xf>
    <xf numFmtId="164" fontId="48" fillId="0" borderId="94" xfId="42" applyFont="1" applyFill="1" applyBorder="1" applyAlignment="1">
      <alignment horizontal="right" vertical="center"/>
    </xf>
    <xf numFmtId="164" fontId="44" fillId="27" borderId="94" xfId="42" applyFont="1" applyFill="1" applyBorder="1" applyAlignment="1">
      <alignment horizontal="right" vertical="center"/>
    </xf>
    <xf numFmtId="164" fontId="44" fillId="27" borderId="123" xfId="42" applyFont="1" applyFill="1" applyBorder="1" applyAlignment="1">
      <alignment horizontal="right" vertical="center"/>
    </xf>
    <xf numFmtId="164" fontId="44" fillId="27" borderId="124" xfId="42" applyFont="1" applyFill="1" applyBorder="1" applyAlignment="1">
      <alignment horizontal="right" vertical="center"/>
    </xf>
    <xf numFmtId="43" fontId="44" fillId="27" borderId="95" xfId="42" applyNumberFormat="1" applyFont="1" applyFill="1" applyBorder="1" applyAlignment="1">
      <alignment horizontal="right" vertical="center"/>
    </xf>
    <xf numFmtId="164" fontId="33" fillId="29" borderId="86" xfId="43" applyFont="1" applyFill="1" applyBorder="1"/>
    <xf numFmtId="164" fontId="21" fillId="27" borderId="86" xfId="43" applyFont="1" applyFill="1" applyBorder="1"/>
    <xf numFmtId="164" fontId="0" fillId="0" borderId="17" xfId="43" applyFont="1" applyFill="1" applyBorder="1"/>
    <xf numFmtId="164" fontId="0" fillId="0" borderId="68" xfId="43" applyFont="1" applyFill="1" applyBorder="1"/>
    <xf numFmtId="164" fontId="21" fillId="27" borderId="76" xfId="43" applyFont="1" applyFill="1" applyBorder="1"/>
    <xf numFmtId="164" fontId="19" fillId="27" borderId="90" xfId="43" applyFont="1" applyFill="1" applyBorder="1"/>
    <xf numFmtId="164" fontId="0" fillId="24" borderId="17" xfId="43" applyFont="1" applyFill="1" applyBorder="1"/>
    <xf numFmtId="164" fontId="26" fillId="28" borderId="76" xfId="43" applyFont="1" applyFill="1" applyBorder="1" applyAlignment="1">
      <alignment shrinkToFit="1"/>
    </xf>
    <xf numFmtId="164" fontId="0" fillId="0" borderId="23" xfId="43" applyFont="1" applyBorder="1" applyAlignment="1">
      <alignment shrinkToFit="1"/>
    </xf>
    <xf numFmtId="164" fontId="26" fillId="28" borderId="76" xfId="0" applyNumberFormat="1" applyFont="1" applyFill="1" applyBorder="1" applyAlignment="1">
      <alignment horizontal="right"/>
    </xf>
    <xf numFmtId="43" fontId="0" fillId="0" borderId="23" xfId="0" applyNumberFormat="1" applyBorder="1" applyAlignment="1">
      <alignment horizontal="right"/>
    </xf>
    <xf numFmtId="0" fontId="0" fillId="0" borderId="23" xfId="0" applyBorder="1" applyAlignment="1">
      <alignment horizontal="right"/>
    </xf>
    <xf numFmtId="164" fontId="0" fillId="29" borderId="23" xfId="0" applyNumberFormat="1" applyFill="1" applyBorder="1" applyAlignment="1">
      <alignment horizontal="right"/>
    </xf>
    <xf numFmtId="164" fontId="0" fillId="28" borderId="28" xfId="43" applyFont="1" applyFill="1" applyBorder="1" applyAlignment="1">
      <alignment shrinkToFit="1"/>
    </xf>
    <xf numFmtId="164" fontId="19" fillId="28" borderId="25" xfId="0" applyNumberFormat="1" applyFont="1" applyFill="1" applyBorder="1" applyAlignment="1">
      <alignment horizontal="right"/>
    </xf>
    <xf numFmtId="0" fontId="0" fillId="28" borderId="28" xfId="0" applyFill="1" applyBorder="1"/>
    <xf numFmtId="164" fontId="0" fillId="0" borderId="84" xfId="43" applyFont="1" applyBorder="1" applyAlignment="1">
      <alignment shrinkToFit="1"/>
    </xf>
    <xf numFmtId="164" fontId="27" fillId="0" borderId="13" xfId="43" applyFont="1" applyBorder="1"/>
    <xf numFmtId="164" fontId="27" fillId="0" borderId="84" xfId="43" applyFont="1" applyBorder="1" applyAlignment="1">
      <alignment shrinkToFit="1"/>
    </xf>
    <xf numFmtId="164" fontId="27" fillId="0" borderId="37" xfId="43" applyFont="1" applyBorder="1" applyAlignment="1">
      <alignment shrinkToFit="1"/>
    </xf>
    <xf numFmtId="164" fontId="27" fillId="0" borderId="51" xfId="43" applyFont="1" applyBorder="1" applyAlignment="1">
      <alignment shrinkToFit="1"/>
    </xf>
    <xf numFmtId="164" fontId="27" fillId="24" borderId="148" xfId="43" applyFont="1" applyFill="1" applyBorder="1" applyAlignment="1">
      <alignment shrinkToFit="1"/>
    </xf>
    <xf numFmtId="164" fontId="0" fillId="24" borderId="144" xfId="43" applyFont="1" applyFill="1" applyBorder="1" applyAlignment="1">
      <alignment shrinkToFit="1"/>
    </xf>
    <xf numFmtId="164" fontId="27" fillId="24" borderId="79" xfId="43" applyFont="1" applyFill="1" applyBorder="1" applyAlignment="1">
      <alignment shrinkToFit="1"/>
    </xf>
    <xf numFmtId="164" fontId="6" fillId="24" borderId="148" xfId="43" applyFont="1" applyFill="1" applyBorder="1" applyAlignment="1">
      <alignment shrinkToFit="1"/>
    </xf>
    <xf numFmtId="164" fontId="27" fillId="24" borderId="149" xfId="43" applyFont="1" applyFill="1" applyBorder="1" applyAlignment="1">
      <alignment shrinkToFit="1"/>
    </xf>
    <xf numFmtId="164" fontId="0" fillId="0" borderId="148" xfId="43" applyFont="1" applyBorder="1" applyAlignment="1">
      <alignment shrinkToFit="1"/>
    </xf>
    <xf numFmtId="164" fontId="0" fillId="24" borderId="42" xfId="43" applyFont="1" applyFill="1" applyBorder="1" applyAlignment="1">
      <alignment shrinkToFit="1"/>
    </xf>
    <xf numFmtId="164" fontId="26" fillId="24" borderId="79" xfId="43" applyFont="1" applyFill="1" applyBorder="1"/>
    <xf numFmtId="164" fontId="0" fillId="24" borderId="149" xfId="43" applyFont="1" applyFill="1" applyBorder="1"/>
    <xf numFmtId="164" fontId="26" fillId="24" borderId="50" xfId="43" applyFont="1" applyFill="1" applyBorder="1"/>
    <xf numFmtId="164" fontId="0" fillId="24" borderId="65" xfId="43" applyFont="1" applyFill="1" applyBorder="1" applyAlignment="1">
      <alignment shrinkToFit="1"/>
    </xf>
    <xf numFmtId="164" fontId="0" fillId="24" borderId="66" xfId="43" applyFont="1" applyFill="1" applyBorder="1" applyAlignment="1">
      <alignment shrinkToFit="1"/>
    </xf>
    <xf numFmtId="164" fontId="26" fillId="24" borderId="150" xfId="43" applyFont="1" applyFill="1" applyBorder="1"/>
    <xf numFmtId="164" fontId="26" fillId="24" borderId="149" xfId="43" applyFont="1" applyFill="1" applyBorder="1"/>
    <xf numFmtId="164" fontId="26" fillId="24" borderId="148" xfId="43" applyFont="1" applyFill="1" applyBorder="1"/>
    <xf numFmtId="164" fontId="19" fillId="24" borderId="144" xfId="43" applyFont="1" applyFill="1" applyBorder="1"/>
    <xf numFmtId="164" fontId="32" fillId="24" borderId="12" xfId="43" applyFont="1" applyFill="1" applyBorder="1"/>
    <xf numFmtId="164" fontId="27" fillId="24" borderId="50" xfId="43" applyFont="1" applyFill="1" applyBorder="1" applyAlignment="1">
      <alignment horizontal="left" shrinkToFit="1"/>
    </xf>
    <xf numFmtId="164" fontId="27" fillId="24" borderId="50" xfId="43" applyFont="1" applyFill="1" applyBorder="1" applyAlignment="1">
      <alignment shrinkToFit="1"/>
    </xf>
    <xf numFmtId="0" fontId="27" fillId="24" borderId="0" xfId="0" applyFont="1" applyFill="1" applyAlignment="1">
      <alignment horizontal="left" indent="2"/>
    </xf>
    <xf numFmtId="0" fontId="36" fillId="24" borderId="0" xfId="0" applyFont="1" applyFill="1" applyAlignment="1">
      <alignment horizontal="left" indent="2"/>
    </xf>
    <xf numFmtId="164" fontId="30" fillId="24" borderId="40" xfId="43" applyFont="1" applyFill="1" applyBorder="1" applyAlignment="1">
      <alignment shrinkToFit="1"/>
    </xf>
    <xf numFmtId="164" fontId="27" fillId="0" borderId="84" xfId="43" applyFont="1" applyFill="1" applyBorder="1"/>
    <xf numFmtId="164" fontId="0" fillId="24" borderId="150" xfId="43" applyFont="1" applyFill="1" applyBorder="1"/>
    <xf numFmtId="164" fontId="0" fillId="24" borderId="144" xfId="43" applyFont="1" applyFill="1" applyBorder="1"/>
    <xf numFmtId="164" fontId="0" fillId="0" borderId="16" xfId="43" applyFont="1" applyFill="1" applyBorder="1"/>
    <xf numFmtId="164" fontId="0" fillId="0" borderId="75" xfId="43" applyFont="1" applyBorder="1"/>
    <xf numFmtId="164" fontId="27" fillId="0" borderId="75" xfId="43" applyFont="1" applyBorder="1" applyAlignment="1">
      <alignment shrinkToFit="1"/>
    </xf>
    <xf numFmtId="164" fontId="0" fillId="0" borderId="40" xfId="43" applyFont="1" applyFill="1" applyBorder="1"/>
    <xf numFmtId="164" fontId="0" fillId="0" borderId="44" xfId="43" applyFont="1" applyFill="1" applyBorder="1"/>
    <xf numFmtId="164" fontId="0" fillId="0" borderId="42" xfId="43" applyFont="1" applyFill="1" applyBorder="1"/>
    <xf numFmtId="164" fontId="19" fillId="24" borderId="50" xfId="43" applyFont="1" applyFill="1" applyBorder="1"/>
    <xf numFmtId="164" fontId="6" fillId="24" borderId="38" xfId="43" applyFont="1" applyFill="1" applyBorder="1"/>
    <xf numFmtId="164" fontId="6" fillId="24" borderId="26" xfId="43" applyFont="1" applyFill="1" applyBorder="1"/>
    <xf numFmtId="164" fontId="19" fillId="24" borderId="75" xfId="43" applyFont="1" applyFill="1" applyBorder="1"/>
    <xf numFmtId="164" fontId="27" fillId="0" borderId="40" xfId="43" applyFont="1" applyFill="1" applyBorder="1"/>
    <xf numFmtId="164" fontId="27" fillId="0" borderId="44" xfId="43" applyFont="1" applyFill="1" applyBorder="1"/>
    <xf numFmtId="164" fontId="27" fillId="0" borderId="42" xfId="43" applyFont="1" applyFill="1" applyBorder="1"/>
    <xf numFmtId="164" fontId="27" fillId="0" borderId="51" xfId="43" applyFont="1" applyFill="1" applyBorder="1"/>
    <xf numFmtId="164" fontId="27" fillId="24" borderId="87" xfId="43" applyFont="1" applyFill="1" applyBorder="1"/>
    <xf numFmtId="164" fontId="27" fillId="24" borderId="85" xfId="43" applyFont="1" applyFill="1" applyBorder="1"/>
    <xf numFmtId="164" fontId="27" fillId="24" borderId="38" xfId="43" applyFont="1" applyFill="1" applyBorder="1"/>
    <xf numFmtId="164" fontId="19" fillId="27" borderId="12" xfId="43" applyFont="1" applyFill="1" applyBorder="1"/>
    <xf numFmtId="164" fontId="27" fillId="24" borderId="150" xfId="43" applyFont="1" applyFill="1" applyBorder="1"/>
    <xf numFmtId="164" fontId="27" fillId="24" borderId="65" xfId="43" applyFont="1" applyFill="1" applyBorder="1"/>
    <xf numFmtId="164" fontId="27" fillId="24" borderId="66" xfId="43" applyFont="1" applyFill="1" applyBorder="1"/>
    <xf numFmtId="164" fontId="27" fillId="24" borderId="50" xfId="43" applyFont="1" applyFill="1" applyBorder="1" applyAlignment="1">
      <alignment horizontal="center" shrinkToFit="1"/>
    </xf>
    <xf numFmtId="164" fontId="27" fillId="0" borderId="85" xfId="43" applyFont="1" applyFill="1" applyBorder="1"/>
    <xf numFmtId="164" fontId="0" fillId="0" borderId="51" xfId="43" applyFont="1" applyFill="1" applyBorder="1"/>
    <xf numFmtId="164" fontId="27" fillId="0" borderId="40" xfId="43" applyFont="1" applyFill="1" applyBorder="1" applyAlignment="1">
      <alignment shrinkToFit="1"/>
    </xf>
    <xf numFmtId="164" fontId="0" fillId="24" borderId="81" xfId="43" applyFont="1" applyFill="1" applyBorder="1"/>
    <xf numFmtId="164" fontId="27" fillId="24" borderId="23" xfId="0" applyNumberFormat="1" applyFont="1" applyFill="1" applyBorder="1"/>
    <xf numFmtId="164" fontId="0" fillId="0" borderId="38" xfId="43" applyFont="1" applyBorder="1"/>
    <xf numFmtId="164" fontId="0" fillId="0" borderId="44" xfId="43" applyFont="1" applyBorder="1"/>
    <xf numFmtId="164" fontId="6" fillId="0" borderId="40" xfId="43" applyFont="1" applyBorder="1" applyAlignment="1">
      <alignment horizontal="left" shrinkToFit="1"/>
    </xf>
    <xf numFmtId="164" fontId="0" fillId="24" borderId="17" xfId="0" applyNumberFormat="1" applyFill="1" applyBorder="1"/>
    <xf numFmtId="164" fontId="30" fillId="24" borderId="34" xfId="43" applyFont="1" applyFill="1" applyBorder="1"/>
    <xf numFmtId="164" fontId="36" fillId="24" borderId="34" xfId="43" applyFont="1" applyFill="1" applyBorder="1"/>
    <xf numFmtId="164" fontId="36" fillId="24" borderId="12" xfId="43" applyFont="1" applyFill="1" applyBorder="1" applyAlignment="1">
      <alignment shrinkToFit="1"/>
    </xf>
    <xf numFmtId="164" fontId="36" fillId="24" borderId="12" xfId="43" applyFont="1" applyFill="1" applyBorder="1"/>
    <xf numFmtId="164" fontId="0" fillId="0" borderId="69" xfId="43" applyFont="1" applyBorder="1"/>
    <xf numFmtId="164" fontId="27" fillId="0" borderId="81" xfId="43" applyFont="1" applyBorder="1"/>
    <xf numFmtId="164" fontId="27" fillId="0" borderId="88" xfId="43" applyFont="1" applyBorder="1"/>
    <xf numFmtId="164" fontId="27" fillId="0" borderId="153" xfId="0" applyNumberFormat="1" applyFont="1" applyBorder="1"/>
    <xf numFmtId="164" fontId="19" fillId="27" borderId="34" xfId="43" applyFont="1" applyFill="1" applyBorder="1"/>
    <xf numFmtId="164" fontId="27" fillId="24" borderId="44" xfId="43" applyFont="1" applyFill="1" applyBorder="1" applyAlignment="1">
      <alignment shrinkToFit="1"/>
    </xf>
    <xf numFmtId="164" fontId="0" fillId="0" borderId="79" xfId="43" applyFont="1" applyFill="1" applyBorder="1"/>
    <xf numFmtId="164" fontId="0" fillId="0" borderId="150" xfId="43" applyFont="1" applyFill="1" applyBorder="1"/>
    <xf numFmtId="164" fontId="0" fillId="0" borderId="149" xfId="43" applyFont="1" applyFill="1" applyBorder="1"/>
    <xf numFmtId="164" fontId="0" fillId="0" borderId="148" xfId="43" applyFont="1" applyFill="1" applyBorder="1"/>
    <xf numFmtId="164" fontId="27" fillId="0" borderId="144" xfId="0" applyNumberFormat="1" applyFont="1" applyBorder="1"/>
    <xf numFmtId="164" fontId="0" fillId="0" borderId="13" xfId="43" applyFont="1" applyFill="1" applyBorder="1" applyAlignment="1">
      <alignment shrinkToFit="1"/>
    </xf>
    <xf numFmtId="164" fontId="27" fillId="0" borderId="13" xfId="43" applyFont="1" applyFill="1" applyBorder="1" applyAlignment="1">
      <alignment shrinkToFit="1"/>
    </xf>
    <xf numFmtId="164" fontId="6" fillId="24" borderId="62" xfId="43" applyFont="1" applyFill="1" applyBorder="1"/>
    <xf numFmtId="164" fontId="6" fillId="24" borderId="69" xfId="43" applyFont="1" applyFill="1" applyBorder="1"/>
    <xf numFmtId="164" fontId="0" fillId="0" borderId="43" xfId="43" applyFont="1" applyFill="1" applyBorder="1"/>
    <xf numFmtId="164" fontId="19" fillId="27" borderId="82" xfId="43" applyFont="1" applyFill="1" applyBorder="1"/>
    <xf numFmtId="164" fontId="0" fillId="27" borderId="82" xfId="43" applyFont="1" applyFill="1" applyBorder="1"/>
    <xf numFmtId="164" fontId="19" fillId="27" borderId="38" xfId="43" applyFont="1" applyFill="1" applyBorder="1"/>
    <xf numFmtId="164" fontId="27" fillId="27" borderId="82" xfId="43" applyFont="1" applyFill="1" applyBorder="1"/>
    <xf numFmtId="164" fontId="19" fillId="27" borderId="33" xfId="43" applyFont="1" applyFill="1" applyBorder="1"/>
    <xf numFmtId="164" fontId="27" fillId="0" borderId="29" xfId="43" applyFont="1" applyBorder="1" applyAlignment="1">
      <alignment horizontal="center" shrinkToFit="1"/>
    </xf>
    <xf numFmtId="164" fontId="27" fillId="27" borderId="87" xfId="0" applyNumberFormat="1" applyFont="1" applyFill="1" applyBorder="1"/>
    <xf numFmtId="164" fontId="24" fillId="27" borderId="82" xfId="43" applyFont="1" applyFill="1" applyBorder="1"/>
    <xf numFmtId="164" fontId="33" fillId="29" borderId="82" xfId="43" applyFont="1" applyFill="1" applyBorder="1" applyAlignment="1">
      <alignment horizontal="center" shrinkToFit="1"/>
    </xf>
    <xf numFmtId="164" fontId="27" fillId="24" borderId="33" xfId="43" applyFont="1" applyFill="1" applyBorder="1" applyAlignment="1">
      <alignment horizontal="center" shrinkToFit="1"/>
    </xf>
    <xf numFmtId="164" fontId="19" fillId="27" borderId="82" xfId="43" applyFont="1" applyFill="1" applyBorder="1" applyAlignment="1">
      <alignment horizontal="center" shrinkToFit="1"/>
    </xf>
    <xf numFmtId="164" fontId="33" fillId="29" borderId="82" xfId="43" applyFont="1" applyFill="1" applyBorder="1"/>
    <xf numFmtId="164" fontId="19" fillId="27" borderId="82" xfId="0" applyNumberFormat="1" applyFont="1" applyFill="1" applyBorder="1"/>
    <xf numFmtId="164" fontId="19" fillId="0" borderId="87" xfId="43" applyFont="1" applyFill="1" applyBorder="1"/>
    <xf numFmtId="164" fontId="0" fillId="24" borderId="61" xfId="43" applyFont="1" applyFill="1" applyBorder="1"/>
    <xf numFmtId="0" fontId="27" fillId="0" borderId="23" xfId="0" applyFont="1" applyBorder="1" applyAlignment="1">
      <alignment horizontal="left" indent="1"/>
    </xf>
    <xf numFmtId="0" fontId="27" fillId="24" borderId="23" xfId="0" applyFont="1" applyFill="1" applyBorder="1" applyAlignment="1">
      <alignment horizontal="left" indent="2"/>
    </xf>
    <xf numFmtId="0" fontId="36" fillId="24" borderId="23" xfId="0" applyFont="1" applyFill="1" applyBorder="1" applyAlignment="1">
      <alignment horizontal="left" indent="2"/>
    </xf>
    <xf numFmtId="0" fontId="21" fillId="0" borderId="23" xfId="0" applyFont="1" applyBorder="1" applyAlignment="1">
      <alignment horizontal="left"/>
    </xf>
    <xf numFmtId="0" fontId="27" fillId="0" borderId="142" xfId="0" applyFont="1" applyBorder="1" applyAlignment="1">
      <alignment horizontal="left" indent="1"/>
    </xf>
    <xf numFmtId="0" fontId="21" fillId="0" borderId="142" xfId="0" applyFont="1" applyBorder="1" applyAlignment="1">
      <alignment horizontal="left" indent="1"/>
    </xf>
    <xf numFmtId="0" fontId="27" fillId="24" borderId="142" xfId="0" applyFont="1" applyFill="1" applyBorder="1" applyAlignment="1">
      <alignment horizontal="left" indent="1"/>
    </xf>
    <xf numFmtId="0" fontId="27" fillId="0" borderId="153" xfId="0" applyFont="1" applyBorder="1" applyAlignment="1">
      <alignment horizontal="left" indent="1"/>
    </xf>
    <xf numFmtId="0" fontId="27" fillId="24" borderId="142" xfId="0" applyFont="1" applyFill="1" applyBorder="1" applyAlignment="1">
      <alignment horizontal="center"/>
    </xf>
    <xf numFmtId="0" fontId="27" fillId="0" borderId="153" xfId="0" applyFont="1" applyBorder="1" applyAlignment="1">
      <alignment horizontal="left" indent="3" shrinkToFit="1"/>
    </xf>
    <xf numFmtId="0" fontId="27" fillId="0" borderId="153" xfId="0" applyFont="1" applyBorder="1"/>
    <xf numFmtId="0" fontId="27" fillId="0" borderId="23" xfId="0" applyFont="1" applyBorder="1"/>
    <xf numFmtId="0" fontId="21" fillId="0" borderId="155" xfId="0" applyFont="1" applyBorder="1"/>
    <xf numFmtId="0" fontId="27" fillId="0" borderId="155" xfId="0" applyFont="1" applyBorder="1"/>
    <xf numFmtId="0" fontId="27" fillId="0" borderId="155" xfId="0" applyFont="1" applyBorder="1" applyAlignment="1">
      <alignment horizontal="left" indent="1"/>
    </xf>
    <xf numFmtId="0" fontId="21" fillId="0" borderId="142" xfId="0" applyFont="1" applyBorder="1" applyAlignment="1">
      <alignment horizontal="left" indent="3" shrinkToFit="1"/>
    </xf>
    <xf numFmtId="0" fontId="27" fillId="0" borderId="142" xfId="0" applyFont="1" applyBorder="1" applyAlignment="1">
      <alignment horizontal="left" indent="3" shrinkToFit="1"/>
    </xf>
    <xf numFmtId="0" fontId="27" fillId="24" borderId="142" xfId="0" applyFont="1" applyFill="1" applyBorder="1" applyAlignment="1">
      <alignment horizontal="left" indent="3" shrinkToFit="1"/>
    </xf>
    <xf numFmtId="0" fontId="21" fillId="24" borderId="142" xfId="0" applyFont="1" applyFill="1" applyBorder="1" applyAlignment="1">
      <alignment horizontal="left" indent="3" shrinkToFit="1"/>
    </xf>
    <xf numFmtId="0" fontId="25" fillId="24" borderId="142" xfId="0" applyFont="1" applyFill="1" applyBorder="1" applyAlignment="1">
      <alignment horizontal="center" shrinkToFit="1"/>
    </xf>
    <xf numFmtId="0" fontId="27" fillId="0" borderId="25" xfId="0" applyFont="1" applyBorder="1"/>
    <xf numFmtId="0" fontId="27" fillId="24" borderId="142" xfId="0" applyFont="1" applyFill="1" applyBorder="1"/>
    <xf numFmtId="0" fontId="27" fillId="0" borderId="142" xfId="0" applyFont="1" applyBorder="1"/>
    <xf numFmtId="0" fontId="21" fillId="0" borderId="142" xfId="0" applyFont="1" applyBorder="1"/>
    <xf numFmtId="0" fontId="21" fillId="24" borderId="142" xfId="0" applyFont="1" applyFill="1" applyBorder="1"/>
    <xf numFmtId="0" fontId="27" fillId="0" borderId="156" xfId="0" applyFont="1" applyBorder="1"/>
    <xf numFmtId="0" fontId="21" fillId="0" borderId="23" xfId="0" applyFont="1" applyBorder="1"/>
    <xf numFmtId="0" fontId="33" fillId="0" borderId="23" xfId="0" applyFont="1" applyBorder="1"/>
    <xf numFmtId="0" fontId="27" fillId="24" borderId="23" xfId="0" applyFont="1" applyFill="1" applyBorder="1"/>
    <xf numFmtId="0" fontId="19" fillId="0" borderId="23" xfId="0" applyFont="1" applyBorder="1"/>
    <xf numFmtId="0" fontId="36" fillId="24" borderId="23" xfId="0" applyFont="1" applyFill="1" applyBorder="1"/>
    <xf numFmtId="0" fontId="6" fillId="0" borderId="142" xfId="0" applyFont="1" applyBorder="1"/>
    <xf numFmtId="0" fontId="19" fillId="0" borderId="142" xfId="0" applyFont="1" applyBorder="1"/>
    <xf numFmtId="0" fontId="27" fillId="24" borderId="153" xfId="0" applyFont="1" applyFill="1" applyBorder="1"/>
    <xf numFmtId="0" fontId="21" fillId="0" borderId="153" xfId="0" applyFont="1" applyBorder="1"/>
    <xf numFmtId="0" fontId="19" fillId="24" borderId="142" xfId="0" applyFont="1" applyFill="1" applyBorder="1"/>
    <xf numFmtId="0" fontId="27" fillId="24" borderId="155" xfId="0" applyFont="1" applyFill="1" applyBorder="1"/>
    <xf numFmtId="0" fontId="27" fillId="0" borderId="157" xfId="0" applyFont="1" applyBorder="1"/>
    <xf numFmtId="0" fontId="27" fillId="0" borderId="158" xfId="0" applyFont="1" applyBorder="1"/>
    <xf numFmtId="0" fontId="27" fillId="0" borderId="159" xfId="0" applyFont="1" applyBorder="1" applyAlignment="1">
      <alignment horizontal="center"/>
    </xf>
    <xf numFmtId="0" fontId="27" fillId="0" borderId="160" xfId="0" applyFont="1" applyBorder="1" applyAlignment="1">
      <alignment horizontal="center"/>
    </xf>
    <xf numFmtId="0" fontId="27" fillId="0" borderId="160" xfId="0" applyFont="1" applyBorder="1"/>
    <xf numFmtId="0" fontId="27" fillId="0" borderId="161" xfId="0" applyFont="1" applyBorder="1"/>
    <xf numFmtId="0" fontId="36" fillId="24" borderId="0" xfId="0" applyFont="1" applyFill="1" applyAlignment="1">
      <alignment horizontal="left" indent="1"/>
    </xf>
    <xf numFmtId="0" fontId="27" fillId="24" borderId="0" xfId="0" applyFont="1" applyFill="1" applyAlignment="1">
      <alignment horizontal="left" indent="1"/>
    </xf>
    <xf numFmtId="0" fontId="21" fillId="0" borderId="0" xfId="0" applyFont="1" applyAlignment="1">
      <alignment horizontal="left" indent="1"/>
    </xf>
    <xf numFmtId="0" fontId="27" fillId="0" borderId="0" xfId="0" applyFont="1" applyAlignment="1">
      <alignment horizontal="left" indent="1"/>
    </xf>
    <xf numFmtId="0" fontId="27" fillId="0" borderId="0" xfId="0" applyFont="1" applyAlignment="1">
      <alignment horizontal="left" indent="3"/>
    </xf>
    <xf numFmtId="164" fontId="27" fillId="24" borderId="0" xfId="0" applyNumberFormat="1" applyFont="1" applyFill="1"/>
    <xf numFmtId="0" fontId="57" fillId="0" borderId="162" xfId="0" applyFont="1" applyBorder="1"/>
    <xf numFmtId="0" fontId="57" fillId="0" borderId="26" xfId="0" applyFont="1" applyBorder="1"/>
    <xf numFmtId="0" fontId="57" fillId="0" borderId="163" xfId="0" applyFont="1" applyBorder="1"/>
    <xf numFmtId="164" fontId="58" fillId="0" borderId="38" xfId="43" applyFont="1" applyBorder="1"/>
    <xf numFmtId="164" fontId="58" fillId="0" borderId="75" xfId="43" applyFont="1" applyBorder="1"/>
    <xf numFmtId="164" fontId="28" fillId="0" borderId="75" xfId="43" applyFont="1" applyBorder="1"/>
    <xf numFmtId="164" fontId="58" fillId="0" borderId="37" xfId="43" applyFont="1" applyBorder="1"/>
    <xf numFmtId="164" fontId="58" fillId="0" borderId="75" xfId="43" applyFont="1" applyBorder="1" applyAlignment="1">
      <alignment shrinkToFit="1"/>
    </xf>
    <xf numFmtId="164" fontId="58" fillId="0" borderId="90" xfId="0" applyNumberFormat="1" applyFont="1" applyBorder="1"/>
    <xf numFmtId="164" fontId="33" fillId="29" borderId="146" xfId="43" applyFont="1" applyFill="1" applyBorder="1" applyAlignment="1">
      <alignment horizontal="center" shrinkToFit="1"/>
    </xf>
    <xf numFmtId="164" fontId="27" fillId="24" borderId="145" xfId="0" applyNumberFormat="1" applyFont="1" applyFill="1" applyBorder="1"/>
    <xf numFmtId="164" fontId="27" fillId="24" borderId="155" xfId="0" applyNumberFormat="1" applyFont="1" applyFill="1" applyBorder="1"/>
    <xf numFmtId="164" fontId="27" fillId="24" borderId="42" xfId="0" applyNumberFormat="1" applyFont="1" applyFill="1" applyBorder="1"/>
    <xf numFmtId="164" fontId="19" fillId="27" borderId="163" xfId="43" applyFont="1" applyFill="1" applyBorder="1" applyAlignment="1">
      <alignment horizontal="center" shrinkToFit="1"/>
    </xf>
    <xf numFmtId="164" fontId="33" fillId="29" borderId="164" xfId="43" applyFont="1" applyFill="1" applyBorder="1" applyAlignment="1">
      <alignment horizontal="center" shrinkToFit="1"/>
    </xf>
    <xf numFmtId="164" fontId="19" fillId="27" borderId="38" xfId="43" applyFont="1" applyFill="1" applyBorder="1" applyAlignment="1">
      <alignment horizontal="center" shrinkToFit="1"/>
    </xf>
    <xf numFmtId="164" fontId="27" fillId="24" borderId="150" xfId="43" applyFont="1" applyFill="1" applyBorder="1" applyAlignment="1">
      <alignment shrinkToFit="1"/>
    </xf>
    <xf numFmtId="164" fontId="27" fillId="24" borderId="150" xfId="43" quotePrefix="1" applyFont="1" applyFill="1" applyBorder="1" applyAlignment="1">
      <alignment horizontal="center"/>
    </xf>
    <xf numFmtId="164" fontId="19" fillId="24" borderId="40" xfId="43" applyFont="1" applyFill="1" applyBorder="1" applyAlignment="1">
      <alignment shrinkToFit="1"/>
    </xf>
    <xf numFmtId="164" fontId="0" fillId="24" borderId="142" xfId="0" applyNumberFormat="1" applyFill="1" applyBorder="1"/>
    <xf numFmtId="164" fontId="6" fillId="24" borderId="61" xfId="43" applyFont="1" applyFill="1" applyBorder="1"/>
    <xf numFmtId="164" fontId="6" fillId="24" borderId="60" xfId="43" applyFont="1" applyFill="1" applyBorder="1"/>
    <xf numFmtId="164" fontId="27" fillId="24" borderId="91" xfId="43" applyFont="1" applyFill="1" applyBorder="1"/>
    <xf numFmtId="164" fontId="27" fillId="24" borderId="62" xfId="43" applyFont="1" applyFill="1" applyBorder="1"/>
    <xf numFmtId="164" fontId="27" fillId="24" borderId="63" xfId="0" applyNumberFormat="1" applyFont="1" applyFill="1" applyBorder="1"/>
    <xf numFmtId="164" fontId="21" fillId="24" borderId="50" xfId="43" applyFont="1" applyFill="1" applyBorder="1" applyAlignment="1">
      <alignment horizontal="center" shrinkToFit="1"/>
    </xf>
    <xf numFmtId="164" fontId="21" fillId="24" borderId="50" xfId="43" applyFont="1" applyFill="1" applyBorder="1"/>
    <xf numFmtId="164" fontId="19" fillId="24" borderId="50" xfId="43" applyFont="1" applyFill="1" applyBorder="1" applyAlignment="1">
      <alignment shrinkToFit="1"/>
    </xf>
    <xf numFmtId="164" fontId="21" fillId="27" borderId="39" xfId="43" applyFont="1" applyFill="1" applyBorder="1" applyAlignment="1">
      <alignment horizontal="center" shrinkToFit="1"/>
    </xf>
    <xf numFmtId="164" fontId="21" fillId="27" borderId="82" xfId="43" applyFont="1" applyFill="1" applyBorder="1"/>
    <xf numFmtId="164" fontId="27" fillId="24" borderId="61" xfId="43" applyFont="1" applyFill="1" applyBorder="1"/>
    <xf numFmtId="164" fontId="27" fillId="24" borderId="61" xfId="43" quotePrefix="1" applyFont="1" applyFill="1" applyBorder="1" applyAlignment="1">
      <alignment horizontal="center"/>
    </xf>
    <xf numFmtId="164" fontId="27" fillId="24" borderId="62" xfId="43" quotePrefix="1" applyFont="1" applyFill="1" applyBorder="1" applyAlignment="1">
      <alignment horizontal="center"/>
    </xf>
    <xf numFmtId="164" fontId="27" fillId="24" borderId="61" xfId="43" applyFont="1" applyFill="1" applyBorder="1" applyAlignment="1">
      <alignment shrinkToFit="1"/>
    </xf>
    <xf numFmtId="0" fontId="27" fillId="24" borderId="61" xfId="0" applyFont="1" applyFill="1" applyBorder="1"/>
    <xf numFmtId="164" fontId="27" fillId="24" borderId="152" xfId="0" applyNumberFormat="1" applyFont="1" applyFill="1" applyBorder="1"/>
    <xf numFmtId="164" fontId="0" fillId="24" borderId="62" xfId="43" applyFont="1" applyFill="1" applyBorder="1" applyAlignment="1">
      <alignment shrinkToFit="1"/>
    </xf>
    <xf numFmtId="164" fontId="27" fillId="0" borderId="13" xfId="0" applyNumberFormat="1" applyFont="1" applyBorder="1"/>
    <xf numFmtId="164" fontId="27" fillId="0" borderId="12" xfId="43" applyFont="1" applyFill="1" applyBorder="1"/>
    <xf numFmtId="164" fontId="27" fillId="0" borderId="0" xfId="43" applyFont="1" applyFill="1" applyBorder="1"/>
    <xf numFmtId="164" fontId="27" fillId="0" borderId="34" xfId="43" applyFont="1" applyFill="1" applyBorder="1"/>
    <xf numFmtId="164" fontId="27" fillId="0" borderId="79" xfId="43" applyFont="1" applyFill="1" applyBorder="1"/>
    <xf numFmtId="164" fontId="27" fillId="0" borderId="150" xfId="43" applyFont="1" applyFill="1" applyBorder="1"/>
    <xf numFmtId="164" fontId="27" fillId="0" borderId="149" xfId="43" applyFont="1" applyFill="1" applyBorder="1"/>
    <xf numFmtId="164" fontId="27" fillId="0" borderId="148" xfId="43" applyFont="1" applyFill="1" applyBorder="1"/>
    <xf numFmtId="164" fontId="27" fillId="0" borderId="79" xfId="0" applyNumberFormat="1" applyFont="1" applyBorder="1"/>
    <xf numFmtId="164" fontId="27" fillId="0" borderId="150" xfId="0" applyNumberFormat="1" applyFont="1" applyBorder="1"/>
    <xf numFmtId="164" fontId="27" fillId="0" borderId="149" xfId="0" applyNumberFormat="1" applyFont="1" applyBorder="1"/>
    <xf numFmtId="164" fontId="27" fillId="24" borderId="165" xfId="43" applyFont="1" applyFill="1" applyBorder="1"/>
    <xf numFmtId="164" fontId="19" fillId="27" borderId="42" xfId="43" applyFont="1" applyFill="1" applyBorder="1"/>
    <xf numFmtId="164" fontId="19" fillId="27" borderId="83" xfId="43" applyFont="1" applyFill="1" applyBorder="1"/>
    <xf numFmtId="164" fontId="19" fillId="27" borderId="168" xfId="43" applyFont="1" applyFill="1" applyBorder="1"/>
    <xf numFmtId="164" fontId="19" fillId="27" borderId="169" xfId="43" applyFont="1" applyFill="1" applyBorder="1"/>
    <xf numFmtId="164" fontId="19" fillId="27" borderId="170" xfId="43" applyFont="1" applyFill="1" applyBorder="1"/>
    <xf numFmtId="164" fontId="19" fillId="27" borderId="154" xfId="43" applyFont="1" applyFill="1" applyBorder="1"/>
    <xf numFmtId="164" fontId="19" fillId="27" borderId="171" xfId="43" applyFont="1" applyFill="1" applyBorder="1"/>
    <xf numFmtId="164" fontId="27" fillId="0" borderId="65" xfId="43" applyFont="1" applyFill="1" applyBorder="1"/>
    <xf numFmtId="164" fontId="27" fillId="0" borderId="50" xfId="43" applyFont="1" applyFill="1" applyBorder="1"/>
    <xf numFmtId="164" fontId="27" fillId="0" borderId="66" xfId="43" applyFont="1" applyFill="1" applyBorder="1"/>
    <xf numFmtId="164" fontId="27" fillId="0" borderId="67" xfId="43" applyFont="1" applyFill="1" applyBorder="1"/>
    <xf numFmtId="164" fontId="27" fillId="0" borderId="17" xfId="43" applyFont="1" applyFill="1" applyBorder="1"/>
    <xf numFmtId="164" fontId="27" fillId="0" borderId="68" xfId="43" applyFont="1" applyFill="1" applyBorder="1"/>
    <xf numFmtId="164" fontId="19" fillId="27" borderId="173" xfId="43" applyFont="1" applyFill="1" applyBorder="1"/>
    <xf numFmtId="164" fontId="0" fillId="24" borderId="63" xfId="43" applyFont="1" applyFill="1" applyBorder="1"/>
    <xf numFmtId="164" fontId="0" fillId="27" borderId="174" xfId="43" applyFont="1" applyFill="1" applyBorder="1"/>
    <xf numFmtId="164" fontId="0" fillId="0" borderId="175" xfId="43" applyFont="1" applyFill="1" applyBorder="1"/>
    <xf numFmtId="164" fontId="0" fillId="24" borderId="88" xfId="43" applyFont="1" applyFill="1" applyBorder="1"/>
    <xf numFmtId="164" fontId="0" fillId="24" borderId="69" xfId="43" applyFont="1" applyFill="1" applyBorder="1" applyAlignment="1">
      <alignment shrinkToFit="1"/>
    </xf>
    <xf numFmtId="164" fontId="0" fillId="24" borderId="88" xfId="43" applyFont="1" applyFill="1" applyBorder="1" applyAlignment="1">
      <alignment shrinkToFit="1"/>
    </xf>
    <xf numFmtId="164" fontId="0" fillId="24" borderId="81" xfId="43" applyFont="1" applyFill="1" applyBorder="1" applyAlignment="1">
      <alignment shrinkToFit="1"/>
    </xf>
    <xf numFmtId="164" fontId="0" fillId="0" borderId="67" xfId="43" applyFont="1" applyBorder="1" applyAlignment="1">
      <alignment shrinkToFit="1"/>
    </xf>
    <xf numFmtId="164" fontId="0" fillId="0" borderId="50" xfId="43" applyFont="1" applyBorder="1" applyAlignment="1">
      <alignment shrinkToFit="1"/>
    </xf>
    <xf numFmtId="164" fontId="27" fillId="0" borderId="50" xfId="43" applyFont="1" applyBorder="1" applyAlignment="1">
      <alignment shrinkToFit="1"/>
    </xf>
    <xf numFmtId="164" fontId="0" fillId="27" borderId="83" xfId="43" applyFont="1" applyFill="1" applyBorder="1" applyAlignment="1">
      <alignment shrinkToFit="1"/>
    </xf>
    <xf numFmtId="164" fontId="0" fillId="0" borderId="0" xfId="43" applyFont="1" applyFill="1"/>
    <xf numFmtId="164" fontId="0" fillId="0" borderId="163" xfId="43" applyFont="1" applyBorder="1" applyAlignment="1">
      <alignment shrinkToFit="1"/>
    </xf>
    <xf numFmtId="164" fontId="21" fillId="27" borderId="83" xfId="43" applyFont="1" applyFill="1" applyBorder="1"/>
    <xf numFmtId="0" fontId="27" fillId="0" borderId="15" xfId="0" applyFont="1" applyBorder="1" applyAlignment="1">
      <alignment horizontal="center"/>
    </xf>
    <xf numFmtId="164" fontId="26" fillId="28" borderId="83" xfId="43" applyFont="1" applyFill="1" applyBorder="1" applyAlignment="1">
      <alignment shrinkToFit="1"/>
    </xf>
    <xf numFmtId="164" fontId="0" fillId="0" borderId="28" xfId="43" applyFont="1" applyBorder="1" applyAlignment="1">
      <alignment shrinkToFit="1"/>
    </xf>
    <xf numFmtId="164" fontId="0" fillId="0" borderId="66" xfId="43" applyFont="1" applyBorder="1" applyAlignment="1">
      <alignment shrinkToFit="1"/>
    </xf>
    <xf numFmtId="164" fontId="0" fillId="0" borderId="26" xfId="43" applyFont="1" applyBorder="1" applyAlignment="1">
      <alignment shrinkToFit="1"/>
    </xf>
    <xf numFmtId="164" fontId="26" fillId="29" borderId="82" xfId="43" applyFont="1" applyFill="1" applyBorder="1"/>
    <xf numFmtId="164" fontId="37" fillId="0" borderId="85" xfId="43" applyFont="1" applyBorder="1" applyAlignment="1">
      <alignment shrinkToFit="1"/>
    </xf>
    <xf numFmtId="164" fontId="0" fillId="24" borderId="26" xfId="43" applyFont="1" applyFill="1" applyBorder="1" applyAlignment="1">
      <alignment shrinkToFit="1"/>
    </xf>
    <xf numFmtId="164" fontId="19" fillId="24" borderId="65" xfId="43" applyFont="1" applyFill="1" applyBorder="1"/>
    <xf numFmtId="0" fontId="0" fillId="0" borderId="23" xfId="0" applyBorder="1"/>
    <xf numFmtId="0" fontId="26" fillId="0" borderId="23" xfId="0" applyFont="1" applyBorder="1"/>
    <xf numFmtId="0" fontId="0" fillId="0" borderId="25" xfId="0" applyBorder="1"/>
    <xf numFmtId="0" fontId="0" fillId="0" borderId="142" xfId="0" applyBorder="1"/>
    <xf numFmtId="0" fontId="33" fillId="0" borderId="142" xfId="0" applyFont="1" applyBorder="1"/>
    <xf numFmtId="0" fontId="33" fillId="24" borderId="142" xfId="0" applyFont="1" applyFill="1" applyBorder="1"/>
    <xf numFmtId="164" fontId="0" fillId="24" borderId="44" xfId="43" applyFont="1" applyFill="1" applyBorder="1" applyAlignment="1">
      <alignment horizontal="left" shrinkToFit="1"/>
    </xf>
    <xf numFmtId="0" fontId="0" fillId="24" borderId="44" xfId="0" applyFill="1" applyBorder="1"/>
    <xf numFmtId="164" fontId="0" fillId="0" borderId="179" xfId="43" applyFont="1" applyFill="1" applyBorder="1"/>
    <xf numFmtId="164" fontId="0" fillId="24" borderId="165" xfId="43" applyFont="1" applyFill="1" applyBorder="1"/>
    <xf numFmtId="164" fontId="0" fillId="24" borderId="180" xfId="43" applyFont="1" applyFill="1" applyBorder="1"/>
    <xf numFmtId="164" fontId="27" fillId="0" borderId="167" xfId="0" applyNumberFormat="1" applyFont="1" applyBorder="1"/>
    <xf numFmtId="164" fontId="25" fillId="24" borderId="15" xfId="43" applyFont="1" applyFill="1" applyBorder="1"/>
    <xf numFmtId="164" fontId="25" fillId="24" borderId="165" xfId="43" applyFont="1" applyFill="1" applyBorder="1"/>
    <xf numFmtId="164" fontId="19" fillId="27" borderId="146" xfId="43" applyFont="1" applyFill="1" applyBorder="1"/>
    <xf numFmtId="164" fontId="21" fillId="27" borderId="146" xfId="43" applyFont="1" applyFill="1" applyBorder="1"/>
    <xf numFmtId="164" fontId="27" fillId="0" borderId="147" xfId="43" applyFont="1" applyFill="1" applyBorder="1"/>
    <xf numFmtId="164" fontId="27" fillId="24" borderId="142" xfId="43" applyFont="1" applyFill="1" applyBorder="1"/>
    <xf numFmtId="164" fontId="27" fillId="0" borderId="155" xfId="43" applyFont="1" applyFill="1" applyBorder="1"/>
    <xf numFmtId="164" fontId="27" fillId="0" borderId="142" xfId="0" applyNumberFormat="1" applyFont="1" applyBorder="1"/>
    <xf numFmtId="164" fontId="27" fillId="0" borderId="61" xfId="43" applyFont="1" applyBorder="1"/>
    <xf numFmtId="164" fontId="27" fillId="0" borderId="44" xfId="43" applyFont="1" applyBorder="1" applyAlignment="1">
      <alignment shrinkToFit="1"/>
    </xf>
    <xf numFmtId="164" fontId="27" fillId="0" borderId="58" xfId="43" applyFont="1" applyBorder="1" applyAlignment="1">
      <alignment shrinkToFit="1"/>
    </xf>
    <xf numFmtId="164" fontId="0" fillId="0" borderId="58" xfId="43" applyFont="1" applyBorder="1" applyAlignment="1">
      <alignment shrinkToFit="1"/>
    </xf>
    <xf numFmtId="164" fontId="0" fillId="0" borderId="58" xfId="43" applyFont="1" applyBorder="1"/>
    <xf numFmtId="164" fontId="0" fillId="0" borderId="23" xfId="43" applyFont="1" applyFill="1" applyBorder="1"/>
    <xf numFmtId="164" fontId="0" fillId="27" borderId="146" xfId="43" applyFont="1" applyFill="1" applyBorder="1"/>
    <xf numFmtId="164" fontId="0" fillId="0" borderId="155" xfId="43" applyFont="1" applyFill="1" applyBorder="1"/>
    <xf numFmtId="164" fontId="0" fillId="0" borderId="151" xfId="43" applyFont="1" applyFill="1" applyBorder="1"/>
    <xf numFmtId="164" fontId="0" fillId="0" borderId="66" xfId="43" applyFont="1" applyFill="1" applyBorder="1"/>
    <xf numFmtId="164" fontId="19" fillId="24" borderId="144" xfId="0" applyNumberFormat="1" applyFont="1" applyFill="1" applyBorder="1"/>
    <xf numFmtId="164" fontId="21" fillId="27" borderId="163" xfId="43" applyFont="1" applyFill="1" applyBorder="1"/>
    <xf numFmtId="164" fontId="0" fillId="0" borderId="144" xfId="43" applyFont="1" applyFill="1" applyBorder="1"/>
    <xf numFmtId="0" fontId="27" fillId="0" borderId="181" xfId="0" applyFont="1" applyBorder="1" applyAlignment="1">
      <alignment horizontal="center"/>
    </xf>
    <xf numFmtId="164" fontId="27" fillId="0" borderId="182" xfId="43" applyFont="1" applyBorder="1"/>
    <xf numFmtId="164" fontId="27" fillId="0" borderId="73" xfId="43" applyFont="1" applyBorder="1"/>
    <xf numFmtId="0" fontId="27" fillId="0" borderId="73" xfId="0" applyFont="1" applyBorder="1" applyAlignment="1">
      <alignment shrinkToFit="1"/>
    </xf>
    <xf numFmtId="164" fontId="27" fillId="0" borderId="73" xfId="43" applyFont="1" applyBorder="1" applyAlignment="1">
      <alignment shrinkToFit="1"/>
    </xf>
    <xf numFmtId="164" fontId="27" fillId="0" borderId="183" xfId="43" applyFont="1" applyBorder="1"/>
    <xf numFmtId="0" fontId="27" fillId="0" borderId="50" xfId="0" applyFont="1" applyBorder="1" applyAlignment="1">
      <alignment horizontal="center"/>
    </xf>
    <xf numFmtId="164" fontId="27" fillId="0" borderId="65" xfId="43" applyFont="1" applyBorder="1"/>
    <xf numFmtId="0" fontId="27" fillId="0" borderId="50" xfId="0" applyFont="1" applyBorder="1" applyAlignment="1">
      <alignment shrinkToFit="1"/>
    </xf>
    <xf numFmtId="164" fontId="27" fillId="0" borderId="66" xfId="43" applyFont="1" applyBorder="1"/>
    <xf numFmtId="164" fontId="19" fillId="24" borderId="44" xfId="43" applyFont="1" applyFill="1" applyBorder="1" applyAlignment="1">
      <alignment shrinkToFit="1"/>
    </xf>
    <xf numFmtId="164" fontId="19" fillId="24" borderId="42" xfId="43" applyFont="1" applyFill="1" applyBorder="1" applyAlignment="1">
      <alignment shrinkToFit="1"/>
    </xf>
    <xf numFmtId="164" fontId="19" fillId="24" borderId="51" xfId="43" applyFont="1" applyFill="1" applyBorder="1" applyAlignment="1">
      <alignment shrinkToFit="1"/>
    </xf>
    <xf numFmtId="164" fontId="19" fillId="27" borderId="40" xfId="0" applyNumberFormat="1" applyFont="1" applyFill="1" applyBorder="1" applyAlignment="1">
      <alignment horizontal="left" shrinkToFit="1"/>
    </xf>
    <xf numFmtId="0" fontId="6" fillId="24" borderId="12" xfId="0" applyFont="1" applyFill="1" applyBorder="1" applyAlignment="1">
      <alignment horizontal="left" shrinkToFit="1"/>
    </xf>
    <xf numFmtId="164" fontId="6" fillId="24" borderId="69" xfId="43" applyFont="1" applyFill="1" applyBorder="1" applyAlignment="1">
      <alignment shrinkToFit="1"/>
    </xf>
    <xf numFmtId="164" fontId="6" fillId="24" borderId="58" xfId="43" applyFont="1" applyFill="1" applyBorder="1" applyAlignment="1">
      <alignment shrinkToFit="1"/>
    </xf>
    <xf numFmtId="164" fontId="6" fillId="24" borderId="81" xfId="43" applyFont="1" applyFill="1" applyBorder="1" applyAlignment="1">
      <alignment shrinkToFit="1"/>
    </xf>
    <xf numFmtId="164" fontId="6" fillId="24" borderId="88" xfId="43" applyFont="1" applyFill="1" applyBorder="1" applyAlignment="1">
      <alignment shrinkToFit="1"/>
    </xf>
    <xf numFmtId="164" fontId="6" fillId="24" borderId="88" xfId="43" applyFont="1" applyFill="1" applyBorder="1"/>
    <xf numFmtId="0" fontId="6" fillId="24" borderId="69" xfId="0" applyFont="1" applyFill="1" applyBorder="1" applyAlignment="1">
      <alignment horizontal="left" shrinkToFit="1"/>
    </xf>
    <xf numFmtId="0" fontId="6" fillId="24" borderId="33" xfId="0" applyFont="1" applyFill="1" applyBorder="1" applyAlignment="1">
      <alignment horizontal="left" shrinkToFit="1"/>
    </xf>
    <xf numFmtId="0" fontId="6" fillId="24" borderId="58" xfId="0" applyFont="1" applyFill="1" applyBorder="1" applyAlignment="1">
      <alignment horizontal="left" shrinkToFit="1"/>
    </xf>
    <xf numFmtId="0" fontId="6" fillId="24" borderId="44" xfId="0" applyFont="1" applyFill="1" applyBorder="1" applyAlignment="1">
      <alignment horizontal="left" shrinkToFit="1"/>
    </xf>
    <xf numFmtId="0" fontId="6" fillId="24" borderId="65" xfId="0" applyFont="1" applyFill="1" applyBorder="1" applyAlignment="1">
      <alignment horizontal="left" shrinkToFit="1"/>
    </xf>
    <xf numFmtId="0" fontId="25" fillId="0" borderId="44" xfId="0" applyFont="1" applyBorder="1"/>
    <xf numFmtId="164" fontId="33" fillId="25" borderId="33" xfId="43" applyFont="1" applyFill="1" applyBorder="1" applyAlignment="1">
      <alignment horizontal="center" shrinkToFit="1"/>
    </xf>
    <xf numFmtId="164" fontId="19" fillId="24" borderId="40" xfId="0" applyNumberFormat="1" applyFont="1" applyFill="1" applyBorder="1" applyAlignment="1">
      <alignment horizontal="left" shrinkToFit="1"/>
    </xf>
    <xf numFmtId="164" fontId="19" fillId="27" borderId="44" xfId="0" applyNumberFormat="1" applyFont="1" applyFill="1" applyBorder="1" applyAlignment="1">
      <alignment horizontal="left" shrinkToFit="1"/>
    </xf>
    <xf numFmtId="0" fontId="27" fillId="0" borderId="34" xfId="0" applyFont="1" applyBorder="1"/>
    <xf numFmtId="0" fontId="27" fillId="0" borderId="51" xfId="0" applyFont="1" applyBorder="1"/>
    <xf numFmtId="164" fontId="33" fillId="25" borderId="34" xfId="43" applyFont="1" applyFill="1" applyBorder="1" applyAlignment="1">
      <alignment horizontal="center" shrinkToFit="1"/>
    </xf>
    <xf numFmtId="164" fontId="27" fillId="0" borderId="181" xfId="43" applyFont="1" applyBorder="1"/>
    <xf numFmtId="164" fontId="27" fillId="0" borderId="67" xfId="43" applyFont="1" applyBorder="1"/>
    <xf numFmtId="164" fontId="27" fillId="0" borderId="34" xfId="43" applyFont="1" applyBorder="1"/>
    <xf numFmtId="164" fontId="33" fillId="26" borderId="51" xfId="43" applyFont="1" applyFill="1" applyBorder="1" applyAlignment="1">
      <alignment shrinkToFit="1"/>
    </xf>
    <xf numFmtId="164" fontId="33" fillId="26" borderId="74" xfId="43" applyFont="1" applyFill="1" applyBorder="1" applyAlignment="1">
      <alignment shrinkToFit="1"/>
    </xf>
    <xf numFmtId="0" fontId="27" fillId="0" borderId="84" xfId="0" applyFont="1" applyBorder="1" applyAlignment="1">
      <alignment horizontal="center"/>
    </xf>
    <xf numFmtId="0" fontId="32" fillId="24" borderId="27" xfId="0" applyFont="1" applyFill="1" applyBorder="1"/>
    <xf numFmtId="164" fontId="26" fillId="26" borderId="74" xfId="43" applyFont="1" applyFill="1" applyBorder="1"/>
    <xf numFmtId="164" fontId="26" fillId="26" borderId="91" xfId="43" applyFont="1" applyFill="1" applyBorder="1"/>
    <xf numFmtId="0" fontId="27" fillId="0" borderId="34" xfId="0" applyFont="1" applyBorder="1" applyAlignment="1">
      <alignment horizontal="center"/>
    </xf>
    <xf numFmtId="164" fontId="26" fillId="26" borderId="51" xfId="43" applyFont="1" applyFill="1" applyBorder="1" applyAlignment="1">
      <alignment shrinkToFit="1"/>
    </xf>
    <xf numFmtId="164" fontId="26" fillId="24" borderId="51" xfId="43" applyFont="1" applyFill="1" applyBorder="1" applyAlignment="1">
      <alignment shrinkToFit="1"/>
    </xf>
    <xf numFmtId="164" fontId="19" fillId="26" borderId="51" xfId="43" applyFont="1" applyFill="1" applyBorder="1"/>
    <xf numFmtId="164" fontId="27" fillId="26" borderId="143" xfId="43" applyFont="1" applyFill="1" applyBorder="1"/>
    <xf numFmtId="164" fontId="6" fillId="0" borderId="91" xfId="43" applyFont="1" applyBorder="1"/>
    <xf numFmtId="164" fontId="26" fillId="25" borderId="185" xfId="43" applyFont="1" applyFill="1" applyBorder="1"/>
    <xf numFmtId="164" fontId="6" fillId="24" borderId="181" xfId="43" applyFont="1" applyFill="1" applyBorder="1"/>
    <xf numFmtId="164" fontId="19" fillId="27" borderId="51" xfId="43" applyFont="1" applyFill="1" applyBorder="1"/>
    <xf numFmtId="164" fontId="26" fillId="27" borderId="34" xfId="43" applyFont="1" applyFill="1" applyBorder="1"/>
    <xf numFmtId="164" fontId="19" fillId="27" borderId="51" xfId="0" applyNumberFormat="1" applyFont="1" applyFill="1" applyBorder="1" applyAlignment="1">
      <alignment horizontal="left" shrinkToFit="1"/>
    </xf>
    <xf numFmtId="164" fontId="26" fillId="25" borderId="86" xfId="43" applyFont="1" applyFill="1" applyBorder="1" applyAlignment="1">
      <alignment shrinkToFit="1"/>
    </xf>
    <xf numFmtId="164" fontId="6" fillId="0" borderId="34" xfId="43" applyFont="1" applyFill="1" applyBorder="1" applyAlignment="1">
      <alignment shrinkToFit="1"/>
    </xf>
    <xf numFmtId="164" fontId="26" fillId="28" borderId="185" xfId="43" applyFont="1" applyFill="1" applyBorder="1" applyAlignment="1">
      <alignment shrinkToFit="1"/>
    </xf>
    <xf numFmtId="0" fontId="27" fillId="0" borderId="186" xfId="0" applyFont="1" applyBorder="1"/>
    <xf numFmtId="164" fontId="27" fillId="24" borderId="177" xfId="43" applyFont="1" applyFill="1" applyBorder="1"/>
    <xf numFmtId="164" fontId="27" fillId="24" borderId="176" xfId="43" applyFont="1" applyFill="1" applyBorder="1"/>
    <xf numFmtId="164" fontId="27" fillId="24" borderId="184" xfId="43" applyFont="1" applyFill="1" applyBorder="1"/>
    <xf numFmtId="164" fontId="27" fillId="0" borderId="177" xfId="43" applyFont="1" applyBorder="1"/>
    <xf numFmtId="164" fontId="27" fillId="0" borderId="177" xfId="43" applyFont="1" applyBorder="1" applyAlignment="1">
      <alignment shrinkToFit="1"/>
    </xf>
    <xf numFmtId="164" fontId="33" fillId="25" borderId="176" xfId="43" applyFont="1" applyFill="1" applyBorder="1" applyAlignment="1">
      <alignment horizontal="center" shrinkToFit="1"/>
    </xf>
    <xf numFmtId="0" fontId="27" fillId="0" borderId="187" xfId="0" applyFont="1" applyBorder="1"/>
    <xf numFmtId="0" fontId="27" fillId="0" borderId="184" xfId="0" applyFont="1" applyBorder="1"/>
    <xf numFmtId="0" fontId="27" fillId="0" borderId="176" xfId="0" applyFont="1" applyBorder="1"/>
    <xf numFmtId="164" fontId="27" fillId="24" borderId="177" xfId="0" applyNumberFormat="1" applyFont="1" applyFill="1" applyBorder="1"/>
    <xf numFmtId="164" fontId="33" fillId="26" borderId="177" xfId="43" applyFont="1" applyFill="1" applyBorder="1" applyAlignment="1">
      <alignment shrinkToFit="1"/>
    </xf>
    <xf numFmtId="164" fontId="33" fillId="0" borderId="177" xfId="43" applyFont="1" applyFill="1" applyBorder="1" applyAlignment="1">
      <alignment shrinkToFit="1"/>
    </xf>
    <xf numFmtId="164" fontId="27" fillId="0" borderId="177" xfId="0" applyNumberFormat="1" applyFont="1" applyBorder="1"/>
    <xf numFmtId="164" fontId="33" fillId="26" borderId="188" xfId="43" applyFont="1" applyFill="1" applyBorder="1" applyAlignment="1">
      <alignment shrinkToFit="1"/>
    </xf>
    <xf numFmtId="164" fontId="27" fillId="0" borderId="176" xfId="0" applyNumberFormat="1" applyFont="1" applyBorder="1"/>
    <xf numFmtId="0" fontId="27" fillId="0" borderId="176" xfId="0" applyFont="1" applyBorder="1" applyAlignment="1">
      <alignment horizontal="right"/>
    </xf>
    <xf numFmtId="0" fontId="27" fillId="0" borderId="176" xfId="0" applyFont="1" applyBorder="1" applyAlignment="1">
      <alignment horizontal="center"/>
    </xf>
    <xf numFmtId="0" fontId="27" fillId="0" borderId="189" xfId="0" applyFont="1" applyBorder="1"/>
    <xf numFmtId="164" fontId="26" fillId="26" borderId="188" xfId="43" applyFont="1" applyFill="1" applyBorder="1"/>
    <xf numFmtId="164" fontId="26" fillId="26" borderId="177" xfId="43" applyFont="1" applyFill="1" applyBorder="1"/>
    <xf numFmtId="164" fontId="26" fillId="0" borderId="177" xfId="43" applyFont="1" applyBorder="1"/>
    <xf numFmtId="164" fontId="27" fillId="24" borderId="176" xfId="0" applyNumberFormat="1" applyFont="1" applyFill="1" applyBorder="1"/>
    <xf numFmtId="164" fontId="33" fillId="24" borderId="177" xfId="43" applyFont="1" applyFill="1" applyBorder="1"/>
    <xf numFmtId="164" fontId="26" fillId="24" borderId="177" xfId="43" applyFont="1" applyFill="1" applyBorder="1"/>
    <xf numFmtId="164" fontId="26" fillId="26" borderId="166" xfId="43" applyFont="1" applyFill="1" applyBorder="1"/>
    <xf numFmtId="164" fontId="26" fillId="24" borderId="176" xfId="43" applyFont="1" applyFill="1" applyBorder="1"/>
    <xf numFmtId="164" fontId="21" fillId="24" borderId="177" xfId="0" applyNumberFormat="1" applyFont="1" applyFill="1" applyBorder="1"/>
    <xf numFmtId="164" fontId="27" fillId="0" borderId="177" xfId="0" applyNumberFormat="1" applyFont="1" applyBorder="1" applyAlignment="1">
      <alignment shrinkToFit="1"/>
    </xf>
    <xf numFmtId="164" fontId="27" fillId="0" borderId="176" xfId="0" applyNumberFormat="1" applyFont="1" applyBorder="1" applyAlignment="1">
      <alignment shrinkToFit="1"/>
    </xf>
    <xf numFmtId="164" fontId="27" fillId="26" borderId="177" xfId="0" applyNumberFormat="1" applyFont="1" applyFill="1" applyBorder="1"/>
    <xf numFmtId="164" fontId="19" fillId="26" borderId="177" xfId="43" applyFont="1" applyFill="1" applyBorder="1"/>
    <xf numFmtId="164" fontId="27" fillId="24" borderId="178" xfId="0" applyNumberFormat="1" applyFont="1" applyFill="1" applyBorder="1"/>
    <xf numFmtId="164" fontId="26" fillId="0" borderId="177" xfId="43" applyFont="1" applyFill="1" applyBorder="1"/>
    <xf numFmtId="164" fontId="26" fillId="0" borderId="178" xfId="43" applyFont="1" applyFill="1" applyBorder="1"/>
    <xf numFmtId="164" fontId="27" fillId="0" borderId="178" xfId="0" applyNumberFormat="1" applyFont="1" applyBorder="1"/>
    <xf numFmtId="164" fontId="27" fillId="0" borderId="184" xfId="0" applyNumberFormat="1" applyFont="1" applyBorder="1"/>
    <xf numFmtId="164" fontId="26" fillId="25" borderId="190" xfId="43" applyFont="1" applyFill="1" applyBorder="1"/>
    <xf numFmtId="164" fontId="6" fillId="24" borderId="187" xfId="43" applyFont="1" applyFill="1" applyBorder="1" applyAlignment="1">
      <alignment shrinkToFit="1"/>
    </xf>
    <xf numFmtId="0" fontId="6" fillId="0" borderId="184" xfId="0" applyFont="1" applyBorder="1" applyAlignment="1">
      <alignment shrinkToFit="1"/>
    </xf>
    <xf numFmtId="43" fontId="6" fillId="24" borderId="176" xfId="0" applyNumberFormat="1" applyFont="1" applyFill="1" applyBorder="1" applyAlignment="1">
      <alignment shrinkToFit="1"/>
    </xf>
    <xf numFmtId="43" fontId="6" fillId="24" borderId="177" xfId="0" applyNumberFormat="1" applyFont="1" applyFill="1" applyBorder="1" applyAlignment="1">
      <alignment shrinkToFit="1"/>
    </xf>
    <xf numFmtId="164" fontId="19" fillId="27" borderId="177" xfId="43" applyFont="1" applyFill="1" applyBorder="1"/>
    <xf numFmtId="164" fontId="6" fillId="27" borderId="177" xfId="43" applyFont="1" applyFill="1" applyBorder="1"/>
    <xf numFmtId="164" fontId="26" fillId="27" borderId="177" xfId="43" applyFont="1" applyFill="1" applyBorder="1"/>
    <xf numFmtId="164" fontId="27" fillId="27" borderId="177" xfId="0" applyNumberFormat="1" applyFont="1" applyFill="1" applyBorder="1" applyAlignment="1">
      <alignment shrinkToFit="1"/>
    </xf>
    <xf numFmtId="164" fontId="33" fillId="27" borderId="177" xfId="43" applyFont="1" applyFill="1" applyBorder="1"/>
    <xf numFmtId="164" fontId="27" fillId="0" borderId="188" xfId="0" applyNumberFormat="1" applyFont="1" applyBorder="1"/>
    <xf numFmtId="164" fontId="26" fillId="27" borderId="176" xfId="43" applyFont="1" applyFill="1" applyBorder="1"/>
    <xf numFmtId="164" fontId="21" fillId="27" borderId="177" xfId="0" applyNumberFormat="1" applyFont="1" applyFill="1" applyBorder="1" applyAlignment="1">
      <alignment shrinkToFit="1"/>
    </xf>
    <xf numFmtId="164" fontId="27" fillId="24" borderId="176" xfId="0" applyNumberFormat="1" applyFont="1" applyFill="1" applyBorder="1" applyAlignment="1">
      <alignment shrinkToFit="1"/>
    </xf>
    <xf numFmtId="164" fontId="21" fillId="24" borderId="177" xfId="0" applyNumberFormat="1" applyFont="1" applyFill="1" applyBorder="1" applyAlignment="1">
      <alignment shrinkToFit="1"/>
    </xf>
    <xf numFmtId="164" fontId="27" fillId="24" borderId="178" xfId="0" applyNumberFormat="1" applyFont="1" applyFill="1" applyBorder="1" applyAlignment="1">
      <alignment shrinkToFit="1"/>
    </xf>
    <xf numFmtId="164" fontId="27" fillId="24" borderId="177" xfId="0" applyNumberFormat="1" applyFont="1" applyFill="1" applyBorder="1" applyAlignment="1">
      <alignment shrinkToFit="1"/>
    </xf>
    <xf numFmtId="164" fontId="26" fillId="25" borderId="172" xfId="43" applyFont="1" applyFill="1" applyBorder="1" applyAlignment="1">
      <alignment shrinkToFit="1"/>
    </xf>
    <xf numFmtId="164" fontId="6" fillId="0" borderId="176" xfId="43" applyFont="1" applyFill="1" applyBorder="1" applyAlignment="1">
      <alignment shrinkToFit="1"/>
    </xf>
    <xf numFmtId="164" fontId="26" fillId="28" borderId="190" xfId="43" applyFont="1" applyFill="1" applyBorder="1" applyAlignment="1">
      <alignment shrinkToFit="1"/>
    </xf>
    <xf numFmtId="164" fontId="6" fillId="27" borderId="44" xfId="43" applyFont="1" applyFill="1" applyBorder="1"/>
    <xf numFmtId="164" fontId="26" fillId="27" borderId="44" xfId="43" applyFont="1" applyFill="1" applyBorder="1"/>
    <xf numFmtId="164" fontId="6" fillId="24" borderId="160" xfId="43" applyFont="1" applyFill="1" applyBorder="1"/>
    <xf numFmtId="164" fontId="27" fillId="26" borderId="141" xfId="43" applyFont="1" applyFill="1" applyBorder="1"/>
    <xf numFmtId="164" fontId="33" fillId="26" borderId="40" xfId="43" applyFont="1" applyFill="1" applyBorder="1"/>
    <xf numFmtId="0" fontId="6" fillId="0" borderId="51" xfId="0" applyFont="1" applyBorder="1" applyAlignment="1">
      <alignment horizontal="left"/>
    </xf>
    <xf numFmtId="164" fontId="27" fillId="26" borderId="51" xfId="43" applyFont="1" applyFill="1" applyBorder="1"/>
    <xf numFmtId="164" fontId="27" fillId="26" borderId="42" xfId="43" applyFont="1" applyFill="1" applyBorder="1"/>
    <xf numFmtId="164" fontId="39" fillId="0" borderId="66" xfId="42" applyFont="1" applyBorder="1" applyAlignment="1">
      <alignment horizontal="right" vertical="center"/>
    </xf>
    <xf numFmtId="164" fontId="43" fillId="0" borderId="106" xfId="42" applyFont="1" applyBorder="1" applyAlignment="1">
      <alignment horizontal="right" vertical="center"/>
    </xf>
    <xf numFmtId="164" fontId="43" fillId="0" borderId="105" xfId="42" applyFont="1" applyBorder="1" applyAlignment="1">
      <alignment horizontal="right" vertical="center"/>
    </xf>
    <xf numFmtId="164" fontId="43" fillId="0" borderId="99" xfId="42" applyFont="1" applyBorder="1" applyAlignment="1">
      <alignment horizontal="right" vertical="center"/>
    </xf>
    <xf numFmtId="164" fontId="43" fillId="0" borderId="98" xfId="42" applyFont="1" applyBorder="1" applyAlignment="1">
      <alignment horizontal="right" vertical="center"/>
    </xf>
    <xf numFmtId="164" fontId="39" fillId="0" borderId="98" xfId="42" applyFont="1" applyBorder="1" applyAlignment="1">
      <alignment horizontal="right" vertical="center"/>
    </xf>
    <xf numFmtId="164" fontId="39" fillId="24" borderId="99" xfId="42" applyFont="1" applyFill="1" applyBorder="1" applyAlignment="1">
      <alignment horizontal="right" vertical="center"/>
    </xf>
    <xf numFmtId="164" fontId="47" fillId="0" borderId="107" xfId="42" applyFont="1" applyBorder="1" applyAlignment="1">
      <alignment horizontal="right" vertical="center"/>
    </xf>
    <xf numFmtId="164" fontId="43" fillId="0" borderId="100" xfId="42" applyFont="1" applyBorder="1" applyAlignment="1">
      <alignment horizontal="right" vertical="center"/>
    </xf>
    <xf numFmtId="164" fontId="48" fillId="27" borderId="110" xfId="42" applyFont="1" applyFill="1" applyBorder="1" applyAlignment="1">
      <alignment horizontal="right" vertical="center"/>
    </xf>
    <xf numFmtId="0" fontId="39" fillId="0" borderId="191" xfId="0" applyFont="1" applyBorder="1" applyAlignment="1">
      <alignment vertical="center"/>
    </xf>
    <xf numFmtId="164" fontId="39" fillId="0" borderId="105" xfId="42" applyFont="1" applyBorder="1" applyAlignment="1">
      <alignment horizontal="right" vertical="center"/>
    </xf>
    <xf numFmtId="164" fontId="42" fillId="29" borderId="97" xfId="42" applyFont="1" applyFill="1" applyBorder="1" applyAlignment="1">
      <alignment horizontal="right" vertical="center"/>
    </xf>
    <xf numFmtId="164" fontId="42" fillId="29" borderId="114" xfId="42" applyFont="1" applyFill="1" applyBorder="1" applyAlignment="1">
      <alignment horizontal="right" vertical="center"/>
    </xf>
    <xf numFmtId="164" fontId="42" fillId="0" borderId="106" xfId="42" applyFont="1" applyBorder="1" applyAlignment="1">
      <alignment horizontal="right" vertical="center"/>
    </xf>
    <xf numFmtId="4" fontId="43" fillId="0" borderId="99" xfId="42" applyNumberFormat="1" applyFont="1" applyBorder="1" applyAlignment="1">
      <alignment horizontal="right" vertical="center"/>
    </xf>
    <xf numFmtId="164" fontId="39" fillId="0" borderId="109" xfId="42" applyFont="1" applyBorder="1" applyAlignment="1">
      <alignment horizontal="right" vertical="center"/>
    </xf>
    <xf numFmtId="164" fontId="42" fillId="0" borderId="107" xfId="42" applyFont="1" applyBorder="1" applyAlignment="1">
      <alignment horizontal="right" vertical="center"/>
    </xf>
    <xf numFmtId="0" fontId="39" fillId="0" borderId="118" xfId="0" applyFont="1" applyBorder="1" applyAlignment="1">
      <alignment horizontal="right" vertical="center"/>
    </xf>
    <xf numFmtId="0" fontId="39" fillId="0" borderId="35" xfId="0" applyFont="1" applyBorder="1" applyAlignment="1">
      <alignment horizontal="right" vertical="center"/>
    </xf>
    <xf numFmtId="0" fontId="39" fillId="0" borderId="109" xfId="0" applyFont="1" applyBorder="1" applyAlignment="1">
      <alignment horizontal="right" vertical="center"/>
    </xf>
    <xf numFmtId="164" fontId="39" fillId="0" borderId="192" xfId="42" applyFont="1" applyBorder="1" applyAlignment="1">
      <alignment horizontal="right" vertical="center"/>
    </xf>
    <xf numFmtId="164" fontId="39" fillId="0" borderId="118" xfId="42" applyFont="1" applyBorder="1" applyAlignment="1">
      <alignment horizontal="right" vertical="center"/>
    </xf>
    <xf numFmtId="164" fontId="39" fillId="0" borderId="35" xfId="42" applyFont="1" applyBorder="1" applyAlignment="1">
      <alignment horizontal="right" vertical="center"/>
    </xf>
    <xf numFmtId="164" fontId="44" fillId="27" borderId="108" xfId="42" applyFont="1" applyFill="1" applyBorder="1" applyAlignment="1">
      <alignment horizontal="right" vertical="center"/>
    </xf>
    <xf numFmtId="164" fontId="39" fillId="0" borderId="108" xfId="42" applyFont="1" applyFill="1" applyBorder="1" applyAlignment="1">
      <alignment horizontal="right" vertical="center"/>
    </xf>
    <xf numFmtId="0" fontId="39" fillId="0" borderId="193" xfId="0" applyFont="1" applyBorder="1" applyAlignment="1">
      <alignment vertical="center"/>
    </xf>
    <xf numFmtId="0" fontId="39" fillId="0" borderId="108" xfId="0" applyFont="1" applyBorder="1" applyAlignment="1">
      <alignment vertical="center"/>
    </xf>
    <xf numFmtId="0" fontId="39" fillId="0" borderId="194" xfId="0" applyFont="1" applyBorder="1" applyAlignment="1">
      <alignment vertical="center"/>
    </xf>
    <xf numFmtId="164" fontId="48" fillId="0" borderId="108" xfId="42" applyFont="1" applyFill="1" applyBorder="1" applyAlignment="1">
      <alignment horizontal="right" vertical="center"/>
    </xf>
    <xf numFmtId="164" fontId="39" fillId="0" borderId="114" xfId="42" applyFont="1" applyFill="1" applyBorder="1" applyAlignment="1">
      <alignment horizontal="right" vertical="center"/>
    </xf>
    <xf numFmtId="164" fontId="39" fillId="0" borderId="66" xfId="42" applyFont="1" applyFill="1" applyBorder="1" applyAlignment="1">
      <alignment horizontal="right" vertical="center"/>
    </xf>
    <xf numFmtId="164" fontId="39" fillId="0" borderId="42" xfId="42" applyFont="1" applyFill="1" applyBorder="1" applyAlignment="1">
      <alignment horizontal="right" vertical="center"/>
    </xf>
    <xf numFmtId="164" fontId="39" fillId="0" borderId="0" xfId="42" applyFont="1" applyFill="1" applyBorder="1" applyAlignment="1">
      <alignment horizontal="right" vertical="center"/>
    </xf>
    <xf numFmtId="164" fontId="39" fillId="0" borderId="111" xfId="42" applyFont="1" applyFill="1" applyBorder="1" applyAlignment="1">
      <alignment horizontal="right" vertical="center"/>
    </xf>
    <xf numFmtId="0" fontId="39" fillId="0" borderId="195" xfId="0" applyFont="1" applyBorder="1" applyAlignment="1">
      <alignment vertical="center"/>
    </xf>
    <xf numFmtId="164" fontId="43" fillId="0" borderId="107" xfId="42" applyFont="1" applyBorder="1" applyAlignment="1">
      <alignment horizontal="right" vertical="center"/>
    </xf>
    <xf numFmtId="164" fontId="50" fillId="0" borderId="108" xfId="42" applyFont="1" applyBorder="1" applyAlignment="1">
      <alignment horizontal="right" vertical="center"/>
    </xf>
    <xf numFmtId="164" fontId="0" fillId="24" borderId="149" xfId="43" applyFont="1" applyFill="1" applyBorder="1" applyAlignment="1">
      <alignment shrinkToFit="1"/>
    </xf>
    <xf numFmtId="164" fontId="0" fillId="24" borderId="167" xfId="43" applyFont="1" applyFill="1" applyBorder="1" applyAlignment="1">
      <alignment shrinkToFit="1"/>
    </xf>
    <xf numFmtId="164" fontId="0" fillId="0" borderId="22" xfId="43" applyFont="1" applyBorder="1"/>
    <xf numFmtId="164" fontId="33" fillId="25" borderId="78" xfId="43" applyFont="1" applyFill="1" applyBorder="1" applyAlignment="1">
      <alignment horizontal="center" shrinkToFit="1"/>
    </xf>
    <xf numFmtId="0" fontId="27" fillId="0" borderId="23" xfId="0" applyFont="1" applyBorder="1" applyAlignment="1">
      <alignment horizontal="center"/>
    </xf>
    <xf numFmtId="0" fontId="27" fillId="0" borderId="84" xfId="0" applyFont="1" applyBorder="1"/>
    <xf numFmtId="164" fontId="6" fillId="24" borderId="73" xfId="43" applyFont="1" applyFill="1" applyBorder="1" applyAlignment="1">
      <alignment shrinkToFit="1"/>
    </xf>
    <xf numFmtId="164" fontId="6" fillId="0" borderId="40" xfId="43" applyFont="1" applyFill="1" applyBorder="1" applyAlignment="1">
      <alignment horizontal="left" shrinkToFit="1"/>
    </xf>
    <xf numFmtId="164" fontId="26" fillId="27" borderId="41" xfId="43" applyFont="1" applyFill="1" applyBorder="1"/>
    <xf numFmtId="0" fontId="19" fillId="0" borderId="40" xfId="0" applyFont="1" applyBorder="1" applyAlignment="1">
      <alignment horizontal="left" shrinkToFit="1"/>
    </xf>
    <xf numFmtId="164" fontId="21" fillId="26" borderId="177" xfId="0" applyNumberFormat="1" applyFont="1" applyFill="1" applyBorder="1"/>
    <xf numFmtId="164" fontId="39" fillId="0" borderId="112" xfId="42" applyFont="1" applyFill="1" applyBorder="1" applyAlignment="1">
      <alignment horizontal="right" vertical="center"/>
    </xf>
    <xf numFmtId="164" fontId="39" fillId="0" borderId="94" xfId="42" applyFont="1" applyBorder="1" applyAlignment="1">
      <alignment vertical="center"/>
    </xf>
    <xf numFmtId="164" fontId="39" fillId="24" borderId="98" xfId="42" applyFont="1" applyFill="1" applyBorder="1" applyAlignment="1">
      <alignment horizontal="right" vertical="center"/>
    </xf>
    <xf numFmtId="164" fontId="39" fillId="0" borderId="196" xfId="42" applyFont="1" applyBorder="1" applyAlignment="1">
      <alignment vertical="center"/>
    </xf>
    <xf numFmtId="164" fontId="50" fillId="0" borderId="106" xfId="42" applyFont="1" applyBorder="1" applyAlignment="1">
      <alignment horizontal="right" vertical="center"/>
    </xf>
    <xf numFmtId="164" fontId="30" fillId="27" borderId="95" xfId="42" applyFont="1" applyFill="1" applyBorder="1" applyAlignment="1">
      <alignment horizontal="right" vertical="center"/>
    </xf>
    <xf numFmtId="39" fontId="27" fillId="24" borderId="40" xfId="45" applyNumberFormat="1" applyFont="1" applyFill="1" applyBorder="1"/>
    <xf numFmtId="164" fontId="33" fillId="26" borderId="55" xfId="43" applyFont="1" applyFill="1" applyBorder="1"/>
    <xf numFmtId="44" fontId="27" fillId="24" borderId="40" xfId="45" applyFont="1" applyFill="1" applyBorder="1" applyAlignment="1">
      <alignment horizontal="left"/>
    </xf>
    <xf numFmtId="0" fontId="27" fillId="24" borderId="40" xfId="0" applyFont="1" applyFill="1" applyBorder="1" applyAlignment="1">
      <alignment horizontal="left"/>
    </xf>
    <xf numFmtId="164" fontId="43" fillId="30" borderId="97" xfId="42" applyFont="1" applyFill="1" applyBorder="1" applyAlignment="1">
      <alignment horizontal="center" vertical="center" wrapText="1" shrinkToFit="1"/>
    </xf>
    <xf numFmtId="164" fontId="43" fillId="31" borderId="97" xfId="42" applyFont="1" applyFill="1" applyBorder="1" applyAlignment="1">
      <alignment horizontal="center" vertical="center" wrapText="1" shrinkToFit="1"/>
    </xf>
    <xf numFmtId="164" fontId="44" fillId="32" borderId="97" xfId="42" applyFont="1" applyFill="1" applyBorder="1" applyAlignment="1">
      <alignment horizontal="center" vertical="center" wrapText="1" shrinkToFit="1"/>
    </xf>
    <xf numFmtId="164" fontId="27" fillId="24" borderId="144" xfId="0" applyNumberFormat="1" applyFont="1" applyFill="1" applyBorder="1"/>
    <xf numFmtId="164" fontId="27" fillId="24" borderId="167" xfId="43" applyFont="1" applyFill="1" applyBorder="1" applyAlignment="1">
      <alignment horizontal="center" shrinkToFit="1"/>
    </xf>
    <xf numFmtId="164" fontId="27" fillId="24" borderId="165" xfId="43" applyFont="1" applyFill="1" applyBorder="1" applyAlignment="1">
      <alignment horizontal="center" shrinkToFit="1"/>
    </xf>
    <xf numFmtId="164" fontId="27" fillId="0" borderId="69" xfId="43" applyFont="1" applyFill="1" applyBorder="1"/>
    <xf numFmtId="164" fontId="27" fillId="0" borderId="58" xfId="43" applyFont="1" applyFill="1" applyBorder="1"/>
    <xf numFmtId="164" fontId="27" fillId="0" borderId="81" xfId="43" applyFont="1" applyFill="1" applyBorder="1"/>
    <xf numFmtId="164" fontId="33" fillId="0" borderId="42" xfId="43" applyFont="1" applyFill="1" applyBorder="1"/>
    <xf numFmtId="164" fontId="27" fillId="0" borderId="42" xfId="43" applyFont="1" applyBorder="1" applyAlignment="1">
      <alignment shrinkToFit="1"/>
    </xf>
    <xf numFmtId="164" fontId="27" fillId="0" borderId="0" xfId="42" applyFont="1"/>
    <xf numFmtId="164" fontId="25" fillId="24" borderId="43" xfId="0" applyNumberFormat="1" applyFont="1" applyFill="1" applyBorder="1"/>
    <xf numFmtId="164" fontId="25" fillId="24" borderId="68" xfId="0" applyNumberFormat="1" applyFont="1" applyFill="1" applyBorder="1"/>
    <xf numFmtId="164" fontId="25" fillId="24" borderId="17" xfId="0" applyNumberFormat="1" applyFont="1" applyFill="1" applyBorder="1"/>
    <xf numFmtId="164" fontId="59" fillId="24" borderId="40" xfId="43" applyFont="1" applyFill="1" applyBorder="1"/>
    <xf numFmtId="164" fontId="25" fillId="24" borderId="12" xfId="43" applyFont="1" applyFill="1" applyBorder="1"/>
    <xf numFmtId="164" fontId="25" fillId="24" borderId="40" xfId="43" applyFont="1" applyFill="1" applyBorder="1"/>
    <xf numFmtId="164" fontId="25" fillId="24" borderId="50" xfId="43" applyFont="1" applyFill="1" applyBorder="1"/>
    <xf numFmtId="0" fontId="6" fillId="24" borderId="40" xfId="0" applyFont="1" applyFill="1" applyBorder="1" applyAlignment="1">
      <alignment horizontal="center" shrinkToFit="1"/>
    </xf>
    <xf numFmtId="0" fontId="6" fillId="0" borderId="40" xfId="0" applyFont="1" applyBorder="1" applyAlignment="1">
      <alignment horizontal="center" shrinkToFit="1"/>
    </xf>
    <xf numFmtId="0" fontId="0" fillId="0" borderId="40" xfId="0" applyBorder="1" applyAlignment="1">
      <alignment horizontal="center" shrinkToFit="1"/>
    </xf>
    <xf numFmtId="0" fontId="27" fillId="0" borderId="16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33" xfId="0" applyFont="1" applyBorder="1" applyAlignment="1">
      <alignment horizontal="center"/>
    </xf>
    <xf numFmtId="164" fontId="27" fillId="0" borderId="46" xfId="43" quotePrefix="1" applyFont="1" applyBorder="1" applyAlignment="1">
      <alignment horizontal="center" shrinkToFit="1"/>
    </xf>
    <xf numFmtId="164" fontId="32" fillId="0" borderId="46" xfId="43" applyFont="1" applyBorder="1" applyAlignment="1">
      <alignment horizontal="center" shrinkToFit="1"/>
    </xf>
    <xf numFmtId="164" fontId="27" fillId="0" borderId="0" xfId="43" applyFont="1" applyAlignment="1">
      <alignment horizontal="right"/>
    </xf>
    <xf numFmtId="0" fontId="27" fillId="24" borderId="42" xfId="0" applyFont="1" applyFill="1" applyBorder="1" applyAlignment="1">
      <alignment horizontal="left" wrapText="1"/>
    </xf>
    <xf numFmtId="0" fontId="27" fillId="24" borderId="44" xfId="0" applyFont="1" applyFill="1" applyBorder="1" applyAlignment="1">
      <alignment horizontal="left" wrapText="1"/>
    </xf>
    <xf numFmtId="0" fontId="21" fillId="0" borderId="0" xfId="0" applyFont="1" applyAlignment="1">
      <alignment horizontal="left"/>
    </xf>
    <xf numFmtId="0" fontId="27" fillId="0" borderId="56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0" fontId="27" fillId="0" borderId="158" xfId="0" applyFont="1" applyBorder="1" applyAlignment="1">
      <alignment horizontal="center"/>
    </xf>
    <xf numFmtId="0" fontId="27" fillId="0" borderId="37" xfId="0" applyFont="1" applyBorder="1" applyAlignment="1">
      <alignment horizontal="center"/>
    </xf>
    <xf numFmtId="0" fontId="27" fillId="0" borderId="26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0" borderId="38" xfId="0" applyFont="1" applyBorder="1" applyAlignment="1">
      <alignment horizontal="center"/>
    </xf>
    <xf numFmtId="0" fontId="27" fillId="0" borderId="18" xfId="0" applyFont="1" applyBorder="1" applyAlignment="1">
      <alignment horizontal="center"/>
    </xf>
    <xf numFmtId="0" fontId="27" fillId="0" borderId="19" xfId="0" applyFont="1" applyBorder="1" applyAlignment="1">
      <alignment horizontal="center"/>
    </xf>
    <xf numFmtId="0" fontId="27" fillId="0" borderId="20" xfId="0" applyFont="1" applyBorder="1" applyAlignment="1">
      <alignment horizontal="center"/>
    </xf>
    <xf numFmtId="164" fontId="0" fillId="0" borderId="0" xfId="43" applyFont="1" applyAlignment="1">
      <alignment horizontal="center" shrinkToFit="1"/>
    </xf>
    <xf numFmtId="0" fontId="21" fillId="0" borderId="23" xfId="0" applyFont="1" applyBorder="1" applyAlignment="1">
      <alignment horizontal="center"/>
    </xf>
    <xf numFmtId="0" fontId="0" fillId="24" borderId="41" xfId="0" applyFill="1" applyBorder="1" applyAlignment="1">
      <alignment horizontal="center"/>
    </xf>
    <xf numFmtId="0" fontId="0" fillId="24" borderId="42" xfId="0" applyFill="1" applyBorder="1" applyAlignment="1">
      <alignment horizontal="center"/>
    </xf>
    <xf numFmtId="0" fontId="6" fillId="24" borderId="22" xfId="0" applyFont="1" applyFill="1" applyBorder="1" applyAlignment="1">
      <alignment horizontal="center"/>
    </xf>
    <xf numFmtId="0" fontId="0" fillId="24" borderId="0" xfId="0" applyFill="1" applyAlignment="1">
      <alignment horizontal="center"/>
    </xf>
    <xf numFmtId="0" fontId="0" fillId="24" borderId="23" xfId="0" applyFill="1" applyBorder="1" applyAlignment="1">
      <alignment horizontal="center"/>
    </xf>
    <xf numFmtId="164" fontId="22" fillId="0" borderId="46" xfId="43" applyFont="1" applyBorder="1" applyAlignment="1">
      <alignment horizontal="center" shrinkToFit="1"/>
    </xf>
    <xf numFmtId="164" fontId="22" fillId="0" borderId="0" xfId="43" applyFont="1" applyBorder="1" applyAlignment="1">
      <alignment horizontal="center" shrinkToFit="1"/>
    </xf>
    <xf numFmtId="164" fontId="19" fillId="28" borderId="39" xfId="43" applyFont="1" applyFill="1" applyBorder="1" applyAlignment="1">
      <alignment horizontal="center" shrinkToFit="1"/>
    </xf>
    <xf numFmtId="0" fontId="27" fillId="0" borderId="80" xfId="0" applyFont="1" applyBorder="1" applyAlignment="1">
      <alignment horizontal="center"/>
    </xf>
    <xf numFmtId="0" fontId="27" fillId="0" borderId="81" xfId="0" applyFont="1" applyBorder="1" applyAlignment="1">
      <alignment horizontal="center"/>
    </xf>
    <xf numFmtId="0" fontId="27" fillId="24" borderId="41" xfId="0" applyFont="1" applyFill="1" applyBorder="1" applyAlignment="1">
      <alignment horizontal="left" indent="3" shrinkToFit="1"/>
    </xf>
    <xf numFmtId="0" fontId="27" fillId="24" borderId="42" xfId="0" applyFont="1" applyFill="1" applyBorder="1" applyAlignment="1">
      <alignment horizontal="left" indent="3" shrinkToFit="1"/>
    </xf>
    <xf numFmtId="0" fontId="27" fillId="24" borderId="142" xfId="0" applyFont="1" applyFill="1" applyBorder="1" applyAlignment="1">
      <alignment horizontal="left" indent="3" shrinkToFit="1"/>
    </xf>
    <xf numFmtId="0" fontId="25" fillId="24" borderId="41" xfId="0" applyFont="1" applyFill="1" applyBorder="1" applyAlignment="1">
      <alignment horizontal="center" shrinkToFit="1"/>
    </xf>
    <xf numFmtId="0" fontId="25" fillId="24" borderId="42" xfId="0" applyFont="1" applyFill="1" applyBorder="1" applyAlignment="1">
      <alignment horizontal="center" shrinkToFit="1"/>
    </xf>
    <xf numFmtId="0" fontId="25" fillId="24" borderId="142" xfId="0" applyFont="1" applyFill="1" applyBorder="1" applyAlignment="1">
      <alignment horizontal="center" shrinkToFit="1"/>
    </xf>
    <xf numFmtId="0" fontId="27" fillId="0" borderId="41" xfId="0" applyFont="1" applyBorder="1" applyAlignment="1">
      <alignment horizontal="left" indent="3" shrinkToFit="1"/>
    </xf>
    <xf numFmtId="0" fontId="27" fillId="0" borderId="42" xfId="0" applyFont="1" applyBorder="1" applyAlignment="1">
      <alignment horizontal="left" indent="3" shrinkToFit="1"/>
    </xf>
    <xf numFmtId="0" fontId="27" fillId="0" borderId="142" xfId="0" applyFont="1" applyBorder="1" applyAlignment="1">
      <alignment horizontal="left" indent="3" shrinkToFit="1"/>
    </xf>
    <xf numFmtId="0" fontId="27" fillId="24" borderId="41" xfId="0" applyFont="1" applyFill="1" applyBorder="1" applyAlignment="1">
      <alignment horizontal="center"/>
    </xf>
    <xf numFmtId="0" fontId="27" fillId="24" borderId="42" xfId="0" applyFont="1" applyFill="1" applyBorder="1" applyAlignment="1">
      <alignment horizontal="center"/>
    </xf>
    <xf numFmtId="0" fontId="27" fillId="24" borderId="142" xfId="0" applyFont="1" applyFill="1" applyBorder="1" applyAlignment="1">
      <alignment horizontal="center"/>
    </xf>
    <xf numFmtId="0" fontId="27" fillId="0" borderId="41" xfId="0" applyFont="1" applyBorder="1" applyAlignment="1">
      <alignment horizontal="center"/>
    </xf>
    <xf numFmtId="0" fontId="27" fillId="0" borderId="42" xfId="0" applyFont="1" applyBorder="1" applyAlignment="1">
      <alignment horizontal="center"/>
    </xf>
    <xf numFmtId="0" fontId="27" fillId="0" borderId="142" xfId="0" applyFont="1" applyBorder="1" applyAlignment="1">
      <alignment horizontal="center"/>
    </xf>
    <xf numFmtId="0" fontId="27" fillId="0" borderId="13" xfId="0" applyFont="1" applyBorder="1" applyAlignment="1">
      <alignment horizontal="center"/>
    </xf>
    <xf numFmtId="0" fontId="27" fillId="0" borderId="12" xfId="0" applyFont="1" applyBorder="1" applyAlignment="1">
      <alignment horizontal="center"/>
    </xf>
    <xf numFmtId="0" fontId="27" fillId="0" borderId="30" xfId="0" applyFont="1" applyBorder="1" applyAlignment="1">
      <alignment horizontal="center"/>
    </xf>
    <xf numFmtId="0" fontId="39" fillId="0" borderId="92" xfId="0" applyFont="1" applyBorder="1" applyAlignment="1">
      <alignment horizontal="center" vertical="center"/>
    </xf>
    <xf numFmtId="0" fontId="39" fillId="0" borderId="32" xfId="0" applyFont="1" applyBorder="1" applyAlignment="1">
      <alignment horizontal="center" vertical="center"/>
    </xf>
    <xf numFmtId="0" fontId="39" fillId="0" borderId="94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9" fillId="0" borderId="96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 vertical="center"/>
    </xf>
    <xf numFmtId="0" fontId="39" fillId="0" borderId="94" xfId="0" quotePrefix="1" applyFont="1" applyBorder="1" applyAlignment="1">
      <alignment horizontal="center" vertical="center"/>
    </xf>
    <xf numFmtId="0" fontId="46" fillId="0" borderId="0" xfId="0" applyFont="1" applyAlignment="1">
      <alignment horizontal="center" vertical="center"/>
    </xf>
  </cellXfs>
  <cellStyles count="4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2" builtinId="3"/>
    <cellStyle name="Comma 3" xfId="43" xr:uid="{00000000-0005-0000-0000-00001C000000}"/>
    <cellStyle name="Currency" xfId="45" builtinId="4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3" xfId="44" xr:uid="{00000000-0005-0000-0000-000027000000}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mruColors>
      <color rgb="FFCCFFCC"/>
      <color rgb="FFFF7979"/>
      <color rgb="FFB6FF9F"/>
      <color rgb="FF66FF33"/>
      <color rgb="FF99FF99"/>
      <color rgb="FF7D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2025-n\MONTHLY%20%20SUBMISSION\IGF\FARS\2025%20igf\CABAC_Fid-Non-Fid-FY-2025%20Ormoc%20Campus%20-%20Copy.xlsx" TargetMode="External"/><Relationship Id="rId1" Type="http://schemas.openxmlformats.org/officeDocument/2006/relationships/externalLinkPath" Target="file:///Y:\2025-n\MONTHLY%20%20SUBMISSION\IGF\FARS\2025%20igf\CABAC_Fid-Non-Fid-FY-2025%20Ormoc%20Campus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_CY 2025 (REVISED 11.20.24)"/>
      <sheetName val="Fiduciary 2025"/>
      <sheetName val="Non Fiduciary 2025"/>
    </sheetNames>
    <sheetDataSet>
      <sheetData sheetId="0"/>
      <sheetData sheetId="1">
        <row r="436">
          <cell r="E436">
            <v>13943418.989999998</v>
          </cell>
          <cell r="F436">
            <v>7894777.0199999996</v>
          </cell>
          <cell r="G436">
            <v>406610</v>
          </cell>
          <cell r="H436">
            <v>86404</v>
          </cell>
          <cell r="I436">
            <v>0</v>
          </cell>
          <cell r="J436"/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FE5B9-0450-4942-BC3A-FC22F0470617}">
  <sheetPr>
    <pageSetUpPr fitToPage="1"/>
  </sheetPr>
  <dimension ref="A1:AC442"/>
  <sheetViews>
    <sheetView topLeftCell="A4" zoomScale="80" zoomScaleNormal="80" workbookViewId="0">
      <selection activeCell="E28" sqref="E28"/>
    </sheetView>
  </sheetViews>
  <sheetFormatPr defaultRowHeight="13.2" x14ac:dyDescent="0.25"/>
  <cols>
    <col min="1" max="1" width="2.5546875" customWidth="1"/>
    <col min="2" max="2" width="2.44140625" customWidth="1"/>
    <col min="3" max="3" width="28.109375" customWidth="1"/>
    <col min="4" max="4" width="18.33203125" customWidth="1"/>
    <col min="5" max="5" width="17" customWidth="1"/>
    <col min="6" max="6" width="16.5546875" customWidth="1"/>
    <col min="7" max="7" width="14.5546875" customWidth="1"/>
    <col min="8" max="8" width="14.6640625" customWidth="1"/>
    <col min="9" max="9" width="13.6640625" customWidth="1"/>
    <col min="10" max="10" width="15.88671875" customWidth="1"/>
    <col min="11" max="11" width="15" style="305" customWidth="1"/>
    <col min="12" max="12" width="15.6640625" style="306" customWidth="1"/>
    <col min="13" max="13" width="14" style="306" customWidth="1"/>
    <col min="14" max="14" width="14.88671875" style="306" customWidth="1"/>
    <col min="15" max="15" width="15.5546875" customWidth="1"/>
    <col min="16" max="16" width="13.88671875" customWidth="1"/>
    <col min="17" max="17" width="15.88671875" customWidth="1"/>
    <col min="18" max="18" width="19" customWidth="1"/>
    <col min="19" max="20" width="13" customWidth="1"/>
    <col min="21" max="21" width="15.109375" customWidth="1"/>
    <col min="22" max="22" width="17.88671875" customWidth="1"/>
    <col min="24" max="25" width="17.44140625" customWidth="1"/>
    <col min="26" max="26" width="16.6640625" customWidth="1"/>
    <col min="29" max="29" width="14.88671875" bestFit="1" customWidth="1"/>
  </cols>
  <sheetData>
    <row r="1" spans="1:26" s="8" customFormat="1" ht="15" customHeight="1" x14ac:dyDescent="0.25">
      <c r="K1" s="9"/>
      <c r="L1" s="10"/>
      <c r="M1" s="10"/>
      <c r="N1" s="10"/>
    </row>
    <row r="2" spans="1:26" s="8" customFormat="1" ht="13.8" x14ac:dyDescent="0.25">
      <c r="A2" s="1326" t="s">
        <v>106</v>
      </c>
      <c r="B2" s="1326"/>
      <c r="C2" s="1326"/>
      <c r="D2" s="1326"/>
      <c r="E2" s="1326"/>
      <c r="F2" s="1326"/>
      <c r="G2" s="1326"/>
      <c r="H2" s="1326"/>
      <c r="I2" s="1326"/>
      <c r="J2" s="11"/>
      <c r="K2" s="9"/>
      <c r="L2" s="10"/>
      <c r="M2" s="10"/>
      <c r="N2" s="10"/>
    </row>
    <row r="3" spans="1:26" s="8" customFormat="1" ht="13.8" x14ac:dyDescent="0.25">
      <c r="A3" s="1326" t="s">
        <v>107</v>
      </c>
      <c r="B3" s="1326"/>
      <c r="C3" s="1326"/>
      <c r="D3" s="1326"/>
      <c r="E3" s="1326"/>
      <c r="F3" s="1326"/>
      <c r="G3" s="1326"/>
      <c r="H3" s="1326"/>
      <c r="I3" s="1326"/>
      <c r="J3" s="1326"/>
      <c r="K3" s="1326"/>
      <c r="L3" s="1326"/>
      <c r="M3" s="1326"/>
      <c r="N3" s="1326"/>
      <c r="O3" s="1326"/>
    </row>
    <row r="4" spans="1:26" s="8" customFormat="1" ht="13.8" x14ac:dyDescent="0.25">
      <c r="A4" s="1326"/>
      <c r="B4" s="1326"/>
      <c r="C4" s="1326"/>
      <c r="D4" s="1326"/>
      <c r="E4" s="1326"/>
      <c r="F4" s="1326"/>
      <c r="G4" s="1326"/>
      <c r="H4" s="1326"/>
      <c r="I4" s="1326"/>
      <c r="J4" s="11"/>
      <c r="K4" s="9"/>
      <c r="L4" s="10"/>
      <c r="M4" s="10"/>
      <c r="N4" s="10"/>
    </row>
    <row r="5" spans="1:26" s="8" customFormat="1" ht="13.8" x14ac:dyDescent="0.25">
      <c r="A5" s="11" t="s">
        <v>108</v>
      </c>
      <c r="B5" s="11"/>
      <c r="C5" s="11"/>
      <c r="D5" s="11"/>
      <c r="E5" s="11"/>
      <c r="F5" s="11"/>
      <c r="G5" s="11"/>
      <c r="H5" s="11"/>
      <c r="I5" s="11"/>
      <c r="J5" s="11"/>
      <c r="K5" s="9"/>
      <c r="L5" s="10"/>
      <c r="M5" s="10"/>
      <c r="N5" s="10"/>
    </row>
    <row r="6" spans="1:26" s="8" customFormat="1" ht="14.4" thickBot="1" x14ac:dyDescent="0.3">
      <c r="A6" s="1326" t="s">
        <v>109</v>
      </c>
      <c r="B6" s="1326"/>
      <c r="C6" s="1326"/>
      <c r="D6" s="1326"/>
      <c r="E6" s="1326"/>
      <c r="F6" s="1326"/>
      <c r="G6" s="1326"/>
      <c r="H6" s="1326"/>
      <c r="I6" s="1326"/>
      <c r="J6" s="11"/>
      <c r="K6" s="9"/>
      <c r="L6" s="10"/>
      <c r="M6" s="10"/>
      <c r="N6" s="10"/>
      <c r="V6" s="12" t="s">
        <v>110</v>
      </c>
    </row>
    <row r="7" spans="1:26" s="8" customFormat="1" ht="14.4" thickTop="1" x14ac:dyDescent="0.25">
      <c r="A7" s="13"/>
      <c r="B7" s="14"/>
      <c r="C7" s="14"/>
      <c r="D7" s="15"/>
      <c r="E7" s="16" t="s">
        <v>111</v>
      </c>
      <c r="F7" s="15"/>
      <c r="G7" s="1334" t="s">
        <v>112</v>
      </c>
      <c r="H7" s="1335"/>
      <c r="I7" s="1335"/>
      <c r="J7" s="1335"/>
      <c r="K7" s="1335"/>
      <c r="L7" s="1335"/>
      <c r="M7" s="1335"/>
      <c r="N7" s="1335"/>
      <c r="O7" s="1335"/>
      <c r="P7" s="1335"/>
      <c r="Q7" s="1335"/>
      <c r="R7" s="1335"/>
      <c r="S7" s="1335"/>
      <c r="T7" s="1335"/>
      <c r="U7" s="1336"/>
      <c r="V7" s="17"/>
    </row>
    <row r="8" spans="1:26" s="8" customFormat="1" ht="15" customHeight="1" x14ac:dyDescent="0.25">
      <c r="A8" s="18"/>
      <c r="B8" s="4"/>
      <c r="C8" s="4"/>
      <c r="D8" s="19"/>
      <c r="E8" s="20" t="s">
        <v>113</v>
      </c>
      <c r="F8" s="20" t="s">
        <v>2</v>
      </c>
      <c r="G8" s="1330" t="s">
        <v>114</v>
      </c>
      <c r="H8" s="1331"/>
      <c r="I8" s="1331"/>
      <c r="J8" s="1331"/>
      <c r="K8" s="1331"/>
      <c r="L8" s="1331"/>
      <c r="M8" s="1331"/>
      <c r="N8" s="1331"/>
      <c r="O8" s="1331"/>
      <c r="P8" s="1331"/>
      <c r="Q8" s="1331"/>
      <c r="R8" s="1331"/>
      <c r="S8" s="1331"/>
      <c r="T8" s="1331"/>
      <c r="U8" s="1333"/>
      <c r="V8" s="21"/>
    </row>
    <row r="9" spans="1:26" s="8" customFormat="1" ht="13.8" x14ac:dyDescent="0.25">
      <c r="A9" s="1318" t="s">
        <v>115</v>
      </c>
      <c r="B9" s="1319"/>
      <c r="C9" s="1320"/>
      <c r="D9" s="20" t="s">
        <v>116</v>
      </c>
      <c r="E9" s="20" t="s">
        <v>117</v>
      </c>
      <c r="F9" s="20" t="s">
        <v>118</v>
      </c>
      <c r="H9" s="20"/>
      <c r="I9" s="22"/>
      <c r="J9" s="22" t="s">
        <v>119</v>
      </c>
      <c r="K9" s="23"/>
      <c r="L9" s="24"/>
      <c r="M9" s="25"/>
      <c r="P9" s="20"/>
      <c r="Q9" s="20"/>
      <c r="R9" s="26"/>
      <c r="S9" s="27"/>
      <c r="T9" s="27"/>
      <c r="U9" s="28"/>
      <c r="V9" s="29"/>
    </row>
    <row r="10" spans="1:26" s="8" customFormat="1" ht="13.8" x14ac:dyDescent="0.25">
      <c r="A10" s="30"/>
      <c r="D10" s="20" t="s">
        <v>120</v>
      </c>
      <c r="E10" s="20" t="s">
        <v>121</v>
      </c>
      <c r="F10" s="20" t="s">
        <v>122</v>
      </c>
      <c r="G10" s="20" t="s">
        <v>123</v>
      </c>
      <c r="H10" s="20" t="s">
        <v>124</v>
      </c>
      <c r="I10" s="22" t="s">
        <v>125</v>
      </c>
      <c r="J10" s="31">
        <v>41334</v>
      </c>
      <c r="K10" s="25" t="s">
        <v>126</v>
      </c>
      <c r="L10" s="24" t="s">
        <v>127</v>
      </c>
      <c r="M10" s="32" t="s">
        <v>128</v>
      </c>
      <c r="N10" s="24" t="s">
        <v>129</v>
      </c>
      <c r="O10" s="20" t="s">
        <v>130</v>
      </c>
      <c r="P10" s="20" t="s">
        <v>131</v>
      </c>
      <c r="Q10" s="33" t="s">
        <v>132</v>
      </c>
      <c r="R10" s="34" t="s">
        <v>119</v>
      </c>
      <c r="S10" s="35" t="s">
        <v>133</v>
      </c>
      <c r="T10" s="35" t="s">
        <v>133</v>
      </c>
      <c r="U10" s="26" t="s">
        <v>134</v>
      </c>
      <c r="V10" s="29" t="s">
        <v>135</v>
      </c>
    </row>
    <row r="11" spans="1:26" s="8" customFormat="1" ht="14.4" thickBot="1" x14ac:dyDescent="0.3">
      <c r="A11" s="36"/>
      <c r="B11" s="37"/>
      <c r="C11" s="37"/>
      <c r="D11" s="38"/>
      <c r="E11" s="39" t="s">
        <v>136</v>
      </c>
      <c r="F11" s="40"/>
      <c r="G11" s="41"/>
      <c r="H11" s="40"/>
      <c r="I11" s="42"/>
      <c r="J11" s="42" t="s">
        <v>137</v>
      </c>
      <c r="K11" s="40"/>
      <c r="L11" s="43"/>
      <c r="M11" s="44"/>
      <c r="N11" s="45"/>
      <c r="O11" s="41"/>
      <c r="P11" s="38"/>
      <c r="Q11" s="46"/>
      <c r="R11" s="47" t="s">
        <v>138</v>
      </c>
      <c r="S11" s="48"/>
      <c r="T11" s="48"/>
      <c r="U11" s="49"/>
      <c r="V11" s="50"/>
      <c r="X11" s="9"/>
      <c r="Y11" s="9"/>
      <c r="Z11" s="51">
        <f>X11+X12</f>
        <v>0</v>
      </c>
    </row>
    <row r="12" spans="1:26" s="8" customFormat="1" ht="14.4" thickTop="1" x14ac:dyDescent="0.25">
      <c r="A12" s="18" t="s">
        <v>139</v>
      </c>
      <c r="B12" s="4" t="s">
        <v>140</v>
      </c>
      <c r="C12" s="4"/>
      <c r="D12" s="19"/>
      <c r="E12" s="52"/>
      <c r="F12" s="53"/>
      <c r="G12" s="53"/>
      <c r="H12" s="53"/>
      <c r="I12" s="54"/>
      <c r="J12" s="54"/>
      <c r="K12" s="53"/>
      <c r="L12" s="55"/>
      <c r="M12" s="55"/>
      <c r="N12" s="55"/>
      <c r="O12" s="19"/>
      <c r="P12" s="19"/>
      <c r="R12" s="19"/>
      <c r="S12" s="19"/>
      <c r="T12" s="19"/>
      <c r="U12" s="1140"/>
      <c r="V12" s="1166"/>
      <c r="X12" s="9"/>
      <c r="Y12" s="9"/>
    </row>
    <row r="13" spans="1:26" s="8" customFormat="1" ht="13.8" x14ac:dyDescent="0.25">
      <c r="A13" s="18"/>
      <c r="B13" s="8" t="s">
        <v>141</v>
      </c>
      <c r="D13" s="56" t="s">
        <v>142</v>
      </c>
      <c r="E13" s="57">
        <v>2000000</v>
      </c>
      <c r="F13" s="58">
        <f t="shared" ref="F13" si="0">SUM(G13:U13)</f>
        <v>2000000</v>
      </c>
      <c r="G13" s="341"/>
      <c r="H13" s="74"/>
      <c r="I13" s="75"/>
      <c r="J13" s="75">
        <v>2000000</v>
      </c>
      <c r="K13" s="74"/>
      <c r="L13" s="342"/>
      <c r="M13" s="342"/>
      <c r="N13" s="342"/>
      <c r="O13" s="343"/>
      <c r="P13" s="343"/>
      <c r="Q13" s="71"/>
      <c r="R13" s="343"/>
      <c r="S13" s="343"/>
      <c r="T13" s="343"/>
      <c r="U13" s="1141"/>
      <c r="V13" s="1167">
        <f t="shared" ref="V13:V18" si="1">E13-F13</f>
        <v>0</v>
      </c>
      <c r="X13" s="9"/>
      <c r="Y13" s="9"/>
    </row>
    <row r="14" spans="1:26" s="8" customFormat="1" ht="13.8" x14ac:dyDescent="0.25">
      <c r="A14" s="18"/>
      <c r="D14" s="19"/>
      <c r="E14" s="52"/>
      <c r="F14" s="53"/>
      <c r="G14" s="90"/>
      <c r="H14" s="53"/>
      <c r="I14" s="54"/>
      <c r="J14" s="54"/>
      <c r="K14" s="53"/>
      <c r="L14" s="55"/>
      <c r="M14" s="55"/>
      <c r="N14" s="55"/>
      <c r="O14" s="19"/>
      <c r="P14" s="19"/>
      <c r="R14" s="19"/>
      <c r="S14" s="19"/>
      <c r="T14" s="19"/>
      <c r="U14" s="1140"/>
      <c r="V14" s="1168">
        <f t="shared" si="1"/>
        <v>0</v>
      </c>
      <c r="X14" s="9"/>
      <c r="Y14" s="9"/>
    </row>
    <row r="15" spans="1:26" s="8" customFormat="1" ht="13.8" x14ac:dyDescent="0.25">
      <c r="A15" s="18"/>
      <c r="B15" s="8" t="s">
        <v>143</v>
      </c>
      <c r="D15" s="59" t="s">
        <v>142</v>
      </c>
      <c r="E15" s="52">
        <v>3000000</v>
      </c>
      <c r="F15" s="58">
        <f t="shared" ref="F15:F17" si="2">SUM(G15:U15)</f>
        <v>1082650.97</v>
      </c>
      <c r="G15" s="341"/>
      <c r="H15" s="74"/>
      <c r="I15" s="75"/>
      <c r="J15" s="75">
        <v>1082650.97</v>
      </c>
      <c r="K15" s="74"/>
      <c r="L15" s="342"/>
      <c r="M15" s="342"/>
      <c r="N15" s="342"/>
      <c r="O15" s="343"/>
      <c r="P15" s="343"/>
      <c r="Q15" s="71"/>
      <c r="R15" s="343"/>
      <c r="S15" s="343"/>
      <c r="T15" s="343"/>
      <c r="U15" s="1141"/>
      <c r="V15" s="1167">
        <f t="shared" si="1"/>
        <v>1917349.03</v>
      </c>
      <c r="X15" s="9"/>
      <c r="Y15" s="9"/>
    </row>
    <row r="16" spans="1:26" s="8" customFormat="1" ht="13.8" x14ac:dyDescent="0.25">
      <c r="A16" s="18"/>
      <c r="D16" s="59" t="s">
        <v>144</v>
      </c>
      <c r="E16" s="52">
        <v>2000000</v>
      </c>
      <c r="F16" s="58">
        <f t="shared" si="2"/>
        <v>2000000</v>
      </c>
      <c r="G16" s="90"/>
      <c r="H16" s="53"/>
      <c r="I16" s="54"/>
      <c r="J16" s="54">
        <v>2000000</v>
      </c>
      <c r="K16" s="53"/>
      <c r="L16" s="55"/>
      <c r="M16" s="55"/>
      <c r="N16" s="55"/>
      <c r="O16" s="19"/>
      <c r="P16" s="19"/>
      <c r="R16" s="19"/>
      <c r="S16" s="19"/>
      <c r="T16" s="19"/>
      <c r="U16" s="1140"/>
      <c r="V16" s="1168">
        <f t="shared" si="1"/>
        <v>0</v>
      </c>
      <c r="X16" s="9"/>
      <c r="Y16" s="9"/>
    </row>
    <row r="17" spans="1:26" s="8" customFormat="1" ht="13.8" x14ac:dyDescent="0.25">
      <c r="A17" s="18"/>
      <c r="D17" s="59" t="s">
        <v>145</v>
      </c>
      <c r="E17" s="52">
        <v>361755</v>
      </c>
      <c r="F17" s="58">
        <f t="shared" si="2"/>
        <v>313585.15000000002</v>
      </c>
      <c r="G17" s="341"/>
      <c r="H17" s="74"/>
      <c r="I17" s="75"/>
      <c r="J17" s="75">
        <v>313585.15000000002</v>
      </c>
      <c r="K17" s="74"/>
      <c r="L17" s="342"/>
      <c r="M17" s="342"/>
      <c r="N17" s="342"/>
      <c r="O17" s="343"/>
      <c r="P17" s="343"/>
      <c r="Q17" s="71"/>
      <c r="R17" s="343"/>
      <c r="S17" s="343"/>
      <c r="T17" s="343"/>
      <c r="U17" s="1141"/>
      <c r="V17" s="1167">
        <f t="shared" si="1"/>
        <v>48169.849999999977</v>
      </c>
      <c r="X17" s="9"/>
      <c r="Y17" s="9"/>
    </row>
    <row r="18" spans="1:26" s="8" customFormat="1" ht="13.8" x14ac:dyDescent="0.25">
      <c r="A18" s="18"/>
      <c r="D18" s="59"/>
      <c r="E18" s="52"/>
      <c r="F18" s="53"/>
      <c r="G18" s="90"/>
      <c r="H18" s="53"/>
      <c r="I18" s="54"/>
      <c r="J18" s="54"/>
      <c r="K18" s="53"/>
      <c r="L18" s="55"/>
      <c r="M18" s="55"/>
      <c r="N18" s="55"/>
      <c r="O18" s="19"/>
      <c r="P18" s="19"/>
      <c r="R18" s="19"/>
      <c r="S18" s="19"/>
      <c r="T18" s="19"/>
      <c r="U18" s="1140"/>
      <c r="V18" s="1169">
        <f t="shared" si="1"/>
        <v>0</v>
      </c>
      <c r="X18" s="9"/>
      <c r="Y18" s="9"/>
    </row>
    <row r="19" spans="1:26" s="64" customFormat="1" ht="13.8" x14ac:dyDescent="0.25">
      <c r="A19" s="60"/>
      <c r="B19" s="61" t="s">
        <v>88</v>
      </c>
      <c r="C19" s="61"/>
      <c r="D19" s="56" t="s">
        <v>146</v>
      </c>
      <c r="E19" s="57">
        <v>400000</v>
      </c>
      <c r="F19" s="58">
        <f>SUM(G19:U19)</f>
        <v>196781.93</v>
      </c>
      <c r="G19" s="66"/>
      <c r="H19" s="58"/>
      <c r="I19" s="58"/>
      <c r="J19" s="58">
        <f>125150+10000+26000+11631.93+24000</f>
        <v>196781.93</v>
      </c>
      <c r="K19" s="58"/>
      <c r="L19" s="62"/>
      <c r="M19" s="62"/>
      <c r="N19" s="62"/>
      <c r="O19" s="58"/>
      <c r="P19" s="58"/>
      <c r="Q19" s="63"/>
      <c r="R19" s="58"/>
      <c r="S19" s="58"/>
      <c r="T19" s="58"/>
      <c r="U19" s="383"/>
      <c r="V19" s="1167">
        <f t="shared" ref="V19:V32" si="3">E19-F19</f>
        <v>203218.07</v>
      </c>
      <c r="X19" s="65"/>
      <c r="Y19" s="65"/>
    </row>
    <row r="20" spans="1:26" s="64" customFormat="1" ht="13.8" x14ac:dyDescent="0.25">
      <c r="A20" s="60"/>
      <c r="B20" s="61"/>
      <c r="C20" s="61"/>
      <c r="D20" s="56" t="s">
        <v>147</v>
      </c>
      <c r="E20" s="57">
        <v>173468.66</v>
      </c>
      <c r="F20" s="58">
        <f t="shared" ref="F20:F32" si="4">SUM(G20:U20)</f>
        <v>99503.1</v>
      </c>
      <c r="G20" s="66">
        <v>900</v>
      </c>
      <c r="H20" s="58"/>
      <c r="I20" s="66"/>
      <c r="J20" s="66">
        <f>76.66+98526.44</f>
        <v>98603.1</v>
      </c>
      <c r="K20" s="58"/>
      <c r="L20" s="62"/>
      <c r="M20" s="62"/>
      <c r="N20" s="62"/>
      <c r="O20" s="58"/>
      <c r="P20" s="58"/>
      <c r="Q20" s="63"/>
      <c r="R20" s="58"/>
      <c r="S20" s="58"/>
      <c r="T20" s="58"/>
      <c r="U20" s="383"/>
      <c r="V20" s="1167">
        <f t="shared" si="3"/>
        <v>73965.56</v>
      </c>
      <c r="X20" s="65"/>
      <c r="Y20" s="65"/>
    </row>
    <row r="21" spans="1:26" s="64" customFormat="1" ht="13.8" x14ac:dyDescent="0.25">
      <c r="A21" s="60"/>
      <c r="B21" s="61"/>
      <c r="C21" s="61"/>
      <c r="D21" s="56" t="s">
        <v>148</v>
      </c>
      <c r="E21" s="58">
        <v>100000</v>
      </c>
      <c r="F21" s="58">
        <f t="shared" si="4"/>
        <v>100</v>
      </c>
      <c r="G21" s="66"/>
      <c r="H21" s="58"/>
      <c r="I21" s="66"/>
      <c r="J21" s="66"/>
      <c r="K21" s="58"/>
      <c r="L21" s="62"/>
      <c r="M21" s="62">
        <v>100</v>
      </c>
      <c r="N21" s="62"/>
      <c r="O21" s="58"/>
      <c r="P21" s="58"/>
      <c r="Q21" s="63"/>
      <c r="R21" s="58"/>
      <c r="S21" s="58"/>
      <c r="T21" s="58"/>
      <c r="U21" s="383"/>
      <c r="V21" s="1167">
        <f t="shared" si="3"/>
        <v>99900</v>
      </c>
      <c r="X21" s="65"/>
      <c r="Y21" s="65"/>
    </row>
    <row r="22" spans="1:26" s="64" customFormat="1" ht="13.8" x14ac:dyDescent="0.25">
      <c r="A22" s="60"/>
      <c r="B22" s="61"/>
      <c r="C22" s="61"/>
      <c r="D22" s="68" t="s">
        <v>149</v>
      </c>
      <c r="E22" s="57"/>
      <c r="F22" s="58">
        <f t="shared" si="4"/>
        <v>0</v>
      </c>
      <c r="G22" s="66"/>
      <c r="H22" s="58"/>
      <c r="I22" s="66"/>
      <c r="J22" s="66"/>
      <c r="K22" s="58"/>
      <c r="L22" s="62"/>
      <c r="M22" s="62"/>
      <c r="N22" s="62"/>
      <c r="O22" s="58"/>
      <c r="P22" s="58"/>
      <c r="Q22" s="63"/>
      <c r="R22" s="58"/>
      <c r="S22" s="58"/>
      <c r="T22" s="58"/>
      <c r="U22" s="383"/>
      <c r="V22" s="1167">
        <f t="shared" si="3"/>
        <v>0</v>
      </c>
      <c r="X22" s="65"/>
      <c r="Y22" s="65"/>
    </row>
    <row r="23" spans="1:26" s="64" customFormat="1" ht="13.8" x14ac:dyDescent="0.25">
      <c r="A23" s="60"/>
      <c r="B23" s="61"/>
      <c r="C23" s="61"/>
      <c r="D23" s="68" t="s">
        <v>150</v>
      </c>
      <c r="E23" s="57"/>
      <c r="F23" s="58">
        <f t="shared" si="4"/>
        <v>0</v>
      </c>
      <c r="G23" s="66"/>
      <c r="H23" s="58"/>
      <c r="I23" s="66"/>
      <c r="J23" s="66"/>
      <c r="K23" s="58"/>
      <c r="L23" s="62"/>
      <c r="M23" s="62"/>
      <c r="N23" s="62"/>
      <c r="O23" s="58"/>
      <c r="P23" s="58"/>
      <c r="Q23" s="63"/>
      <c r="R23" s="58"/>
      <c r="S23" s="58"/>
      <c r="T23" s="58"/>
      <c r="U23" s="383"/>
      <c r="V23" s="1167">
        <f t="shared" si="3"/>
        <v>0</v>
      </c>
      <c r="X23" s="65"/>
      <c r="Y23" s="65"/>
    </row>
    <row r="24" spans="1:26" s="64" customFormat="1" ht="13.8" x14ac:dyDescent="0.25">
      <c r="A24" s="60"/>
      <c r="B24" s="61"/>
      <c r="C24" s="61"/>
      <c r="D24" s="56" t="s">
        <v>151</v>
      </c>
      <c r="E24" s="57"/>
      <c r="F24" s="58">
        <f t="shared" si="4"/>
        <v>0</v>
      </c>
      <c r="G24" s="66"/>
      <c r="H24" s="58"/>
      <c r="I24" s="69"/>
      <c r="J24" s="69"/>
      <c r="K24" s="58"/>
      <c r="L24" s="62"/>
      <c r="M24" s="62"/>
      <c r="N24" s="62"/>
      <c r="O24" s="58"/>
      <c r="P24" s="58"/>
      <c r="Q24" s="63"/>
      <c r="R24" s="58"/>
      <c r="S24" s="58"/>
      <c r="T24" s="58"/>
      <c r="U24" s="383"/>
      <c r="V24" s="1167">
        <f t="shared" si="3"/>
        <v>0</v>
      </c>
      <c r="X24" s="65"/>
      <c r="Y24" s="65"/>
    </row>
    <row r="25" spans="1:26" s="64" customFormat="1" ht="13.8" x14ac:dyDescent="0.25">
      <c r="A25" s="60"/>
      <c r="B25" s="61"/>
      <c r="C25" s="61"/>
      <c r="D25" s="56" t="s">
        <v>152</v>
      </c>
      <c r="E25" s="57"/>
      <c r="F25" s="58">
        <f t="shared" si="4"/>
        <v>0</v>
      </c>
      <c r="G25" s="66"/>
      <c r="H25" s="58"/>
      <c r="I25" s="69"/>
      <c r="J25" s="69"/>
      <c r="K25" s="58"/>
      <c r="L25" s="62"/>
      <c r="M25" s="62"/>
      <c r="N25" s="62"/>
      <c r="O25" s="58"/>
      <c r="P25" s="58"/>
      <c r="Q25" s="63"/>
      <c r="R25" s="58"/>
      <c r="S25" s="58"/>
      <c r="T25" s="58"/>
      <c r="U25" s="383"/>
      <c r="V25" s="1167">
        <f t="shared" si="3"/>
        <v>0</v>
      </c>
      <c r="X25" s="65"/>
      <c r="Y25" s="65"/>
    </row>
    <row r="26" spans="1:26" s="64" customFormat="1" ht="13.8" x14ac:dyDescent="0.25">
      <c r="A26" s="60"/>
      <c r="B26" s="61"/>
      <c r="C26" s="61"/>
      <c r="D26" s="56" t="s">
        <v>153</v>
      </c>
      <c r="E26" s="57"/>
      <c r="F26" s="58">
        <f t="shared" si="4"/>
        <v>0</v>
      </c>
      <c r="G26" s="66"/>
      <c r="H26" s="58"/>
      <c r="I26" s="69"/>
      <c r="J26" s="69"/>
      <c r="K26" s="58"/>
      <c r="L26" s="62"/>
      <c r="M26" s="62"/>
      <c r="N26" s="62"/>
      <c r="O26" s="58"/>
      <c r="P26" s="58"/>
      <c r="Q26" s="63"/>
      <c r="R26" s="58"/>
      <c r="S26" s="58"/>
      <c r="T26" s="58"/>
      <c r="U26" s="383"/>
      <c r="V26" s="1167">
        <f t="shared" si="3"/>
        <v>0</v>
      </c>
      <c r="X26" s="65"/>
      <c r="Y26" s="65"/>
    </row>
    <row r="27" spans="1:26" s="64" customFormat="1" ht="13.8" x14ac:dyDescent="0.25">
      <c r="A27" s="60"/>
      <c r="B27" s="61"/>
      <c r="C27" s="61"/>
      <c r="D27" s="68" t="s">
        <v>154</v>
      </c>
      <c r="E27" s="57"/>
      <c r="F27" s="58">
        <f t="shared" si="4"/>
        <v>0</v>
      </c>
      <c r="G27" s="66"/>
      <c r="H27" s="58"/>
      <c r="I27" s="69"/>
      <c r="J27" s="69"/>
      <c r="K27" s="58"/>
      <c r="L27" s="62"/>
      <c r="M27" s="62"/>
      <c r="N27" s="62"/>
      <c r="O27" s="58"/>
      <c r="P27" s="58"/>
      <c r="Q27" s="63"/>
      <c r="R27" s="58"/>
      <c r="S27" s="58"/>
      <c r="T27" s="58"/>
      <c r="U27" s="383"/>
      <c r="V27" s="1167">
        <f t="shared" si="3"/>
        <v>0</v>
      </c>
      <c r="X27" s="65"/>
      <c r="Y27" s="65"/>
    </row>
    <row r="28" spans="1:26" s="8" customFormat="1" ht="13.8" x14ac:dyDescent="0.25">
      <c r="A28" s="70"/>
      <c r="B28" s="71"/>
      <c r="C28" s="71"/>
      <c r="D28" s="72" t="s">
        <v>155</v>
      </c>
      <c r="E28" s="73">
        <v>5000</v>
      </c>
      <c r="F28" s="74">
        <f t="shared" si="4"/>
        <v>0</v>
      </c>
      <c r="G28" s="341"/>
      <c r="H28" s="74"/>
      <c r="I28" s="75"/>
      <c r="J28" s="75"/>
      <c r="K28" s="74"/>
      <c r="L28" s="76"/>
      <c r="M28" s="76"/>
      <c r="N28" s="76"/>
      <c r="O28" s="74"/>
      <c r="P28" s="74"/>
      <c r="Q28" s="77"/>
      <c r="R28" s="74"/>
      <c r="S28" s="74"/>
      <c r="T28" s="74"/>
      <c r="U28" s="462"/>
      <c r="V28" s="1167">
        <f t="shared" si="3"/>
        <v>5000</v>
      </c>
      <c r="X28" s="9"/>
      <c r="Y28" s="9"/>
    </row>
    <row r="29" spans="1:26" s="8" customFormat="1" ht="13.8" x14ac:dyDescent="0.25">
      <c r="A29" s="70"/>
      <c r="B29" s="71"/>
      <c r="C29" s="71"/>
      <c r="D29" s="78" t="s">
        <v>156</v>
      </c>
      <c r="E29" s="79"/>
      <c r="F29" s="74">
        <f t="shared" si="4"/>
        <v>0</v>
      </c>
      <c r="G29" s="341"/>
      <c r="H29" s="74"/>
      <c r="I29" s="75"/>
      <c r="J29" s="75"/>
      <c r="K29" s="74"/>
      <c r="L29" s="76"/>
      <c r="M29" s="76"/>
      <c r="N29" s="76"/>
      <c r="O29" s="74"/>
      <c r="P29" s="74"/>
      <c r="Q29" s="77"/>
      <c r="R29" s="74"/>
      <c r="S29" s="74"/>
      <c r="T29" s="74"/>
      <c r="U29" s="462"/>
      <c r="V29" s="1170">
        <f t="shared" si="3"/>
        <v>0</v>
      </c>
      <c r="X29" s="9"/>
      <c r="Y29" s="9"/>
    </row>
    <row r="30" spans="1:26" s="8" customFormat="1" ht="13.8" x14ac:dyDescent="0.25">
      <c r="A30" s="70"/>
      <c r="B30" s="71"/>
      <c r="C30" s="71"/>
      <c r="D30" s="78" t="s">
        <v>157</v>
      </c>
      <c r="E30" s="79"/>
      <c r="F30" s="74">
        <f t="shared" si="4"/>
        <v>0</v>
      </c>
      <c r="G30" s="341"/>
      <c r="H30" s="74"/>
      <c r="I30" s="75"/>
      <c r="J30" s="75"/>
      <c r="K30" s="74"/>
      <c r="L30" s="76"/>
      <c r="M30" s="76"/>
      <c r="N30" s="76"/>
      <c r="O30" s="74"/>
      <c r="P30" s="74"/>
      <c r="Q30" s="77"/>
      <c r="R30" s="74"/>
      <c r="S30" s="74"/>
      <c r="T30" s="74"/>
      <c r="U30" s="462"/>
      <c r="V30" s="1170">
        <f t="shared" si="3"/>
        <v>0</v>
      </c>
      <c r="X30" s="9"/>
      <c r="Y30" s="9"/>
    </row>
    <row r="31" spans="1:26" s="8" customFormat="1" ht="13.8" x14ac:dyDescent="0.25">
      <c r="A31" s="70"/>
      <c r="B31" s="71"/>
      <c r="C31" s="71"/>
      <c r="D31" s="78" t="s">
        <v>158</v>
      </c>
      <c r="E31" s="79"/>
      <c r="F31" s="74">
        <f t="shared" si="4"/>
        <v>186834</v>
      </c>
      <c r="G31" s="341">
        <f>5050+4200+91180</f>
        <v>100430</v>
      </c>
      <c r="H31" s="76">
        <f>16364+70040</f>
        <v>86404</v>
      </c>
      <c r="I31" s="75"/>
      <c r="J31" s="75"/>
      <c r="K31" s="74"/>
      <c r="L31" s="76"/>
      <c r="M31" s="76"/>
      <c r="N31" s="76"/>
      <c r="O31" s="74"/>
      <c r="P31" s="74"/>
      <c r="Q31" s="77"/>
      <c r="R31" s="74"/>
      <c r="S31" s="74"/>
      <c r="T31" s="74"/>
      <c r="U31" s="462"/>
      <c r="V31" s="1171">
        <f t="shared" si="3"/>
        <v>-186834</v>
      </c>
      <c r="X31" s="9"/>
      <c r="Y31" s="9"/>
      <c r="Z31" s="80"/>
    </row>
    <row r="32" spans="1:26" s="8" customFormat="1" ht="13.8" x14ac:dyDescent="0.25">
      <c r="A32" s="30"/>
      <c r="C32" s="391"/>
      <c r="D32" s="1136" t="s">
        <v>159</v>
      </c>
      <c r="E32" s="79">
        <v>321600</v>
      </c>
      <c r="F32" s="74">
        <f t="shared" si="4"/>
        <v>208500</v>
      </c>
      <c r="G32" s="341">
        <f>26500+4000+110000+68000</f>
        <v>208500</v>
      </c>
      <c r="H32" s="76"/>
      <c r="I32" s="75"/>
      <c r="J32" s="75"/>
      <c r="K32" s="74"/>
      <c r="L32" s="76"/>
      <c r="M32" s="76"/>
      <c r="N32" s="76"/>
      <c r="O32" s="74"/>
      <c r="P32" s="74"/>
      <c r="Q32" s="77"/>
      <c r="R32" s="74"/>
      <c r="S32" s="74"/>
      <c r="T32" s="74"/>
      <c r="U32" s="462"/>
      <c r="V32" s="1171">
        <f t="shared" si="3"/>
        <v>113100</v>
      </c>
      <c r="X32" s="9"/>
      <c r="Y32" s="9"/>
      <c r="Z32" s="80"/>
    </row>
    <row r="33" spans="1:26" s="8" customFormat="1" ht="18.75" customHeight="1" thickBot="1" x14ac:dyDescent="0.3">
      <c r="A33" s="30"/>
      <c r="D33" s="19"/>
      <c r="E33" s="1272">
        <f>SUM(E13:E32)</f>
        <v>8361823.6600000001</v>
      </c>
      <c r="F33" s="1272">
        <f>SUM(F13:F32)</f>
        <v>6087955.1499999994</v>
      </c>
      <c r="G33" s="1137">
        <f>SUM(G19:G32)</f>
        <v>309830</v>
      </c>
      <c r="H33" s="83">
        <f>SUM(H19:H32)</f>
        <v>86404</v>
      </c>
      <c r="I33" s="83">
        <f t="shared" ref="I33:U33" si="5">SUM(I19:I32)</f>
        <v>0</v>
      </c>
      <c r="J33" s="83">
        <f>SUM(J13:J32)</f>
        <v>5691621.1499999994</v>
      </c>
      <c r="K33" s="83">
        <f t="shared" si="5"/>
        <v>0</v>
      </c>
      <c r="L33" s="83">
        <f t="shared" si="5"/>
        <v>0</v>
      </c>
      <c r="M33" s="83">
        <f t="shared" si="5"/>
        <v>100</v>
      </c>
      <c r="N33" s="83">
        <f t="shared" si="5"/>
        <v>0</v>
      </c>
      <c r="O33" s="83">
        <f t="shared" si="5"/>
        <v>0</v>
      </c>
      <c r="P33" s="83">
        <f t="shared" si="5"/>
        <v>0</v>
      </c>
      <c r="Q33" s="83">
        <f>SUM(Q19:Q32)</f>
        <v>0</v>
      </c>
      <c r="R33" s="83">
        <f>SUM(R19:R32)</f>
        <v>0</v>
      </c>
      <c r="S33" s="83">
        <f>SUM(S19:S32)</f>
        <v>0</v>
      </c>
      <c r="T33" s="83">
        <f>SUM(T19:T32)</f>
        <v>0</v>
      </c>
      <c r="U33" s="1142">
        <f t="shared" si="5"/>
        <v>0</v>
      </c>
      <c r="V33" s="1172">
        <f>SUM(V13:V32)</f>
        <v>2273868.5099999998</v>
      </c>
      <c r="X33" s="9"/>
      <c r="Y33" s="9"/>
    </row>
    <row r="34" spans="1:26" s="8" customFormat="1" ht="14.4" thickTop="1" x14ac:dyDescent="0.25">
      <c r="A34" s="84" t="s">
        <v>160</v>
      </c>
      <c r="B34" s="85" t="s">
        <v>161</v>
      </c>
      <c r="C34" s="86"/>
      <c r="D34" s="1111"/>
      <c r="E34" s="360"/>
      <c r="F34" s="1144"/>
      <c r="G34" s="1113"/>
      <c r="H34" s="1113"/>
      <c r="I34" s="1112"/>
      <c r="J34" s="1112"/>
      <c r="K34" s="1113"/>
      <c r="L34" s="1114"/>
      <c r="M34" s="1115"/>
      <c r="N34" s="1115"/>
      <c r="O34" s="1113"/>
      <c r="P34" s="1113"/>
      <c r="Q34" s="1116"/>
      <c r="R34" s="1113"/>
      <c r="S34" s="1113"/>
      <c r="T34" s="1113"/>
      <c r="U34" s="1143"/>
      <c r="V34" s="1173"/>
      <c r="X34" s="9"/>
      <c r="Y34" s="9"/>
    </row>
    <row r="35" spans="1:26" s="8" customFormat="1" ht="13.8" x14ac:dyDescent="0.25">
      <c r="A35" s="266"/>
      <c r="B35" s="267" t="s">
        <v>162</v>
      </c>
      <c r="C35" s="268"/>
      <c r="D35" s="1117"/>
      <c r="E35" s="360"/>
      <c r="F35" s="360"/>
      <c r="G35" s="360"/>
      <c r="H35" s="360"/>
      <c r="I35" s="1118"/>
      <c r="J35" s="1118"/>
      <c r="K35" s="360"/>
      <c r="L35" s="1119"/>
      <c r="M35" s="1064"/>
      <c r="N35" s="1064"/>
      <c r="O35" s="360"/>
      <c r="P35" s="360"/>
      <c r="Q35" s="1120"/>
      <c r="R35" s="360"/>
      <c r="S35" s="360"/>
      <c r="T35" s="360"/>
      <c r="U35" s="1144"/>
      <c r="V35" s="1174"/>
      <c r="X35" s="9"/>
      <c r="Y35" s="9"/>
    </row>
    <row r="36" spans="1:26" s="8" customFormat="1" ht="13.8" x14ac:dyDescent="0.25">
      <c r="A36" s="30"/>
      <c r="B36" s="8" t="s">
        <v>163</v>
      </c>
      <c r="C36" s="91"/>
      <c r="D36" s="20"/>
      <c r="E36" s="53"/>
      <c r="F36" s="53"/>
      <c r="G36" s="53"/>
      <c r="H36" s="53"/>
      <c r="I36" s="90"/>
      <c r="J36" s="90"/>
      <c r="K36" s="53"/>
      <c r="L36" s="55"/>
      <c r="M36" s="81"/>
      <c r="N36" s="81"/>
      <c r="O36" s="53"/>
      <c r="P36" s="53"/>
      <c r="Q36" s="82"/>
      <c r="R36" s="53"/>
      <c r="S36" s="53"/>
      <c r="T36" s="53"/>
      <c r="U36" s="1145"/>
      <c r="V36" s="1175"/>
      <c r="X36" s="9"/>
      <c r="Y36" s="9"/>
    </row>
    <row r="37" spans="1:26" s="64" customFormat="1" ht="13.8" x14ac:dyDescent="0.25">
      <c r="A37" s="60"/>
      <c r="B37" s="92" t="s">
        <v>164</v>
      </c>
      <c r="C37" s="92"/>
      <c r="D37" s="93" t="s">
        <v>146</v>
      </c>
      <c r="E37" s="58">
        <v>59000</v>
      </c>
      <c r="F37" s="58">
        <f t="shared" ref="F37:F54" si="6">SUM(G37:U37)</f>
        <v>59000</v>
      </c>
      <c r="G37" s="58"/>
      <c r="H37" s="58"/>
      <c r="I37" s="66"/>
      <c r="J37" s="66">
        <v>59000</v>
      </c>
      <c r="K37" s="58"/>
      <c r="L37" s="62"/>
      <c r="M37" s="62"/>
      <c r="N37" s="62"/>
      <c r="O37" s="58"/>
      <c r="P37" s="58"/>
      <c r="Q37" s="63"/>
      <c r="R37" s="58"/>
      <c r="S37" s="58"/>
      <c r="T37" s="58"/>
      <c r="U37" s="383"/>
      <c r="V37" s="1176">
        <f>E37-F37</f>
        <v>0</v>
      </c>
      <c r="X37" s="65"/>
      <c r="Y37" s="65"/>
    </row>
    <row r="38" spans="1:26" s="64" customFormat="1" ht="13.8" x14ac:dyDescent="0.25">
      <c r="A38" s="60"/>
      <c r="B38" s="61"/>
      <c r="C38" s="92"/>
      <c r="D38" s="93" t="s">
        <v>206</v>
      </c>
      <c r="E38" s="58">
        <v>364436.8</v>
      </c>
      <c r="F38" s="94">
        <f t="shared" si="6"/>
        <v>364436.8</v>
      </c>
      <c r="G38" s="58"/>
      <c r="H38" s="58"/>
      <c r="I38" s="66"/>
      <c r="J38" s="66">
        <v>364436.8</v>
      </c>
      <c r="K38" s="58"/>
      <c r="L38" s="62"/>
      <c r="M38" s="62"/>
      <c r="N38" s="62"/>
      <c r="O38" s="58"/>
      <c r="P38" s="58"/>
      <c r="Q38" s="63"/>
      <c r="R38" s="58"/>
      <c r="S38" s="58"/>
      <c r="T38" s="58"/>
      <c r="U38" s="383"/>
      <c r="V38" s="1176">
        <f t="shared" ref="V38:V54" si="7">E38-F38</f>
        <v>0</v>
      </c>
      <c r="X38" s="65"/>
      <c r="Y38" s="65"/>
    </row>
    <row r="39" spans="1:26" s="64" customFormat="1" ht="13.8" x14ac:dyDescent="0.25">
      <c r="A39" s="60"/>
      <c r="B39" s="61"/>
      <c r="C39" s="92"/>
      <c r="D39" s="93" t="s">
        <v>165</v>
      </c>
      <c r="E39" s="58">
        <v>147240</v>
      </c>
      <c r="F39" s="94">
        <f t="shared" si="6"/>
        <v>180876.64</v>
      </c>
      <c r="G39" s="58">
        <v>90000</v>
      </c>
      <c r="H39" s="58"/>
      <c r="I39" s="66"/>
      <c r="J39" s="66">
        <v>87996.64</v>
      </c>
      <c r="K39" s="58"/>
      <c r="L39" s="62"/>
      <c r="M39" s="62">
        <f>2880</f>
        <v>2880</v>
      </c>
      <c r="N39" s="62"/>
      <c r="O39" s="58"/>
      <c r="P39" s="58"/>
      <c r="Q39" s="63"/>
      <c r="R39" s="58"/>
      <c r="S39" s="58"/>
      <c r="T39" s="58"/>
      <c r="U39" s="383"/>
      <c r="V39" s="1176">
        <f t="shared" si="7"/>
        <v>-33636.640000000014</v>
      </c>
      <c r="X39" s="65"/>
      <c r="Y39" s="65"/>
    </row>
    <row r="40" spans="1:26" s="64" customFormat="1" ht="13.8" x14ac:dyDescent="0.25">
      <c r="A40" s="60"/>
      <c r="B40" s="61"/>
      <c r="C40" s="96"/>
      <c r="D40" s="93" t="s">
        <v>166</v>
      </c>
      <c r="E40" s="58">
        <v>300000</v>
      </c>
      <c r="F40" s="94">
        <f t="shared" si="6"/>
        <v>194368.72</v>
      </c>
      <c r="G40" s="58"/>
      <c r="H40" s="58"/>
      <c r="I40" s="66"/>
      <c r="J40" s="66">
        <v>194368.72</v>
      </c>
      <c r="K40" s="58"/>
      <c r="L40" s="62"/>
      <c r="M40" s="62"/>
      <c r="N40" s="62"/>
      <c r="O40" s="58"/>
      <c r="P40" s="58"/>
      <c r="Q40" s="63"/>
      <c r="R40" s="58"/>
      <c r="S40" s="58"/>
      <c r="T40" s="58"/>
      <c r="U40" s="383"/>
      <c r="V40" s="1176">
        <f t="shared" si="7"/>
        <v>105631.28</v>
      </c>
      <c r="X40" s="65"/>
      <c r="Y40" s="65"/>
    </row>
    <row r="41" spans="1:26" s="64" customFormat="1" ht="13.8" x14ac:dyDescent="0.25">
      <c r="A41" s="60"/>
      <c r="B41" s="61"/>
      <c r="C41" s="92"/>
      <c r="D41" s="93" t="s">
        <v>148</v>
      </c>
      <c r="E41" s="58">
        <v>217414.54</v>
      </c>
      <c r="F41" s="94">
        <f t="shared" si="6"/>
        <v>218314.54</v>
      </c>
      <c r="G41" s="58">
        <v>900</v>
      </c>
      <c r="H41" s="58"/>
      <c r="I41" s="66"/>
      <c r="J41" s="66">
        <v>217414.54</v>
      </c>
      <c r="K41" s="58"/>
      <c r="L41" s="62"/>
      <c r="M41" s="62"/>
      <c r="N41" s="62"/>
      <c r="O41" s="58"/>
      <c r="P41" s="58"/>
      <c r="Q41" s="63"/>
      <c r="R41" s="58"/>
      <c r="S41" s="58"/>
      <c r="T41" s="58"/>
      <c r="U41" s="383"/>
      <c r="V41" s="1176">
        <f t="shared" si="7"/>
        <v>-900</v>
      </c>
    </row>
    <row r="42" spans="1:26" s="64" customFormat="1" ht="13.8" x14ac:dyDescent="0.25">
      <c r="A42" s="60"/>
      <c r="B42" s="61"/>
      <c r="C42" s="96"/>
      <c r="D42" s="93" t="s">
        <v>150</v>
      </c>
      <c r="E42" s="58">
        <v>150000</v>
      </c>
      <c r="F42" s="94">
        <f t="shared" si="6"/>
        <v>3000</v>
      </c>
      <c r="G42" s="58">
        <v>3000</v>
      </c>
      <c r="H42" s="58"/>
      <c r="I42" s="66"/>
      <c r="J42" s="66"/>
      <c r="K42" s="58"/>
      <c r="L42" s="62"/>
      <c r="M42" s="62"/>
      <c r="N42" s="62"/>
      <c r="O42" s="58"/>
      <c r="P42" s="58"/>
      <c r="Q42" s="63"/>
      <c r="R42" s="58"/>
      <c r="S42" s="58"/>
      <c r="T42" s="58"/>
      <c r="U42" s="383"/>
      <c r="V42" s="1176">
        <f t="shared" si="7"/>
        <v>147000</v>
      </c>
    </row>
    <row r="43" spans="1:26" s="64" customFormat="1" ht="13.8" x14ac:dyDescent="0.25">
      <c r="A43" s="60"/>
      <c r="B43" s="61"/>
      <c r="C43" s="92"/>
      <c r="D43" s="93" t="s">
        <v>151</v>
      </c>
      <c r="E43" s="58"/>
      <c r="F43" s="94">
        <f t="shared" si="6"/>
        <v>0</v>
      </c>
      <c r="G43" s="58"/>
      <c r="H43" s="58"/>
      <c r="I43" s="66"/>
      <c r="J43" s="66"/>
      <c r="K43" s="58"/>
      <c r="L43" s="62"/>
      <c r="M43" s="62"/>
      <c r="N43" s="62"/>
      <c r="O43" s="58"/>
      <c r="P43" s="58"/>
      <c r="Q43" s="63"/>
      <c r="R43" s="58"/>
      <c r="S43" s="58"/>
      <c r="T43" s="58"/>
      <c r="U43" s="383"/>
      <c r="V43" s="1176">
        <f t="shared" si="7"/>
        <v>0</v>
      </c>
    </row>
    <row r="44" spans="1:26" s="64" customFormat="1" ht="13.8" x14ac:dyDescent="0.25">
      <c r="A44" s="60"/>
      <c r="B44" s="61"/>
      <c r="C44" s="96"/>
      <c r="D44" s="93" t="s">
        <v>167</v>
      </c>
      <c r="E44" s="58"/>
      <c r="F44" s="94">
        <f t="shared" si="6"/>
        <v>0</v>
      </c>
      <c r="G44" s="58"/>
      <c r="H44" s="58"/>
      <c r="I44" s="66"/>
      <c r="J44" s="66"/>
      <c r="K44" s="58"/>
      <c r="L44" s="62"/>
      <c r="M44" s="62"/>
      <c r="N44" s="62"/>
      <c r="O44" s="58"/>
      <c r="P44" s="58"/>
      <c r="Q44" s="63"/>
      <c r="R44" s="58"/>
      <c r="S44" s="58"/>
      <c r="T44" s="58"/>
      <c r="U44" s="383"/>
      <c r="V44" s="1176">
        <f t="shared" si="7"/>
        <v>0</v>
      </c>
    </row>
    <row r="45" spans="1:26" s="64" customFormat="1" ht="13.8" x14ac:dyDescent="0.25">
      <c r="A45" s="60"/>
      <c r="B45" s="61"/>
      <c r="C45" s="96"/>
      <c r="D45" s="93" t="s">
        <v>168</v>
      </c>
      <c r="E45" s="58">
        <v>22471.51</v>
      </c>
      <c r="F45" s="94">
        <f t="shared" si="6"/>
        <v>22471</v>
      </c>
      <c r="G45" s="58"/>
      <c r="H45" s="58"/>
      <c r="I45" s="66"/>
      <c r="J45" s="66">
        <v>22471</v>
      </c>
      <c r="K45" s="58"/>
      <c r="L45" s="62"/>
      <c r="M45" s="62"/>
      <c r="N45" s="62"/>
      <c r="O45" s="58"/>
      <c r="P45" s="58"/>
      <c r="Q45" s="63"/>
      <c r="R45" s="58"/>
      <c r="S45" s="58"/>
      <c r="T45" s="58"/>
      <c r="U45" s="383"/>
      <c r="V45" s="1176">
        <f t="shared" si="7"/>
        <v>0.50999999999839929</v>
      </c>
      <c r="X45" s="65"/>
      <c r="Y45" s="65"/>
      <c r="Z45" s="65">
        <f>X45+X46+X48+X49+X50+X51+X52+X54+X55</f>
        <v>0</v>
      </c>
    </row>
    <row r="46" spans="1:26" s="64" customFormat="1" ht="13.8" x14ac:dyDescent="0.25">
      <c r="A46" s="60"/>
      <c r="B46" s="61"/>
      <c r="C46" s="92"/>
      <c r="D46" s="93" t="s">
        <v>169</v>
      </c>
      <c r="E46" s="58">
        <v>60000</v>
      </c>
      <c r="F46" s="94">
        <f t="shared" si="6"/>
        <v>69900</v>
      </c>
      <c r="G46" s="58">
        <v>300</v>
      </c>
      <c r="H46" s="58"/>
      <c r="I46" s="66"/>
      <c r="J46" s="66">
        <v>60000</v>
      </c>
      <c r="K46" s="58"/>
      <c r="L46" s="62"/>
      <c r="M46" s="62">
        <v>9600</v>
      </c>
      <c r="N46" s="62"/>
      <c r="O46" s="58"/>
      <c r="P46" s="58"/>
      <c r="Q46" s="63"/>
      <c r="R46" s="58"/>
      <c r="S46" s="58"/>
      <c r="T46" s="58"/>
      <c r="U46" s="383"/>
      <c r="V46" s="1176">
        <f t="shared" si="7"/>
        <v>-9900</v>
      </c>
      <c r="X46" s="65"/>
      <c r="Y46" s="65"/>
      <c r="Z46" s="65"/>
    </row>
    <row r="47" spans="1:26" s="64" customFormat="1" ht="13.8" x14ac:dyDescent="0.25">
      <c r="A47" s="60"/>
      <c r="B47" s="61"/>
      <c r="C47" s="92"/>
      <c r="D47" s="93" t="s">
        <v>170</v>
      </c>
      <c r="E47" s="58"/>
      <c r="F47" s="94">
        <f t="shared" si="6"/>
        <v>0</v>
      </c>
      <c r="G47" s="58"/>
      <c r="H47" s="58"/>
      <c r="I47" s="66"/>
      <c r="J47" s="66"/>
      <c r="K47" s="58"/>
      <c r="L47" s="62"/>
      <c r="M47" s="62"/>
      <c r="N47" s="62"/>
      <c r="O47" s="58"/>
      <c r="P47" s="58"/>
      <c r="Q47" s="63"/>
      <c r="R47" s="58"/>
      <c r="S47" s="58"/>
      <c r="T47" s="58"/>
      <c r="U47" s="383"/>
      <c r="V47" s="1176">
        <f t="shared" si="7"/>
        <v>0</v>
      </c>
      <c r="X47" s="65"/>
      <c r="Y47" s="65"/>
      <c r="Z47" s="65"/>
    </row>
    <row r="48" spans="1:26" s="64" customFormat="1" ht="13.8" x14ac:dyDescent="0.25">
      <c r="A48" s="60"/>
      <c r="B48" s="61"/>
      <c r="C48" s="96"/>
      <c r="D48" s="93" t="s">
        <v>171</v>
      </c>
      <c r="E48" s="58">
        <v>53800</v>
      </c>
      <c r="F48" s="94">
        <f t="shared" si="6"/>
        <v>73600</v>
      </c>
      <c r="G48" s="58">
        <v>600</v>
      </c>
      <c r="H48" s="58"/>
      <c r="I48" s="66"/>
      <c r="J48" s="66">
        <v>53800</v>
      </c>
      <c r="K48" s="58"/>
      <c r="L48" s="62"/>
      <c r="M48" s="62">
        <v>19200</v>
      </c>
      <c r="N48" s="62"/>
      <c r="O48" s="58"/>
      <c r="P48" s="58"/>
      <c r="Q48" s="63"/>
      <c r="R48" s="58"/>
      <c r="S48" s="58"/>
      <c r="T48" s="58"/>
      <c r="U48" s="383"/>
      <c r="V48" s="1176">
        <f t="shared" si="7"/>
        <v>-19800</v>
      </c>
      <c r="X48" s="65"/>
      <c r="Y48" s="65"/>
      <c r="Z48" s="65"/>
    </row>
    <row r="49" spans="1:26" s="64" customFormat="1" ht="13.8" x14ac:dyDescent="0.25">
      <c r="A49" s="60"/>
      <c r="B49" s="61"/>
      <c r="C49" s="96"/>
      <c r="D49" s="93" t="s">
        <v>155</v>
      </c>
      <c r="E49" s="58">
        <v>100000</v>
      </c>
      <c r="F49" s="94">
        <f t="shared" si="6"/>
        <v>5940</v>
      </c>
      <c r="G49" s="58">
        <v>180</v>
      </c>
      <c r="H49" s="58"/>
      <c r="I49" s="66"/>
      <c r="J49" s="66"/>
      <c r="K49" s="58"/>
      <c r="L49" s="62"/>
      <c r="M49" s="62">
        <v>5760</v>
      </c>
      <c r="N49" s="62"/>
      <c r="O49" s="58"/>
      <c r="P49" s="58"/>
      <c r="Q49" s="63"/>
      <c r="R49" s="58"/>
      <c r="S49" s="58"/>
      <c r="T49" s="58"/>
      <c r="U49" s="383"/>
      <c r="V49" s="1176">
        <f t="shared" si="7"/>
        <v>94060</v>
      </c>
      <c r="X49" s="65"/>
      <c r="Y49" s="65"/>
      <c r="Z49" s="65"/>
    </row>
    <row r="50" spans="1:26" s="64" customFormat="1" ht="13.8" x14ac:dyDescent="0.25">
      <c r="A50" s="60"/>
      <c r="B50" s="61"/>
      <c r="C50" s="92"/>
      <c r="D50" s="93" t="s">
        <v>142</v>
      </c>
      <c r="E50" s="58">
        <v>100000</v>
      </c>
      <c r="F50" s="94">
        <f t="shared" si="6"/>
        <v>0</v>
      </c>
      <c r="G50" s="58"/>
      <c r="H50" s="58"/>
      <c r="I50" s="66"/>
      <c r="J50" s="66"/>
      <c r="K50" s="58"/>
      <c r="L50" s="62"/>
      <c r="M50" s="62"/>
      <c r="N50" s="62"/>
      <c r="O50" s="58"/>
      <c r="P50" s="58"/>
      <c r="Q50" s="63"/>
      <c r="R50" s="58"/>
      <c r="S50" s="58"/>
      <c r="T50" s="58"/>
      <c r="U50" s="383"/>
      <c r="V50" s="1176">
        <f t="shared" si="7"/>
        <v>100000</v>
      </c>
      <c r="X50" s="65"/>
      <c r="Y50" s="65"/>
      <c r="Z50" s="65"/>
    </row>
    <row r="51" spans="1:26" s="64" customFormat="1" ht="13.8" x14ac:dyDescent="0.25">
      <c r="A51" s="60"/>
      <c r="B51" s="61"/>
      <c r="C51" s="92"/>
      <c r="D51" s="93" t="s">
        <v>172</v>
      </c>
      <c r="E51" s="58">
        <v>50000</v>
      </c>
      <c r="F51" s="94">
        <f t="shared" si="6"/>
        <v>50900</v>
      </c>
      <c r="G51" s="58">
        <v>900</v>
      </c>
      <c r="H51" s="58"/>
      <c r="I51" s="66"/>
      <c r="J51" s="66">
        <v>50000</v>
      </c>
      <c r="K51" s="58"/>
      <c r="L51" s="62"/>
      <c r="M51" s="62"/>
      <c r="N51" s="62"/>
      <c r="O51" s="58"/>
      <c r="P51" s="58"/>
      <c r="Q51" s="63"/>
      <c r="R51" s="58"/>
      <c r="S51" s="58"/>
      <c r="T51" s="58"/>
      <c r="U51" s="383"/>
      <c r="V51" s="1176">
        <f t="shared" si="7"/>
        <v>-900</v>
      </c>
      <c r="X51" s="65"/>
      <c r="Y51" s="65"/>
      <c r="Z51" s="65"/>
    </row>
    <row r="52" spans="1:26" s="64" customFormat="1" ht="13.8" x14ac:dyDescent="0.25">
      <c r="A52" s="60"/>
      <c r="B52" s="61"/>
      <c r="C52" s="96"/>
      <c r="D52" s="93" t="s">
        <v>173</v>
      </c>
      <c r="E52" s="58">
        <v>60000</v>
      </c>
      <c r="F52" s="94">
        <f t="shared" si="6"/>
        <v>50600</v>
      </c>
      <c r="G52" s="58">
        <v>600</v>
      </c>
      <c r="H52" s="58"/>
      <c r="I52" s="66"/>
      <c r="J52" s="66">
        <v>50000</v>
      </c>
      <c r="K52" s="58"/>
      <c r="L52" s="62"/>
      <c r="M52" s="62"/>
      <c r="N52" s="62"/>
      <c r="O52" s="58"/>
      <c r="P52" s="58"/>
      <c r="Q52" s="63"/>
      <c r="R52" s="58"/>
      <c r="S52" s="58"/>
      <c r="T52" s="58"/>
      <c r="U52" s="383"/>
      <c r="V52" s="1176">
        <f t="shared" si="7"/>
        <v>9400</v>
      </c>
      <c r="X52" s="65"/>
      <c r="Y52" s="65"/>
      <c r="Z52" s="65"/>
    </row>
    <row r="53" spans="1:26" s="64" customFormat="1" ht="13.8" x14ac:dyDescent="0.25">
      <c r="A53" s="60"/>
      <c r="B53" s="61"/>
      <c r="C53" s="92"/>
      <c r="D53" s="93" t="s">
        <v>174</v>
      </c>
      <c r="E53" s="58"/>
      <c r="F53" s="94">
        <f t="shared" si="6"/>
        <v>0</v>
      </c>
      <c r="G53" s="58"/>
      <c r="H53" s="58"/>
      <c r="I53" s="66"/>
      <c r="J53" s="66"/>
      <c r="K53" s="58"/>
      <c r="L53" s="62"/>
      <c r="M53" s="62"/>
      <c r="N53" s="62"/>
      <c r="O53" s="58"/>
      <c r="P53" s="58"/>
      <c r="Q53" s="63"/>
      <c r="R53" s="58"/>
      <c r="S53" s="58"/>
      <c r="T53" s="58"/>
      <c r="U53" s="383"/>
      <c r="V53" s="1176">
        <f t="shared" si="7"/>
        <v>0</v>
      </c>
      <c r="X53" s="65"/>
      <c r="Y53" s="65"/>
      <c r="Z53" s="65"/>
    </row>
    <row r="54" spans="1:26" s="64" customFormat="1" ht="13.8" x14ac:dyDescent="0.25">
      <c r="A54" s="60"/>
      <c r="B54" s="61"/>
      <c r="C54" s="92"/>
      <c r="D54" s="93" t="s">
        <v>175</v>
      </c>
      <c r="E54" s="58">
        <v>160800</v>
      </c>
      <c r="F54" s="94">
        <f t="shared" si="6"/>
        <v>0</v>
      </c>
      <c r="G54" s="58"/>
      <c r="H54" s="62"/>
      <c r="I54" s="66"/>
      <c r="J54" s="66"/>
      <c r="K54" s="58"/>
      <c r="L54" s="62"/>
      <c r="M54" s="62"/>
      <c r="N54" s="62"/>
      <c r="O54" s="58"/>
      <c r="P54" s="58"/>
      <c r="Q54" s="63"/>
      <c r="R54" s="58"/>
      <c r="S54" s="58"/>
      <c r="T54" s="58"/>
      <c r="U54" s="383"/>
      <c r="V54" s="1176">
        <f t="shared" si="7"/>
        <v>160800</v>
      </c>
      <c r="X54" s="65"/>
      <c r="Y54" s="65"/>
      <c r="Z54" s="65"/>
    </row>
    <row r="55" spans="1:26" s="8" customFormat="1" ht="13.8" x14ac:dyDescent="0.25">
      <c r="A55" s="70"/>
      <c r="B55" s="71"/>
      <c r="C55" s="97"/>
      <c r="D55" s="98"/>
      <c r="E55" s="99">
        <f t="shared" ref="E55:V55" si="8">SUM(E37:E54)</f>
        <v>1845162.85</v>
      </c>
      <c r="F55" s="99">
        <f t="shared" si="8"/>
        <v>1293407.7</v>
      </c>
      <c r="G55" s="99">
        <f t="shared" si="8"/>
        <v>96480</v>
      </c>
      <c r="H55" s="99">
        <f t="shared" si="8"/>
        <v>0</v>
      </c>
      <c r="I55" s="99">
        <f t="shared" si="8"/>
        <v>0</v>
      </c>
      <c r="J55" s="99">
        <f t="shared" si="8"/>
        <v>1159487.7000000002</v>
      </c>
      <c r="K55" s="99">
        <f t="shared" si="8"/>
        <v>0</v>
      </c>
      <c r="L55" s="99">
        <f t="shared" si="8"/>
        <v>0</v>
      </c>
      <c r="M55" s="99">
        <f t="shared" si="8"/>
        <v>37440</v>
      </c>
      <c r="N55" s="99">
        <f t="shared" si="8"/>
        <v>0</v>
      </c>
      <c r="O55" s="99">
        <f t="shared" si="8"/>
        <v>0</v>
      </c>
      <c r="P55" s="99">
        <f t="shared" si="8"/>
        <v>0</v>
      </c>
      <c r="Q55" s="99">
        <f t="shared" si="8"/>
        <v>0</v>
      </c>
      <c r="R55" s="99">
        <f t="shared" si="8"/>
        <v>0</v>
      </c>
      <c r="S55" s="99">
        <f t="shared" si="8"/>
        <v>0</v>
      </c>
      <c r="T55" s="99">
        <f t="shared" si="8"/>
        <v>0</v>
      </c>
      <c r="U55" s="1146">
        <f t="shared" si="8"/>
        <v>0</v>
      </c>
      <c r="V55" s="1177">
        <f t="shared" si="8"/>
        <v>551755.15</v>
      </c>
      <c r="X55" s="9"/>
      <c r="Y55" s="9"/>
    </row>
    <row r="56" spans="1:26" s="8" customFormat="1" ht="13.8" x14ac:dyDescent="0.25">
      <c r="A56" s="70"/>
      <c r="B56" s="71"/>
      <c r="C56" s="97"/>
      <c r="D56" s="98"/>
      <c r="E56" s="740"/>
      <c r="F56" s="740"/>
      <c r="G56" s="740"/>
      <c r="H56" s="740"/>
      <c r="I56" s="741"/>
      <c r="J56" s="741"/>
      <c r="K56" s="740"/>
      <c r="L56" s="740"/>
      <c r="M56" s="740"/>
      <c r="N56" s="740"/>
      <c r="O56" s="740"/>
      <c r="P56" s="740"/>
      <c r="Q56" s="742"/>
      <c r="R56" s="740"/>
      <c r="S56" s="740"/>
      <c r="T56" s="740"/>
      <c r="U56" s="743"/>
      <c r="V56" s="1178"/>
      <c r="X56" s="420"/>
      <c r="Y56" s="420"/>
    </row>
    <row r="57" spans="1:26" s="112" customFormat="1" ht="13.8" x14ac:dyDescent="0.25">
      <c r="A57" s="100"/>
      <c r="B57" s="101" t="s">
        <v>6</v>
      </c>
      <c r="C57" s="102"/>
      <c r="D57" s="103" t="s">
        <v>150</v>
      </c>
      <c r="E57" s="104">
        <v>150000</v>
      </c>
      <c r="F57" s="74">
        <f t="shared" ref="F57:F88" si="9">SUM(G57:U57)</f>
        <v>0</v>
      </c>
      <c r="G57" s="105"/>
      <c r="H57" s="105"/>
      <c r="I57" s="106"/>
      <c r="J57" s="106"/>
      <c r="K57" s="107"/>
      <c r="L57" s="108"/>
      <c r="M57" s="109"/>
      <c r="N57" s="109"/>
      <c r="O57" s="105"/>
      <c r="P57" s="105"/>
      <c r="Q57" s="110"/>
      <c r="R57" s="105"/>
      <c r="S57" s="105"/>
      <c r="T57" s="105"/>
      <c r="U57" s="180"/>
      <c r="V57" s="1179">
        <f>E57-F57</f>
        <v>150000</v>
      </c>
    </row>
    <row r="58" spans="1:26" s="112" customFormat="1" ht="17.25" customHeight="1" x14ac:dyDescent="0.25">
      <c r="A58" s="100"/>
      <c r="B58" s="101"/>
      <c r="C58" s="102"/>
      <c r="D58" s="103" t="s">
        <v>142</v>
      </c>
      <c r="E58" s="104"/>
      <c r="F58" s="74">
        <f t="shared" si="9"/>
        <v>0</v>
      </c>
      <c r="G58" s="105"/>
      <c r="H58" s="105"/>
      <c r="I58" s="106"/>
      <c r="J58" s="113"/>
      <c r="K58" s="114"/>
      <c r="L58" s="108"/>
      <c r="M58" s="109"/>
      <c r="N58" s="109"/>
      <c r="O58" s="105"/>
      <c r="P58" s="105"/>
      <c r="Q58" s="110"/>
      <c r="R58" s="105"/>
      <c r="S58" s="105"/>
      <c r="T58" s="105"/>
      <c r="U58" s="180"/>
      <c r="V58" s="1179">
        <f>E58-F58</f>
        <v>0</v>
      </c>
    </row>
    <row r="59" spans="1:26" s="8" customFormat="1" ht="18" customHeight="1" thickBot="1" x14ac:dyDescent="0.3">
      <c r="A59" s="115"/>
      <c r="B59" s="116"/>
      <c r="C59" s="117"/>
      <c r="D59" s="118"/>
      <c r="E59" s="119">
        <f>SUM(E57:E58)</f>
        <v>150000</v>
      </c>
      <c r="F59" s="119"/>
      <c r="G59" s="119">
        <f>G58+G57</f>
        <v>0</v>
      </c>
      <c r="H59" s="119">
        <f t="shared" ref="H59:N59" si="10">H58+H57</f>
        <v>0</v>
      </c>
      <c r="I59" s="119">
        <f t="shared" si="10"/>
        <v>0</v>
      </c>
      <c r="J59" s="119">
        <f t="shared" si="10"/>
        <v>0</v>
      </c>
      <c r="K59" s="119">
        <f t="shared" si="10"/>
        <v>0</v>
      </c>
      <c r="L59" s="119">
        <f t="shared" si="10"/>
        <v>0</v>
      </c>
      <c r="M59" s="119">
        <f t="shared" si="10"/>
        <v>0</v>
      </c>
      <c r="N59" s="119">
        <f t="shared" si="10"/>
        <v>0</v>
      </c>
      <c r="O59" s="119">
        <f>O58+O57</f>
        <v>0</v>
      </c>
      <c r="P59" s="119">
        <f t="shared" ref="P59:V59" si="11">SUM(P57:P58)</f>
        <v>0</v>
      </c>
      <c r="Q59" s="119">
        <f t="shared" si="11"/>
        <v>0</v>
      </c>
      <c r="R59" s="119">
        <f t="shared" si="11"/>
        <v>0</v>
      </c>
      <c r="S59" s="119">
        <f t="shared" si="11"/>
        <v>0</v>
      </c>
      <c r="T59" s="119">
        <f t="shared" si="11"/>
        <v>0</v>
      </c>
      <c r="U59" s="1147">
        <f t="shared" si="11"/>
        <v>0</v>
      </c>
      <c r="V59" s="1180">
        <f t="shared" si="11"/>
        <v>150000</v>
      </c>
      <c r="X59" s="9"/>
      <c r="Y59" s="9"/>
    </row>
    <row r="60" spans="1:26" s="120" customFormat="1" ht="13.8" x14ac:dyDescent="0.25">
      <c r="D60" s="121"/>
      <c r="E60" s="122"/>
      <c r="F60" s="82"/>
      <c r="G60" s="123"/>
      <c r="H60" s="123"/>
      <c r="I60" s="124"/>
      <c r="J60" s="124"/>
      <c r="K60" s="125"/>
      <c r="L60" s="126"/>
      <c r="M60" s="127"/>
      <c r="N60" s="127"/>
      <c r="O60" s="123"/>
      <c r="P60" s="123"/>
      <c r="Q60" s="123"/>
      <c r="R60" s="123"/>
      <c r="S60" s="123"/>
      <c r="T60" s="123"/>
      <c r="U60" s="123"/>
      <c r="V60" s="1181">
        <f>E60-F60</f>
        <v>0</v>
      </c>
    </row>
    <row r="61" spans="1:26" s="120" customFormat="1" ht="13.8" x14ac:dyDescent="0.25">
      <c r="D61" s="121"/>
      <c r="E61" s="122"/>
      <c r="F61" s="82"/>
      <c r="G61" s="123"/>
      <c r="H61" s="123"/>
      <c r="I61" s="124"/>
      <c r="J61" s="124"/>
      <c r="K61" s="125"/>
      <c r="L61" s="126"/>
      <c r="M61" s="127"/>
      <c r="N61" s="127"/>
      <c r="O61" s="123"/>
      <c r="P61" s="123"/>
      <c r="Q61" s="123"/>
      <c r="R61" s="123"/>
      <c r="S61" s="123"/>
      <c r="T61" s="123"/>
      <c r="U61" s="123"/>
      <c r="V61" s="1181"/>
    </row>
    <row r="62" spans="1:26" s="8" customFormat="1" ht="13.8" x14ac:dyDescent="0.25">
      <c r="A62" s="1326" t="s">
        <v>106</v>
      </c>
      <c r="B62" s="1326"/>
      <c r="C62" s="1326"/>
      <c r="D62" s="1326"/>
      <c r="E62" s="1326"/>
      <c r="F62" s="1326"/>
      <c r="G62" s="1326"/>
      <c r="H62" s="1326"/>
      <c r="I62" s="1326"/>
      <c r="J62" s="11"/>
      <c r="K62" s="9"/>
      <c r="L62" s="10"/>
      <c r="M62" s="10"/>
      <c r="N62" s="10"/>
      <c r="V62" s="1175"/>
    </row>
    <row r="63" spans="1:26" s="8" customFormat="1" ht="13.8" x14ac:dyDescent="0.25">
      <c r="A63" s="1326" t="s">
        <v>107</v>
      </c>
      <c r="B63" s="1326"/>
      <c r="C63" s="1326"/>
      <c r="D63" s="1326"/>
      <c r="E63" s="1326"/>
      <c r="F63" s="1326"/>
      <c r="G63" s="1326"/>
      <c r="H63" s="1326"/>
      <c r="I63" s="1326"/>
      <c r="J63" s="1326"/>
      <c r="K63" s="1326"/>
      <c r="L63" s="1326"/>
      <c r="M63" s="1326"/>
      <c r="N63" s="1326"/>
      <c r="O63" s="1326"/>
      <c r="V63" s="1175"/>
    </row>
    <row r="64" spans="1:26" s="8" customFormat="1" ht="13.8" x14ac:dyDescent="0.25">
      <c r="A64" s="1326" t="s">
        <v>176</v>
      </c>
      <c r="B64" s="1326"/>
      <c r="C64" s="1326"/>
      <c r="D64" s="1326"/>
      <c r="E64" s="1326"/>
      <c r="F64" s="1326"/>
      <c r="G64" s="1326"/>
      <c r="H64" s="1326"/>
      <c r="I64" s="1326"/>
      <c r="J64" s="11"/>
      <c r="K64" s="9"/>
      <c r="L64" s="10"/>
      <c r="M64" s="10"/>
      <c r="N64" s="10"/>
      <c r="V64" s="1175"/>
    </row>
    <row r="65" spans="1:26" s="8" customFormat="1" ht="13.8" x14ac:dyDescent="0.25">
      <c r="A65" s="11" t="s">
        <v>108</v>
      </c>
      <c r="B65" s="11"/>
      <c r="C65" s="11"/>
      <c r="D65" s="11"/>
      <c r="E65" s="11"/>
      <c r="F65" s="11"/>
      <c r="G65" s="11"/>
      <c r="H65" s="11"/>
      <c r="I65" s="11"/>
      <c r="J65" s="11"/>
      <c r="K65" s="9"/>
      <c r="L65" s="10"/>
      <c r="M65" s="10"/>
      <c r="N65" s="10"/>
      <c r="V65" s="1175"/>
    </row>
    <row r="66" spans="1:26" s="8" customFormat="1" ht="14.4" thickBot="1" x14ac:dyDescent="0.3">
      <c r="A66" s="1326" t="s">
        <v>177</v>
      </c>
      <c r="B66" s="1326"/>
      <c r="C66" s="1326"/>
      <c r="D66" s="1326"/>
      <c r="E66" s="1326"/>
      <c r="F66" s="1326"/>
      <c r="G66" s="1326"/>
      <c r="H66" s="1326"/>
      <c r="I66" s="1326"/>
      <c r="J66" s="11"/>
      <c r="K66" s="9"/>
      <c r="L66" s="10"/>
      <c r="M66" s="10"/>
      <c r="N66" s="10"/>
      <c r="V66" s="1182" t="s">
        <v>110</v>
      </c>
    </row>
    <row r="67" spans="1:26" s="8" customFormat="1" ht="14.4" thickTop="1" x14ac:dyDescent="0.25">
      <c r="A67" s="128"/>
      <c r="B67" s="129"/>
      <c r="C67" s="129"/>
      <c r="D67" s="130"/>
      <c r="E67" s="87" t="s">
        <v>111</v>
      </c>
      <c r="F67" s="130"/>
      <c r="G67" s="1327" t="s">
        <v>112</v>
      </c>
      <c r="H67" s="1328"/>
      <c r="I67" s="1328"/>
      <c r="J67" s="1328"/>
      <c r="K67" s="1328"/>
      <c r="L67" s="1328"/>
      <c r="M67" s="1328"/>
      <c r="N67" s="1328"/>
      <c r="O67" s="1328"/>
      <c r="P67" s="1328"/>
      <c r="Q67" s="1328"/>
      <c r="R67" s="1328"/>
      <c r="S67" s="1328"/>
      <c r="T67" s="1328"/>
      <c r="U67" s="1329"/>
      <c r="V67" s="1166"/>
    </row>
    <row r="68" spans="1:26" s="8" customFormat="1" ht="15" customHeight="1" x14ac:dyDescent="0.25">
      <c r="A68" s="18"/>
      <c r="B68" s="4"/>
      <c r="C68" s="4"/>
      <c r="D68" s="19"/>
      <c r="E68" s="20" t="s">
        <v>113</v>
      </c>
      <c r="F68" s="20" t="s">
        <v>2</v>
      </c>
      <c r="G68" s="1330" t="s">
        <v>114</v>
      </c>
      <c r="H68" s="1331"/>
      <c r="I68" s="1331"/>
      <c r="J68" s="1331"/>
      <c r="K68" s="1331"/>
      <c r="L68" s="1331"/>
      <c r="M68" s="1331"/>
      <c r="N68" s="1331"/>
      <c r="O68" s="1331"/>
      <c r="P68" s="1331"/>
      <c r="Q68" s="1331"/>
      <c r="R68" s="1331"/>
      <c r="S68" s="1331"/>
      <c r="T68" s="1331"/>
      <c r="U68" s="1332"/>
      <c r="V68" s="1175"/>
    </row>
    <row r="69" spans="1:26" s="8" customFormat="1" ht="13.8" x14ac:dyDescent="0.25">
      <c r="A69" s="1318" t="s">
        <v>115</v>
      </c>
      <c r="B69" s="1319"/>
      <c r="C69" s="1320"/>
      <c r="D69" s="20" t="s">
        <v>116</v>
      </c>
      <c r="E69" s="20" t="s">
        <v>117</v>
      </c>
      <c r="F69" s="20" t="s">
        <v>118</v>
      </c>
      <c r="H69" s="20"/>
      <c r="I69" s="22"/>
      <c r="J69" s="22" t="s">
        <v>119</v>
      </c>
      <c r="K69" s="23"/>
      <c r="L69" s="24"/>
      <c r="M69" s="25"/>
      <c r="P69" s="20"/>
      <c r="Q69" s="20"/>
      <c r="R69" s="26"/>
      <c r="S69" s="27"/>
      <c r="T69" s="131"/>
      <c r="U69" s="1274"/>
      <c r="V69" s="1273"/>
    </row>
    <row r="70" spans="1:26" s="8" customFormat="1" ht="13.8" x14ac:dyDescent="0.25">
      <c r="A70" s="30"/>
      <c r="D70" s="20" t="s">
        <v>120</v>
      </c>
      <c r="E70" s="20" t="s">
        <v>121</v>
      </c>
      <c r="F70" s="20" t="s">
        <v>122</v>
      </c>
      <c r="G70" s="20" t="s">
        <v>123</v>
      </c>
      <c r="H70" s="20" t="s">
        <v>124</v>
      </c>
      <c r="I70" s="22" t="s">
        <v>125</v>
      </c>
      <c r="J70" s="31">
        <v>41334</v>
      </c>
      <c r="K70" s="25" t="s">
        <v>126</v>
      </c>
      <c r="L70" s="24" t="s">
        <v>127</v>
      </c>
      <c r="M70" s="32" t="s">
        <v>128</v>
      </c>
      <c r="N70" s="24" t="s">
        <v>129</v>
      </c>
      <c r="O70" s="20" t="s">
        <v>130</v>
      </c>
      <c r="P70" s="20" t="s">
        <v>131</v>
      </c>
      <c r="Q70" s="33" t="s">
        <v>132</v>
      </c>
      <c r="R70" s="34" t="s">
        <v>119</v>
      </c>
      <c r="S70" s="35" t="s">
        <v>133</v>
      </c>
      <c r="T70" s="35" t="s">
        <v>133</v>
      </c>
      <c r="U70" s="1152" t="s">
        <v>134</v>
      </c>
      <c r="V70" s="1183" t="s">
        <v>135</v>
      </c>
    </row>
    <row r="71" spans="1:26" s="8" customFormat="1" ht="14.4" thickBot="1" x14ac:dyDescent="0.3">
      <c r="A71" s="36"/>
      <c r="B71" s="37"/>
      <c r="C71" s="37"/>
      <c r="D71" s="38"/>
      <c r="E71" s="39" t="s">
        <v>136</v>
      </c>
      <c r="F71" s="40"/>
      <c r="G71" s="41"/>
      <c r="H71" s="40"/>
      <c r="I71" s="42"/>
      <c r="J71" s="42" t="s">
        <v>137</v>
      </c>
      <c r="K71" s="40"/>
      <c r="L71" s="43"/>
      <c r="M71" s="44"/>
      <c r="N71" s="45"/>
      <c r="O71" s="41"/>
      <c r="P71" s="38"/>
      <c r="Q71" s="46"/>
      <c r="R71" s="132" t="s">
        <v>178</v>
      </c>
      <c r="S71" s="48"/>
      <c r="T71" s="48"/>
      <c r="U71" s="1149"/>
      <c r="V71" s="1184"/>
      <c r="X71" s="9"/>
      <c r="Y71" s="9"/>
      <c r="Z71" s="51" t="e">
        <f>X71+#REF!</f>
        <v>#REF!</v>
      </c>
    </row>
    <row r="72" spans="1:26" s="143" customFormat="1" ht="14.4" thickTop="1" x14ac:dyDescent="0.25">
      <c r="A72" s="133"/>
      <c r="B72" s="134" t="s">
        <v>7</v>
      </c>
      <c r="C72" s="135"/>
      <c r="D72" s="1288" t="s">
        <v>146</v>
      </c>
      <c r="E72" s="1286">
        <v>20000</v>
      </c>
      <c r="F72" s="58">
        <f t="shared" ref="F72" si="12">SUM(G72:U72)</f>
        <v>20000</v>
      </c>
      <c r="G72" s="136"/>
      <c r="H72" s="136"/>
      <c r="I72" s="137"/>
      <c r="J72" s="66">
        <v>20000</v>
      </c>
      <c r="K72" s="139"/>
      <c r="L72" s="140"/>
      <c r="M72" s="141"/>
      <c r="N72" s="141"/>
      <c r="O72" s="136"/>
      <c r="P72" s="136"/>
      <c r="Q72" s="142"/>
      <c r="R72" s="136"/>
      <c r="S72" s="136"/>
      <c r="T72" s="136"/>
      <c r="U72" s="144"/>
      <c r="V72" s="1176">
        <f>E72-F72</f>
        <v>0</v>
      </c>
    </row>
    <row r="73" spans="1:26" s="143" customFormat="1" ht="13.8" x14ac:dyDescent="0.25">
      <c r="A73" s="133"/>
      <c r="B73" s="134"/>
      <c r="C73" s="135"/>
      <c r="D73" s="1288" t="s">
        <v>147</v>
      </c>
      <c r="E73" s="58">
        <v>100000</v>
      </c>
      <c r="F73" s="58">
        <f t="shared" si="9"/>
        <v>0</v>
      </c>
      <c r="G73" s="136"/>
      <c r="H73" s="136"/>
      <c r="I73" s="138"/>
      <c r="J73" s="63"/>
      <c r="K73" s="144"/>
      <c r="L73" s="141"/>
      <c r="M73" s="141"/>
      <c r="N73" s="141"/>
      <c r="O73" s="136"/>
      <c r="P73" s="136"/>
      <c r="Q73" s="142"/>
      <c r="R73" s="136"/>
      <c r="S73" s="136"/>
      <c r="T73" s="136"/>
      <c r="U73" s="144"/>
      <c r="V73" s="1176">
        <f t="shared" ref="V73:V88" si="13">E73-F73</f>
        <v>100000</v>
      </c>
    </row>
    <row r="74" spans="1:26" s="143" customFormat="1" ht="13.8" x14ac:dyDescent="0.25">
      <c r="A74" s="133"/>
      <c r="B74" s="134"/>
      <c r="C74" s="135"/>
      <c r="D74" s="1288" t="s">
        <v>166</v>
      </c>
      <c r="E74" s="58">
        <v>250000</v>
      </c>
      <c r="F74" s="58">
        <f t="shared" si="9"/>
        <v>0</v>
      </c>
      <c r="G74" s="136"/>
      <c r="H74" s="136"/>
      <c r="I74" s="138"/>
      <c r="J74" s="63"/>
      <c r="K74" s="144"/>
      <c r="L74" s="141"/>
      <c r="M74" s="62"/>
      <c r="N74" s="141"/>
      <c r="O74" s="136"/>
      <c r="P74" s="136"/>
      <c r="Q74" s="142"/>
      <c r="R74" s="136"/>
      <c r="S74" s="136"/>
      <c r="T74" s="136"/>
      <c r="U74" s="144"/>
      <c r="V74" s="1176">
        <f t="shared" si="13"/>
        <v>250000</v>
      </c>
    </row>
    <row r="75" spans="1:26" s="143" customFormat="1" ht="13.8" x14ac:dyDescent="0.25">
      <c r="A75" s="133"/>
      <c r="B75" s="134"/>
      <c r="C75" s="135"/>
      <c r="D75" s="1288" t="s">
        <v>179</v>
      </c>
      <c r="E75" s="58">
        <v>100000</v>
      </c>
      <c r="F75" s="58">
        <f t="shared" si="9"/>
        <v>0</v>
      </c>
      <c r="G75" s="136"/>
      <c r="H75" s="136"/>
      <c r="I75" s="138"/>
      <c r="J75" s="63"/>
      <c r="K75" s="144"/>
      <c r="L75" s="141"/>
      <c r="M75" s="62"/>
      <c r="N75" s="141"/>
      <c r="O75" s="136"/>
      <c r="P75" s="136"/>
      <c r="Q75" s="142"/>
      <c r="R75" s="136"/>
      <c r="S75" s="136"/>
      <c r="T75" s="136"/>
      <c r="U75" s="144"/>
      <c r="V75" s="1176">
        <f t="shared" si="13"/>
        <v>100000</v>
      </c>
    </row>
    <row r="76" spans="1:26" s="143" customFormat="1" ht="13.8" x14ac:dyDescent="0.25">
      <c r="A76" s="133"/>
      <c r="B76" s="134"/>
      <c r="C76" s="135"/>
      <c r="D76" s="1288" t="s">
        <v>150</v>
      </c>
      <c r="E76" s="58">
        <v>10000</v>
      </c>
      <c r="F76" s="58">
        <f t="shared" si="9"/>
        <v>0</v>
      </c>
      <c r="G76" s="136"/>
      <c r="H76" s="136"/>
      <c r="I76" s="138"/>
      <c r="J76" s="63"/>
      <c r="K76" s="144"/>
      <c r="L76" s="141"/>
      <c r="M76" s="62"/>
      <c r="N76" s="141"/>
      <c r="O76" s="136"/>
      <c r="P76" s="136"/>
      <c r="Q76" s="142"/>
      <c r="R76" s="136"/>
      <c r="S76" s="136"/>
      <c r="T76" s="136"/>
      <c r="U76" s="144"/>
      <c r="V76" s="1176">
        <f t="shared" si="13"/>
        <v>10000</v>
      </c>
    </row>
    <row r="77" spans="1:26" s="143" customFormat="1" ht="13.8" x14ac:dyDescent="0.25">
      <c r="A77" s="133"/>
      <c r="B77" s="134"/>
      <c r="C77" s="135"/>
      <c r="D77" s="1288" t="s">
        <v>180</v>
      </c>
      <c r="E77" s="58"/>
      <c r="F77" s="58">
        <f t="shared" si="9"/>
        <v>0</v>
      </c>
      <c r="G77" s="136"/>
      <c r="H77" s="136"/>
      <c r="I77" s="138"/>
      <c r="J77" s="63"/>
      <c r="K77" s="144"/>
      <c r="L77" s="141"/>
      <c r="M77" s="62"/>
      <c r="N77" s="141"/>
      <c r="O77" s="136"/>
      <c r="P77" s="136"/>
      <c r="Q77" s="142"/>
      <c r="R77" s="136"/>
      <c r="S77" s="136"/>
      <c r="T77" s="136"/>
      <c r="U77" s="144"/>
      <c r="V77" s="1176">
        <f t="shared" si="13"/>
        <v>0</v>
      </c>
    </row>
    <row r="78" spans="1:26" s="143" customFormat="1" ht="13.8" x14ac:dyDescent="0.25">
      <c r="A78" s="133"/>
      <c r="B78" s="134"/>
      <c r="C78" s="135"/>
      <c r="D78" s="1288" t="s">
        <v>167</v>
      </c>
      <c r="E78" s="58"/>
      <c r="F78" s="58">
        <f t="shared" si="9"/>
        <v>0</v>
      </c>
      <c r="G78" s="136"/>
      <c r="H78" s="136"/>
      <c r="I78" s="138"/>
      <c r="J78" s="63"/>
      <c r="K78" s="144"/>
      <c r="L78" s="141"/>
      <c r="M78" s="62"/>
      <c r="N78" s="141"/>
      <c r="O78" s="136"/>
      <c r="P78" s="136"/>
      <c r="Q78" s="142"/>
      <c r="R78" s="136"/>
      <c r="S78" s="136"/>
      <c r="T78" s="136"/>
      <c r="U78" s="144"/>
      <c r="V78" s="1176">
        <f t="shared" si="13"/>
        <v>0</v>
      </c>
    </row>
    <row r="79" spans="1:26" s="143" customFormat="1" ht="13.8" x14ac:dyDescent="0.25">
      <c r="A79" s="133"/>
      <c r="B79" s="134"/>
      <c r="C79" s="135"/>
      <c r="D79" s="1288" t="s">
        <v>153</v>
      </c>
      <c r="E79" s="58"/>
      <c r="F79" s="58">
        <f t="shared" si="9"/>
        <v>0</v>
      </c>
      <c r="G79" s="136"/>
      <c r="H79" s="136"/>
      <c r="I79" s="138"/>
      <c r="J79" s="63"/>
      <c r="K79" s="144"/>
      <c r="L79" s="141"/>
      <c r="M79" s="62"/>
      <c r="N79" s="141"/>
      <c r="O79" s="136"/>
      <c r="P79" s="136"/>
      <c r="Q79" s="142"/>
      <c r="R79" s="136"/>
      <c r="S79" s="136"/>
      <c r="T79" s="136"/>
      <c r="U79" s="144"/>
      <c r="V79" s="1176">
        <f t="shared" si="13"/>
        <v>0</v>
      </c>
    </row>
    <row r="80" spans="1:26" s="143" customFormat="1" ht="13.8" x14ac:dyDescent="0.25">
      <c r="A80" s="133"/>
      <c r="B80" s="134"/>
      <c r="C80" s="135"/>
      <c r="D80" s="1289" t="s">
        <v>168</v>
      </c>
      <c r="E80" s="58">
        <v>45610</v>
      </c>
      <c r="F80" s="58">
        <f t="shared" si="9"/>
        <v>45910</v>
      </c>
      <c r="G80" s="136">
        <v>300</v>
      </c>
      <c r="H80" s="136"/>
      <c r="I80" s="138"/>
      <c r="J80" s="63">
        <v>45610</v>
      </c>
      <c r="K80" s="144"/>
      <c r="L80" s="141"/>
      <c r="M80" s="141"/>
      <c r="N80" s="141"/>
      <c r="O80" s="136"/>
      <c r="P80" s="136"/>
      <c r="Q80" s="142"/>
      <c r="R80" s="136"/>
      <c r="S80" s="136"/>
      <c r="T80" s="136"/>
      <c r="U80" s="144"/>
      <c r="V80" s="1176">
        <f t="shared" si="13"/>
        <v>-300</v>
      </c>
    </row>
    <row r="81" spans="1:25" s="143" customFormat="1" ht="13.8" x14ac:dyDescent="0.25">
      <c r="A81" s="133"/>
      <c r="B81" s="134"/>
      <c r="C81" s="135"/>
      <c r="D81" s="1289" t="s">
        <v>169</v>
      </c>
      <c r="E81" s="58">
        <v>50000</v>
      </c>
      <c r="F81" s="58">
        <f t="shared" si="9"/>
        <v>50000</v>
      </c>
      <c r="G81" s="136"/>
      <c r="H81" s="136"/>
      <c r="I81" s="138"/>
      <c r="J81" s="63">
        <v>50000</v>
      </c>
      <c r="K81" s="144"/>
      <c r="L81" s="141"/>
      <c r="M81" s="141"/>
      <c r="N81" s="141"/>
      <c r="O81" s="136"/>
      <c r="P81" s="136"/>
      <c r="Q81" s="142"/>
      <c r="R81" s="136"/>
      <c r="S81" s="136"/>
      <c r="T81" s="136"/>
      <c r="U81" s="144"/>
      <c r="V81" s="1176">
        <f t="shared" si="13"/>
        <v>0</v>
      </c>
    </row>
    <row r="82" spans="1:25" s="143" customFormat="1" ht="13.8" x14ac:dyDescent="0.25">
      <c r="A82" s="133"/>
      <c r="B82" s="134"/>
      <c r="C82" s="135"/>
      <c r="D82" s="1289" t="s">
        <v>155</v>
      </c>
      <c r="E82" s="58">
        <v>50000</v>
      </c>
      <c r="F82" s="58">
        <f t="shared" si="9"/>
        <v>0</v>
      </c>
      <c r="G82" s="136"/>
      <c r="H82" s="136"/>
      <c r="I82" s="138"/>
      <c r="J82" s="63"/>
      <c r="K82" s="144"/>
      <c r="L82" s="141"/>
      <c r="M82" s="141"/>
      <c r="N82" s="141"/>
      <c r="O82" s="136"/>
      <c r="P82" s="136"/>
      <c r="Q82" s="142"/>
      <c r="R82" s="136"/>
      <c r="S82" s="136"/>
      <c r="T82" s="136"/>
      <c r="U82" s="144"/>
      <c r="V82" s="1176">
        <f t="shared" si="13"/>
        <v>50000</v>
      </c>
    </row>
    <row r="83" spans="1:25" s="143" customFormat="1" ht="13.8" x14ac:dyDescent="0.25">
      <c r="A83" s="133"/>
      <c r="B83" s="134"/>
      <c r="C83" s="135"/>
      <c r="D83" s="1289" t="s">
        <v>171</v>
      </c>
      <c r="E83" s="58">
        <v>145243.01999999999</v>
      </c>
      <c r="F83" s="58">
        <f t="shared" si="9"/>
        <v>145243.01999999999</v>
      </c>
      <c r="G83" s="136"/>
      <c r="H83" s="136"/>
      <c r="I83" s="138"/>
      <c r="J83" s="63">
        <v>145243.01999999999</v>
      </c>
      <c r="K83" s="144"/>
      <c r="L83" s="141"/>
      <c r="M83" s="141"/>
      <c r="N83" s="141"/>
      <c r="O83" s="136"/>
      <c r="P83" s="136"/>
      <c r="Q83" s="142"/>
      <c r="R83" s="136"/>
      <c r="S83" s="136"/>
      <c r="T83" s="136"/>
      <c r="U83" s="144"/>
      <c r="V83" s="1176">
        <f t="shared" si="13"/>
        <v>0</v>
      </c>
    </row>
    <row r="84" spans="1:25" s="143" customFormat="1" ht="13.8" x14ac:dyDescent="0.25">
      <c r="A84" s="133"/>
      <c r="B84" s="134"/>
      <c r="C84" s="135"/>
      <c r="D84" s="1289" t="s">
        <v>181</v>
      </c>
      <c r="E84" s="58"/>
      <c r="F84" s="58">
        <f t="shared" si="9"/>
        <v>0</v>
      </c>
      <c r="G84" s="136"/>
      <c r="H84" s="136"/>
      <c r="I84" s="138"/>
      <c r="J84" s="63"/>
      <c r="K84" s="144"/>
      <c r="L84" s="141"/>
      <c r="M84" s="141"/>
      <c r="N84" s="141"/>
      <c r="O84" s="136"/>
      <c r="P84" s="136"/>
      <c r="Q84" s="142"/>
      <c r="R84" s="136"/>
      <c r="S84" s="136"/>
      <c r="T84" s="136"/>
      <c r="U84" s="144"/>
      <c r="V84" s="1176">
        <f t="shared" si="13"/>
        <v>0</v>
      </c>
    </row>
    <row r="85" spans="1:25" s="143" customFormat="1" ht="13.8" x14ac:dyDescent="0.25">
      <c r="A85" s="133"/>
      <c r="B85" s="134"/>
      <c r="C85" s="135"/>
      <c r="D85" s="1289" t="s">
        <v>172</v>
      </c>
      <c r="E85" s="58">
        <v>20000</v>
      </c>
      <c r="F85" s="58">
        <f t="shared" si="9"/>
        <v>20000</v>
      </c>
      <c r="G85" s="136"/>
      <c r="H85" s="136"/>
      <c r="I85" s="138"/>
      <c r="J85" s="63">
        <v>20000</v>
      </c>
      <c r="K85" s="144"/>
      <c r="L85" s="141"/>
      <c r="M85" s="141"/>
      <c r="N85" s="141"/>
      <c r="O85" s="136"/>
      <c r="P85" s="136"/>
      <c r="Q85" s="142"/>
      <c r="R85" s="136"/>
      <c r="S85" s="136"/>
      <c r="T85" s="136"/>
      <c r="U85" s="144"/>
      <c r="V85" s="1176">
        <f t="shared" si="13"/>
        <v>0</v>
      </c>
    </row>
    <row r="86" spans="1:25" s="64" customFormat="1" ht="13.8" x14ac:dyDescent="0.25">
      <c r="A86" s="60"/>
      <c r="B86" s="61"/>
      <c r="C86" s="92"/>
      <c r="D86" s="1289" t="s">
        <v>142</v>
      </c>
      <c r="E86" s="58"/>
      <c r="F86" s="58">
        <f t="shared" si="9"/>
        <v>0</v>
      </c>
      <c r="G86" s="136"/>
      <c r="H86" s="136"/>
      <c r="I86" s="138"/>
      <c r="J86" s="63"/>
      <c r="K86" s="144"/>
      <c r="L86" s="141"/>
      <c r="M86" s="141"/>
      <c r="N86" s="141"/>
      <c r="O86" s="136"/>
      <c r="P86" s="136"/>
      <c r="Q86" s="142"/>
      <c r="R86" s="136"/>
      <c r="S86" s="136"/>
      <c r="T86" s="136"/>
      <c r="U86" s="144"/>
      <c r="V86" s="1176">
        <f t="shared" si="13"/>
        <v>0</v>
      </c>
      <c r="X86" s="65"/>
      <c r="Y86" s="65"/>
    </row>
    <row r="87" spans="1:25" s="64" customFormat="1" ht="13.8" x14ac:dyDescent="0.25">
      <c r="A87" s="60"/>
      <c r="B87" s="61"/>
      <c r="C87" s="92"/>
      <c r="D87" s="1289" t="s">
        <v>173</v>
      </c>
      <c r="E87" s="58">
        <v>30000</v>
      </c>
      <c r="F87" s="58">
        <f t="shared" si="9"/>
        <v>30000</v>
      </c>
      <c r="G87" s="136"/>
      <c r="H87" s="136"/>
      <c r="I87" s="138"/>
      <c r="J87" s="63">
        <v>30000</v>
      </c>
      <c r="K87" s="144"/>
      <c r="L87" s="141"/>
      <c r="M87" s="141"/>
      <c r="N87" s="141"/>
      <c r="O87" s="136"/>
      <c r="P87" s="136"/>
      <c r="Q87" s="142"/>
      <c r="R87" s="136"/>
      <c r="S87" s="136"/>
      <c r="T87" s="136"/>
      <c r="U87" s="144"/>
      <c r="V87" s="1176">
        <f t="shared" si="13"/>
        <v>0</v>
      </c>
      <c r="X87" s="65"/>
      <c r="Y87" s="65"/>
    </row>
    <row r="88" spans="1:25" s="64" customFormat="1" ht="13.8" x14ac:dyDescent="0.25">
      <c r="A88" s="60"/>
      <c r="B88" s="61"/>
      <c r="C88" s="92"/>
      <c r="D88" s="1289" t="s">
        <v>174</v>
      </c>
      <c r="E88" s="58"/>
      <c r="F88" s="58">
        <f t="shared" si="9"/>
        <v>0</v>
      </c>
      <c r="G88" s="136"/>
      <c r="H88" s="136"/>
      <c r="I88" s="138"/>
      <c r="J88" s="63"/>
      <c r="K88" s="144"/>
      <c r="L88" s="141"/>
      <c r="M88" s="141"/>
      <c r="N88" s="141"/>
      <c r="O88" s="136"/>
      <c r="P88" s="136"/>
      <c r="Q88" s="142"/>
      <c r="R88" s="136"/>
      <c r="S88" s="136"/>
      <c r="T88" s="136"/>
      <c r="U88" s="144"/>
      <c r="V88" s="1176">
        <f t="shared" si="13"/>
        <v>0</v>
      </c>
      <c r="X88" s="65"/>
      <c r="Y88" s="65"/>
    </row>
    <row r="89" spans="1:25" s="8" customFormat="1" ht="14.4" thickBot="1" x14ac:dyDescent="0.3">
      <c r="A89" s="115"/>
      <c r="B89" s="116"/>
      <c r="C89" s="117"/>
      <c r="D89" s="118"/>
      <c r="E89" s="1287">
        <f>SUM(E72:E88)</f>
        <v>820853.02</v>
      </c>
      <c r="F89" s="145">
        <f>SUM(F72:F88)</f>
        <v>311153.02</v>
      </c>
      <c r="G89" s="145">
        <f>SUM(G72:G88)</f>
        <v>300</v>
      </c>
      <c r="H89" s="145">
        <f t="shared" ref="H89:V89" si="14">SUM(H72:H88)</f>
        <v>0</v>
      </c>
      <c r="I89" s="145">
        <f t="shared" si="14"/>
        <v>0</v>
      </c>
      <c r="J89" s="145">
        <f t="shared" si="14"/>
        <v>310853.02</v>
      </c>
      <c r="K89" s="145">
        <f t="shared" si="14"/>
        <v>0</v>
      </c>
      <c r="L89" s="145">
        <f t="shared" si="14"/>
        <v>0</v>
      </c>
      <c r="M89" s="145">
        <f t="shared" si="14"/>
        <v>0</v>
      </c>
      <c r="N89" s="145">
        <f t="shared" si="14"/>
        <v>0</v>
      </c>
      <c r="O89" s="145">
        <f t="shared" si="14"/>
        <v>0</v>
      </c>
      <c r="P89" s="145">
        <f t="shared" si="14"/>
        <v>0</v>
      </c>
      <c r="Q89" s="145">
        <f t="shared" si="14"/>
        <v>0</v>
      </c>
      <c r="R89" s="146">
        <f>SUM(R72:R88)</f>
        <v>0</v>
      </c>
      <c r="S89" s="146">
        <f>SUM(S72:S88)</f>
        <v>0</v>
      </c>
      <c r="T89" s="146">
        <f>SUM(T72:T88)</f>
        <v>0</v>
      </c>
      <c r="U89" s="1150">
        <f t="shared" si="14"/>
        <v>0</v>
      </c>
      <c r="V89" s="1185">
        <f t="shared" si="14"/>
        <v>509700</v>
      </c>
      <c r="X89" s="9"/>
      <c r="Y89" s="9"/>
    </row>
    <row r="90" spans="1:25" s="64" customFormat="1" ht="13.8" x14ac:dyDescent="0.25">
      <c r="A90" s="147"/>
      <c r="B90" s="148" t="s">
        <v>182</v>
      </c>
      <c r="C90" s="92"/>
      <c r="D90" s="1289" t="s">
        <v>146</v>
      </c>
      <c r="E90" s="136">
        <v>14405</v>
      </c>
      <c r="F90" s="58">
        <f t="shared" ref="F90:F106" si="15">SUM(G90:U90)</f>
        <v>0</v>
      </c>
      <c r="G90" s="136"/>
      <c r="H90" s="136"/>
      <c r="I90" s="138"/>
      <c r="J90" s="142"/>
      <c r="K90" s="144"/>
      <c r="L90" s="141"/>
      <c r="M90" s="141"/>
      <c r="N90" s="141"/>
      <c r="O90" s="136"/>
      <c r="P90" s="136"/>
      <c r="Q90" s="142"/>
      <c r="R90" s="136"/>
      <c r="S90" s="136"/>
      <c r="T90" s="136"/>
      <c r="U90" s="144"/>
      <c r="V90" s="1176">
        <f>E90-F90</f>
        <v>14405</v>
      </c>
    </row>
    <row r="91" spans="1:25" s="64" customFormat="1" ht="13.8" x14ac:dyDescent="0.25">
      <c r="A91" s="60"/>
      <c r="B91" s="148"/>
      <c r="C91" s="92"/>
      <c r="D91" s="1289" t="s">
        <v>147</v>
      </c>
      <c r="E91" s="136">
        <v>50000</v>
      </c>
      <c r="F91" s="58">
        <f t="shared" si="15"/>
        <v>0</v>
      </c>
      <c r="G91" s="136"/>
      <c r="H91" s="136"/>
      <c r="I91" s="138"/>
      <c r="J91" s="142"/>
      <c r="K91" s="144"/>
      <c r="L91" s="141"/>
      <c r="M91" s="141"/>
      <c r="N91" s="141"/>
      <c r="O91" s="136"/>
      <c r="P91" s="136"/>
      <c r="Q91" s="142"/>
      <c r="R91" s="136"/>
      <c r="S91" s="136"/>
      <c r="T91" s="136"/>
      <c r="U91" s="144"/>
      <c r="V91" s="1176">
        <f t="shared" ref="V91:V106" si="16">E91-F91</f>
        <v>50000</v>
      </c>
    </row>
    <row r="92" spans="1:25" s="64" customFormat="1" ht="13.8" x14ac:dyDescent="0.25">
      <c r="A92" s="60"/>
      <c r="B92" s="148"/>
      <c r="C92" s="92"/>
      <c r="D92" s="1289" t="s">
        <v>183</v>
      </c>
      <c r="E92" s="136"/>
      <c r="F92" s="58">
        <f t="shared" si="15"/>
        <v>0</v>
      </c>
      <c r="G92" s="136"/>
      <c r="H92" s="136"/>
      <c r="I92" s="138"/>
      <c r="J92" s="142"/>
      <c r="K92" s="144"/>
      <c r="L92" s="141"/>
      <c r="M92" s="141"/>
      <c r="N92" s="141"/>
      <c r="O92" s="136"/>
      <c r="P92" s="136"/>
      <c r="Q92" s="142"/>
      <c r="R92" s="136"/>
      <c r="S92" s="136"/>
      <c r="T92" s="136"/>
      <c r="U92" s="144"/>
      <c r="V92" s="1176">
        <f t="shared" si="16"/>
        <v>0</v>
      </c>
    </row>
    <row r="93" spans="1:25" s="64" customFormat="1" ht="13.8" x14ac:dyDescent="0.25">
      <c r="A93" s="60"/>
      <c r="B93" s="148"/>
      <c r="C93" s="96"/>
      <c r="D93" s="1289" t="s">
        <v>184</v>
      </c>
      <c r="E93" s="136">
        <v>28700</v>
      </c>
      <c r="F93" s="58">
        <f t="shared" si="15"/>
        <v>28700</v>
      </c>
      <c r="G93" s="136"/>
      <c r="H93" s="136"/>
      <c r="I93" s="138"/>
      <c r="J93" s="142"/>
      <c r="K93" s="144"/>
      <c r="L93" s="141"/>
      <c r="M93" s="141">
        <v>28700</v>
      </c>
      <c r="N93" s="141"/>
      <c r="O93" s="136"/>
      <c r="P93" s="136"/>
      <c r="Q93" s="142"/>
      <c r="R93" s="136"/>
      <c r="S93" s="136"/>
      <c r="T93" s="136"/>
      <c r="U93" s="144"/>
      <c r="V93" s="1176">
        <f t="shared" si="16"/>
        <v>0</v>
      </c>
    </row>
    <row r="94" spans="1:25" s="64" customFormat="1" ht="13.8" x14ac:dyDescent="0.25">
      <c r="A94" s="60"/>
      <c r="B94" s="148"/>
      <c r="C94" s="96"/>
      <c r="D94" s="1289" t="s">
        <v>150</v>
      </c>
      <c r="E94" s="136"/>
      <c r="F94" s="58">
        <f t="shared" si="15"/>
        <v>0</v>
      </c>
      <c r="G94" s="136"/>
      <c r="H94" s="136"/>
      <c r="I94" s="138"/>
      <c r="J94" s="142"/>
      <c r="K94" s="144"/>
      <c r="L94" s="141"/>
      <c r="M94" s="141"/>
      <c r="N94" s="141"/>
      <c r="O94" s="136"/>
      <c r="P94" s="136"/>
      <c r="Q94" s="142"/>
      <c r="R94" s="136"/>
      <c r="S94" s="136"/>
      <c r="T94" s="136"/>
      <c r="U94" s="144"/>
      <c r="V94" s="1176">
        <f t="shared" si="16"/>
        <v>0</v>
      </c>
    </row>
    <row r="95" spans="1:25" s="64" customFormat="1" ht="13.8" x14ac:dyDescent="0.25">
      <c r="A95" s="60"/>
      <c r="B95" s="148"/>
      <c r="C95" s="96"/>
      <c r="D95" s="1289" t="s">
        <v>476</v>
      </c>
      <c r="E95" s="136">
        <v>191965</v>
      </c>
      <c r="F95" s="58"/>
      <c r="G95" s="136"/>
      <c r="H95" s="136"/>
      <c r="I95" s="138"/>
      <c r="J95" s="142"/>
      <c r="K95" s="144"/>
      <c r="L95" s="141"/>
      <c r="M95" s="141"/>
      <c r="N95" s="141"/>
      <c r="O95" s="136"/>
      <c r="P95" s="136"/>
      <c r="Q95" s="142"/>
      <c r="R95" s="136"/>
      <c r="S95" s="136"/>
      <c r="T95" s="136"/>
      <c r="U95" s="144"/>
      <c r="V95" s="1176"/>
    </row>
    <row r="96" spans="1:25" s="64" customFormat="1" ht="13.8" x14ac:dyDescent="0.25">
      <c r="A96" s="60"/>
      <c r="B96" s="148"/>
      <c r="C96" s="96"/>
      <c r="D96" s="1289" t="s">
        <v>155</v>
      </c>
      <c r="E96" s="136">
        <v>50000</v>
      </c>
      <c r="F96" s="58">
        <f t="shared" si="15"/>
        <v>0</v>
      </c>
      <c r="G96" s="136"/>
      <c r="H96" s="136"/>
      <c r="I96" s="138"/>
      <c r="J96" s="142"/>
      <c r="K96" s="144"/>
      <c r="L96" s="141"/>
      <c r="M96" s="141"/>
      <c r="N96" s="141"/>
      <c r="O96" s="136"/>
      <c r="P96" s="136"/>
      <c r="Q96" s="142"/>
      <c r="R96" s="136"/>
      <c r="S96" s="136"/>
      <c r="T96" s="136"/>
      <c r="U96" s="144"/>
      <c r="V96" s="1176">
        <f t="shared" si="16"/>
        <v>50000</v>
      </c>
    </row>
    <row r="97" spans="1:25" s="64" customFormat="1" ht="13.8" x14ac:dyDescent="0.25">
      <c r="A97" s="60"/>
      <c r="B97" s="148"/>
      <c r="C97" s="96"/>
      <c r="D97" s="1289" t="s">
        <v>168</v>
      </c>
      <c r="E97" s="136"/>
      <c r="F97" s="58">
        <f t="shared" si="15"/>
        <v>0</v>
      </c>
      <c r="G97" s="136"/>
      <c r="H97" s="136"/>
      <c r="I97" s="138"/>
      <c r="J97" s="142"/>
      <c r="K97" s="144"/>
      <c r="L97" s="141"/>
      <c r="M97" s="141"/>
      <c r="N97" s="141"/>
      <c r="O97" s="136"/>
      <c r="P97" s="136"/>
      <c r="Q97" s="142"/>
      <c r="R97" s="136"/>
      <c r="S97" s="136"/>
      <c r="T97" s="136"/>
      <c r="U97" s="144"/>
      <c r="V97" s="1176">
        <f t="shared" si="16"/>
        <v>0</v>
      </c>
    </row>
    <row r="98" spans="1:25" s="64" customFormat="1" ht="13.8" x14ac:dyDescent="0.25">
      <c r="A98" s="60"/>
      <c r="B98" s="148"/>
      <c r="C98" s="92"/>
      <c r="D98" s="1289" t="s">
        <v>169</v>
      </c>
      <c r="E98" s="136">
        <v>45610</v>
      </c>
      <c r="F98" s="58">
        <f t="shared" si="15"/>
        <v>45610</v>
      </c>
      <c r="G98" s="136"/>
      <c r="H98" s="136"/>
      <c r="I98" s="138"/>
      <c r="J98" s="142">
        <v>45610</v>
      </c>
      <c r="K98" s="144"/>
      <c r="L98" s="141"/>
      <c r="M98" s="141"/>
      <c r="N98" s="141"/>
      <c r="O98" s="136"/>
      <c r="P98" s="136"/>
      <c r="Q98" s="142"/>
      <c r="R98" s="136"/>
      <c r="S98" s="136"/>
      <c r="T98" s="136"/>
      <c r="U98" s="144"/>
      <c r="V98" s="1176">
        <f t="shared" si="16"/>
        <v>0</v>
      </c>
    </row>
    <row r="99" spans="1:25" s="64" customFormat="1" ht="13.8" x14ac:dyDescent="0.25">
      <c r="A99" s="60"/>
      <c r="B99" s="148"/>
      <c r="C99" s="92"/>
      <c r="D99" s="1289" t="s">
        <v>171</v>
      </c>
      <c r="E99" s="136">
        <v>9950</v>
      </c>
      <c r="F99" s="58">
        <f t="shared" si="15"/>
        <v>9950</v>
      </c>
      <c r="G99" s="136"/>
      <c r="H99" s="136"/>
      <c r="I99" s="138"/>
      <c r="J99" s="142">
        <v>9950</v>
      </c>
      <c r="K99" s="144"/>
      <c r="L99" s="141"/>
      <c r="M99" s="141"/>
      <c r="N99" s="141"/>
      <c r="O99" s="136"/>
      <c r="P99" s="136"/>
      <c r="Q99" s="142"/>
      <c r="R99" s="136"/>
      <c r="S99" s="136"/>
      <c r="T99" s="136"/>
      <c r="U99" s="144"/>
      <c r="V99" s="1176">
        <f t="shared" si="16"/>
        <v>0</v>
      </c>
    </row>
    <row r="100" spans="1:25" s="64" customFormat="1" ht="13.8" x14ac:dyDescent="0.25">
      <c r="A100" s="60"/>
      <c r="B100" s="148"/>
      <c r="C100" s="92"/>
      <c r="D100" s="1289" t="s">
        <v>142</v>
      </c>
      <c r="E100" s="136"/>
      <c r="F100" s="58">
        <f t="shared" si="15"/>
        <v>0</v>
      </c>
      <c r="G100" s="136"/>
      <c r="H100" s="136"/>
      <c r="I100" s="138"/>
      <c r="J100" s="142"/>
      <c r="K100" s="144"/>
      <c r="L100" s="141"/>
      <c r="M100" s="141"/>
      <c r="N100" s="141"/>
      <c r="O100" s="136"/>
      <c r="P100" s="136"/>
      <c r="Q100" s="142"/>
      <c r="R100" s="136"/>
      <c r="S100" s="136"/>
      <c r="T100" s="136"/>
      <c r="U100" s="144"/>
      <c r="V100" s="1176">
        <f t="shared" si="16"/>
        <v>0</v>
      </c>
    </row>
    <row r="101" spans="1:25" s="64" customFormat="1" ht="13.8" x14ac:dyDescent="0.25">
      <c r="A101" s="60"/>
      <c r="B101" s="148"/>
      <c r="C101" s="92"/>
      <c r="D101" s="1289" t="s">
        <v>172</v>
      </c>
      <c r="E101" s="136"/>
      <c r="F101" s="58">
        <f t="shared" si="15"/>
        <v>0</v>
      </c>
      <c r="G101" s="136"/>
      <c r="H101" s="136"/>
      <c r="I101" s="138"/>
      <c r="J101" s="142"/>
      <c r="K101" s="144"/>
      <c r="L101" s="141"/>
      <c r="M101" s="141"/>
      <c r="N101" s="141"/>
      <c r="O101" s="136"/>
      <c r="P101" s="136"/>
      <c r="Q101" s="142"/>
      <c r="R101" s="136"/>
      <c r="S101" s="136"/>
      <c r="T101" s="136"/>
      <c r="U101" s="144"/>
      <c r="V101" s="1176">
        <f t="shared" si="16"/>
        <v>0</v>
      </c>
    </row>
    <row r="102" spans="1:25" s="64" customFormat="1" ht="13.8" x14ac:dyDescent="0.25">
      <c r="A102" s="60"/>
      <c r="B102" s="148"/>
      <c r="C102" s="92"/>
      <c r="D102" s="1289" t="s">
        <v>173</v>
      </c>
      <c r="E102" s="136">
        <v>19463</v>
      </c>
      <c r="F102" s="58">
        <f t="shared" si="15"/>
        <v>19463</v>
      </c>
      <c r="G102" s="136"/>
      <c r="H102" s="136"/>
      <c r="I102" s="138"/>
      <c r="J102" s="142">
        <v>19463</v>
      </c>
      <c r="K102" s="144"/>
      <c r="L102" s="141"/>
      <c r="M102" s="141"/>
      <c r="N102" s="141"/>
      <c r="O102" s="136"/>
      <c r="P102" s="136"/>
      <c r="Q102" s="142"/>
      <c r="R102" s="136"/>
      <c r="S102" s="136"/>
      <c r="T102" s="136"/>
      <c r="U102" s="144"/>
      <c r="V102" s="1176">
        <f t="shared" si="16"/>
        <v>0</v>
      </c>
    </row>
    <row r="103" spans="1:25" s="64" customFormat="1" ht="13.8" x14ac:dyDescent="0.25">
      <c r="A103" s="60"/>
      <c r="B103" s="148"/>
      <c r="C103" s="92"/>
      <c r="D103" s="1289" t="s">
        <v>174</v>
      </c>
      <c r="E103" s="136"/>
      <c r="F103" s="58">
        <f t="shared" si="15"/>
        <v>0</v>
      </c>
      <c r="G103" s="136"/>
      <c r="H103" s="136"/>
      <c r="I103" s="138"/>
      <c r="J103" s="142"/>
      <c r="K103" s="144"/>
      <c r="L103" s="141"/>
      <c r="M103" s="141"/>
      <c r="N103" s="141"/>
      <c r="O103" s="136"/>
      <c r="P103" s="136"/>
      <c r="Q103" s="142"/>
      <c r="R103" s="136"/>
      <c r="S103" s="136"/>
      <c r="T103" s="136"/>
      <c r="U103" s="144"/>
      <c r="V103" s="1176">
        <f t="shared" si="16"/>
        <v>0</v>
      </c>
    </row>
    <row r="104" spans="1:25" s="64" customFormat="1" ht="13.8" x14ac:dyDescent="0.25">
      <c r="A104" s="60"/>
      <c r="B104" s="148"/>
      <c r="C104" s="92"/>
      <c r="D104" s="1289" t="s">
        <v>186</v>
      </c>
      <c r="E104" s="136"/>
      <c r="F104" s="58">
        <f t="shared" si="15"/>
        <v>0</v>
      </c>
      <c r="G104" s="136"/>
      <c r="H104" s="136"/>
      <c r="I104" s="138"/>
      <c r="J104" s="142"/>
      <c r="K104" s="144"/>
      <c r="L104" s="141"/>
      <c r="M104" s="141"/>
      <c r="N104" s="141"/>
      <c r="O104" s="136"/>
      <c r="P104" s="136"/>
      <c r="Q104" s="142"/>
      <c r="R104" s="136"/>
      <c r="S104" s="136"/>
      <c r="T104" s="136"/>
      <c r="U104" s="144"/>
      <c r="V104" s="1176">
        <f t="shared" si="16"/>
        <v>0</v>
      </c>
    </row>
    <row r="105" spans="1:25" s="64" customFormat="1" ht="13.8" x14ac:dyDescent="0.25">
      <c r="A105" s="60"/>
      <c r="B105" s="148"/>
      <c r="C105" s="92"/>
      <c r="D105" s="1289" t="s">
        <v>187</v>
      </c>
      <c r="E105" s="136">
        <v>0</v>
      </c>
      <c r="F105" s="58">
        <f t="shared" si="15"/>
        <v>0</v>
      </c>
      <c r="G105" s="136"/>
      <c r="H105" s="136"/>
      <c r="I105" s="138"/>
      <c r="J105" s="142"/>
      <c r="K105" s="144"/>
      <c r="L105" s="141"/>
      <c r="M105" s="141"/>
      <c r="N105" s="141"/>
      <c r="O105" s="136"/>
      <c r="P105" s="136"/>
      <c r="Q105" s="142"/>
      <c r="R105" s="136"/>
      <c r="S105" s="136"/>
      <c r="T105" s="136"/>
      <c r="U105" s="144"/>
      <c r="V105" s="1176">
        <f t="shared" si="16"/>
        <v>0</v>
      </c>
    </row>
    <row r="106" spans="1:25" s="64" customFormat="1" ht="13.8" x14ac:dyDescent="0.25">
      <c r="A106" s="60"/>
      <c r="B106" s="148"/>
      <c r="C106" s="92"/>
      <c r="D106" s="1289" t="s">
        <v>188</v>
      </c>
      <c r="E106" s="136">
        <v>53600</v>
      </c>
      <c r="F106" s="58">
        <f t="shared" si="15"/>
        <v>0</v>
      </c>
      <c r="G106" s="136"/>
      <c r="H106" s="136"/>
      <c r="I106" s="138"/>
      <c r="J106" s="142"/>
      <c r="K106" s="144"/>
      <c r="L106" s="141"/>
      <c r="M106" s="141"/>
      <c r="N106" s="141"/>
      <c r="O106" s="136"/>
      <c r="P106" s="136"/>
      <c r="Q106" s="142"/>
      <c r="R106" s="136"/>
      <c r="S106" s="136"/>
      <c r="T106" s="136"/>
      <c r="U106" s="144"/>
      <c r="V106" s="1176">
        <f t="shared" si="16"/>
        <v>53600</v>
      </c>
    </row>
    <row r="107" spans="1:25" s="8" customFormat="1" ht="13.8" x14ac:dyDescent="0.25">
      <c r="A107" s="70"/>
      <c r="B107" s="150"/>
      <c r="C107" s="97"/>
      <c r="D107" s="98"/>
      <c r="E107" s="151">
        <f>SUM(E90:E106)</f>
        <v>463693</v>
      </c>
      <c r="F107" s="151">
        <f>SUM(F90:F105)</f>
        <v>103723</v>
      </c>
      <c r="G107" s="151">
        <f>SUM(G90:G105)</f>
        <v>0</v>
      </c>
      <c r="H107" s="151">
        <f>SUM(H90:H105)</f>
        <v>0</v>
      </c>
      <c r="I107" s="151">
        <f>SUM(I90:I105)</f>
        <v>0</v>
      </c>
      <c r="J107" s="151">
        <f>SUM(J90:J105)</f>
        <v>75023</v>
      </c>
      <c r="K107" s="151">
        <f t="shared" ref="K107:V107" si="17">SUM(K90:K105)</f>
        <v>0</v>
      </c>
      <c r="L107" s="151">
        <f t="shared" si="17"/>
        <v>0</v>
      </c>
      <c r="M107" s="151">
        <f t="shared" si="17"/>
        <v>28700</v>
      </c>
      <c r="N107" s="151">
        <f t="shared" si="17"/>
        <v>0</v>
      </c>
      <c r="O107" s="151">
        <f t="shared" si="17"/>
        <v>0</v>
      </c>
      <c r="P107" s="151">
        <f t="shared" si="17"/>
        <v>0</v>
      </c>
      <c r="Q107" s="151">
        <f t="shared" si="17"/>
        <v>0</v>
      </c>
      <c r="R107" s="152">
        <f t="shared" si="17"/>
        <v>0</v>
      </c>
      <c r="S107" s="152">
        <f t="shared" si="17"/>
        <v>0</v>
      </c>
      <c r="T107" s="152">
        <f t="shared" si="17"/>
        <v>0</v>
      </c>
      <c r="U107" s="733">
        <f t="shared" si="17"/>
        <v>0</v>
      </c>
      <c r="V107" s="1186">
        <f t="shared" si="17"/>
        <v>114405</v>
      </c>
      <c r="X107" s="80"/>
      <c r="Y107" s="80"/>
    </row>
    <row r="108" spans="1:25" s="8" customFormat="1" ht="13.8" x14ac:dyDescent="0.25">
      <c r="A108" s="70"/>
      <c r="B108" s="150"/>
      <c r="C108" s="97"/>
      <c r="D108" s="98"/>
      <c r="E108" s="153"/>
      <c r="F108" s="153"/>
      <c r="G108" s="153"/>
      <c r="H108" s="153"/>
      <c r="I108" s="154"/>
      <c r="J108" s="155"/>
      <c r="K108" s="156"/>
      <c r="L108" s="153"/>
      <c r="M108" s="153"/>
      <c r="N108" s="153"/>
      <c r="O108" s="153"/>
      <c r="P108" s="153"/>
      <c r="Q108" s="155"/>
      <c r="R108" s="153"/>
      <c r="S108" s="153"/>
      <c r="T108" s="153"/>
      <c r="U108" s="156"/>
      <c r="V108" s="1187"/>
    </row>
    <row r="109" spans="1:25" s="64" customFormat="1" ht="13.8" x14ac:dyDescent="0.25">
      <c r="A109" s="60"/>
      <c r="B109" s="157" t="s">
        <v>189</v>
      </c>
      <c r="C109" s="92"/>
      <c r="D109" s="158" t="s">
        <v>172</v>
      </c>
      <c r="E109" s="136">
        <v>367414.54</v>
      </c>
      <c r="F109" s="58">
        <f>SUM(G109:U109)</f>
        <v>0</v>
      </c>
      <c r="G109" s="136"/>
      <c r="H109" s="136"/>
      <c r="I109" s="138"/>
      <c r="J109" s="142"/>
      <c r="K109" s="144"/>
      <c r="L109" s="141"/>
      <c r="M109" s="141"/>
      <c r="N109" s="141"/>
      <c r="O109" s="136"/>
      <c r="P109" s="136"/>
      <c r="Q109" s="159"/>
      <c r="R109" s="136"/>
      <c r="S109" s="136"/>
      <c r="T109" s="136"/>
      <c r="U109" s="144"/>
      <c r="V109" s="1188">
        <f>E109-F109</f>
        <v>367414.54</v>
      </c>
    </row>
    <row r="110" spans="1:25" s="64" customFormat="1" ht="13.8" x14ac:dyDescent="0.25">
      <c r="A110" s="60"/>
      <c r="B110" s="148"/>
      <c r="C110" s="92"/>
      <c r="D110" s="158"/>
      <c r="E110" s="161">
        <f t="shared" ref="E110:V110" si="18">SUM(E109)</f>
        <v>367414.54</v>
      </c>
      <c r="F110" s="162">
        <f t="shared" si="18"/>
        <v>0</v>
      </c>
      <c r="G110" s="162">
        <f t="shared" si="18"/>
        <v>0</v>
      </c>
      <c r="H110" s="162">
        <f t="shared" si="18"/>
        <v>0</v>
      </c>
      <c r="I110" s="162">
        <f t="shared" si="18"/>
        <v>0</v>
      </c>
      <c r="J110" s="162"/>
      <c r="K110" s="162">
        <f t="shared" si="18"/>
        <v>0</v>
      </c>
      <c r="L110" s="162">
        <f t="shared" si="18"/>
        <v>0</v>
      </c>
      <c r="M110" s="162">
        <f t="shared" si="18"/>
        <v>0</v>
      </c>
      <c r="N110" s="162">
        <f t="shared" si="18"/>
        <v>0</v>
      </c>
      <c r="O110" s="162">
        <f t="shared" si="18"/>
        <v>0</v>
      </c>
      <c r="P110" s="162">
        <f t="shared" si="18"/>
        <v>0</v>
      </c>
      <c r="Q110" s="162">
        <f t="shared" si="18"/>
        <v>0</v>
      </c>
      <c r="R110" s="162">
        <f t="shared" si="18"/>
        <v>0</v>
      </c>
      <c r="S110" s="162">
        <f t="shared" si="18"/>
        <v>0</v>
      </c>
      <c r="T110" s="162">
        <f t="shared" si="18"/>
        <v>0</v>
      </c>
      <c r="U110" s="166">
        <f t="shared" si="18"/>
        <v>0</v>
      </c>
      <c r="V110" s="1189">
        <f t="shared" si="18"/>
        <v>367414.54</v>
      </c>
      <c r="X110" s="163"/>
      <c r="Y110" s="163"/>
    </row>
    <row r="111" spans="1:25" s="64" customFormat="1" ht="13.8" x14ac:dyDescent="0.25">
      <c r="A111" s="60"/>
      <c r="B111" s="148"/>
      <c r="C111" s="92"/>
      <c r="D111" s="158"/>
      <c r="E111" s="162"/>
      <c r="F111" s="162"/>
      <c r="G111" s="162"/>
      <c r="H111" s="162"/>
      <c r="I111" s="164"/>
      <c r="J111" s="165"/>
      <c r="K111" s="166"/>
      <c r="L111" s="162"/>
      <c r="M111" s="162"/>
      <c r="N111" s="162"/>
      <c r="O111" s="162"/>
      <c r="P111" s="162"/>
      <c r="Q111" s="165"/>
      <c r="R111" s="162"/>
      <c r="S111" s="162"/>
      <c r="T111" s="162"/>
      <c r="U111" s="166"/>
      <c r="V111" s="1190"/>
    </row>
    <row r="112" spans="1:25" s="64" customFormat="1" ht="13.8" x14ac:dyDescent="0.25">
      <c r="A112" s="60"/>
      <c r="B112" s="167" t="s">
        <v>190</v>
      </c>
      <c r="C112" s="92"/>
      <c r="D112" s="93" t="s">
        <v>191</v>
      </c>
      <c r="E112" s="136"/>
      <c r="F112" s="58">
        <f>SUM(G112:U112)</f>
        <v>0</v>
      </c>
      <c r="G112" s="136"/>
      <c r="H112" s="136"/>
      <c r="I112" s="138"/>
      <c r="J112" s="142"/>
      <c r="K112" s="144"/>
      <c r="L112" s="141"/>
      <c r="M112" s="62"/>
      <c r="N112" s="141"/>
      <c r="O112" s="136"/>
      <c r="P112" s="136"/>
      <c r="Q112" s="142"/>
      <c r="R112" s="136"/>
      <c r="S112" s="136"/>
      <c r="T112" s="136"/>
      <c r="U112" s="144"/>
      <c r="V112" s="1176">
        <f>E112-F112</f>
        <v>0</v>
      </c>
    </row>
    <row r="113" spans="1:29" s="64" customFormat="1" ht="13.8" x14ac:dyDescent="0.25">
      <c r="A113" s="60"/>
      <c r="B113" s="168"/>
      <c r="C113" s="92"/>
      <c r="D113" s="93" t="s">
        <v>173</v>
      </c>
      <c r="E113" s="136"/>
      <c r="F113" s="58">
        <f>SUM(G113:U113)</f>
        <v>0</v>
      </c>
      <c r="G113" s="136"/>
      <c r="H113" s="136"/>
      <c r="I113" s="138"/>
      <c r="J113" s="142"/>
      <c r="K113" s="144"/>
      <c r="L113" s="141"/>
      <c r="M113" s="62"/>
      <c r="N113" s="141"/>
      <c r="O113" s="136"/>
      <c r="P113" s="136"/>
      <c r="Q113" s="142"/>
      <c r="R113" s="136"/>
      <c r="S113" s="136"/>
      <c r="T113" s="136"/>
      <c r="U113" s="144"/>
      <c r="V113" s="1176">
        <f>E113-F113</f>
        <v>0</v>
      </c>
    </row>
    <row r="114" spans="1:29" s="8" customFormat="1" ht="13.8" x14ac:dyDescent="0.25">
      <c r="A114" s="169"/>
      <c r="B114" s="170"/>
      <c r="C114" s="171"/>
      <c r="D114" s="172"/>
      <c r="E114" s="173">
        <f t="shared" ref="E114:V114" si="19">SUM(E112:E113)</f>
        <v>0</v>
      </c>
      <c r="F114" s="173">
        <f t="shared" si="19"/>
        <v>0</v>
      </c>
      <c r="G114" s="173">
        <f t="shared" si="19"/>
        <v>0</v>
      </c>
      <c r="H114" s="173">
        <f t="shared" si="19"/>
        <v>0</v>
      </c>
      <c r="I114" s="173">
        <f t="shared" si="19"/>
        <v>0</v>
      </c>
      <c r="J114" s="173">
        <f t="shared" si="19"/>
        <v>0</v>
      </c>
      <c r="K114" s="173">
        <f t="shared" si="19"/>
        <v>0</v>
      </c>
      <c r="L114" s="173">
        <f t="shared" si="19"/>
        <v>0</v>
      </c>
      <c r="M114" s="173">
        <f t="shared" si="19"/>
        <v>0</v>
      </c>
      <c r="N114" s="173">
        <f t="shared" si="19"/>
        <v>0</v>
      </c>
      <c r="O114" s="173">
        <f t="shared" si="19"/>
        <v>0</v>
      </c>
      <c r="P114" s="173">
        <f t="shared" si="19"/>
        <v>0</v>
      </c>
      <c r="Q114" s="173">
        <f t="shared" si="19"/>
        <v>0</v>
      </c>
      <c r="R114" s="173">
        <f t="shared" si="19"/>
        <v>0</v>
      </c>
      <c r="S114" s="173">
        <f t="shared" si="19"/>
        <v>0</v>
      </c>
      <c r="T114" s="173">
        <f t="shared" si="19"/>
        <v>0</v>
      </c>
      <c r="U114" s="1151">
        <f t="shared" si="19"/>
        <v>0</v>
      </c>
      <c r="V114" s="1191">
        <f t="shared" si="19"/>
        <v>0</v>
      </c>
      <c r="W114" s="64"/>
      <c r="X114" s="64"/>
      <c r="Y114" s="64"/>
      <c r="Z114" s="64"/>
    </row>
    <row r="115" spans="1:29" s="8" customFormat="1" ht="13.8" x14ac:dyDescent="0.25">
      <c r="B115" s="174"/>
      <c r="D115" s="3"/>
      <c r="E115" s="175"/>
      <c r="F115" s="175"/>
      <c r="G115" s="175"/>
      <c r="H115" s="175"/>
      <c r="I115" s="175"/>
      <c r="J115" s="175"/>
      <c r="K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5"/>
      <c r="V115" s="1192"/>
      <c r="W115" s="64"/>
      <c r="X115" s="64"/>
      <c r="Y115" s="64"/>
      <c r="Z115" s="64"/>
    </row>
    <row r="116" spans="1:29" s="8" customFormat="1" ht="13.8" x14ac:dyDescent="0.25">
      <c r="B116" s="174"/>
      <c r="D116" s="3"/>
      <c r="E116" s="175"/>
      <c r="F116" s="175"/>
      <c r="G116" s="175"/>
      <c r="H116" s="175"/>
      <c r="I116" s="175"/>
      <c r="J116" s="175"/>
      <c r="K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5"/>
      <c r="V116" s="1192"/>
      <c r="W116" s="64"/>
      <c r="X116" s="64"/>
      <c r="Y116" s="64"/>
      <c r="Z116" s="64"/>
    </row>
    <row r="117" spans="1:29" s="8" customFormat="1" ht="13.8" x14ac:dyDescent="0.25">
      <c r="A117" s="1326" t="s">
        <v>106</v>
      </c>
      <c r="B117" s="1326"/>
      <c r="C117" s="1326"/>
      <c r="D117" s="1326"/>
      <c r="E117" s="1326"/>
      <c r="F117" s="1326"/>
      <c r="G117" s="1326"/>
      <c r="H117" s="1326"/>
      <c r="I117" s="1326"/>
      <c r="J117" s="11"/>
      <c r="K117" s="9"/>
      <c r="L117" s="10"/>
      <c r="M117" s="10"/>
      <c r="N117" s="10"/>
      <c r="V117" s="1175"/>
    </row>
    <row r="118" spans="1:29" s="8" customFormat="1" ht="13.8" x14ac:dyDescent="0.25">
      <c r="A118" s="1326" t="s">
        <v>192</v>
      </c>
      <c r="B118" s="1326"/>
      <c r="C118" s="1326"/>
      <c r="D118" s="1326"/>
      <c r="E118" s="1326"/>
      <c r="F118" s="1326"/>
      <c r="G118" s="1326"/>
      <c r="H118" s="1326"/>
      <c r="I118" s="1326"/>
      <c r="J118" s="1326"/>
      <c r="K118" s="1326"/>
      <c r="L118" s="1326"/>
      <c r="M118" s="1326"/>
      <c r="N118" s="1326"/>
      <c r="O118" s="1326"/>
      <c r="V118" s="1175"/>
    </row>
    <row r="119" spans="1:29" s="8" customFormat="1" ht="13.8" x14ac:dyDescent="0.25">
      <c r="A119" s="1326" t="s">
        <v>116</v>
      </c>
      <c r="B119" s="1326"/>
      <c r="C119" s="1326"/>
      <c r="D119" s="1326"/>
      <c r="E119" s="1326"/>
      <c r="F119" s="1326"/>
      <c r="G119" s="1326"/>
      <c r="H119" s="1326"/>
      <c r="I119" s="1326"/>
      <c r="J119" s="11"/>
      <c r="K119" s="9"/>
      <c r="L119" s="10"/>
      <c r="M119" s="10"/>
      <c r="N119" s="10"/>
      <c r="V119" s="1175"/>
    </row>
    <row r="120" spans="1:29" s="8" customFormat="1" ht="13.8" x14ac:dyDescent="0.25">
      <c r="A120" s="11" t="s">
        <v>108</v>
      </c>
      <c r="B120" s="11"/>
      <c r="C120" s="11"/>
      <c r="D120" s="11"/>
      <c r="E120" s="11"/>
      <c r="F120" s="11"/>
      <c r="G120" s="11"/>
      <c r="H120" s="11"/>
      <c r="I120" s="11"/>
      <c r="J120" s="11"/>
      <c r="K120" s="9"/>
      <c r="L120" s="10"/>
      <c r="M120" s="10"/>
      <c r="N120" s="10"/>
      <c r="V120" s="1175"/>
    </row>
    <row r="121" spans="1:29" s="8" customFormat="1" ht="14.4" thickBot="1" x14ac:dyDescent="0.3">
      <c r="A121" s="1326" t="s">
        <v>109</v>
      </c>
      <c r="B121" s="1326"/>
      <c r="C121" s="1326"/>
      <c r="D121" s="1326"/>
      <c r="E121" s="1326"/>
      <c r="F121" s="1326"/>
      <c r="G121" s="1326"/>
      <c r="H121" s="1326"/>
      <c r="I121" s="1326"/>
      <c r="J121" s="11"/>
      <c r="K121" s="9"/>
      <c r="L121" s="10"/>
      <c r="M121" s="10"/>
      <c r="N121" s="10"/>
      <c r="V121" s="1182" t="s">
        <v>193</v>
      </c>
    </row>
    <row r="122" spans="1:29" s="8" customFormat="1" ht="14.4" thickTop="1" x14ac:dyDescent="0.25">
      <c r="A122" s="128"/>
      <c r="B122" s="129"/>
      <c r="C122" s="129"/>
      <c r="D122" s="130"/>
      <c r="E122" s="87" t="s">
        <v>111</v>
      </c>
      <c r="F122" s="130"/>
      <c r="G122" s="1327" t="s">
        <v>112</v>
      </c>
      <c r="H122" s="1328"/>
      <c r="I122" s="1328"/>
      <c r="J122" s="1328"/>
      <c r="K122" s="1328"/>
      <c r="L122" s="1328"/>
      <c r="M122" s="1328"/>
      <c r="N122" s="1328"/>
      <c r="O122" s="1328"/>
      <c r="P122" s="1328"/>
      <c r="Q122" s="1328"/>
      <c r="R122" s="1328"/>
      <c r="S122" s="1328"/>
      <c r="T122" s="1328"/>
      <c r="U122" s="1329"/>
      <c r="V122" s="1166"/>
    </row>
    <row r="123" spans="1:29" s="8" customFormat="1" ht="13.8" x14ac:dyDescent="0.25">
      <c r="A123" s="18"/>
      <c r="B123" s="4"/>
      <c r="C123" s="4"/>
      <c r="D123" s="19"/>
      <c r="E123" s="20" t="s">
        <v>113</v>
      </c>
      <c r="F123" s="20" t="s">
        <v>2</v>
      </c>
      <c r="G123" s="1330" t="s">
        <v>114</v>
      </c>
      <c r="H123" s="1331"/>
      <c r="I123" s="1331"/>
      <c r="J123" s="1331"/>
      <c r="K123" s="1331"/>
      <c r="L123" s="1331"/>
      <c r="M123" s="1331"/>
      <c r="N123" s="1331"/>
      <c r="O123" s="1331"/>
      <c r="P123" s="1331"/>
      <c r="Q123" s="1331"/>
      <c r="R123" s="1331"/>
      <c r="S123" s="1331"/>
      <c r="T123" s="1331"/>
      <c r="U123" s="1331"/>
      <c r="V123" s="1175"/>
      <c r="AC123" s="8" t="s">
        <v>147</v>
      </c>
    </row>
    <row r="124" spans="1:29" s="8" customFormat="1" ht="13.8" x14ac:dyDescent="0.25">
      <c r="A124" s="1318" t="s">
        <v>115</v>
      </c>
      <c r="B124" s="1319"/>
      <c r="C124" s="1320"/>
      <c r="D124" s="20" t="s">
        <v>116</v>
      </c>
      <c r="E124" s="20" t="s">
        <v>117</v>
      </c>
      <c r="F124" s="20" t="s">
        <v>118</v>
      </c>
      <c r="H124" s="20"/>
      <c r="I124" s="22"/>
      <c r="J124" s="22" t="s">
        <v>119</v>
      </c>
      <c r="K124" s="23"/>
      <c r="L124" s="24"/>
      <c r="M124" s="25"/>
      <c r="N124" s="24"/>
      <c r="O124" s="20"/>
      <c r="P124" s="20"/>
      <c r="Q124" s="176"/>
      <c r="R124" s="26"/>
      <c r="S124" s="27"/>
      <c r="T124" s="27"/>
      <c r="U124" s="1148"/>
      <c r="V124" s="1183"/>
    </row>
    <row r="125" spans="1:29" s="8" customFormat="1" ht="13.8" x14ac:dyDescent="0.25">
      <c r="A125" s="30"/>
      <c r="D125" s="20" t="s">
        <v>120</v>
      </c>
      <c r="E125" s="20" t="s">
        <v>121</v>
      </c>
      <c r="F125" s="20" t="s">
        <v>122</v>
      </c>
      <c r="G125" s="20" t="s">
        <v>123</v>
      </c>
      <c r="H125" s="20" t="s">
        <v>124</v>
      </c>
      <c r="I125" s="22" t="s">
        <v>125</v>
      </c>
      <c r="J125" s="31">
        <v>41334</v>
      </c>
      <c r="K125" s="25" t="s">
        <v>126</v>
      </c>
      <c r="L125" s="24" t="s">
        <v>127</v>
      </c>
      <c r="M125" s="32" t="s">
        <v>128</v>
      </c>
      <c r="N125" s="32" t="s">
        <v>129</v>
      </c>
      <c r="O125" s="32" t="s">
        <v>194</v>
      </c>
      <c r="P125" s="20" t="s">
        <v>131</v>
      </c>
      <c r="Q125" s="33" t="s">
        <v>132</v>
      </c>
      <c r="R125" s="34" t="s">
        <v>119</v>
      </c>
      <c r="S125" s="35" t="s">
        <v>133</v>
      </c>
      <c r="T125" s="35" t="s">
        <v>133</v>
      </c>
      <c r="U125" s="1152" t="s">
        <v>134</v>
      </c>
      <c r="V125" s="1183" t="s">
        <v>135</v>
      </c>
    </row>
    <row r="126" spans="1:29" s="8" customFormat="1" ht="14.4" thickBot="1" x14ac:dyDescent="0.3">
      <c r="A126" s="36"/>
      <c r="B126" s="37"/>
      <c r="C126" s="37"/>
      <c r="D126" s="38"/>
      <c r="E126" s="39" t="s">
        <v>136</v>
      </c>
      <c r="F126" s="40"/>
      <c r="G126" s="41"/>
      <c r="H126" s="40"/>
      <c r="I126" s="42"/>
      <c r="J126" s="42" t="s">
        <v>137</v>
      </c>
      <c r="K126" s="40"/>
      <c r="L126" s="43"/>
      <c r="M126" s="44"/>
      <c r="N126" s="45"/>
      <c r="O126" s="41"/>
      <c r="P126" s="38"/>
      <c r="Q126" s="46"/>
      <c r="R126" s="132" t="s">
        <v>178</v>
      </c>
      <c r="S126" s="48"/>
      <c r="T126" s="48"/>
      <c r="U126" s="1149"/>
      <c r="V126" s="1184"/>
    </row>
    <row r="127" spans="1:29" s="8" customFormat="1" ht="14.4" thickTop="1" x14ac:dyDescent="0.25">
      <c r="A127" s="70"/>
      <c r="B127" s="150"/>
      <c r="C127" s="97"/>
      <c r="D127" s="98"/>
      <c r="E127" s="162"/>
      <c r="F127" s="162"/>
      <c r="G127" s="162"/>
      <c r="H127" s="162"/>
      <c r="I127" s="164"/>
      <c r="J127" s="165"/>
      <c r="K127" s="166"/>
      <c r="L127" s="162"/>
      <c r="M127" s="162"/>
      <c r="N127" s="162"/>
      <c r="O127" s="162"/>
      <c r="P127" s="162"/>
      <c r="Q127" s="165"/>
      <c r="R127" s="162"/>
      <c r="S127" s="162"/>
      <c r="T127" s="162"/>
      <c r="U127" s="166"/>
      <c r="V127" s="1190"/>
      <c r="W127" s="64"/>
      <c r="X127" s="64"/>
      <c r="Y127" s="64"/>
      <c r="Z127" s="64"/>
    </row>
    <row r="128" spans="1:29" s="8" customFormat="1" ht="13.8" x14ac:dyDescent="0.25">
      <c r="A128" s="70"/>
      <c r="B128" s="150"/>
      <c r="C128" s="97"/>
      <c r="D128" s="98"/>
      <c r="E128" s="162"/>
      <c r="F128" s="162"/>
      <c r="G128" s="162"/>
      <c r="H128" s="162"/>
      <c r="I128" s="164"/>
      <c r="J128" s="165"/>
      <c r="K128" s="166"/>
      <c r="L128" s="162"/>
      <c r="M128" s="162"/>
      <c r="N128" s="162"/>
      <c r="O128" s="162"/>
      <c r="P128" s="162"/>
      <c r="Q128" s="165"/>
      <c r="R128" s="162"/>
      <c r="S128" s="162"/>
      <c r="T128" s="162"/>
      <c r="U128" s="166"/>
      <c r="V128" s="1190"/>
      <c r="W128" s="64"/>
      <c r="X128" s="64"/>
      <c r="Y128" s="64"/>
      <c r="Z128" s="64"/>
    </row>
    <row r="129" spans="1:29" s="64" customFormat="1" ht="13.8" x14ac:dyDescent="0.25">
      <c r="A129" s="60"/>
      <c r="B129" s="148" t="s">
        <v>89</v>
      </c>
      <c r="C129" s="92"/>
      <c r="D129" s="149" t="s">
        <v>147</v>
      </c>
      <c r="E129" s="177"/>
      <c r="F129" s="58">
        <f>SUM(G129:U129)</f>
        <v>0</v>
      </c>
      <c r="G129" s="136"/>
      <c r="H129" s="136"/>
      <c r="I129" s="138"/>
      <c r="J129" s="142"/>
      <c r="K129" s="144"/>
      <c r="L129" s="141"/>
      <c r="M129" s="141"/>
      <c r="N129" s="141"/>
      <c r="O129" s="136"/>
      <c r="P129" s="136"/>
      <c r="Q129" s="142"/>
      <c r="R129" s="136"/>
      <c r="S129" s="136"/>
      <c r="T129" s="136"/>
      <c r="U129" s="144"/>
      <c r="V129" s="1193">
        <f>E129-F129</f>
        <v>0</v>
      </c>
    </row>
    <row r="130" spans="1:29" s="64" customFormat="1" ht="13.8" x14ac:dyDescent="0.25">
      <c r="A130" s="60"/>
      <c r="B130" s="148" t="s">
        <v>195</v>
      </c>
      <c r="C130" s="92"/>
      <c r="D130" s="93" t="s">
        <v>173</v>
      </c>
      <c r="E130" s="136">
        <v>25126</v>
      </c>
      <c r="F130" s="136">
        <f>SUM(G130:U130)</f>
        <v>25126</v>
      </c>
      <c r="G130" s="162"/>
      <c r="H130" s="162"/>
      <c r="I130" s="164"/>
      <c r="J130" s="142">
        <v>25126</v>
      </c>
      <c r="K130" s="166"/>
      <c r="L130" s="136"/>
      <c r="M130" s="136"/>
      <c r="N130" s="162"/>
      <c r="O130" s="162"/>
      <c r="P130" s="162"/>
      <c r="Q130" s="142"/>
      <c r="R130" s="162"/>
      <c r="S130" s="162"/>
      <c r="T130" s="162"/>
      <c r="U130" s="166"/>
      <c r="V130" s="1176">
        <f>E130-F130</f>
        <v>0</v>
      </c>
    </row>
    <row r="131" spans="1:29" s="64" customFormat="1" ht="13.8" x14ac:dyDescent="0.25">
      <c r="A131" s="60"/>
      <c r="B131" s="148"/>
      <c r="C131" s="92"/>
      <c r="D131" s="93" t="s">
        <v>174</v>
      </c>
      <c r="E131" s="136"/>
      <c r="F131" s="162">
        <f>SUM(G131:U131)</f>
        <v>0</v>
      </c>
      <c r="G131" s="136"/>
      <c r="H131" s="136"/>
      <c r="I131" s="164"/>
      <c r="J131" s="165"/>
      <c r="K131" s="166"/>
      <c r="L131" s="178"/>
      <c r="M131" s="136">
        <v>0</v>
      </c>
      <c r="N131" s="162"/>
      <c r="O131" s="162"/>
      <c r="P131" s="162"/>
      <c r="Q131" s="142"/>
      <c r="R131" s="162"/>
      <c r="S131" s="162"/>
      <c r="T131" s="136"/>
      <c r="U131" s="166"/>
      <c r="V131" s="1176">
        <f>E131-F131</f>
        <v>0</v>
      </c>
    </row>
    <row r="132" spans="1:29" s="8" customFormat="1" ht="13.8" x14ac:dyDescent="0.25">
      <c r="A132" s="70"/>
      <c r="B132" s="150"/>
      <c r="C132" s="97"/>
      <c r="D132" s="98"/>
      <c r="E132" s="151">
        <f>SUM(E130:E131)</f>
        <v>25126</v>
      </c>
      <c r="F132" s="151">
        <f>SUM(F130:F131)</f>
        <v>25126</v>
      </c>
      <c r="G132" s="151">
        <f t="shared" ref="G132:V132" si="20">SUM(G130:G131)</f>
        <v>0</v>
      </c>
      <c r="H132" s="151">
        <f t="shared" si="20"/>
        <v>0</v>
      </c>
      <c r="I132" s="151">
        <f t="shared" si="20"/>
        <v>0</v>
      </c>
      <c r="J132" s="151">
        <f t="shared" si="20"/>
        <v>25126</v>
      </c>
      <c r="K132" s="151">
        <f t="shared" si="20"/>
        <v>0</v>
      </c>
      <c r="L132" s="151">
        <f t="shared" si="20"/>
        <v>0</v>
      </c>
      <c r="M132" s="151">
        <f t="shared" si="20"/>
        <v>0</v>
      </c>
      <c r="N132" s="151">
        <f t="shared" si="20"/>
        <v>0</v>
      </c>
      <c r="O132" s="151">
        <f t="shared" si="20"/>
        <v>0</v>
      </c>
      <c r="P132" s="151">
        <f t="shared" si="20"/>
        <v>0</v>
      </c>
      <c r="Q132" s="151">
        <f t="shared" si="20"/>
        <v>0</v>
      </c>
      <c r="R132" s="151">
        <f t="shared" si="20"/>
        <v>0</v>
      </c>
      <c r="S132" s="151">
        <f t="shared" si="20"/>
        <v>0</v>
      </c>
      <c r="T132" s="151">
        <f>SUM(T130:T131)</f>
        <v>0</v>
      </c>
      <c r="U132" s="733">
        <f t="shared" si="20"/>
        <v>0</v>
      </c>
      <c r="V132" s="1186">
        <f t="shared" si="20"/>
        <v>0</v>
      </c>
      <c r="W132" s="64"/>
      <c r="X132" s="163"/>
      <c r="Y132" s="163"/>
      <c r="Z132" s="64"/>
    </row>
    <row r="133" spans="1:29" s="8" customFormat="1" ht="13.8" x14ac:dyDescent="0.25">
      <c r="A133" s="70"/>
      <c r="B133" s="150"/>
      <c r="C133" s="97"/>
      <c r="D133" s="98"/>
      <c r="E133" s="105"/>
      <c r="F133" s="74"/>
      <c r="G133" s="105"/>
      <c r="H133" s="105"/>
      <c r="I133" s="179"/>
      <c r="J133" s="110"/>
      <c r="K133" s="180"/>
      <c r="L133" s="109"/>
      <c r="M133" s="76"/>
      <c r="N133" s="109"/>
      <c r="O133" s="105"/>
      <c r="P133" s="105"/>
      <c r="Q133" s="110"/>
      <c r="R133" s="105"/>
      <c r="S133" s="105"/>
      <c r="T133" s="105"/>
      <c r="U133" s="180"/>
      <c r="V133" s="1194"/>
    </row>
    <row r="134" spans="1:29" s="64" customFormat="1" ht="13.8" x14ac:dyDescent="0.25">
      <c r="A134" s="60"/>
      <c r="B134" s="148" t="s">
        <v>196</v>
      </c>
      <c r="C134" s="92"/>
      <c r="D134" s="149" t="s">
        <v>174</v>
      </c>
      <c r="E134" s="136"/>
      <c r="F134" s="58">
        <f>SUM(G134:U134)</f>
        <v>0</v>
      </c>
      <c r="G134" s="136"/>
      <c r="H134" s="136"/>
      <c r="I134" s="138"/>
      <c r="J134" s="142"/>
      <c r="K134" s="144">
        <v>0</v>
      </c>
      <c r="L134" s="141">
        <v>0</v>
      </c>
      <c r="M134" s="62"/>
      <c r="N134" s="141"/>
      <c r="O134" s="136"/>
      <c r="P134" s="136"/>
      <c r="Q134" s="142"/>
      <c r="R134" s="136"/>
      <c r="S134" s="136"/>
      <c r="T134" s="136"/>
      <c r="U134" s="144"/>
      <c r="V134" s="1198">
        <f>E134-F134</f>
        <v>0</v>
      </c>
    </row>
    <row r="135" spans="1:29" s="64" customFormat="1" ht="13.8" x14ac:dyDescent="0.25">
      <c r="A135" s="60"/>
      <c r="B135" s="148"/>
      <c r="C135" s="92"/>
      <c r="D135" s="93" t="s">
        <v>173</v>
      </c>
      <c r="E135" s="136">
        <v>169161.02</v>
      </c>
      <c r="F135" s="58">
        <f>SUM(G135:U135)</f>
        <v>169161.02</v>
      </c>
      <c r="G135" s="136"/>
      <c r="H135" s="136"/>
      <c r="I135" s="138"/>
      <c r="J135" s="142">
        <v>169161.02</v>
      </c>
      <c r="K135" s="144">
        <v>0</v>
      </c>
      <c r="L135" s="141">
        <v>0</v>
      </c>
      <c r="M135" s="62"/>
      <c r="N135" s="141"/>
      <c r="O135" s="136"/>
      <c r="P135" s="136"/>
      <c r="Q135" s="142"/>
      <c r="R135" s="136"/>
      <c r="S135" s="136"/>
      <c r="T135" s="136"/>
      <c r="U135" s="144"/>
      <c r="V135" s="1176">
        <f>E135-F135</f>
        <v>0</v>
      </c>
    </row>
    <row r="136" spans="1:29" s="8" customFormat="1" ht="13.8" x14ac:dyDescent="0.25">
      <c r="A136" s="70"/>
      <c r="B136" s="150"/>
      <c r="C136" s="97"/>
      <c r="D136" s="98"/>
      <c r="E136" s="151">
        <f>SUM(E134:E135)</f>
        <v>169161.02</v>
      </c>
      <c r="F136" s="151">
        <f>SUM(F134:F135)</f>
        <v>169161.02</v>
      </c>
      <c r="G136" s="151">
        <f t="shared" ref="G136:V136" si="21">SUM(G134:G135)</f>
        <v>0</v>
      </c>
      <c r="H136" s="151">
        <f t="shared" si="21"/>
        <v>0</v>
      </c>
      <c r="I136" s="151">
        <f t="shared" si="21"/>
        <v>0</v>
      </c>
      <c r="J136" s="151">
        <f t="shared" si="21"/>
        <v>169161.02</v>
      </c>
      <c r="K136" s="151">
        <f t="shared" si="21"/>
        <v>0</v>
      </c>
      <c r="L136" s="151">
        <f t="shared" si="21"/>
        <v>0</v>
      </c>
      <c r="M136" s="151">
        <f t="shared" si="21"/>
        <v>0</v>
      </c>
      <c r="N136" s="151">
        <f t="shared" si="21"/>
        <v>0</v>
      </c>
      <c r="O136" s="151">
        <f t="shared" si="21"/>
        <v>0</v>
      </c>
      <c r="P136" s="151">
        <f t="shared" si="21"/>
        <v>0</v>
      </c>
      <c r="Q136" s="151">
        <f t="shared" si="21"/>
        <v>0</v>
      </c>
      <c r="R136" s="151">
        <f>SUM(R134:R135)</f>
        <v>0</v>
      </c>
      <c r="S136" s="151">
        <f t="shared" si="21"/>
        <v>0</v>
      </c>
      <c r="T136" s="151">
        <f t="shared" si="21"/>
        <v>0</v>
      </c>
      <c r="U136" s="733">
        <f t="shared" si="21"/>
        <v>0</v>
      </c>
      <c r="V136" s="1186">
        <f t="shared" si="21"/>
        <v>0</v>
      </c>
      <c r="X136" s="80"/>
      <c r="Y136" s="80"/>
    </row>
    <row r="137" spans="1:29" s="8" customFormat="1" ht="13.8" x14ac:dyDescent="0.25">
      <c r="A137" s="70"/>
      <c r="B137" s="150"/>
      <c r="C137" s="97"/>
      <c r="D137" s="98"/>
      <c r="E137" s="105"/>
      <c r="F137" s="74"/>
      <c r="G137" s="105"/>
      <c r="H137" s="105"/>
      <c r="I137" s="179"/>
      <c r="J137" s="110"/>
      <c r="K137" s="180"/>
      <c r="L137" s="109"/>
      <c r="M137" s="76"/>
      <c r="N137" s="109"/>
      <c r="O137" s="105"/>
      <c r="P137" s="105"/>
      <c r="Q137" s="110"/>
      <c r="R137" s="105"/>
      <c r="S137" s="105"/>
      <c r="T137" s="105"/>
      <c r="U137" s="180"/>
      <c r="V137" s="1195"/>
    </row>
    <row r="138" spans="1:29" s="8" customFormat="1" ht="13.8" x14ac:dyDescent="0.25">
      <c r="A138" s="70"/>
      <c r="B138" s="181" t="s">
        <v>197</v>
      </c>
      <c r="C138" s="97"/>
      <c r="D138" s="98" t="s">
        <v>146</v>
      </c>
      <c r="E138" s="182">
        <v>20000</v>
      </c>
      <c r="F138" s="74">
        <f t="shared" ref="F138:F156" si="22">SUM(G138:U138)</f>
        <v>0</v>
      </c>
      <c r="G138" s="105"/>
      <c r="H138" s="105"/>
      <c r="I138" s="179"/>
      <c r="J138" s="110"/>
      <c r="K138" s="180"/>
      <c r="L138" s="109"/>
      <c r="M138" s="109"/>
      <c r="N138" s="109"/>
      <c r="O138" s="105"/>
      <c r="P138" s="105"/>
      <c r="Q138" s="110"/>
      <c r="R138" s="105"/>
      <c r="S138" s="105"/>
      <c r="T138" s="105"/>
      <c r="U138" s="180"/>
      <c r="V138" s="1179">
        <f>E138-F138</f>
        <v>20000</v>
      </c>
      <c r="AC138" s="51">
        <f>F139+F38+F73+F91</f>
        <v>364436.8</v>
      </c>
    </row>
    <row r="139" spans="1:29" s="8" customFormat="1" ht="13.8" x14ac:dyDescent="0.25">
      <c r="A139" s="70"/>
      <c r="B139" s="150"/>
      <c r="C139" s="97"/>
      <c r="D139" s="98" t="s">
        <v>147</v>
      </c>
      <c r="E139" s="182">
        <f>100000+60000+100000</f>
        <v>260000</v>
      </c>
      <c r="F139" s="74">
        <f t="shared" si="22"/>
        <v>0</v>
      </c>
      <c r="G139" s="105"/>
      <c r="H139" s="105"/>
      <c r="I139" s="179"/>
      <c r="J139" s="110"/>
      <c r="K139" s="180"/>
      <c r="L139" s="109"/>
      <c r="M139" s="109"/>
      <c r="N139" s="109"/>
      <c r="O139" s="105"/>
      <c r="P139" s="105"/>
      <c r="Q139" s="110"/>
      <c r="R139" s="105"/>
      <c r="S139" s="105"/>
      <c r="T139" s="105"/>
      <c r="U139" s="180"/>
      <c r="V139" s="1179">
        <f t="shared" ref="V139:V156" si="23">E139-F139</f>
        <v>260000</v>
      </c>
    </row>
    <row r="140" spans="1:29" s="8" customFormat="1" ht="13.8" x14ac:dyDescent="0.25">
      <c r="A140" s="70"/>
      <c r="B140" s="150"/>
      <c r="C140" s="97"/>
      <c r="D140" s="98" t="s">
        <v>198</v>
      </c>
      <c r="E140" s="182"/>
      <c r="F140" s="74">
        <f>SUM(G140:U140)</f>
        <v>0</v>
      </c>
      <c r="G140" s="105"/>
      <c r="H140" s="105"/>
      <c r="I140" s="179"/>
      <c r="J140" s="110"/>
      <c r="K140" s="180"/>
      <c r="L140" s="109"/>
      <c r="M140" s="109"/>
      <c r="N140" s="109"/>
      <c r="O140" s="105"/>
      <c r="P140" s="105"/>
      <c r="Q140" s="110"/>
      <c r="R140" s="105"/>
      <c r="S140" s="105"/>
      <c r="T140" s="105"/>
      <c r="U140" s="180"/>
      <c r="V140" s="1179">
        <f t="shared" si="23"/>
        <v>0</v>
      </c>
    </row>
    <row r="141" spans="1:29" s="8" customFormat="1" ht="13.8" x14ac:dyDescent="0.25">
      <c r="A141" s="70"/>
      <c r="B141" s="150"/>
      <c r="C141" s="97"/>
      <c r="D141" s="98" t="s">
        <v>148</v>
      </c>
      <c r="E141" s="182">
        <f>43000+50000</f>
        <v>93000</v>
      </c>
      <c r="F141" s="74">
        <f t="shared" si="22"/>
        <v>0</v>
      </c>
      <c r="G141" s="105"/>
      <c r="H141" s="105"/>
      <c r="I141" s="179"/>
      <c r="J141" s="110"/>
      <c r="K141" s="180"/>
      <c r="L141" s="109"/>
      <c r="M141" s="109"/>
      <c r="N141" s="109"/>
      <c r="O141" s="105"/>
      <c r="P141" s="105"/>
      <c r="Q141" s="110"/>
      <c r="R141" s="105"/>
      <c r="S141" s="105"/>
      <c r="T141" s="105"/>
      <c r="U141" s="180"/>
      <c r="V141" s="1179">
        <f t="shared" si="23"/>
        <v>93000</v>
      </c>
    </row>
    <row r="142" spans="1:29" s="8" customFormat="1" ht="13.8" x14ac:dyDescent="0.25">
      <c r="A142" s="70"/>
      <c r="B142" s="150"/>
      <c r="C142" s="97"/>
      <c r="D142" s="98" t="s">
        <v>150</v>
      </c>
      <c r="E142" s="182">
        <v>36515.120000000003</v>
      </c>
      <c r="F142" s="74">
        <f t="shared" si="22"/>
        <v>0</v>
      </c>
      <c r="G142" s="105"/>
      <c r="H142" s="105"/>
      <c r="I142" s="179"/>
      <c r="J142" s="110"/>
      <c r="K142" s="180"/>
      <c r="L142" s="109"/>
      <c r="M142" s="109"/>
      <c r="N142" s="109"/>
      <c r="O142" s="105"/>
      <c r="P142" s="105"/>
      <c r="Q142" s="110"/>
      <c r="R142" s="105"/>
      <c r="S142" s="105"/>
      <c r="T142" s="105"/>
      <c r="U142" s="180"/>
      <c r="V142" s="1179">
        <f t="shared" si="23"/>
        <v>36515.120000000003</v>
      </c>
    </row>
    <row r="143" spans="1:29" s="8" customFormat="1" ht="13.8" x14ac:dyDescent="0.25">
      <c r="A143" s="70"/>
      <c r="B143" s="150"/>
      <c r="C143" s="97"/>
      <c r="D143" s="98" t="s">
        <v>168</v>
      </c>
      <c r="E143" s="182">
        <v>2300</v>
      </c>
      <c r="F143" s="74">
        <f t="shared" si="22"/>
        <v>2300</v>
      </c>
      <c r="G143" s="105"/>
      <c r="H143" s="105"/>
      <c r="I143" s="179"/>
      <c r="J143" s="110">
        <v>2300</v>
      </c>
      <c r="K143" s="180"/>
      <c r="L143" s="109"/>
      <c r="M143" s="109"/>
      <c r="N143" s="109"/>
      <c r="O143" s="105"/>
      <c r="P143" s="105"/>
      <c r="Q143" s="110"/>
      <c r="R143" s="105"/>
      <c r="S143" s="105"/>
      <c r="T143" s="105"/>
      <c r="U143" s="180"/>
      <c r="V143" s="1179">
        <f t="shared" si="23"/>
        <v>0</v>
      </c>
    </row>
    <row r="144" spans="1:29" s="8" customFormat="1" ht="13.8" x14ac:dyDescent="0.25">
      <c r="A144" s="70"/>
      <c r="B144" s="150"/>
      <c r="C144" s="97"/>
      <c r="D144" s="98" t="s">
        <v>169</v>
      </c>
      <c r="E144" s="182"/>
      <c r="F144" s="74">
        <f t="shared" si="22"/>
        <v>0</v>
      </c>
      <c r="G144" s="105"/>
      <c r="H144" s="105"/>
      <c r="I144" s="179"/>
      <c r="J144" s="110"/>
      <c r="K144" s="180"/>
      <c r="L144" s="109"/>
      <c r="M144" s="109"/>
      <c r="N144" s="109"/>
      <c r="O144" s="105"/>
      <c r="P144" s="105"/>
      <c r="Q144" s="110"/>
      <c r="R144" s="105"/>
      <c r="S144" s="105"/>
      <c r="T144" s="105"/>
      <c r="U144" s="180"/>
      <c r="V144" s="1179">
        <f t="shared" si="23"/>
        <v>0</v>
      </c>
    </row>
    <row r="145" spans="1:25" s="8" customFormat="1" ht="13.8" x14ac:dyDescent="0.25">
      <c r="A145" s="70"/>
      <c r="B145" s="150"/>
      <c r="C145" s="97"/>
      <c r="D145" s="98" t="s">
        <v>199</v>
      </c>
      <c r="E145" s="182">
        <v>87000</v>
      </c>
      <c r="F145" s="74">
        <f t="shared" si="22"/>
        <v>0</v>
      </c>
      <c r="G145" s="105"/>
      <c r="H145" s="105"/>
      <c r="I145" s="179"/>
      <c r="J145" s="110"/>
      <c r="K145" s="180"/>
      <c r="L145" s="109"/>
      <c r="M145" s="109"/>
      <c r="N145" s="109"/>
      <c r="O145" s="105"/>
      <c r="P145" s="105"/>
      <c r="Q145" s="110"/>
      <c r="R145" s="105"/>
      <c r="S145" s="105"/>
      <c r="T145" s="105"/>
      <c r="U145" s="180"/>
      <c r="V145" s="1179">
        <f t="shared" si="23"/>
        <v>87000</v>
      </c>
    </row>
    <row r="146" spans="1:25" s="8" customFormat="1" ht="13.8" x14ac:dyDescent="0.25">
      <c r="A146" s="70"/>
      <c r="B146" s="150"/>
      <c r="C146" s="183"/>
      <c r="D146" s="98" t="s">
        <v>185</v>
      </c>
      <c r="E146" s="182"/>
      <c r="F146" s="74">
        <f t="shared" si="22"/>
        <v>0</v>
      </c>
      <c r="G146" s="105"/>
      <c r="H146" s="105"/>
      <c r="I146" s="179"/>
      <c r="J146" s="110"/>
      <c r="K146" s="180"/>
      <c r="L146" s="109"/>
      <c r="M146" s="109"/>
      <c r="N146" s="109"/>
      <c r="O146" s="105"/>
      <c r="P146" s="105"/>
      <c r="Q146" s="110"/>
      <c r="R146" s="105"/>
      <c r="S146" s="105"/>
      <c r="T146" s="105"/>
      <c r="U146" s="180"/>
      <c r="V146" s="1179">
        <f t="shared" si="23"/>
        <v>0</v>
      </c>
    </row>
    <row r="147" spans="1:25" s="8" customFormat="1" ht="13.8" x14ac:dyDescent="0.25">
      <c r="A147" s="70"/>
      <c r="B147" s="150"/>
      <c r="C147" s="97"/>
      <c r="D147" s="98" t="s">
        <v>171</v>
      </c>
      <c r="E147" s="182">
        <f>3250+88200</f>
        <v>91450</v>
      </c>
      <c r="F147" s="74">
        <f t="shared" si="22"/>
        <v>91450</v>
      </c>
      <c r="G147" s="105"/>
      <c r="H147" s="105"/>
      <c r="I147" s="179"/>
      <c r="J147" s="110">
        <v>91450</v>
      </c>
      <c r="K147" s="180"/>
      <c r="L147" s="109"/>
      <c r="M147" s="109"/>
      <c r="N147" s="109"/>
      <c r="O147" s="105"/>
      <c r="P147" s="105"/>
      <c r="Q147" s="110"/>
      <c r="R147" s="105"/>
      <c r="S147" s="105"/>
      <c r="T147" s="105"/>
      <c r="U147" s="180"/>
      <c r="V147" s="1179">
        <f t="shared" si="23"/>
        <v>0</v>
      </c>
    </row>
    <row r="148" spans="1:25" s="8" customFormat="1" ht="13.8" x14ac:dyDescent="0.25">
      <c r="A148" s="70"/>
      <c r="B148" s="150"/>
      <c r="C148" s="97"/>
      <c r="D148" s="98" t="s">
        <v>155</v>
      </c>
      <c r="E148" s="182">
        <v>100000</v>
      </c>
      <c r="F148" s="74">
        <f t="shared" si="22"/>
        <v>0</v>
      </c>
      <c r="G148" s="105"/>
      <c r="H148" s="105"/>
      <c r="I148" s="179"/>
      <c r="J148" s="110"/>
      <c r="K148" s="180"/>
      <c r="L148" s="109"/>
      <c r="M148" s="109"/>
      <c r="N148" s="109"/>
      <c r="O148" s="105"/>
      <c r="P148" s="105"/>
      <c r="Q148" s="110"/>
      <c r="R148" s="105"/>
      <c r="S148" s="105"/>
      <c r="T148" s="105"/>
      <c r="U148" s="180"/>
      <c r="V148" s="1179">
        <f t="shared" si="23"/>
        <v>100000</v>
      </c>
    </row>
    <row r="149" spans="1:25" s="8" customFormat="1" ht="13.8" x14ac:dyDescent="0.25">
      <c r="A149" s="70"/>
      <c r="B149" s="150"/>
      <c r="C149" s="97"/>
      <c r="D149" s="98" t="s">
        <v>142</v>
      </c>
      <c r="E149" s="182">
        <f>250000+300000</f>
        <v>550000</v>
      </c>
      <c r="F149" s="74">
        <f t="shared" si="22"/>
        <v>0</v>
      </c>
      <c r="G149" s="105"/>
      <c r="H149" s="105"/>
      <c r="I149" s="179"/>
      <c r="J149" s="110"/>
      <c r="K149" s="180"/>
      <c r="L149" s="109"/>
      <c r="M149" s="109"/>
      <c r="N149" s="109"/>
      <c r="O149" s="105"/>
      <c r="P149" s="105"/>
      <c r="Q149" s="110"/>
      <c r="R149" s="105"/>
      <c r="S149" s="105"/>
      <c r="T149" s="105"/>
      <c r="U149" s="180"/>
      <c r="V149" s="1179">
        <f t="shared" si="23"/>
        <v>550000</v>
      </c>
    </row>
    <row r="150" spans="1:25" s="8" customFormat="1" ht="13.8" x14ac:dyDescent="0.25">
      <c r="A150" s="70"/>
      <c r="B150" s="150"/>
      <c r="C150" s="97"/>
      <c r="D150" s="98" t="s">
        <v>172</v>
      </c>
      <c r="E150" s="182">
        <v>250000</v>
      </c>
      <c r="F150" s="74">
        <f t="shared" si="22"/>
        <v>200000</v>
      </c>
      <c r="G150" s="105"/>
      <c r="H150" s="105"/>
      <c r="I150" s="179"/>
      <c r="J150" s="110">
        <v>200000</v>
      </c>
      <c r="K150" s="180"/>
      <c r="L150" s="109"/>
      <c r="M150" s="109"/>
      <c r="N150" s="109"/>
      <c r="O150" s="105"/>
      <c r="P150" s="105"/>
      <c r="Q150" s="110"/>
      <c r="R150" s="105"/>
      <c r="S150" s="105"/>
      <c r="T150" s="105"/>
      <c r="U150" s="180"/>
      <c r="V150" s="1179">
        <f t="shared" si="23"/>
        <v>50000</v>
      </c>
    </row>
    <row r="151" spans="1:25" s="8" customFormat="1" ht="13.8" x14ac:dyDescent="0.25">
      <c r="A151" s="70"/>
      <c r="B151" s="150"/>
      <c r="C151" s="97"/>
      <c r="D151" s="98" t="s">
        <v>173</v>
      </c>
      <c r="E151" s="182">
        <f>5560+15000+35000</f>
        <v>55560</v>
      </c>
      <c r="F151" s="74">
        <f t="shared" si="22"/>
        <v>55560</v>
      </c>
      <c r="G151" s="105"/>
      <c r="H151" s="105"/>
      <c r="I151" s="179"/>
      <c r="J151" s="110">
        <v>55560</v>
      </c>
      <c r="K151" s="180"/>
      <c r="L151" s="109"/>
      <c r="M151" s="109"/>
      <c r="N151" s="109"/>
      <c r="O151" s="105"/>
      <c r="P151" s="105"/>
      <c r="Q151" s="110"/>
      <c r="R151" s="105"/>
      <c r="S151" s="105"/>
      <c r="T151" s="105"/>
      <c r="U151" s="180"/>
      <c r="V151" s="1179">
        <f t="shared" si="23"/>
        <v>0</v>
      </c>
    </row>
    <row r="152" spans="1:25" s="8" customFormat="1" ht="13.8" x14ac:dyDescent="0.25">
      <c r="A152" s="70"/>
      <c r="B152" s="150"/>
      <c r="C152" s="97"/>
      <c r="D152" s="98" t="s">
        <v>174</v>
      </c>
      <c r="E152" s="182"/>
      <c r="F152" s="74">
        <f t="shared" si="22"/>
        <v>0</v>
      </c>
      <c r="G152" s="105"/>
      <c r="H152" s="105"/>
      <c r="I152" s="179"/>
      <c r="J152" s="110"/>
      <c r="K152" s="180"/>
      <c r="L152" s="109"/>
      <c r="M152" s="109"/>
      <c r="N152" s="109"/>
      <c r="O152" s="105"/>
      <c r="P152" s="105"/>
      <c r="Q152" s="110"/>
      <c r="R152" s="105"/>
      <c r="S152" s="105"/>
      <c r="T152" s="105"/>
      <c r="U152" s="180"/>
      <c r="V152" s="1179">
        <f t="shared" si="23"/>
        <v>0</v>
      </c>
    </row>
    <row r="153" spans="1:25" s="8" customFormat="1" ht="13.8" x14ac:dyDescent="0.25">
      <c r="A153" s="70"/>
      <c r="B153" s="150"/>
      <c r="C153" s="97"/>
      <c r="D153" s="98" t="s">
        <v>200</v>
      </c>
      <c r="E153" s="182"/>
      <c r="F153" s="74">
        <f t="shared" si="22"/>
        <v>0</v>
      </c>
      <c r="G153" s="105"/>
      <c r="H153" s="105"/>
      <c r="I153" s="179"/>
      <c r="J153" s="110"/>
      <c r="K153" s="180"/>
      <c r="L153" s="109"/>
      <c r="M153" s="109"/>
      <c r="N153" s="109"/>
      <c r="O153" s="105"/>
      <c r="P153" s="105"/>
      <c r="Q153" s="110"/>
      <c r="R153" s="105"/>
      <c r="S153" s="105"/>
      <c r="T153" s="105"/>
      <c r="U153" s="180"/>
      <c r="V153" s="1179">
        <f t="shared" si="23"/>
        <v>0</v>
      </c>
    </row>
    <row r="154" spans="1:25" s="8" customFormat="1" ht="13.8" x14ac:dyDescent="0.25">
      <c r="A154" s="70"/>
      <c r="B154" s="150"/>
      <c r="C154" s="97"/>
      <c r="D154" s="98" t="s">
        <v>201</v>
      </c>
      <c r="E154" s="182">
        <v>0</v>
      </c>
      <c r="F154" s="74">
        <f t="shared" si="22"/>
        <v>0</v>
      </c>
      <c r="G154" s="105"/>
      <c r="H154" s="105"/>
      <c r="I154" s="179"/>
      <c r="J154" s="110"/>
      <c r="K154" s="180"/>
      <c r="L154" s="109"/>
      <c r="M154" s="109"/>
      <c r="N154" s="109"/>
      <c r="O154" s="105"/>
      <c r="P154" s="105"/>
      <c r="Q154" s="110"/>
      <c r="R154" s="105"/>
      <c r="S154" s="105"/>
      <c r="T154" s="105"/>
      <c r="U154" s="180"/>
      <c r="V154" s="1179">
        <f t="shared" si="23"/>
        <v>0</v>
      </c>
    </row>
    <row r="155" spans="1:25" s="8" customFormat="1" ht="13.8" x14ac:dyDescent="0.25">
      <c r="A155" s="70"/>
      <c r="B155" s="150"/>
      <c r="C155" s="97"/>
      <c r="D155" s="98" t="s">
        <v>181</v>
      </c>
      <c r="E155" s="182"/>
      <c r="F155" s="74">
        <f t="shared" si="22"/>
        <v>0</v>
      </c>
      <c r="G155" s="105"/>
      <c r="H155" s="105"/>
      <c r="I155" s="179"/>
      <c r="J155" s="110"/>
      <c r="K155" s="180"/>
      <c r="L155" s="109"/>
      <c r="M155" s="109"/>
      <c r="N155" s="109"/>
      <c r="O155" s="105"/>
      <c r="P155" s="105"/>
      <c r="Q155" s="110"/>
      <c r="R155" s="105"/>
      <c r="S155" s="105"/>
      <c r="T155" s="105"/>
      <c r="U155" s="180"/>
      <c r="V155" s="1179">
        <f t="shared" si="23"/>
        <v>0</v>
      </c>
    </row>
    <row r="156" spans="1:25" s="8" customFormat="1" ht="13.8" x14ac:dyDescent="0.25">
      <c r="A156" s="70"/>
      <c r="B156" s="150"/>
      <c r="C156" s="97"/>
      <c r="D156" s="98" t="s">
        <v>187</v>
      </c>
      <c r="E156" s="182"/>
      <c r="F156" s="74">
        <f t="shared" si="22"/>
        <v>0</v>
      </c>
      <c r="G156" s="105"/>
      <c r="H156" s="105"/>
      <c r="I156" s="179"/>
      <c r="J156" s="110"/>
      <c r="K156" s="180"/>
      <c r="L156" s="109"/>
      <c r="M156" s="109"/>
      <c r="N156" s="109"/>
      <c r="O156" s="105"/>
      <c r="P156" s="105"/>
      <c r="Q156" s="110"/>
      <c r="R156" s="105"/>
      <c r="S156" s="105"/>
      <c r="T156" s="105"/>
      <c r="U156" s="180"/>
      <c r="V156" s="1179">
        <f t="shared" si="23"/>
        <v>0</v>
      </c>
    </row>
    <row r="157" spans="1:25" s="8" customFormat="1" ht="13.8" x14ac:dyDescent="0.25">
      <c r="A157" s="70"/>
      <c r="B157" s="150"/>
      <c r="C157" s="97"/>
      <c r="D157" s="98"/>
      <c r="E157" s="151">
        <f t="shared" ref="E157:J157" si="24">SUM(E138:E156)</f>
        <v>1545825.12</v>
      </c>
      <c r="F157" s="151">
        <f t="shared" si="24"/>
        <v>349310</v>
      </c>
      <c r="G157" s="151">
        <f t="shared" si="24"/>
        <v>0</v>
      </c>
      <c r="H157" s="151">
        <f t="shared" si="24"/>
        <v>0</v>
      </c>
      <c r="I157" s="151">
        <f t="shared" si="24"/>
        <v>0</v>
      </c>
      <c r="J157" s="151">
        <f t="shared" si="24"/>
        <v>349310</v>
      </c>
      <c r="K157" s="151">
        <f t="shared" ref="K157:V157" si="25">SUM(K138:K156)</f>
        <v>0</v>
      </c>
      <c r="L157" s="151">
        <f t="shared" si="25"/>
        <v>0</v>
      </c>
      <c r="M157" s="151">
        <f t="shared" si="25"/>
        <v>0</v>
      </c>
      <c r="N157" s="151">
        <f t="shared" si="25"/>
        <v>0</v>
      </c>
      <c r="O157" s="151">
        <f t="shared" si="25"/>
        <v>0</v>
      </c>
      <c r="P157" s="151">
        <f t="shared" si="25"/>
        <v>0</v>
      </c>
      <c r="Q157" s="151">
        <f t="shared" si="25"/>
        <v>0</v>
      </c>
      <c r="R157" s="152">
        <f t="shared" si="25"/>
        <v>0</v>
      </c>
      <c r="S157" s="152">
        <f t="shared" si="25"/>
        <v>0</v>
      </c>
      <c r="T157" s="152">
        <f t="shared" si="25"/>
        <v>0</v>
      </c>
      <c r="U157" s="733">
        <f t="shared" si="25"/>
        <v>0</v>
      </c>
      <c r="V157" s="1186">
        <f t="shared" si="25"/>
        <v>1196515.1200000001</v>
      </c>
      <c r="X157" s="80"/>
      <c r="Y157" s="80"/>
    </row>
    <row r="158" spans="1:25" s="8" customFormat="1" ht="13.8" x14ac:dyDescent="0.25">
      <c r="A158" s="70"/>
      <c r="B158" s="150"/>
      <c r="C158" s="97"/>
      <c r="D158" s="98"/>
      <c r="E158" s="105"/>
      <c r="F158" s="74"/>
      <c r="G158" s="105"/>
      <c r="H158" s="105"/>
      <c r="I158" s="179"/>
      <c r="J158" s="110"/>
      <c r="K158" s="180"/>
      <c r="L158" s="109"/>
      <c r="M158" s="109"/>
      <c r="N158" s="109"/>
      <c r="O158" s="105"/>
      <c r="P158" s="105"/>
      <c r="Q158" s="110"/>
      <c r="R158" s="105"/>
      <c r="S158" s="105"/>
      <c r="T158" s="105"/>
      <c r="U158" s="180"/>
      <c r="V158" s="1179"/>
    </row>
    <row r="159" spans="1:25" s="64" customFormat="1" ht="30" customHeight="1" x14ac:dyDescent="0.25">
      <c r="A159" s="60"/>
      <c r="B159" s="1324" t="s">
        <v>202</v>
      </c>
      <c r="C159" s="1325"/>
      <c r="D159" s="93" t="s">
        <v>203</v>
      </c>
      <c r="E159" s="136"/>
      <c r="F159" s="58">
        <f>SUM(G159:U159)</f>
        <v>0</v>
      </c>
      <c r="G159" s="136"/>
      <c r="H159" s="136"/>
      <c r="I159" s="138"/>
      <c r="J159" s="142"/>
      <c r="K159" s="144"/>
      <c r="L159" s="141"/>
      <c r="M159" s="141"/>
      <c r="N159" s="141"/>
      <c r="O159" s="136"/>
      <c r="P159" s="136"/>
      <c r="Q159" s="142"/>
      <c r="R159" s="136"/>
      <c r="S159" s="136"/>
      <c r="T159" s="136"/>
      <c r="U159" s="144"/>
      <c r="V159" s="1176">
        <f>E159-F159</f>
        <v>0</v>
      </c>
    </row>
    <row r="160" spans="1:25" s="8" customFormat="1" ht="13.8" x14ac:dyDescent="0.25">
      <c r="A160" s="169"/>
      <c r="B160" s="170"/>
      <c r="C160" s="171"/>
      <c r="D160" s="172"/>
      <c r="E160" s="173">
        <f>SUM(E159:E159)</f>
        <v>0</v>
      </c>
      <c r="F160" s="173">
        <f t="shared" ref="F160:L160" si="26">SUM(F159:F159)</f>
        <v>0</v>
      </c>
      <c r="G160" s="173">
        <f t="shared" si="26"/>
        <v>0</v>
      </c>
      <c r="H160" s="173">
        <f t="shared" si="26"/>
        <v>0</v>
      </c>
      <c r="I160" s="173">
        <f t="shared" si="26"/>
        <v>0</v>
      </c>
      <c r="J160" s="173">
        <f t="shared" si="26"/>
        <v>0</v>
      </c>
      <c r="K160" s="173">
        <f t="shared" si="26"/>
        <v>0</v>
      </c>
      <c r="L160" s="173">
        <f t="shared" si="26"/>
        <v>0</v>
      </c>
      <c r="M160" s="173">
        <f>SUM(M159:M159)</f>
        <v>0</v>
      </c>
      <c r="N160" s="173">
        <f t="shared" ref="N160:V160" si="27">SUM(N159:N159)</f>
        <v>0</v>
      </c>
      <c r="O160" s="173">
        <f t="shared" si="27"/>
        <v>0</v>
      </c>
      <c r="P160" s="173">
        <f t="shared" si="27"/>
        <v>0</v>
      </c>
      <c r="Q160" s="173">
        <f t="shared" si="27"/>
        <v>0</v>
      </c>
      <c r="R160" s="173">
        <f>SUM(R159:R159)</f>
        <v>0</v>
      </c>
      <c r="S160" s="173">
        <f t="shared" ref="S160:T160" si="28">SUM(S159:S159)</f>
        <v>0</v>
      </c>
      <c r="T160" s="173">
        <f t="shared" si="28"/>
        <v>0</v>
      </c>
      <c r="U160" s="1151">
        <f t="shared" si="27"/>
        <v>0</v>
      </c>
      <c r="V160" s="1191">
        <f t="shared" si="27"/>
        <v>0</v>
      </c>
    </row>
    <row r="161" spans="1:22" s="8" customFormat="1" ht="13.8" x14ac:dyDescent="0.25">
      <c r="B161" s="174"/>
      <c r="D161" s="3"/>
      <c r="E161" s="123"/>
      <c r="F161" s="82"/>
      <c r="G161" s="123"/>
      <c r="H161" s="123"/>
      <c r="I161" s="123"/>
      <c r="J161" s="123"/>
      <c r="K161" s="123"/>
      <c r="L161" s="127"/>
      <c r="M161" s="127"/>
      <c r="N161" s="127"/>
      <c r="O161" s="123"/>
      <c r="P161" s="123"/>
      <c r="Q161" s="123"/>
      <c r="R161" s="123"/>
      <c r="S161" s="123"/>
      <c r="T161" s="123"/>
      <c r="U161" s="123"/>
      <c r="V161" s="1181"/>
    </row>
    <row r="162" spans="1:22" s="8" customFormat="1" ht="13.8" x14ac:dyDescent="0.25">
      <c r="B162" s="174"/>
      <c r="D162" s="3"/>
      <c r="E162" s="123"/>
      <c r="F162" s="82"/>
      <c r="G162" s="123"/>
      <c r="H162" s="123"/>
      <c r="I162" s="123"/>
      <c r="J162" s="123"/>
      <c r="K162" s="123"/>
      <c r="L162" s="127"/>
      <c r="M162" s="127"/>
      <c r="N162" s="127"/>
      <c r="O162" s="123"/>
      <c r="P162" s="123"/>
      <c r="Q162" s="123"/>
      <c r="R162" s="123"/>
      <c r="S162" s="123"/>
      <c r="T162" s="123"/>
      <c r="U162" s="123"/>
      <c r="V162" s="1181"/>
    </row>
    <row r="163" spans="1:22" s="8" customFormat="1" ht="13.8" x14ac:dyDescent="0.25">
      <c r="B163" s="174"/>
      <c r="D163" s="3"/>
      <c r="E163" s="123"/>
      <c r="F163" s="82"/>
      <c r="G163" s="123"/>
      <c r="H163" s="123"/>
      <c r="I163" s="123"/>
      <c r="J163" s="123"/>
      <c r="K163" s="123"/>
      <c r="L163" s="127"/>
      <c r="M163" s="127"/>
      <c r="N163" s="127"/>
      <c r="O163" s="123"/>
      <c r="P163" s="123"/>
      <c r="Q163" s="123"/>
      <c r="R163" s="123"/>
      <c r="S163" s="123"/>
      <c r="T163" s="123"/>
      <c r="U163" s="123"/>
      <c r="V163" s="1181"/>
    </row>
    <row r="164" spans="1:22" s="8" customFormat="1" ht="13.8" x14ac:dyDescent="0.25">
      <c r="A164" s="1326" t="s">
        <v>106</v>
      </c>
      <c r="B164" s="1326"/>
      <c r="C164" s="1326"/>
      <c r="D164" s="1326"/>
      <c r="E164" s="1326"/>
      <c r="F164" s="1326"/>
      <c r="G164" s="1326"/>
      <c r="H164" s="1326"/>
      <c r="I164" s="1326"/>
      <c r="J164" s="11"/>
      <c r="K164" s="9"/>
      <c r="L164" s="10"/>
      <c r="M164" s="10"/>
      <c r="N164" s="10"/>
      <c r="V164" s="1175"/>
    </row>
    <row r="165" spans="1:22" s="8" customFormat="1" ht="13.8" x14ac:dyDescent="0.25">
      <c r="A165" s="1326" t="s">
        <v>192</v>
      </c>
      <c r="B165" s="1326"/>
      <c r="C165" s="1326"/>
      <c r="D165" s="1326"/>
      <c r="E165" s="1326"/>
      <c r="F165" s="1326"/>
      <c r="G165" s="1326"/>
      <c r="H165" s="1326"/>
      <c r="I165" s="1326"/>
      <c r="J165" s="1326"/>
      <c r="K165" s="1326"/>
      <c r="L165" s="1326"/>
      <c r="M165" s="1326"/>
      <c r="N165" s="1326"/>
      <c r="O165" s="1326"/>
      <c r="V165" s="1175"/>
    </row>
    <row r="166" spans="1:22" s="8" customFormat="1" ht="13.8" x14ac:dyDescent="0.25">
      <c r="A166" s="1326" t="s">
        <v>116</v>
      </c>
      <c r="B166" s="1326"/>
      <c r="C166" s="1326"/>
      <c r="D166" s="1326"/>
      <c r="E166" s="1326"/>
      <c r="F166" s="1326"/>
      <c r="G166" s="1326"/>
      <c r="H166" s="1326"/>
      <c r="I166" s="1326"/>
      <c r="J166" s="11"/>
      <c r="K166" s="9"/>
      <c r="L166" s="10"/>
      <c r="M166" s="10"/>
      <c r="N166" s="10"/>
      <c r="V166" s="1175"/>
    </row>
    <row r="167" spans="1:22" s="8" customFormat="1" ht="13.8" x14ac:dyDescent="0.25">
      <c r="A167" s="11" t="s">
        <v>108</v>
      </c>
      <c r="B167" s="11"/>
      <c r="C167" s="11"/>
      <c r="D167" s="11"/>
      <c r="E167" s="11"/>
      <c r="F167" s="11"/>
      <c r="G167" s="11"/>
      <c r="H167" s="11"/>
      <c r="I167" s="11"/>
      <c r="J167" s="11"/>
      <c r="K167" s="9"/>
      <c r="L167" s="10"/>
      <c r="M167" s="10"/>
      <c r="N167" s="10"/>
      <c r="V167" s="1175"/>
    </row>
    <row r="168" spans="1:22" s="8" customFormat="1" ht="14.4" thickBot="1" x14ac:dyDescent="0.3">
      <c r="A168" s="1326" t="s">
        <v>109</v>
      </c>
      <c r="B168" s="1326"/>
      <c r="C168" s="1326"/>
      <c r="D168" s="1326"/>
      <c r="E168" s="1326"/>
      <c r="F168" s="1326"/>
      <c r="G168" s="1326"/>
      <c r="H168" s="1326"/>
      <c r="I168" s="1326"/>
      <c r="J168" s="11"/>
      <c r="K168" s="9"/>
      <c r="L168" s="10"/>
      <c r="M168" s="10"/>
      <c r="N168" s="10"/>
      <c r="V168" s="1182" t="s">
        <v>204</v>
      </c>
    </row>
    <row r="169" spans="1:22" s="8" customFormat="1" ht="14.4" thickTop="1" x14ac:dyDescent="0.25">
      <c r="A169" s="128"/>
      <c r="B169" s="129"/>
      <c r="C169" s="129"/>
      <c r="D169" s="130"/>
      <c r="E169" s="87" t="s">
        <v>111</v>
      </c>
      <c r="F169" s="130"/>
      <c r="G169" s="1327" t="s">
        <v>112</v>
      </c>
      <c r="H169" s="1328"/>
      <c r="I169" s="1328"/>
      <c r="J169" s="1328"/>
      <c r="K169" s="1328"/>
      <c r="L169" s="1328"/>
      <c r="M169" s="1328"/>
      <c r="N169" s="1328"/>
      <c r="O169" s="1328"/>
      <c r="P169" s="1328"/>
      <c r="Q169" s="1328"/>
      <c r="R169" s="1328"/>
      <c r="S169" s="1328"/>
      <c r="T169" s="1328"/>
      <c r="U169" s="1329"/>
      <c r="V169" s="1166"/>
    </row>
    <row r="170" spans="1:22" s="8" customFormat="1" ht="13.8" x14ac:dyDescent="0.25">
      <c r="A170" s="18"/>
      <c r="B170" s="4"/>
      <c r="C170" s="4"/>
      <c r="D170" s="19"/>
      <c r="E170" s="20" t="s">
        <v>113</v>
      </c>
      <c r="F170" s="20" t="s">
        <v>2</v>
      </c>
      <c r="G170" s="1330" t="s">
        <v>114</v>
      </c>
      <c r="H170" s="1331"/>
      <c r="I170" s="1331"/>
      <c r="J170" s="1331"/>
      <c r="K170" s="1331"/>
      <c r="L170" s="1331"/>
      <c r="M170" s="1331"/>
      <c r="N170" s="1331"/>
      <c r="O170" s="1331"/>
      <c r="P170" s="1331"/>
      <c r="Q170" s="1331"/>
      <c r="R170" s="1331"/>
      <c r="S170" s="1331"/>
      <c r="T170" s="1331"/>
      <c r="U170" s="1331"/>
      <c r="V170" s="1175"/>
    </row>
    <row r="171" spans="1:22" s="8" customFormat="1" ht="13.8" x14ac:dyDescent="0.25">
      <c r="A171" s="1318" t="s">
        <v>115</v>
      </c>
      <c r="B171" s="1319"/>
      <c r="C171" s="1320"/>
      <c r="D171" s="20" t="s">
        <v>116</v>
      </c>
      <c r="E171" s="20" t="s">
        <v>117</v>
      </c>
      <c r="F171" s="20" t="s">
        <v>118</v>
      </c>
      <c r="H171" s="20"/>
      <c r="I171" s="22"/>
      <c r="J171" s="22" t="s">
        <v>119</v>
      </c>
      <c r="K171" s="23"/>
      <c r="L171" s="24"/>
      <c r="M171" s="25"/>
      <c r="N171" s="24"/>
      <c r="O171" s="20"/>
      <c r="P171" s="20"/>
      <c r="Q171" s="176"/>
      <c r="R171" s="26"/>
      <c r="S171" s="27"/>
      <c r="T171" s="27"/>
      <c r="U171" s="1148"/>
      <c r="V171" s="1183"/>
    </row>
    <row r="172" spans="1:22" s="8" customFormat="1" ht="13.8" x14ac:dyDescent="0.25">
      <c r="A172" s="30"/>
      <c r="D172" s="20" t="s">
        <v>120</v>
      </c>
      <c r="E172" s="20" t="s">
        <v>121</v>
      </c>
      <c r="F172" s="20" t="s">
        <v>122</v>
      </c>
      <c r="G172" s="20" t="s">
        <v>123</v>
      </c>
      <c r="H172" s="20" t="s">
        <v>124</v>
      </c>
      <c r="I172" s="22" t="s">
        <v>125</v>
      </c>
      <c r="J172" s="31">
        <v>41334</v>
      </c>
      <c r="K172" s="25" t="s">
        <v>126</v>
      </c>
      <c r="L172" s="24" t="s">
        <v>127</v>
      </c>
      <c r="M172" s="32" t="s">
        <v>128</v>
      </c>
      <c r="N172" s="32" t="s">
        <v>129</v>
      </c>
      <c r="O172" s="32" t="s">
        <v>194</v>
      </c>
      <c r="P172" s="20" t="s">
        <v>131</v>
      </c>
      <c r="Q172" s="33" t="s">
        <v>132</v>
      </c>
      <c r="R172" s="34" t="s">
        <v>119</v>
      </c>
      <c r="S172" s="35" t="s">
        <v>133</v>
      </c>
      <c r="T172" s="35" t="s">
        <v>133</v>
      </c>
      <c r="U172" s="1152" t="s">
        <v>134</v>
      </c>
      <c r="V172" s="1183" t="s">
        <v>135</v>
      </c>
    </row>
    <row r="173" spans="1:22" s="8" customFormat="1" ht="14.4" thickBot="1" x14ac:dyDescent="0.3">
      <c r="A173" s="36"/>
      <c r="B173" s="37"/>
      <c r="C173" s="37"/>
      <c r="D173" s="38"/>
      <c r="E173" s="39" t="s">
        <v>136</v>
      </c>
      <c r="F173" s="40"/>
      <c r="G173" s="41"/>
      <c r="H173" s="40"/>
      <c r="I173" s="42"/>
      <c r="J173" s="42" t="s">
        <v>137</v>
      </c>
      <c r="K173" s="40"/>
      <c r="L173" s="43"/>
      <c r="M173" s="44"/>
      <c r="N173" s="45"/>
      <c r="O173" s="41"/>
      <c r="P173" s="38"/>
      <c r="Q173" s="46"/>
      <c r="R173" s="132" t="s">
        <v>178</v>
      </c>
      <c r="S173" s="48"/>
      <c r="T173" s="48"/>
      <c r="U173" s="1149"/>
      <c r="V173" s="1184"/>
    </row>
    <row r="174" spans="1:22" s="8" customFormat="1" ht="14.4" thickTop="1" x14ac:dyDescent="0.25">
      <c r="A174" s="70"/>
      <c r="B174" s="150" t="s">
        <v>205</v>
      </c>
      <c r="C174" s="97"/>
      <c r="D174" s="98" t="s">
        <v>148</v>
      </c>
      <c r="E174" s="105">
        <v>10800</v>
      </c>
      <c r="F174" s="105">
        <f t="shared" ref="F174:F179" si="29">SUM(G174:U174)</f>
        <v>0</v>
      </c>
      <c r="G174" s="105"/>
      <c r="H174" s="105"/>
      <c r="I174" s="179"/>
      <c r="J174" s="110"/>
      <c r="K174" s="180"/>
      <c r="L174" s="109"/>
      <c r="M174" s="109"/>
      <c r="N174" s="109"/>
      <c r="O174" s="105"/>
      <c r="P174" s="105"/>
      <c r="Q174" s="110"/>
      <c r="R174" s="105"/>
      <c r="S174" s="105"/>
      <c r="T174" s="105"/>
      <c r="U174" s="180"/>
      <c r="V174" s="1181">
        <f t="shared" ref="V174:V175" si="30">E174-F174</f>
        <v>10800</v>
      </c>
    </row>
    <row r="175" spans="1:22" s="8" customFormat="1" ht="13.8" x14ac:dyDescent="0.25">
      <c r="A175" s="70"/>
      <c r="B175" s="150"/>
      <c r="C175" s="97"/>
      <c r="D175" s="98" t="s">
        <v>206</v>
      </c>
      <c r="E175" s="105">
        <v>7200</v>
      </c>
      <c r="F175" s="105">
        <f t="shared" si="29"/>
        <v>0</v>
      </c>
      <c r="G175" s="105"/>
      <c r="H175" s="105"/>
      <c r="I175" s="179"/>
      <c r="J175" s="110"/>
      <c r="K175" s="180"/>
      <c r="L175" s="109"/>
      <c r="M175" s="109"/>
      <c r="N175" s="109"/>
      <c r="O175" s="105"/>
      <c r="P175" s="105"/>
      <c r="Q175" s="110"/>
      <c r="R175" s="105"/>
      <c r="S175" s="105"/>
      <c r="T175" s="105"/>
      <c r="U175" s="180"/>
      <c r="V175" s="1179">
        <f t="shared" si="30"/>
        <v>7200</v>
      </c>
    </row>
    <row r="176" spans="1:22" s="8" customFormat="1" ht="13.8" x14ac:dyDescent="0.25">
      <c r="A176" s="70"/>
      <c r="B176" s="150"/>
      <c r="C176" s="97"/>
      <c r="D176" s="98" t="s">
        <v>207</v>
      </c>
      <c r="E176" s="105"/>
      <c r="F176" s="105">
        <f t="shared" si="29"/>
        <v>0</v>
      </c>
      <c r="G176" s="105"/>
      <c r="H176" s="105"/>
      <c r="I176" s="179"/>
      <c r="J176" s="110"/>
      <c r="K176" s="180"/>
      <c r="L176" s="109"/>
      <c r="M176" s="109"/>
      <c r="N176" s="109"/>
      <c r="O176" s="105"/>
      <c r="P176" s="105"/>
      <c r="Q176" s="110"/>
      <c r="R176" s="105"/>
      <c r="S176" s="105"/>
      <c r="T176" s="105"/>
      <c r="U176" s="180"/>
      <c r="V176" s="1181">
        <f>E176-F176</f>
        <v>0</v>
      </c>
    </row>
    <row r="177" spans="1:25" s="8" customFormat="1" ht="13.8" x14ac:dyDescent="0.25">
      <c r="A177" s="70"/>
      <c r="B177" s="150"/>
      <c r="C177" s="97"/>
      <c r="D177" s="98" t="s">
        <v>208</v>
      </c>
      <c r="E177" s="105"/>
      <c r="F177" s="105">
        <f t="shared" si="29"/>
        <v>0</v>
      </c>
      <c r="G177" s="105"/>
      <c r="H177" s="105"/>
      <c r="I177" s="179"/>
      <c r="J177" s="110"/>
      <c r="K177" s="180"/>
      <c r="L177" s="109"/>
      <c r="M177" s="109"/>
      <c r="N177" s="109"/>
      <c r="O177" s="105"/>
      <c r="P177" s="105"/>
      <c r="Q177" s="110"/>
      <c r="R177" s="105"/>
      <c r="S177" s="105"/>
      <c r="T177" s="105"/>
      <c r="U177" s="180"/>
      <c r="V177" s="1179">
        <f t="shared" ref="V177:V181" si="31">E177-F177</f>
        <v>0</v>
      </c>
    </row>
    <row r="178" spans="1:25" s="8" customFormat="1" ht="13.8" x14ac:dyDescent="0.25">
      <c r="A178" s="70"/>
      <c r="B178" s="150"/>
      <c r="C178" s="97"/>
      <c r="D178" s="98" t="s">
        <v>172</v>
      </c>
      <c r="E178" s="105">
        <v>21600</v>
      </c>
      <c r="F178" s="105">
        <f t="shared" si="29"/>
        <v>21600</v>
      </c>
      <c r="G178" s="105"/>
      <c r="H178" s="105"/>
      <c r="I178" s="179"/>
      <c r="J178" s="110">
        <v>21600</v>
      </c>
      <c r="K178" s="180"/>
      <c r="L178" s="109"/>
      <c r="M178" s="109"/>
      <c r="N178" s="109"/>
      <c r="O178" s="105"/>
      <c r="P178" s="105"/>
      <c r="Q178" s="110"/>
      <c r="R178" s="105"/>
      <c r="S178" s="105"/>
      <c r="T178" s="105"/>
      <c r="U178" s="180"/>
      <c r="V178" s="1179">
        <f t="shared" si="31"/>
        <v>0</v>
      </c>
    </row>
    <row r="179" spans="1:25" s="8" customFormat="1" ht="13.8" x14ac:dyDescent="0.25">
      <c r="A179" s="70"/>
      <c r="B179" s="150"/>
      <c r="C179" s="97"/>
      <c r="D179" s="98" t="s">
        <v>171</v>
      </c>
      <c r="E179" s="105"/>
      <c r="F179" s="105">
        <f t="shared" si="29"/>
        <v>0</v>
      </c>
      <c r="G179" s="105"/>
      <c r="H179" s="105"/>
      <c r="I179" s="179"/>
      <c r="J179" s="110"/>
      <c r="K179" s="180"/>
      <c r="L179" s="109"/>
      <c r="M179" s="109"/>
      <c r="N179" s="109"/>
      <c r="O179" s="105"/>
      <c r="P179" s="105"/>
      <c r="Q179" s="110"/>
      <c r="R179" s="105"/>
      <c r="S179" s="105"/>
      <c r="T179" s="105"/>
      <c r="U179" s="180"/>
      <c r="V179" s="1181">
        <f t="shared" si="31"/>
        <v>0</v>
      </c>
    </row>
    <row r="180" spans="1:25" s="8" customFormat="1" ht="13.8" x14ac:dyDescent="0.25">
      <c r="A180" s="70"/>
      <c r="B180" s="150"/>
      <c r="C180" s="97"/>
      <c r="D180" s="98" t="s">
        <v>142</v>
      </c>
      <c r="E180" s="105"/>
      <c r="F180" s="105">
        <f>SUM(G180:U180)</f>
        <v>0</v>
      </c>
      <c r="G180" s="105"/>
      <c r="H180" s="105"/>
      <c r="I180" s="179"/>
      <c r="J180" s="110"/>
      <c r="K180" s="180"/>
      <c r="L180" s="109"/>
      <c r="M180" s="109"/>
      <c r="N180" s="109"/>
      <c r="O180" s="105"/>
      <c r="P180" s="105"/>
      <c r="Q180" s="110"/>
      <c r="R180" s="105"/>
      <c r="S180" s="105"/>
      <c r="T180" s="105"/>
      <c r="U180" s="180"/>
      <c r="V180" s="1201">
        <f t="shared" si="31"/>
        <v>0</v>
      </c>
    </row>
    <row r="181" spans="1:25" s="8" customFormat="1" ht="13.8" x14ac:dyDescent="0.25">
      <c r="A181" s="70"/>
      <c r="B181" s="150"/>
      <c r="C181" s="97"/>
      <c r="D181" s="98" t="s">
        <v>209</v>
      </c>
      <c r="E181" s="105">
        <v>10800</v>
      </c>
      <c r="F181" s="105">
        <f>SUM(G181:U181)</f>
        <v>10800</v>
      </c>
      <c r="G181" s="105"/>
      <c r="H181" s="105"/>
      <c r="I181" s="179"/>
      <c r="J181" s="110">
        <v>10800</v>
      </c>
      <c r="K181" s="180"/>
      <c r="L181" s="109"/>
      <c r="M181" s="109"/>
      <c r="N181" s="109"/>
      <c r="O181" s="105"/>
      <c r="P181" s="105"/>
      <c r="Q181" s="110"/>
      <c r="R181" s="105"/>
      <c r="S181" s="105"/>
      <c r="T181" s="105"/>
      <c r="U181" s="180"/>
      <c r="V181" s="1179">
        <f t="shared" si="31"/>
        <v>0</v>
      </c>
    </row>
    <row r="182" spans="1:25" s="8" customFormat="1" ht="13.8" x14ac:dyDescent="0.25">
      <c r="A182" s="70"/>
      <c r="B182" s="150"/>
      <c r="C182" s="97"/>
      <c r="D182" s="98"/>
      <c r="E182" s="151">
        <f>SUM(E174:E181)</f>
        <v>50400</v>
      </c>
      <c r="F182" s="151">
        <f>SUM(F174:F181)</f>
        <v>32400</v>
      </c>
      <c r="G182" s="151">
        <f t="shared" ref="G182:V182" si="32">SUM(G174:G181)</f>
        <v>0</v>
      </c>
      <c r="H182" s="151">
        <f t="shared" si="32"/>
        <v>0</v>
      </c>
      <c r="I182" s="151">
        <f t="shared" si="32"/>
        <v>0</v>
      </c>
      <c r="J182" s="151">
        <f t="shared" si="32"/>
        <v>32400</v>
      </c>
      <c r="K182" s="151">
        <f t="shared" si="32"/>
        <v>0</v>
      </c>
      <c r="L182" s="151">
        <f t="shared" si="32"/>
        <v>0</v>
      </c>
      <c r="M182" s="151">
        <f t="shared" si="32"/>
        <v>0</v>
      </c>
      <c r="N182" s="151">
        <f t="shared" si="32"/>
        <v>0</v>
      </c>
      <c r="O182" s="151">
        <f t="shared" si="32"/>
        <v>0</v>
      </c>
      <c r="P182" s="151">
        <f t="shared" si="32"/>
        <v>0</v>
      </c>
      <c r="Q182" s="151">
        <f t="shared" si="32"/>
        <v>0</v>
      </c>
      <c r="R182" s="151">
        <f t="shared" si="32"/>
        <v>0</v>
      </c>
      <c r="S182" s="151">
        <f t="shared" si="32"/>
        <v>0</v>
      </c>
      <c r="T182" s="151">
        <f t="shared" si="32"/>
        <v>0</v>
      </c>
      <c r="U182" s="733">
        <f t="shared" si="32"/>
        <v>0</v>
      </c>
      <c r="V182" s="1186">
        <f t="shared" si="32"/>
        <v>18000</v>
      </c>
      <c r="X182" s="80"/>
      <c r="Y182" s="80"/>
    </row>
    <row r="183" spans="1:25" s="8" customFormat="1" ht="13.8" x14ac:dyDescent="0.25">
      <c r="A183" s="70"/>
      <c r="B183" s="150"/>
      <c r="C183" s="97"/>
      <c r="D183" s="98"/>
      <c r="E183" s="162"/>
      <c r="F183" s="162"/>
      <c r="G183" s="162"/>
      <c r="H183" s="162"/>
      <c r="I183" s="164"/>
      <c r="J183" s="165"/>
      <c r="K183" s="166"/>
      <c r="L183" s="162"/>
      <c r="M183" s="162"/>
      <c r="N183" s="162"/>
      <c r="O183" s="162"/>
      <c r="P183" s="162"/>
      <c r="Q183" s="165"/>
      <c r="R183" s="162"/>
      <c r="S183" s="162"/>
      <c r="T183" s="162"/>
      <c r="U183" s="166"/>
      <c r="V183" s="1190"/>
    </row>
    <row r="184" spans="1:25" s="8" customFormat="1" ht="13.8" x14ac:dyDescent="0.25">
      <c r="A184" s="70"/>
      <c r="B184" s="150" t="s">
        <v>210</v>
      </c>
      <c r="C184" s="97"/>
      <c r="D184" s="98" t="s">
        <v>146</v>
      </c>
      <c r="E184" s="105"/>
      <c r="F184" s="74">
        <f t="shared" ref="F184:F192" si="33">SUM(G184:U184)</f>
        <v>0</v>
      </c>
      <c r="G184" s="105"/>
      <c r="H184" s="105"/>
      <c r="I184" s="179"/>
      <c r="J184" s="110"/>
      <c r="K184" s="180"/>
      <c r="L184" s="109"/>
      <c r="M184" s="109"/>
      <c r="N184" s="109"/>
      <c r="O184" s="105"/>
      <c r="P184" s="105"/>
      <c r="Q184" s="110"/>
      <c r="R184" s="105"/>
      <c r="S184" s="105"/>
      <c r="T184" s="105"/>
      <c r="U184" s="180"/>
      <c r="V184" s="1179">
        <f t="shared" ref="V184:V192" si="34">E184-F184</f>
        <v>0</v>
      </c>
    </row>
    <row r="185" spans="1:25" s="8" customFormat="1" ht="13.8" x14ac:dyDescent="0.25">
      <c r="A185" s="70"/>
      <c r="B185" s="150"/>
      <c r="C185" s="97"/>
      <c r="D185" s="98" t="s">
        <v>211</v>
      </c>
      <c r="E185" s="105">
        <v>584000</v>
      </c>
      <c r="F185" s="74">
        <f t="shared" si="33"/>
        <v>603200</v>
      </c>
      <c r="G185" s="105"/>
      <c r="H185" s="105"/>
      <c r="I185" s="179"/>
      <c r="J185" s="110">
        <v>584000</v>
      </c>
      <c r="K185" s="180"/>
      <c r="L185" s="109"/>
      <c r="M185" s="109">
        <v>19200</v>
      </c>
      <c r="N185" s="109"/>
      <c r="O185" s="105"/>
      <c r="P185" s="105"/>
      <c r="Q185" s="110"/>
      <c r="R185" s="105"/>
      <c r="S185" s="105"/>
      <c r="T185" s="105"/>
      <c r="U185" s="180"/>
      <c r="V185" s="1179">
        <f t="shared" si="34"/>
        <v>-19200</v>
      </c>
    </row>
    <row r="186" spans="1:25" s="64" customFormat="1" ht="13.8" x14ac:dyDescent="0.25">
      <c r="A186" s="60"/>
      <c r="B186" s="148"/>
      <c r="C186" s="92"/>
      <c r="D186" s="93" t="s">
        <v>166</v>
      </c>
      <c r="E186" s="136"/>
      <c r="F186" s="74">
        <f t="shared" si="33"/>
        <v>0</v>
      </c>
      <c r="G186" s="136"/>
      <c r="H186" s="136"/>
      <c r="I186" s="138"/>
      <c r="J186" s="142"/>
      <c r="K186" s="144"/>
      <c r="L186" s="141"/>
      <c r="M186" s="141">
        <v>0</v>
      </c>
      <c r="N186" s="141"/>
      <c r="O186" s="136"/>
      <c r="P186" s="136"/>
      <c r="Q186" s="142"/>
      <c r="R186" s="136">
        <v>0</v>
      </c>
      <c r="S186" s="136"/>
      <c r="T186" s="136"/>
      <c r="U186" s="144"/>
      <c r="V186" s="1179">
        <f t="shared" si="34"/>
        <v>0</v>
      </c>
    </row>
    <row r="187" spans="1:25" s="64" customFormat="1" ht="13.8" x14ac:dyDescent="0.25">
      <c r="A187" s="60"/>
      <c r="B187" s="148"/>
      <c r="C187" s="92"/>
      <c r="D187" s="93"/>
      <c r="E187" s="187">
        <f>SUM(E184:E186)</f>
        <v>584000</v>
      </c>
      <c r="F187" s="187">
        <f t="shared" ref="F187:U187" si="35">SUM(F184:F186)</f>
        <v>603200</v>
      </c>
      <c r="G187" s="187">
        <f t="shared" si="35"/>
        <v>0</v>
      </c>
      <c r="H187" s="187">
        <f t="shared" si="35"/>
        <v>0</v>
      </c>
      <c r="I187" s="187">
        <f t="shared" si="35"/>
        <v>0</v>
      </c>
      <c r="J187" s="187">
        <f t="shared" si="35"/>
        <v>584000</v>
      </c>
      <c r="K187" s="187">
        <f t="shared" si="35"/>
        <v>0</v>
      </c>
      <c r="L187" s="187">
        <f t="shared" si="35"/>
        <v>0</v>
      </c>
      <c r="M187" s="187">
        <f t="shared" si="35"/>
        <v>19200</v>
      </c>
      <c r="N187" s="187">
        <f t="shared" si="35"/>
        <v>0</v>
      </c>
      <c r="O187" s="187">
        <f t="shared" si="35"/>
        <v>0</v>
      </c>
      <c r="P187" s="187">
        <f t="shared" si="35"/>
        <v>0</v>
      </c>
      <c r="Q187" s="187">
        <f t="shared" si="35"/>
        <v>0</v>
      </c>
      <c r="R187" s="187">
        <f t="shared" si="35"/>
        <v>0</v>
      </c>
      <c r="S187" s="187">
        <f t="shared" si="35"/>
        <v>0</v>
      </c>
      <c r="T187" s="187">
        <f t="shared" si="35"/>
        <v>0</v>
      </c>
      <c r="U187" s="1155">
        <f t="shared" si="35"/>
        <v>0</v>
      </c>
      <c r="V187" s="1279">
        <f>SUM(V184:V186)</f>
        <v>-19200</v>
      </c>
    </row>
    <row r="188" spans="1:25" s="64" customFormat="1" ht="13.8" x14ac:dyDescent="0.25">
      <c r="A188" s="60"/>
      <c r="B188" s="148"/>
      <c r="C188" s="92"/>
      <c r="D188" s="93"/>
      <c r="E188" s="136"/>
      <c r="F188" s="136"/>
      <c r="G188" s="136"/>
      <c r="H188" s="136"/>
      <c r="I188" s="138"/>
      <c r="J188" s="142"/>
      <c r="K188" s="144"/>
      <c r="L188" s="136"/>
      <c r="M188" s="136"/>
      <c r="N188" s="136"/>
      <c r="O188" s="136"/>
      <c r="P188" s="136"/>
      <c r="Q188" s="142"/>
      <c r="R188" s="136"/>
      <c r="S188" s="136"/>
      <c r="T188" s="136"/>
      <c r="U188" s="144"/>
      <c r="V188" s="1179">
        <f t="shared" si="34"/>
        <v>0</v>
      </c>
    </row>
    <row r="189" spans="1:25" s="64" customFormat="1" ht="13.8" x14ac:dyDescent="0.25">
      <c r="A189" s="60"/>
      <c r="B189" s="148" t="s">
        <v>212</v>
      </c>
      <c r="C189" s="92"/>
      <c r="D189" s="93" t="s">
        <v>142</v>
      </c>
      <c r="E189" s="136">
        <f>400000+1000000</f>
        <v>1400000</v>
      </c>
      <c r="F189" s="74">
        <f t="shared" si="33"/>
        <v>0</v>
      </c>
      <c r="G189" s="136"/>
      <c r="H189" s="136"/>
      <c r="I189" s="138"/>
      <c r="J189" s="142"/>
      <c r="K189" s="144"/>
      <c r="L189" s="141"/>
      <c r="M189" s="141"/>
      <c r="N189" s="141"/>
      <c r="O189" s="136"/>
      <c r="P189" s="136"/>
      <c r="Q189" s="142"/>
      <c r="R189" s="136"/>
      <c r="S189" s="136"/>
      <c r="T189" s="136"/>
      <c r="U189" s="144"/>
      <c r="V189" s="1179">
        <f t="shared" si="34"/>
        <v>1400000</v>
      </c>
    </row>
    <row r="190" spans="1:25" s="64" customFormat="1" ht="13.8" x14ac:dyDescent="0.25">
      <c r="A190" s="60"/>
      <c r="B190" s="148"/>
      <c r="C190" s="92"/>
      <c r="D190" s="93" t="s">
        <v>144</v>
      </c>
      <c r="E190" s="136">
        <v>1000000</v>
      </c>
      <c r="F190" s="74">
        <f t="shared" si="33"/>
        <v>383221.48</v>
      </c>
      <c r="G190" s="136"/>
      <c r="H190" s="136"/>
      <c r="I190" s="138"/>
      <c r="J190" s="142">
        <v>383221.48</v>
      </c>
      <c r="K190" s="144"/>
      <c r="L190" s="141"/>
      <c r="M190" s="141"/>
      <c r="N190" s="141"/>
      <c r="O190" s="136"/>
      <c r="P190" s="136"/>
      <c r="Q190" s="142"/>
      <c r="R190" s="136"/>
      <c r="S190" s="136"/>
      <c r="T190" s="136"/>
      <c r="U190" s="144"/>
      <c r="V190" s="1179">
        <f t="shared" si="34"/>
        <v>616778.52</v>
      </c>
    </row>
    <row r="191" spans="1:25" s="64" customFormat="1" ht="13.8" x14ac:dyDescent="0.25">
      <c r="A191" s="60"/>
      <c r="B191" s="148"/>
      <c r="C191" s="92"/>
      <c r="D191" s="93" t="s">
        <v>211</v>
      </c>
      <c r="E191" s="136">
        <v>310600</v>
      </c>
      <c r="F191" s="74">
        <f t="shared" si="33"/>
        <v>3244.3</v>
      </c>
      <c r="G191" s="136">
        <v>600</v>
      </c>
      <c r="H191" s="136"/>
      <c r="I191" s="138"/>
      <c r="J191" s="142">
        <v>2644.3</v>
      </c>
      <c r="K191" s="144"/>
      <c r="L191" s="141"/>
      <c r="M191" s="141"/>
      <c r="N191" s="141"/>
      <c r="O191" s="136"/>
      <c r="P191" s="136"/>
      <c r="Q191" s="142"/>
      <c r="R191" s="136"/>
      <c r="S191" s="136"/>
      <c r="T191" s="136"/>
      <c r="U191" s="144"/>
      <c r="V191" s="1179">
        <f t="shared" si="34"/>
        <v>307355.7</v>
      </c>
    </row>
    <row r="192" spans="1:25" s="64" customFormat="1" ht="13.8" x14ac:dyDescent="0.25">
      <c r="A192" s="60"/>
      <c r="B192" s="148"/>
      <c r="C192" s="92"/>
      <c r="D192" s="93" t="s">
        <v>213</v>
      </c>
      <c r="E192" s="136">
        <v>387569.98</v>
      </c>
      <c r="F192" s="74">
        <f t="shared" si="33"/>
        <v>100000</v>
      </c>
      <c r="G192" s="136"/>
      <c r="H192" s="136"/>
      <c r="I192" s="138"/>
      <c r="J192" s="142">
        <v>100000</v>
      </c>
      <c r="K192" s="144"/>
      <c r="L192" s="141"/>
      <c r="M192" s="141"/>
      <c r="N192" s="141"/>
      <c r="O192" s="136"/>
      <c r="P192" s="136"/>
      <c r="Q192" s="142"/>
      <c r="R192" s="136"/>
      <c r="S192" s="136"/>
      <c r="T192" s="136"/>
      <c r="U192" s="144"/>
      <c r="V192" s="1179">
        <f t="shared" si="34"/>
        <v>287569.98</v>
      </c>
    </row>
    <row r="193" spans="1:25" s="8" customFormat="1" ht="13.8" x14ac:dyDescent="0.25">
      <c r="A193" s="70"/>
      <c r="B193" s="150"/>
      <c r="C193" s="97"/>
      <c r="D193" s="98"/>
      <c r="E193" s="151">
        <f>SUM(E189:E192)</f>
        <v>3098169.98</v>
      </c>
      <c r="F193" s="151">
        <f>SUM(F189:F192)</f>
        <v>486465.77999999997</v>
      </c>
      <c r="G193" s="151">
        <f t="shared" ref="G193:U193" si="36">SUM(G184:G186)</f>
        <v>0</v>
      </c>
      <c r="H193" s="151">
        <f t="shared" si="36"/>
        <v>0</v>
      </c>
      <c r="I193" s="151">
        <f t="shared" si="36"/>
        <v>0</v>
      </c>
      <c r="J193" s="151">
        <f t="shared" si="36"/>
        <v>584000</v>
      </c>
      <c r="K193" s="151">
        <f t="shared" si="36"/>
        <v>0</v>
      </c>
      <c r="L193" s="151">
        <f t="shared" si="36"/>
        <v>0</v>
      </c>
      <c r="M193" s="151">
        <f t="shared" si="36"/>
        <v>19200</v>
      </c>
      <c r="N193" s="151">
        <f t="shared" si="36"/>
        <v>0</v>
      </c>
      <c r="O193" s="151">
        <f t="shared" si="36"/>
        <v>0</v>
      </c>
      <c r="P193" s="151">
        <f t="shared" si="36"/>
        <v>0</v>
      </c>
      <c r="Q193" s="151">
        <f t="shared" si="36"/>
        <v>0</v>
      </c>
      <c r="R193" s="152">
        <f t="shared" si="36"/>
        <v>0</v>
      </c>
      <c r="S193" s="152">
        <f t="shared" si="36"/>
        <v>0</v>
      </c>
      <c r="T193" s="152">
        <f t="shared" si="36"/>
        <v>0</v>
      </c>
      <c r="U193" s="1153">
        <f t="shared" si="36"/>
        <v>0</v>
      </c>
      <c r="V193" s="1196">
        <f>SUM(V188:V192)</f>
        <v>2611704.2000000002</v>
      </c>
      <c r="X193" s="80"/>
      <c r="Y193" s="80"/>
    </row>
    <row r="194" spans="1:25" s="8" customFormat="1" ht="13.8" x14ac:dyDescent="0.25">
      <c r="A194" s="70"/>
      <c r="B194" s="150"/>
      <c r="C194" s="97"/>
      <c r="D194" s="98"/>
      <c r="E194" s="151"/>
      <c r="F194" s="151"/>
      <c r="G194" s="151"/>
      <c r="H194" s="151"/>
      <c r="I194" s="731"/>
      <c r="J194" s="732"/>
      <c r="K194" s="733"/>
      <c r="L194" s="151"/>
      <c r="M194" s="151"/>
      <c r="N194" s="151"/>
      <c r="O194" s="151"/>
      <c r="P194" s="151"/>
      <c r="Q194" s="732"/>
      <c r="R194" s="152"/>
      <c r="S194" s="152"/>
      <c r="T194" s="152"/>
      <c r="U194" s="1153"/>
      <c r="V194" s="1186"/>
      <c r="X194" s="80"/>
      <c r="Y194" s="80"/>
    </row>
    <row r="195" spans="1:25" s="64" customFormat="1" ht="13.8" x14ac:dyDescent="0.25">
      <c r="A195" s="60"/>
      <c r="B195" s="148" t="s">
        <v>214</v>
      </c>
      <c r="C195" s="92"/>
      <c r="D195" s="93" t="s">
        <v>142</v>
      </c>
      <c r="E195" s="178">
        <v>200000</v>
      </c>
      <c r="F195" s="162">
        <f>SUM(G195:U195)</f>
        <v>0</v>
      </c>
      <c r="G195" s="162"/>
      <c r="H195" s="162"/>
      <c r="I195" s="164"/>
      <c r="J195" s="165"/>
      <c r="K195" s="166"/>
      <c r="L195" s="162"/>
      <c r="M195" s="162"/>
      <c r="N195" s="162"/>
      <c r="O195" s="162"/>
      <c r="P195" s="162"/>
      <c r="Q195" s="165"/>
      <c r="R195" s="185"/>
      <c r="S195" s="185"/>
      <c r="T195" s="185"/>
      <c r="U195" s="1154"/>
      <c r="V195" s="1179">
        <f t="shared" ref="V195:V199" si="37">E195-F195</f>
        <v>200000</v>
      </c>
      <c r="X195" s="163"/>
      <c r="Y195" s="163"/>
    </row>
    <row r="196" spans="1:25" s="64" customFormat="1" ht="13.8" x14ac:dyDescent="0.25">
      <c r="A196" s="60"/>
      <c r="B196" s="148"/>
      <c r="C196" s="92"/>
      <c r="D196" s="93"/>
      <c r="E196" s="162"/>
      <c r="F196" s="162"/>
      <c r="G196" s="162"/>
      <c r="H196" s="162"/>
      <c r="I196" s="164"/>
      <c r="J196" s="165"/>
      <c r="K196" s="166"/>
      <c r="L196" s="162"/>
      <c r="M196" s="162"/>
      <c r="N196" s="162"/>
      <c r="O196" s="162"/>
      <c r="P196" s="162"/>
      <c r="Q196" s="165"/>
      <c r="R196" s="185"/>
      <c r="S196" s="185"/>
      <c r="T196" s="185"/>
      <c r="U196" s="1154"/>
      <c r="V196" s="1179">
        <f t="shared" si="37"/>
        <v>0</v>
      </c>
      <c r="X196" s="163"/>
      <c r="Y196" s="163"/>
    </row>
    <row r="197" spans="1:25" s="64" customFormat="1" ht="13.8" x14ac:dyDescent="0.25">
      <c r="A197" s="60"/>
      <c r="B197" s="148" t="s">
        <v>10</v>
      </c>
      <c r="C197" s="92"/>
      <c r="D197" s="93" t="s">
        <v>142</v>
      </c>
      <c r="E197" s="178">
        <v>21850</v>
      </c>
      <c r="F197" s="162">
        <f>SUM(G197:U197)</f>
        <v>0</v>
      </c>
      <c r="G197" s="162"/>
      <c r="H197" s="162"/>
      <c r="I197" s="164"/>
      <c r="J197" s="165"/>
      <c r="K197" s="166"/>
      <c r="L197" s="162"/>
      <c r="M197" s="162"/>
      <c r="N197" s="162"/>
      <c r="O197" s="162"/>
      <c r="P197" s="162"/>
      <c r="Q197" s="165"/>
      <c r="R197" s="185"/>
      <c r="S197" s="185"/>
      <c r="T197" s="185"/>
      <c r="U197" s="1154"/>
      <c r="V197" s="1179">
        <f t="shared" si="37"/>
        <v>21850</v>
      </c>
      <c r="X197" s="163"/>
      <c r="Y197" s="163"/>
    </row>
    <row r="198" spans="1:25" s="64" customFormat="1" ht="13.8" x14ac:dyDescent="0.25">
      <c r="A198" s="60"/>
      <c r="B198" s="148"/>
      <c r="C198" s="92"/>
      <c r="D198" s="93"/>
      <c r="E198" s="162"/>
      <c r="F198" s="162"/>
      <c r="G198" s="162"/>
      <c r="H198" s="162"/>
      <c r="I198" s="164"/>
      <c r="J198" s="165"/>
      <c r="K198" s="166"/>
      <c r="L198" s="162"/>
      <c r="M198" s="162"/>
      <c r="N198" s="162"/>
      <c r="O198" s="162"/>
      <c r="P198" s="162"/>
      <c r="Q198" s="165"/>
      <c r="R198" s="185"/>
      <c r="S198" s="185"/>
      <c r="T198" s="185"/>
      <c r="U198" s="1154"/>
      <c r="V198" s="1179">
        <f t="shared" si="37"/>
        <v>0</v>
      </c>
      <c r="X198" s="163"/>
      <c r="Y198" s="163"/>
    </row>
    <row r="199" spans="1:25" s="8" customFormat="1" ht="13.8" x14ac:dyDescent="0.25">
      <c r="A199" s="70"/>
      <c r="B199" s="150"/>
      <c r="C199" s="97"/>
      <c r="D199" s="98"/>
      <c r="E199" s="105"/>
      <c r="F199" s="74"/>
      <c r="G199" s="105"/>
      <c r="H199" s="105"/>
      <c r="I199" s="179"/>
      <c r="J199" s="110"/>
      <c r="K199" s="180"/>
      <c r="L199" s="109"/>
      <c r="M199" s="109"/>
      <c r="N199" s="109"/>
      <c r="O199" s="105"/>
      <c r="P199" s="105"/>
      <c r="Q199" s="110"/>
      <c r="R199" s="105"/>
      <c r="S199" s="105"/>
      <c r="T199" s="105"/>
      <c r="U199" s="180"/>
      <c r="V199" s="1179">
        <f t="shared" si="37"/>
        <v>0</v>
      </c>
    </row>
    <row r="200" spans="1:25" s="8" customFormat="1" ht="13.8" x14ac:dyDescent="0.25">
      <c r="A200" s="70"/>
      <c r="B200" s="186" t="s">
        <v>215</v>
      </c>
      <c r="C200" s="97"/>
      <c r="D200" s="98" t="s">
        <v>166</v>
      </c>
      <c r="E200" s="105"/>
      <c r="F200" s="74">
        <f>SUM(G200:U200)</f>
        <v>0</v>
      </c>
      <c r="G200" s="105"/>
      <c r="H200" s="105"/>
      <c r="I200" s="179"/>
      <c r="J200" s="110"/>
      <c r="K200" s="180"/>
      <c r="L200" s="109"/>
      <c r="M200" s="109"/>
      <c r="N200" s="109"/>
      <c r="O200" s="105"/>
      <c r="P200" s="105"/>
      <c r="Q200" s="110"/>
      <c r="R200" s="105"/>
      <c r="S200" s="105"/>
      <c r="T200" s="105"/>
      <c r="U200" s="180"/>
      <c r="V200" s="1179">
        <f>E200-F200</f>
        <v>0</v>
      </c>
    </row>
    <row r="201" spans="1:25" s="64" customFormat="1" ht="13.8" x14ac:dyDescent="0.25">
      <c r="A201" s="60"/>
      <c r="B201" s="148"/>
      <c r="C201" s="92"/>
      <c r="D201" s="93" t="s">
        <v>142</v>
      </c>
      <c r="E201" s="136">
        <v>300000</v>
      </c>
      <c r="F201" s="58">
        <f>SUM(G201:U201)</f>
        <v>0</v>
      </c>
      <c r="G201" s="136"/>
      <c r="H201" s="136"/>
      <c r="I201" s="138"/>
      <c r="J201" s="142"/>
      <c r="K201" s="144"/>
      <c r="L201" s="141"/>
      <c r="M201" s="141"/>
      <c r="N201" s="141"/>
      <c r="O201" s="136"/>
      <c r="P201" s="136"/>
      <c r="Q201" s="142"/>
      <c r="R201" s="136"/>
      <c r="S201" s="136"/>
      <c r="T201" s="136"/>
      <c r="U201" s="144"/>
      <c r="V201" s="1176">
        <f>E201-F201</f>
        <v>300000</v>
      </c>
    </row>
    <row r="202" spans="1:25" s="64" customFormat="1" ht="13.8" x14ac:dyDescent="0.25">
      <c r="A202" s="60"/>
      <c r="B202" s="148"/>
      <c r="C202" s="92"/>
      <c r="D202" s="93" t="s">
        <v>150</v>
      </c>
      <c r="E202" s="136">
        <v>100000</v>
      </c>
      <c r="F202" s="58">
        <f>SUM(G202:U202)</f>
        <v>0</v>
      </c>
      <c r="G202" s="136"/>
      <c r="H202" s="136"/>
      <c r="I202" s="138"/>
      <c r="J202" s="142"/>
      <c r="K202" s="144"/>
      <c r="L202" s="141"/>
      <c r="M202" s="141"/>
      <c r="N202" s="141"/>
      <c r="O202" s="136"/>
      <c r="P202" s="136"/>
      <c r="Q202" s="142"/>
      <c r="R202" s="136"/>
      <c r="S202" s="136"/>
      <c r="T202" s="136"/>
      <c r="U202" s="144"/>
      <c r="V202" s="1176">
        <f>E202-F202</f>
        <v>100000</v>
      </c>
    </row>
    <row r="203" spans="1:25" s="8" customFormat="1" ht="13.8" x14ac:dyDescent="0.25">
      <c r="A203" s="70"/>
      <c r="B203" s="150"/>
      <c r="C203" s="97"/>
      <c r="D203" s="98"/>
      <c r="E203" s="151">
        <f>SUM(E200:E202)</f>
        <v>400000</v>
      </c>
      <c r="F203" s="151">
        <f>SUM(F200:F202)</f>
        <v>0</v>
      </c>
      <c r="G203" s="151">
        <f>SUM(G201:G202)</f>
        <v>0</v>
      </c>
      <c r="H203" s="151">
        <f>SUM(H202:H202)</f>
        <v>0</v>
      </c>
      <c r="I203" s="151">
        <f>SUM(I201)</f>
        <v>0</v>
      </c>
      <c r="J203" s="151">
        <f>SUM(J201)</f>
        <v>0</v>
      </c>
      <c r="K203" s="151">
        <f>SUM(K201)</f>
        <v>0</v>
      </c>
      <c r="L203" s="151">
        <f>SUM(L201)</f>
        <v>0</v>
      </c>
      <c r="M203" s="151">
        <f t="shared" ref="M203:U203" si="38">SUM(M200:M202)</f>
        <v>0</v>
      </c>
      <c r="N203" s="151">
        <f t="shared" si="38"/>
        <v>0</v>
      </c>
      <c r="O203" s="151">
        <f t="shared" si="38"/>
        <v>0</v>
      </c>
      <c r="P203" s="151">
        <f t="shared" si="38"/>
        <v>0</v>
      </c>
      <c r="Q203" s="151">
        <f t="shared" si="38"/>
        <v>0</v>
      </c>
      <c r="R203" s="151">
        <f>SUM(R200:R202)</f>
        <v>0</v>
      </c>
      <c r="S203" s="151">
        <f t="shared" ref="S203:T203" si="39">SUM(S200:S202)</f>
        <v>0</v>
      </c>
      <c r="T203" s="151">
        <f t="shared" si="39"/>
        <v>0</v>
      </c>
      <c r="U203" s="733">
        <f t="shared" si="38"/>
        <v>0</v>
      </c>
      <c r="V203" s="1186">
        <f>SUM(V195:V202)</f>
        <v>621850</v>
      </c>
    </row>
    <row r="204" spans="1:25" s="8" customFormat="1" ht="13.8" x14ac:dyDescent="0.25">
      <c r="A204" s="70"/>
      <c r="B204" s="150"/>
      <c r="C204" s="97"/>
      <c r="D204" s="98"/>
      <c r="E204" s="151"/>
      <c r="F204" s="151"/>
      <c r="G204" s="151"/>
      <c r="H204" s="151"/>
      <c r="I204" s="731"/>
      <c r="J204" s="732"/>
      <c r="K204" s="733"/>
      <c r="L204" s="151"/>
      <c r="M204" s="151"/>
      <c r="N204" s="151"/>
      <c r="O204" s="151"/>
      <c r="P204" s="151"/>
      <c r="Q204" s="732"/>
      <c r="R204" s="151"/>
      <c r="S204" s="151"/>
      <c r="T204" s="151"/>
      <c r="U204" s="733"/>
      <c r="V204" s="1186"/>
    </row>
    <row r="205" spans="1:25" s="8" customFormat="1" ht="13.8" x14ac:dyDescent="0.25">
      <c r="A205" s="70"/>
      <c r="B205" s="186" t="s">
        <v>216</v>
      </c>
      <c r="C205" s="97"/>
      <c r="D205" s="98" t="s">
        <v>150</v>
      </c>
      <c r="E205" s="182"/>
      <c r="F205" s="74">
        <f>SUM(G205:U205)</f>
        <v>0</v>
      </c>
      <c r="G205" s="105"/>
      <c r="H205" s="105"/>
      <c r="I205" s="179"/>
      <c r="J205" s="110"/>
      <c r="K205" s="180"/>
      <c r="L205" s="109"/>
      <c r="M205" s="109"/>
      <c r="N205" s="109"/>
      <c r="O205" s="105"/>
      <c r="P205" s="105"/>
      <c r="Q205" s="110"/>
      <c r="R205" s="105"/>
      <c r="S205" s="105"/>
      <c r="T205" s="105"/>
      <c r="U205" s="180"/>
      <c r="V205" s="1179">
        <f>E205-F205</f>
        <v>0</v>
      </c>
    </row>
    <row r="206" spans="1:25" s="8" customFormat="1" ht="13.8" x14ac:dyDescent="0.25">
      <c r="A206" s="70"/>
      <c r="B206" s="150"/>
      <c r="C206" s="97"/>
      <c r="D206" s="98" t="s">
        <v>142</v>
      </c>
      <c r="E206" s="182"/>
      <c r="F206" s="74">
        <f>SUM(G206:U206)</f>
        <v>0</v>
      </c>
      <c r="G206" s="105"/>
      <c r="H206" s="105"/>
      <c r="I206" s="179"/>
      <c r="J206" s="110"/>
      <c r="K206" s="180"/>
      <c r="L206" s="109"/>
      <c r="M206" s="109"/>
      <c r="N206" s="109"/>
      <c r="O206" s="105"/>
      <c r="P206" s="105"/>
      <c r="Q206" s="110"/>
      <c r="R206" s="105"/>
      <c r="S206" s="105"/>
      <c r="T206" s="105"/>
      <c r="U206" s="180"/>
      <c r="V206" s="1179">
        <f>E206-F206</f>
        <v>0</v>
      </c>
    </row>
    <row r="207" spans="1:25" s="8" customFormat="1" ht="13.8" x14ac:dyDescent="0.25">
      <c r="A207" s="70"/>
      <c r="B207" s="150"/>
      <c r="C207" s="97"/>
      <c r="D207" s="98" t="s">
        <v>166</v>
      </c>
      <c r="E207" s="182"/>
      <c r="F207" s="74">
        <f t="shared" ref="F207:F209" si="40">SUM(G207:U207)</f>
        <v>0</v>
      </c>
      <c r="G207" s="105"/>
      <c r="H207" s="105"/>
      <c r="I207" s="179"/>
      <c r="J207" s="110"/>
      <c r="K207" s="180"/>
      <c r="L207" s="109"/>
      <c r="M207" s="109"/>
      <c r="N207" s="109"/>
      <c r="O207" s="105"/>
      <c r="P207" s="105"/>
      <c r="Q207" s="110"/>
      <c r="R207" s="105"/>
      <c r="S207" s="105"/>
      <c r="T207" s="105"/>
      <c r="U207" s="180"/>
      <c r="V207" s="1179">
        <f t="shared" ref="V207:V222" si="41">E207-F207</f>
        <v>0</v>
      </c>
    </row>
    <row r="208" spans="1:25" s="8" customFormat="1" ht="13.8" x14ac:dyDescent="0.25">
      <c r="A208" s="70"/>
      <c r="B208" s="150"/>
      <c r="C208" s="97"/>
      <c r="D208" s="98" t="s">
        <v>173</v>
      </c>
      <c r="E208" s="182">
        <v>0</v>
      </c>
      <c r="F208" s="74">
        <f t="shared" si="40"/>
        <v>0</v>
      </c>
      <c r="G208" s="105"/>
      <c r="H208" s="105"/>
      <c r="I208" s="179"/>
      <c r="J208" s="110"/>
      <c r="K208" s="180"/>
      <c r="L208" s="109"/>
      <c r="M208" s="109"/>
      <c r="N208" s="109"/>
      <c r="O208" s="105"/>
      <c r="P208" s="105"/>
      <c r="Q208" s="110"/>
      <c r="R208" s="105"/>
      <c r="S208" s="105"/>
      <c r="T208" s="105"/>
      <c r="U208" s="180"/>
      <c r="V208" s="1179">
        <f>E208-F208</f>
        <v>0</v>
      </c>
    </row>
    <row r="209" spans="1:25" s="8" customFormat="1" ht="13.8" x14ac:dyDescent="0.25">
      <c r="A209" s="70"/>
      <c r="B209" s="150"/>
      <c r="C209" s="97"/>
      <c r="D209" s="98" t="s">
        <v>174</v>
      </c>
      <c r="E209" s="182"/>
      <c r="F209" s="74">
        <f t="shared" si="40"/>
        <v>0</v>
      </c>
      <c r="G209" s="105"/>
      <c r="H209" s="105"/>
      <c r="I209" s="179"/>
      <c r="J209" s="110"/>
      <c r="K209" s="180"/>
      <c r="L209" s="109"/>
      <c r="M209" s="109"/>
      <c r="N209" s="109"/>
      <c r="O209" s="105"/>
      <c r="P209" s="105"/>
      <c r="Q209" s="110"/>
      <c r="R209" s="105"/>
      <c r="S209" s="105"/>
      <c r="T209" s="105"/>
      <c r="U209" s="180"/>
      <c r="V209" s="1179">
        <f t="shared" si="41"/>
        <v>0</v>
      </c>
    </row>
    <row r="210" spans="1:25" s="8" customFormat="1" ht="13.8" x14ac:dyDescent="0.25">
      <c r="A210" s="70"/>
      <c r="B210" s="150"/>
      <c r="C210" s="97"/>
      <c r="D210" s="98"/>
      <c r="E210" s="187">
        <f>SUM(E205:E209)</f>
        <v>0</v>
      </c>
      <c r="F210" s="187">
        <f>SUM(F205:F209)</f>
        <v>0</v>
      </c>
      <c r="G210" s="187">
        <f t="shared" ref="G210:V210" si="42">SUM(G205:G209)</f>
        <v>0</v>
      </c>
      <c r="H210" s="187">
        <f t="shared" si="42"/>
        <v>0</v>
      </c>
      <c r="I210" s="187">
        <f t="shared" si="42"/>
        <v>0</v>
      </c>
      <c r="J210" s="187">
        <f t="shared" si="42"/>
        <v>0</v>
      </c>
      <c r="K210" s="187">
        <f t="shared" si="42"/>
        <v>0</v>
      </c>
      <c r="L210" s="187">
        <f t="shared" si="42"/>
        <v>0</v>
      </c>
      <c r="M210" s="187">
        <f t="shared" si="42"/>
        <v>0</v>
      </c>
      <c r="N210" s="187">
        <f t="shared" si="42"/>
        <v>0</v>
      </c>
      <c r="O210" s="187">
        <f t="shared" si="42"/>
        <v>0</v>
      </c>
      <c r="P210" s="187">
        <f t="shared" si="42"/>
        <v>0</v>
      </c>
      <c r="Q210" s="187">
        <f t="shared" si="42"/>
        <v>0</v>
      </c>
      <c r="R210" s="187">
        <f t="shared" si="42"/>
        <v>0</v>
      </c>
      <c r="S210" s="187">
        <f t="shared" si="42"/>
        <v>0</v>
      </c>
      <c r="T210" s="188">
        <f t="shared" si="42"/>
        <v>0</v>
      </c>
      <c r="U210" s="200">
        <f t="shared" si="42"/>
        <v>0</v>
      </c>
      <c r="V210" s="1197">
        <f t="shared" si="42"/>
        <v>0</v>
      </c>
    </row>
    <row r="211" spans="1:25" s="64" customFormat="1" ht="13.8" x14ac:dyDescent="0.25">
      <c r="A211" s="60"/>
      <c r="B211" s="189" t="s">
        <v>217</v>
      </c>
      <c r="C211" s="92"/>
      <c r="D211" s="93" t="s">
        <v>166</v>
      </c>
      <c r="E211" s="136"/>
      <c r="F211" s="58">
        <f>SUM(G211:U211)</f>
        <v>0</v>
      </c>
      <c r="G211" s="136"/>
      <c r="H211" s="136">
        <f>SUM(H205:H206)</f>
        <v>0</v>
      </c>
      <c r="I211" s="138">
        <f>SUM(I205:I206)</f>
        <v>0</v>
      </c>
      <c r="J211" s="142"/>
      <c r="K211" s="144">
        <v>0</v>
      </c>
      <c r="L211" s="141">
        <v>0</v>
      </c>
      <c r="M211" s="141"/>
      <c r="N211" s="141">
        <f>SUM(N205:N206)</f>
        <v>0</v>
      </c>
      <c r="O211" s="177">
        <f>SUM(O205:O206)</f>
        <v>0</v>
      </c>
      <c r="P211" s="136"/>
      <c r="Q211" s="142">
        <f>SUM(Q205:Q206)</f>
        <v>0</v>
      </c>
      <c r="R211" s="136">
        <v>0</v>
      </c>
      <c r="S211" s="177"/>
      <c r="T211" s="177"/>
      <c r="U211" s="144"/>
      <c r="V211" s="1176">
        <f t="shared" si="41"/>
        <v>0</v>
      </c>
      <c r="X211" s="163"/>
      <c r="Y211" s="163"/>
    </row>
    <row r="212" spans="1:25" s="64" customFormat="1" ht="13.8" x14ac:dyDescent="0.25">
      <c r="A212" s="60"/>
      <c r="B212" s="148"/>
      <c r="C212" s="92"/>
      <c r="D212" s="93" t="s">
        <v>142</v>
      </c>
      <c r="E212" s="136"/>
      <c r="F212" s="58">
        <f>SUM(G212:U212)</f>
        <v>0</v>
      </c>
      <c r="G212" s="136"/>
      <c r="H212" s="136"/>
      <c r="I212" s="138"/>
      <c r="J212" s="142"/>
      <c r="K212" s="144">
        <v>0</v>
      </c>
      <c r="L212" s="141">
        <v>0</v>
      </c>
      <c r="M212" s="141"/>
      <c r="N212" s="141"/>
      <c r="O212" s="177"/>
      <c r="P212" s="136"/>
      <c r="Q212" s="142"/>
      <c r="R212" s="177"/>
      <c r="S212" s="177"/>
      <c r="T212" s="177"/>
      <c r="U212" s="144"/>
      <c r="V212" s="1176">
        <f t="shared" si="41"/>
        <v>0</v>
      </c>
      <c r="X212" s="163"/>
      <c r="Y212" s="163"/>
    </row>
    <row r="213" spans="1:25" s="64" customFormat="1" ht="13.8" x14ac:dyDescent="0.25">
      <c r="A213" s="60"/>
      <c r="B213" s="148"/>
      <c r="C213" s="92"/>
      <c r="D213" s="93" t="s">
        <v>150</v>
      </c>
      <c r="E213" s="136"/>
      <c r="F213" s="58">
        <f>SUM(G213:U213)</f>
        <v>0</v>
      </c>
      <c r="G213" s="136"/>
      <c r="H213" s="136"/>
      <c r="I213" s="138"/>
      <c r="J213" s="142"/>
      <c r="K213" s="144">
        <v>0</v>
      </c>
      <c r="L213" s="141">
        <v>0</v>
      </c>
      <c r="M213" s="141"/>
      <c r="N213" s="141"/>
      <c r="O213" s="177"/>
      <c r="P213" s="136"/>
      <c r="Q213" s="142"/>
      <c r="R213" s="177"/>
      <c r="S213" s="177"/>
      <c r="T213" s="177"/>
      <c r="U213" s="144"/>
      <c r="V213" s="1198">
        <f t="shared" si="41"/>
        <v>0</v>
      </c>
      <c r="X213" s="163"/>
      <c r="Y213" s="163"/>
    </row>
    <row r="214" spans="1:25" s="8" customFormat="1" ht="13.8" x14ac:dyDescent="0.25">
      <c r="A214" s="70"/>
      <c r="B214" s="189"/>
      <c r="C214" s="97"/>
      <c r="D214" s="98"/>
      <c r="E214" s="187">
        <f>SUM(E211:E213)</f>
        <v>0</v>
      </c>
      <c r="F214" s="187">
        <f t="shared" ref="F214:V214" si="43">SUM(F211:F213)</f>
        <v>0</v>
      </c>
      <c r="G214" s="187">
        <f t="shared" si="43"/>
        <v>0</v>
      </c>
      <c r="H214" s="187">
        <f t="shared" si="43"/>
        <v>0</v>
      </c>
      <c r="I214" s="187">
        <f t="shared" si="43"/>
        <v>0</v>
      </c>
      <c r="J214" s="187">
        <f t="shared" si="43"/>
        <v>0</v>
      </c>
      <c r="K214" s="187">
        <f t="shared" si="43"/>
        <v>0</v>
      </c>
      <c r="L214" s="187">
        <f t="shared" si="43"/>
        <v>0</v>
      </c>
      <c r="M214" s="187">
        <f t="shared" si="43"/>
        <v>0</v>
      </c>
      <c r="N214" s="187">
        <f t="shared" si="43"/>
        <v>0</v>
      </c>
      <c r="O214" s="187">
        <f t="shared" si="43"/>
        <v>0</v>
      </c>
      <c r="P214" s="187">
        <f t="shared" si="43"/>
        <v>0</v>
      </c>
      <c r="Q214" s="187">
        <f t="shared" si="43"/>
        <v>0</v>
      </c>
      <c r="R214" s="187">
        <f t="shared" si="43"/>
        <v>0</v>
      </c>
      <c r="S214" s="187">
        <f t="shared" si="43"/>
        <v>0</v>
      </c>
      <c r="T214" s="187">
        <f t="shared" si="43"/>
        <v>0</v>
      </c>
      <c r="U214" s="1155">
        <f t="shared" si="43"/>
        <v>0</v>
      </c>
      <c r="V214" s="1197">
        <f t="shared" si="43"/>
        <v>0</v>
      </c>
      <c r="X214" s="80"/>
      <c r="Y214" s="80"/>
    </row>
    <row r="215" spans="1:25" s="64" customFormat="1" ht="13.8" x14ac:dyDescent="0.25">
      <c r="A215" s="60"/>
      <c r="B215" s="189" t="s">
        <v>218</v>
      </c>
      <c r="C215" s="98"/>
      <c r="D215" s="98" t="s">
        <v>150</v>
      </c>
      <c r="E215" s="136">
        <v>100000</v>
      </c>
      <c r="F215" s="58">
        <f>SUM(G215:U215)</f>
        <v>0</v>
      </c>
      <c r="G215" s="177"/>
      <c r="H215" s="177"/>
      <c r="I215" s="190"/>
      <c r="J215" s="191"/>
      <c r="K215" s="192"/>
      <c r="L215" s="177"/>
      <c r="M215" s="177"/>
      <c r="N215" s="177"/>
      <c r="O215" s="177"/>
      <c r="P215" s="177"/>
      <c r="Q215" s="191"/>
      <c r="R215" s="177"/>
      <c r="S215" s="177"/>
      <c r="T215" s="177"/>
      <c r="U215" s="192"/>
      <c r="V215" s="1176">
        <f t="shared" si="41"/>
        <v>100000</v>
      </c>
      <c r="X215" s="163"/>
      <c r="Y215" s="163"/>
    </row>
    <row r="216" spans="1:25" s="64" customFormat="1" ht="13.8" x14ac:dyDescent="0.25">
      <c r="A216" s="60"/>
      <c r="B216" s="189" t="s">
        <v>219</v>
      </c>
      <c r="C216" s="193"/>
      <c r="D216" s="98" t="s">
        <v>150</v>
      </c>
      <c r="E216" s="136">
        <v>100000</v>
      </c>
      <c r="F216" s="58">
        <f t="shared" ref="F216:F222" si="44">SUM(G216:U216)</f>
        <v>0</v>
      </c>
      <c r="G216" s="177"/>
      <c r="H216" s="177"/>
      <c r="I216" s="190"/>
      <c r="J216" s="191"/>
      <c r="K216" s="192"/>
      <c r="L216" s="177"/>
      <c r="M216" s="177"/>
      <c r="N216" s="177"/>
      <c r="O216" s="177"/>
      <c r="P216" s="177"/>
      <c r="Q216" s="191"/>
      <c r="R216" s="177"/>
      <c r="S216" s="177"/>
      <c r="T216" s="177"/>
      <c r="U216" s="192"/>
      <c r="V216" s="1176">
        <f t="shared" si="41"/>
        <v>100000</v>
      </c>
      <c r="X216" s="163"/>
      <c r="Y216" s="163"/>
    </row>
    <row r="217" spans="1:25" s="64" customFormat="1" ht="13.8" x14ac:dyDescent="0.25">
      <c r="A217" s="60"/>
      <c r="B217" s="189" t="s">
        <v>220</v>
      </c>
      <c r="C217" s="193"/>
      <c r="D217" s="98" t="s">
        <v>150</v>
      </c>
      <c r="E217" s="136">
        <v>100000</v>
      </c>
      <c r="F217" s="58">
        <f t="shared" si="44"/>
        <v>0</v>
      </c>
      <c r="G217" s="177"/>
      <c r="H217" s="177"/>
      <c r="I217" s="190"/>
      <c r="J217" s="191"/>
      <c r="K217" s="192"/>
      <c r="L217" s="177"/>
      <c r="M217" s="177"/>
      <c r="N217" s="177"/>
      <c r="O217" s="177"/>
      <c r="P217" s="177"/>
      <c r="Q217" s="191"/>
      <c r="R217" s="177"/>
      <c r="S217" s="177"/>
      <c r="T217" s="177"/>
      <c r="U217" s="192"/>
      <c r="V217" s="1176">
        <f t="shared" si="41"/>
        <v>100000</v>
      </c>
      <c r="X217" s="163"/>
      <c r="Y217" s="163"/>
    </row>
    <row r="218" spans="1:25" s="64" customFormat="1" ht="13.8" x14ac:dyDescent="0.25">
      <c r="A218" s="60"/>
      <c r="B218" s="189" t="s">
        <v>221</v>
      </c>
      <c r="C218" s="92"/>
      <c r="D218" s="93" t="s">
        <v>150</v>
      </c>
      <c r="E218" s="136">
        <v>150000</v>
      </c>
      <c r="F218" s="58">
        <f t="shared" si="44"/>
        <v>96000</v>
      </c>
      <c r="G218" s="177"/>
      <c r="H218" s="177"/>
      <c r="I218" s="190"/>
      <c r="J218" s="191"/>
      <c r="K218" s="192"/>
      <c r="L218" s="177"/>
      <c r="M218" s="136">
        <v>96000</v>
      </c>
      <c r="N218" s="177"/>
      <c r="O218" s="177"/>
      <c r="P218" s="177"/>
      <c r="Q218" s="191"/>
      <c r="R218" s="177"/>
      <c r="S218" s="177"/>
      <c r="T218" s="177"/>
      <c r="U218" s="192"/>
      <c r="V218" s="1176">
        <f t="shared" si="41"/>
        <v>54000</v>
      </c>
      <c r="X218" s="163"/>
      <c r="Y218" s="163"/>
    </row>
    <row r="219" spans="1:25" s="64" customFormat="1" ht="13.8" x14ac:dyDescent="0.25">
      <c r="A219" s="60"/>
      <c r="B219" s="189" t="s">
        <v>222</v>
      </c>
      <c r="C219" s="92"/>
      <c r="D219" s="93" t="s">
        <v>150</v>
      </c>
      <c r="E219" s="136">
        <v>170696</v>
      </c>
      <c r="F219" s="58">
        <f t="shared" si="44"/>
        <v>0</v>
      </c>
      <c r="G219" s="177"/>
      <c r="H219" s="177"/>
      <c r="I219" s="190"/>
      <c r="J219" s="191"/>
      <c r="K219" s="192"/>
      <c r="L219" s="177"/>
      <c r="M219" s="177"/>
      <c r="N219" s="177"/>
      <c r="O219" s="177"/>
      <c r="P219" s="177"/>
      <c r="Q219" s="191"/>
      <c r="R219" s="177"/>
      <c r="S219" s="177"/>
      <c r="T219" s="177"/>
      <c r="U219" s="192"/>
      <c r="V219" s="1176">
        <f t="shared" si="41"/>
        <v>170696</v>
      </c>
      <c r="X219" s="163"/>
      <c r="Y219" s="163"/>
    </row>
    <row r="220" spans="1:25" s="8" customFormat="1" ht="13.8" x14ac:dyDescent="0.25">
      <c r="A220" s="70"/>
      <c r="B220" s="189" t="s">
        <v>223</v>
      </c>
      <c r="C220" s="97"/>
      <c r="D220" s="98" t="s">
        <v>142</v>
      </c>
      <c r="E220" s="182">
        <f>200000</f>
        <v>200000</v>
      </c>
      <c r="F220" s="58">
        <f t="shared" si="44"/>
        <v>0</v>
      </c>
      <c r="G220" s="182"/>
      <c r="H220" s="182"/>
      <c r="I220" s="194"/>
      <c r="J220" s="195"/>
      <c r="K220" s="196"/>
      <c r="L220" s="197"/>
      <c r="M220" s="197"/>
      <c r="N220" s="197"/>
      <c r="O220" s="198"/>
      <c r="P220" s="182"/>
      <c r="Q220" s="195"/>
      <c r="R220" s="198"/>
      <c r="S220" s="198"/>
      <c r="T220" s="198"/>
      <c r="U220" s="196"/>
      <c r="V220" s="1176">
        <f t="shared" si="41"/>
        <v>200000</v>
      </c>
      <c r="X220" s="80"/>
      <c r="Y220" s="80"/>
    </row>
    <row r="221" spans="1:25" s="8" customFormat="1" ht="13.8" x14ac:dyDescent="0.25">
      <c r="A221" s="70"/>
      <c r="B221" s="189"/>
      <c r="C221" s="97"/>
      <c r="D221" s="98" t="s">
        <v>145</v>
      </c>
      <c r="E221" s="182">
        <v>600000</v>
      </c>
      <c r="F221" s="58">
        <f t="shared" si="44"/>
        <v>300000</v>
      </c>
      <c r="G221" s="887"/>
      <c r="H221" s="887"/>
      <c r="I221" s="888"/>
      <c r="J221" s="889">
        <v>300000</v>
      </c>
      <c r="K221" s="196"/>
      <c r="L221" s="197"/>
      <c r="M221" s="197"/>
      <c r="N221" s="197"/>
      <c r="O221" s="198"/>
      <c r="P221" s="182"/>
      <c r="Q221" s="195"/>
      <c r="R221" s="198"/>
      <c r="S221" s="198"/>
      <c r="T221" s="198"/>
      <c r="U221" s="196"/>
      <c r="V221" s="1176">
        <f t="shared" si="41"/>
        <v>300000</v>
      </c>
      <c r="X221" s="80"/>
      <c r="Y221" s="80"/>
    </row>
    <row r="222" spans="1:25" s="8" customFormat="1" ht="13.8" x14ac:dyDescent="0.25">
      <c r="A222" s="70"/>
      <c r="B222" s="189"/>
      <c r="C222" s="97"/>
      <c r="D222" s="98" t="s">
        <v>168</v>
      </c>
      <c r="E222" s="760">
        <v>5000</v>
      </c>
      <c r="F222" s="400">
        <f t="shared" si="44"/>
        <v>5000</v>
      </c>
      <c r="G222" s="1296"/>
      <c r="H222" s="1296"/>
      <c r="I222" s="1297"/>
      <c r="J222" s="1298">
        <v>5000</v>
      </c>
      <c r="K222" s="762"/>
      <c r="L222" s="763"/>
      <c r="M222" s="763"/>
      <c r="N222" s="763"/>
      <c r="O222" s="764"/>
      <c r="P222" s="760"/>
      <c r="Q222" s="761"/>
      <c r="R222" s="764"/>
      <c r="S222" s="764"/>
      <c r="T222" s="764"/>
      <c r="U222" s="762"/>
      <c r="V222" s="1176">
        <f t="shared" si="41"/>
        <v>0</v>
      </c>
      <c r="X222" s="80"/>
      <c r="Y222" s="80"/>
    </row>
    <row r="223" spans="1:25" s="8" customFormat="1" ht="13.8" x14ac:dyDescent="0.25">
      <c r="A223" s="70"/>
      <c r="B223" s="189"/>
      <c r="C223" s="97"/>
      <c r="D223" s="1228"/>
      <c r="E223" s="188"/>
      <c r="F223" s="1227">
        <f>SUM(F221:F222)</f>
        <v>305000</v>
      </c>
      <c r="G223" s="199">
        <f t="shared" ref="G223:U223" si="45">SUM(G221:G222)</f>
        <v>0</v>
      </c>
      <c r="H223" s="1226">
        <f t="shared" si="45"/>
        <v>0</v>
      </c>
      <c r="I223" s="1156">
        <f t="shared" si="45"/>
        <v>0</v>
      </c>
      <c r="J223" s="1229">
        <f t="shared" si="45"/>
        <v>305000</v>
      </c>
      <c r="K223" s="1229">
        <f t="shared" si="45"/>
        <v>0</v>
      </c>
      <c r="L223" s="1229">
        <f t="shared" si="45"/>
        <v>0</v>
      </c>
      <c r="M223" s="199">
        <f t="shared" si="45"/>
        <v>0</v>
      </c>
      <c r="N223" s="1230">
        <f t="shared" si="45"/>
        <v>0</v>
      </c>
      <c r="O223" s="199">
        <f t="shared" si="45"/>
        <v>0</v>
      </c>
      <c r="P223" s="1230">
        <f t="shared" si="45"/>
        <v>0</v>
      </c>
      <c r="Q223" s="199">
        <f t="shared" si="45"/>
        <v>0</v>
      </c>
      <c r="R223" s="1230">
        <f t="shared" si="45"/>
        <v>0</v>
      </c>
      <c r="S223" s="199">
        <f t="shared" si="45"/>
        <v>0</v>
      </c>
      <c r="T223" s="199">
        <f t="shared" si="45"/>
        <v>0</v>
      </c>
      <c r="U223" s="1230">
        <f t="shared" si="45"/>
        <v>0</v>
      </c>
      <c r="V223" s="1186">
        <f>SUM(V215:V222)</f>
        <v>1024696</v>
      </c>
      <c r="X223" s="80"/>
      <c r="Y223" s="80"/>
    </row>
    <row r="224" spans="1:25" s="8" customFormat="1" ht="13.8" x14ac:dyDescent="0.25">
      <c r="A224" s="70"/>
      <c r="B224" s="186" t="s">
        <v>224</v>
      </c>
      <c r="C224" s="97"/>
      <c r="D224" s="98"/>
      <c r="E224" s="765"/>
      <c r="F224" s="94"/>
      <c r="G224" s="765"/>
      <c r="H224" s="765"/>
      <c r="I224" s="766"/>
      <c r="J224" s="767"/>
      <c r="K224" s="768"/>
      <c r="L224" s="769"/>
      <c r="M224" s="769"/>
      <c r="N224" s="769"/>
      <c r="O224" s="765"/>
      <c r="P224" s="765"/>
      <c r="Q224" s="767"/>
      <c r="R224" s="765"/>
      <c r="S224" s="765"/>
      <c r="T224" s="765"/>
      <c r="U224" s="768"/>
      <c r="V224" s="1188"/>
    </row>
    <row r="225" spans="1:25" s="8" customFormat="1" ht="13.8" x14ac:dyDescent="0.25">
      <c r="A225" s="70"/>
      <c r="B225" s="150"/>
      <c r="C225" s="97"/>
      <c r="D225" s="98" t="s">
        <v>174</v>
      </c>
      <c r="E225" s="136"/>
      <c r="F225" s="58">
        <f>SUM(G225:U225)</f>
        <v>0</v>
      </c>
      <c r="G225" s="136"/>
      <c r="H225" s="136"/>
      <c r="I225" s="138"/>
      <c r="J225" s="142"/>
      <c r="K225" s="144"/>
      <c r="L225" s="141"/>
      <c r="M225" s="141"/>
      <c r="N225" s="141"/>
      <c r="O225" s="136"/>
      <c r="P225" s="136"/>
      <c r="Q225" s="142"/>
      <c r="R225" s="136"/>
      <c r="S225" s="136"/>
      <c r="T225" s="136"/>
      <c r="U225" s="144"/>
      <c r="V225" s="1179">
        <f>E225-F225</f>
        <v>0</v>
      </c>
    </row>
    <row r="226" spans="1:25" s="8" customFormat="1" ht="13.8" x14ac:dyDescent="0.25">
      <c r="A226" s="70"/>
      <c r="B226" s="150"/>
      <c r="C226" s="97"/>
      <c r="D226" s="98" t="s">
        <v>173</v>
      </c>
      <c r="E226" s="136"/>
      <c r="F226" s="58">
        <f>SUM(G226:U226)</f>
        <v>0</v>
      </c>
      <c r="G226" s="136"/>
      <c r="H226" s="136"/>
      <c r="I226" s="138"/>
      <c r="J226" s="142"/>
      <c r="K226" s="144"/>
      <c r="L226" s="141"/>
      <c r="M226" s="141"/>
      <c r="N226" s="141"/>
      <c r="O226" s="136"/>
      <c r="P226" s="136"/>
      <c r="Q226" s="142"/>
      <c r="R226" s="136"/>
      <c r="S226" s="136"/>
      <c r="T226" s="136"/>
      <c r="U226" s="144"/>
      <c r="V226" s="1179">
        <f>E226-F226</f>
        <v>0</v>
      </c>
    </row>
    <row r="227" spans="1:25" s="8" customFormat="1" ht="13.8" x14ac:dyDescent="0.25">
      <c r="A227" s="70"/>
      <c r="B227" s="150"/>
      <c r="C227" s="97"/>
      <c r="D227" s="93"/>
      <c r="E227" s="188">
        <f>SUM(E225:E226)</f>
        <v>0</v>
      </c>
      <c r="F227" s="199">
        <f>SUM(F225:F226)</f>
        <v>0</v>
      </c>
      <c r="G227" s="199">
        <f t="shared" ref="G227:M227" si="46">SUM(G225:G226)</f>
        <v>0</v>
      </c>
      <c r="H227" s="199">
        <f t="shared" si="46"/>
        <v>0</v>
      </c>
      <c r="I227" s="199">
        <f t="shared" si="46"/>
        <v>0</v>
      </c>
      <c r="J227" s="199">
        <f t="shared" si="46"/>
        <v>0</v>
      </c>
      <c r="K227" s="199">
        <f t="shared" si="46"/>
        <v>0</v>
      </c>
      <c r="L227" s="199">
        <f t="shared" si="46"/>
        <v>0</v>
      </c>
      <c r="M227" s="199">
        <f t="shared" si="46"/>
        <v>0</v>
      </c>
      <c r="N227" s="201">
        <f>SUM(N225:N226)</f>
        <v>0</v>
      </c>
      <c r="O227" s="201">
        <f t="shared" ref="O227:Q227" si="47">SUM(O225:O226)</f>
        <v>0</v>
      </c>
      <c r="P227" s="201">
        <f t="shared" si="47"/>
        <v>0</v>
      </c>
      <c r="Q227" s="201">
        <f t="shared" si="47"/>
        <v>0</v>
      </c>
      <c r="R227" s="188">
        <f>SUM(R225:R226)</f>
        <v>0</v>
      </c>
      <c r="S227" s="188"/>
      <c r="T227" s="188">
        <f>SUM(T225:T226)</f>
        <v>0</v>
      </c>
      <c r="U227" s="1155">
        <f>SUM(U225:U226)</f>
        <v>0</v>
      </c>
      <c r="V227" s="1196">
        <f>SUM(V225:V226)</f>
        <v>0</v>
      </c>
      <c r="X227" s="80"/>
      <c r="Y227" s="80"/>
    </row>
    <row r="228" spans="1:25" s="8" customFormat="1" ht="13.8" x14ac:dyDescent="0.25">
      <c r="A228" s="70"/>
      <c r="B228" s="150" t="s">
        <v>19</v>
      </c>
      <c r="C228" s="97"/>
      <c r="D228" s="98" t="s">
        <v>225</v>
      </c>
      <c r="E228" s="182">
        <v>426280</v>
      </c>
      <c r="F228" s="74">
        <f>SUM(G228:U228)</f>
        <v>426280</v>
      </c>
      <c r="G228" s="105"/>
      <c r="H228" s="105"/>
      <c r="I228" s="179"/>
      <c r="J228" s="77">
        <v>426280</v>
      </c>
      <c r="K228" s="180"/>
      <c r="L228" s="109"/>
      <c r="M228" s="109"/>
      <c r="N228" s="109"/>
      <c r="O228" s="105"/>
      <c r="P228" s="105"/>
      <c r="Q228" s="110"/>
      <c r="R228" s="105"/>
      <c r="S228" s="105"/>
      <c r="T228" s="105"/>
      <c r="U228" s="180"/>
      <c r="V228" s="1181">
        <f>E228-F228</f>
        <v>0</v>
      </c>
    </row>
    <row r="229" spans="1:25" s="8" customFormat="1" ht="13.8" x14ac:dyDescent="0.25">
      <c r="A229" s="70"/>
      <c r="B229" s="150"/>
      <c r="C229" s="97"/>
      <c r="D229" s="98"/>
      <c r="E229" s="151">
        <f>SUM(E228)</f>
        <v>426280</v>
      </c>
      <c r="F229" s="151">
        <f>SUM(F228)</f>
        <v>426280</v>
      </c>
      <c r="G229" s="151">
        <f>SUM(G228)</f>
        <v>0</v>
      </c>
      <c r="H229" s="151">
        <f t="shared" ref="H229:U229" si="48">SUM(H228)</f>
        <v>0</v>
      </c>
      <c r="I229" s="151">
        <f t="shared" si="48"/>
        <v>0</v>
      </c>
      <c r="J229" s="1227"/>
      <c r="K229" s="151">
        <f t="shared" si="48"/>
        <v>0</v>
      </c>
      <c r="L229" s="151">
        <f t="shared" si="48"/>
        <v>0</v>
      </c>
      <c r="M229" s="151">
        <f t="shared" si="48"/>
        <v>0</v>
      </c>
      <c r="N229" s="151">
        <f t="shared" si="48"/>
        <v>0</v>
      </c>
      <c r="O229" s="151">
        <f t="shared" si="48"/>
        <v>0</v>
      </c>
      <c r="P229" s="151">
        <f t="shared" si="48"/>
        <v>0</v>
      </c>
      <c r="Q229" s="151">
        <f t="shared" si="48"/>
        <v>0</v>
      </c>
      <c r="R229" s="151">
        <f t="shared" si="48"/>
        <v>0</v>
      </c>
      <c r="S229" s="151">
        <f t="shared" si="48"/>
        <v>0</v>
      </c>
      <c r="T229" s="151">
        <f t="shared" si="48"/>
        <v>0</v>
      </c>
      <c r="U229" s="733">
        <f t="shared" si="48"/>
        <v>0</v>
      </c>
      <c r="V229" s="1186">
        <f>SUM(V228)</f>
        <v>0</v>
      </c>
      <c r="X229" s="80"/>
      <c r="Y229" s="80"/>
    </row>
    <row r="230" spans="1:25" s="8" customFormat="1" ht="13.8" x14ac:dyDescent="0.25">
      <c r="A230" s="70"/>
      <c r="B230" s="150"/>
      <c r="C230" s="97"/>
      <c r="D230" s="98"/>
      <c r="E230" s="735"/>
      <c r="F230" s="735"/>
      <c r="G230" s="735"/>
      <c r="H230" s="735"/>
      <c r="I230" s="736"/>
      <c r="J230" s="1299"/>
      <c r="K230" s="738"/>
      <c r="L230" s="735"/>
      <c r="M230" s="735"/>
      <c r="N230" s="735"/>
      <c r="O230" s="735"/>
      <c r="P230" s="735"/>
      <c r="Q230" s="737"/>
      <c r="R230" s="735"/>
      <c r="S230" s="735"/>
      <c r="T230" s="735"/>
      <c r="U230" s="738"/>
      <c r="V230" s="1199"/>
      <c r="X230" s="80"/>
      <c r="Y230" s="80"/>
    </row>
    <row r="231" spans="1:25" s="8" customFormat="1" ht="13.8" x14ac:dyDescent="0.25">
      <c r="A231" s="70"/>
      <c r="B231" s="150" t="s">
        <v>20</v>
      </c>
      <c r="C231" s="97"/>
      <c r="D231" s="202" t="s">
        <v>146</v>
      </c>
      <c r="E231" s="105"/>
      <c r="F231" s="74">
        <f t="shared" ref="F231:F243" si="49">SUM(G231:U231)</f>
        <v>0</v>
      </c>
      <c r="G231" s="105"/>
      <c r="H231" s="105"/>
      <c r="I231" s="179"/>
      <c r="J231" s="77"/>
      <c r="K231" s="180"/>
      <c r="L231" s="109"/>
      <c r="M231" s="109"/>
      <c r="N231" s="109"/>
      <c r="O231" s="105"/>
      <c r="P231" s="105"/>
      <c r="Q231" s="110"/>
      <c r="R231" s="105"/>
      <c r="S231" s="105"/>
      <c r="T231" s="105"/>
      <c r="U231" s="180"/>
      <c r="V231" s="1179">
        <f t="shared" ref="V231:V243" si="50">E231-F231</f>
        <v>0</v>
      </c>
    </row>
    <row r="232" spans="1:25" s="8" customFormat="1" ht="13.8" x14ac:dyDescent="0.25">
      <c r="A232" s="70"/>
      <c r="B232" s="150"/>
      <c r="C232" s="97"/>
      <c r="D232" s="202" t="s">
        <v>206</v>
      </c>
      <c r="E232" s="105">
        <v>150000</v>
      </c>
      <c r="F232" s="74">
        <f t="shared" si="49"/>
        <v>28800</v>
      </c>
      <c r="G232" s="105"/>
      <c r="H232" s="105"/>
      <c r="I232" s="179"/>
      <c r="J232" s="77"/>
      <c r="K232" s="180"/>
      <c r="L232" s="109"/>
      <c r="M232" s="109">
        <f>28800</f>
        <v>28800</v>
      </c>
      <c r="N232" s="109"/>
      <c r="O232" s="105"/>
      <c r="P232" s="105"/>
      <c r="Q232" s="110"/>
      <c r="R232" s="105"/>
      <c r="S232" s="105"/>
      <c r="T232" s="105"/>
      <c r="U232" s="180"/>
      <c r="V232" s="1179">
        <f t="shared" si="50"/>
        <v>121200</v>
      </c>
    </row>
    <row r="233" spans="1:25" s="8" customFormat="1" ht="13.8" x14ac:dyDescent="0.25">
      <c r="A233" s="70"/>
      <c r="B233" s="150"/>
      <c r="C233" s="97"/>
      <c r="D233" s="202" t="s">
        <v>150</v>
      </c>
      <c r="E233" s="182">
        <v>400000</v>
      </c>
      <c r="F233" s="74">
        <f t="shared" si="49"/>
        <v>400000</v>
      </c>
      <c r="G233" s="105"/>
      <c r="H233" s="105"/>
      <c r="I233" s="179"/>
      <c r="J233" s="77">
        <v>400000</v>
      </c>
      <c r="K233" s="180"/>
      <c r="L233" s="109"/>
      <c r="M233" s="109"/>
      <c r="N233" s="109"/>
      <c r="O233" s="105"/>
      <c r="P233" s="105"/>
      <c r="Q233" s="110"/>
      <c r="R233" s="105"/>
      <c r="S233" s="105"/>
      <c r="T233" s="105"/>
      <c r="U233" s="180"/>
      <c r="V233" s="1179">
        <f t="shared" si="50"/>
        <v>0</v>
      </c>
    </row>
    <row r="234" spans="1:25" s="8" customFormat="1" ht="13.8" x14ac:dyDescent="0.25">
      <c r="A234" s="70"/>
      <c r="B234" s="150"/>
      <c r="C234" s="97"/>
      <c r="D234" s="202" t="s">
        <v>142</v>
      </c>
      <c r="E234" s="182">
        <v>325900.46999999997</v>
      </c>
      <c r="F234" s="74">
        <f t="shared" si="49"/>
        <v>0</v>
      </c>
      <c r="G234" s="105"/>
      <c r="H234" s="105"/>
      <c r="I234" s="179"/>
      <c r="J234" s="77"/>
      <c r="K234" s="180"/>
      <c r="L234" s="109"/>
      <c r="M234" s="109"/>
      <c r="N234" s="109"/>
      <c r="O234" s="105"/>
      <c r="P234" s="105"/>
      <c r="Q234" s="110"/>
      <c r="R234" s="105"/>
      <c r="S234" s="105"/>
      <c r="T234" s="105"/>
      <c r="U234" s="180"/>
      <c r="V234" s="1179">
        <f t="shared" si="50"/>
        <v>325900.46999999997</v>
      </c>
    </row>
    <row r="235" spans="1:25" s="8" customFormat="1" ht="13.8" x14ac:dyDescent="0.25">
      <c r="A235" s="70"/>
      <c r="B235" s="150"/>
      <c r="C235" s="97"/>
      <c r="D235" s="202" t="s">
        <v>173</v>
      </c>
      <c r="E235" s="182">
        <v>150000</v>
      </c>
      <c r="F235" s="74">
        <f t="shared" si="49"/>
        <v>140859.97999999998</v>
      </c>
      <c r="G235" s="105"/>
      <c r="H235" s="105"/>
      <c r="I235" s="179"/>
      <c r="J235" s="77">
        <v>121659.98</v>
      </c>
      <c r="K235" s="180"/>
      <c r="L235" s="109"/>
      <c r="M235" s="109">
        <v>19200</v>
      </c>
      <c r="N235" s="109"/>
      <c r="O235" s="105"/>
      <c r="P235" s="105"/>
      <c r="Q235" s="110"/>
      <c r="R235" s="105"/>
      <c r="S235" s="105"/>
      <c r="T235" s="105"/>
      <c r="U235" s="180"/>
      <c r="V235" s="1179">
        <f t="shared" si="50"/>
        <v>9140.0200000000186</v>
      </c>
    </row>
    <row r="236" spans="1:25" s="8" customFormat="1" ht="13.8" x14ac:dyDescent="0.25">
      <c r="A236" s="70"/>
      <c r="B236" s="150"/>
      <c r="C236" s="97"/>
      <c r="D236" s="202" t="s">
        <v>166</v>
      </c>
      <c r="E236" s="182"/>
      <c r="F236" s="74">
        <f t="shared" si="49"/>
        <v>0</v>
      </c>
      <c r="G236" s="105"/>
      <c r="H236" s="105"/>
      <c r="I236" s="179"/>
      <c r="J236" s="77"/>
      <c r="K236" s="180"/>
      <c r="L236" s="109"/>
      <c r="M236" s="109"/>
      <c r="N236" s="109"/>
      <c r="O236" s="105"/>
      <c r="P236" s="105"/>
      <c r="Q236" s="110"/>
      <c r="R236" s="105"/>
      <c r="S236" s="105"/>
      <c r="T236" s="105"/>
      <c r="U236" s="180"/>
      <c r="V236" s="1179">
        <f t="shared" si="50"/>
        <v>0</v>
      </c>
    </row>
    <row r="237" spans="1:25" s="8" customFormat="1" ht="13.8" x14ac:dyDescent="0.25">
      <c r="A237" s="70"/>
      <c r="B237" s="150"/>
      <c r="C237" s="97"/>
      <c r="D237" s="202" t="s">
        <v>148</v>
      </c>
      <c r="E237" s="182">
        <v>150000</v>
      </c>
      <c r="F237" s="74">
        <f t="shared" si="49"/>
        <v>150000</v>
      </c>
      <c r="G237" s="105"/>
      <c r="H237" s="105"/>
      <c r="I237" s="179"/>
      <c r="J237" s="77">
        <v>150000</v>
      </c>
      <c r="K237" s="180"/>
      <c r="L237" s="109"/>
      <c r="M237" s="109"/>
      <c r="N237" s="109"/>
      <c r="O237" s="105"/>
      <c r="P237" s="105"/>
      <c r="Q237" s="110"/>
      <c r="R237" s="105"/>
      <c r="S237" s="105"/>
      <c r="T237" s="105"/>
      <c r="U237" s="180"/>
      <c r="V237" s="1179">
        <f t="shared" si="50"/>
        <v>0</v>
      </c>
    </row>
    <row r="238" spans="1:25" s="8" customFormat="1" ht="13.8" x14ac:dyDescent="0.25">
      <c r="A238" s="70"/>
      <c r="B238" s="150"/>
      <c r="C238" s="97"/>
      <c r="D238" s="202" t="s">
        <v>180</v>
      </c>
      <c r="E238" s="182"/>
      <c r="F238" s="74">
        <f t="shared" si="49"/>
        <v>0</v>
      </c>
      <c r="G238" s="105"/>
      <c r="H238" s="105"/>
      <c r="I238" s="179"/>
      <c r="J238" s="77"/>
      <c r="K238" s="180"/>
      <c r="L238" s="109"/>
      <c r="M238" s="109"/>
      <c r="N238" s="109"/>
      <c r="O238" s="105"/>
      <c r="P238" s="105"/>
      <c r="Q238" s="110"/>
      <c r="R238" s="105"/>
      <c r="S238" s="105"/>
      <c r="T238" s="105"/>
      <c r="U238" s="180"/>
      <c r="V238" s="1179">
        <f t="shared" si="50"/>
        <v>0</v>
      </c>
    </row>
    <row r="239" spans="1:25" s="8" customFormat="1" ht="13.8" x14ac:dyDescent="0.25">
      <c r="A239" s="70"/>
      <c r="B239" s="150"/>
      <c r="C239" s="97"/>
      <c r="D239" s="98" t="s">
        <v>168</v>
      </c>
      <c r="E239" s="182">
        <f>150000+150000</f>
        <v>300000</v>
      </c>
      <c r="F239" s="74">
        <f t="shared" si="49"/>
        <v>234712.15</v>
      </c>
      <c r="G239" s="105"/>
      <c r="H239" s="105"/>
      <c r="I239" s="179"/>
      <c r="J239" s="77">
        <v>225112.15</v>
      </c>
      <c r="K239" s="180"/>
      <c r="L239" s="109"/>
      <c r="M239" s="109">
        <v>9600</v>
      </c>
      <c r="N239" s="109"/>
      <c r="O239" s="105"/>
      <c r="P239" s="105"/>
      <c r="Q239" s="203"/>
      <c r="R239" s="105"/>
      <c r="S239" s="105"/>
      <c r="T239" s="105"/>
      <c r="U239" s="180"/>
      <c r="V239" s="1179">
        <f t="shared" si="50"/>
        <v>65287.850000000006</v>
      </c>
    </row>
    <row r="240" spans="1:25" s="8" customFormat="1" ht="13.8" x14ac:dyDescent="0.25">
      <c r="A240" s="70"/>
      <c r="B240" s="150"/>
      <c r="C240" s="97"/>
      <c r="D240" s="98" t="s">
        <v>155</v>
      </c>
      <c r="E240" s="182">
        <v>150000</v>
      </c>
      <c r="F240" s="74">
        <f t="shared" si="49"/>
        <v>150000</v>
      </c>
      <c r="G240" s="105"/>
      <c r="H240" s="105"/>
      <c r="I240" s="179"/>
      <c r="J240" s="77">
        <v>150000</v>
      </c>
      <c r="K240" s="180"/>
      <c r="L240" s="109"/>
      <c r="M240" s="109"/>
      <c r="N240" s="109"/>
      <c r="O240" s="105"/>
      <c r="P240" s="105"/>
      <c r="Q240" s="110"/>
      <c r="R240" s="105"/>
      <c r="S240" s="105"/>
      <c r="T240" s="105"/>
      <c r="U240" s="180"/>
      <c r="V240" s="1179">
        <f t="shared" si="50"/>
        <v>0</v>
      </c>
    </row>
    <row r="241" spans="1:25" s="8" customFormat="1" ht="13.8" x14ac:dyDescent="0.25">
      <c r="A241" s="70"/>
      <c r="B241" s="150"/>
      <c r="C241" s="97"/>
      <c r="D241" s="98" t="s">
        <v>191</v>
      </c>
      <c r="E241" s="182"/>
      <c r="F241" s="74">
        <f t="shared" si="49"/>
        <v>0</v>
      </c>
      <c r="G241" s="105"/>
      <c r="H241" s="105"/>
      <c r="I241" s="179"/>
      <c r="J241" s="77"/>
      <c r="K241" s="180"/>
      <c r="L241" s="109"/>
      <c r="M241" s="109"/>
      <c r="N241" s="109"/>
      <c r="O241" s="105"/>
      <c r="P241" s="105"/>
      <c r="Q241" s="110"/>
      <c r="R241" s="105"/>
      <c r="S241" s="105"/>
      <c r="T241" s="105"/>
      <c r="U241" s="180"/>
      <c r="V241" s="1179">
        <f t="shared" si="50"/>
        <v>0</v>
      </c>
    </row>
    <row r="242" spans="1:25" s="8" customFormat="1" ht="13.8" x14ac:dyDescent="0.25">
      <c r="A242" s="70"/>
      <c r="B242" s="150"/>
      <c r="C242" s="97"/>
      <c r="D242" s="98" t="s">
        <v>172</v>
      </c>
      <c r="E242" s="182">
        <v>450000</v>
      </c>
      <c r="F242" s="74">
        <f t="shared" si="49"/>
        <v>450000</v>
      </c>
      <c r="G242" s="105"/>
      <c r="H242" s="105"/>
      <c r="I242" s="179"/>
      <c r="J242" s="77">
        <v>450000</v>
      </c>
      <c r="K242" s="180"/>
      <c r="L242" s="109"/>
      <c r="M242" s="109"/>
      <c r="N242" s="109"/>
      <c r="O242" s="105"/>
      <c r="P242" s="105"/>
      <c r="Q242" s="110"/>
      <c r="R242" s="105"/>
      <c r="S242" s="105"/>
      <c r="T242" s="105"/>
      <c r="U242" s="180"/>
      <c r="V242" s="1179">
        <f t="shared" si="50"/>
        <v>0</v>
      </c>
    </row>
    <row r="243" spans="1:25" s="8" customFormat="1" ht="13.8" x14ac:dyDescent="0.25">
      <c r="A243" s="70"/>
      <c r="B243" s="150"/>
      <c r="C243" s="97"/>
      <c r="D243" s="98" t="s">
        <v>174</v>
      </c>
      <c r="E243" s="182"/>
      <c r="F243" s="74">
        <f t="shared" si="49"/>
        <v>0</v>
      </c>
      <c r="G243" s="105"/>
      <c r="H243" s="105"/>
      <c r="I243" s="179"/>
      <c r="J243" s="110"/>
      <c r="K243" s="180"/>
      <c r="L243" s="109"/>
      <c r="M243" s="109"/>
      <c r="N243" s="109"/>
      <c r="O243" s="105"/>
      <c r="P243" s="105"/>
      <c r="Q243" s="110"/>
      <c r="R243" s="105"/>
      <c r="S243" s="105"/>
      <c r="T243" s="105"/>
      <c r="U243" s="180"/>
      <c r="V243" s="1179">
        <f t="shared" si="50"/>
        <v>0</v>
      </c>
    </row>
    <row r="244" spans="1:25" s="8" customFormat="1" ht="13.8" x14ac:dyDescent="0.25">
      <c r="A244" s="70"/>
      <c r="B244" s="150"/>
      <c r="C244" s="97"/>
      <c r="D244" s="98"/>
      <c r="E244" s="151">
        <f>SUM(E233:E243)</f>
        <v>1925900.47</v>
      </c>
      <c r="F244" s="151">
        <f>SUM(F231:F243)</f>
        <v>1554372.13</v>
      </c>
      <c r="G244" s="151">
        <f>SUM(G231:G243)</f>
        <v>0</v>
      </c>
      <c r="H244" s="151">
        <f t="shared" ref="H244:V244" si="51">SUM(H231:H243)</f>
        <v>0</v>
      </c>
      <c r="I244" s="151">
        <f t="shared" si="51"/>
        <v>0</v>
      </c>
      <c r="J244" s="151">
        <f t="shared" si="51"/>
        <v>1496772.13</v>
      </c>
      <c r="K244" s="151">
        <f t="shared" si="51"/>
        <v>0</v>
      </c>
      <c r="L244" s="151">
        <f t="shared" si="51"/>
        <v>0</v>
      </c>
      <c r="M244" s="151">
        <f t="shared" si="51"/>
        <v>57600</v>
      </c>
      <c r="N244" s="151">
        <f>SUM(N231:N243)</f>
        <v>0</v>
      </c>
      <c r="O244" s="151">
        <f t="shared" si="51"/>
        <v>0</v>
      </c>
      <c r="P244" s="151">
        <f t="shared" si="51"/>
        <v>0</v>
      </c>
      <c r="Q244" s="151">
        <f t="shared" si="51"/>
        <v>0</v>
      </c>
      <c r="R244" s="152">
        <f t="shared" si="51"/>
        <v>0</v>
      </c>
      <c r="S244" s="152">
        <f>SUM(S231:S243)</f>
        <v>0</v>
      </c>
      <c r="T244" s="152">
        <f>SUM(T233:T243)</f>
        <v>0</v>
      </c>
      <c r="U244" s="733">
        <f t="shared" si="51"/>
        <v>0</v>
      </c>
      <c r="V244" s="1186">
        <f t="shared" si="51"/>
        <v>521528.33999999997</v>
      </c>
      <c r="X244" s="80"/>
      <c r="Y244" s="80"/>
    </row>
    <row r="245" spans="1:25" s="8" customFormat="1" ht="13.8" x14ac:dyDescent="0.25">
      <c r="A245" s="70"/>
      <c r="B245" s="150"/>
      <c r="C245" s="97"/>
      <c r="D245" s="98"/>
      <c r="E245" s="735"/>
      <c r="F245" s="735"/>
      <c r="G245" s="735"/>
      <c r="H245" s="735"/>
      <c r="I245" s="736"/>
      <c r="J245" s="737"/>
      <c r="K245" s="738"/>
      <c r="L245" s="735"/>
      <c r="M245" s="735"/>
      <c r="N245" s="735"/>
      <c r="O245" s="735"/>
      <c r="P245" s="735"/>
      <c r="Q245" s="737"/>
      <c r="R245" s="739"/>
      <c r="S245" s="739"/>
      <c r="T245" s="739"/>
      <c r="U245" s="738"/>
      <c r="V245" s="1200"/>
      <c r="X245" s="80"/>
      <c r="Y245" s="80"/>
    </row>
    <row r="246" spans="1:25" s="64" customFormat="1" ht="13.8" x14ac:dyDescent="0.25">
      <c r="A246" s="60"/>
      <c r="B246" s="148" t="s">
        <v>17</v>
      </c>
      <c r="C246" s="92"/>
      <c r="D246" s="93" t="s">
        <v>226</v>
      </c>
      <c r="E246" s="178">
        <v>456299.53</v>
      </c>
      <c r="F246" s="162"/>
      <c r="G246" s="162"/>
      <c r="H246" s="162"/>
      <c r="I246" s="164"/>
      <c r="J246" s="165"/>
      <c r="K246" s="166"/>
      <c r="L246" s="162"/>
      <c r="M246" s="162"/>
      <c r="N246" s="162"/>
      <c r="O246" s="162"/>
      <c r="P246" s="162"/>
      <c r="Q246" s="165"/>
      <c r="R246" s="185"/>
      <c r="S246" s="185"/>
      <c r="T246" s="185"/>
      <c r="U246" s="166"/>
      <c r="V246" s="1179">
        <f t="shared" ref="V246:V250" si="52">E246-F246</f>
        <v>456299.53</v>
      </c>
      <c r="X246" s="163"/>
      <c r="Y246" s="163"/>
    </row>
    <row r="247" spans="1:25" s="64" customFormat="1" ht="13.8" x14ac:dyDescent="0.25">
      <c r="A247" s="60"/>
      <c r="B247" s="148"/>
      <c r="C247" s="92"/>
      <c r="D247" s="93"/>
      <c r="E247" s="162"/>
      <c r="F247" s="162"/>
      <c r="G247" s="162"/>
      <c r="H247" s="162"/>
      <c r="I247" s="164"/>
      <c r="J247" s="165"/>
      <c r="K247" s="166"/>
      <c r="L247" s="162"/>
      <c r="M247" s="162"/>
      <c r="N247" s="162"/>
      <c r="O247" s="162"/>
      <c r="P247" s="162"/>
      <c r="Q247" s="165"/>
      <c r="R247" s="185"/>
      <c r="S247" s="185"/>
      <c r="T247" s="185"/>
      <c r="U247" s="166"/>
      <c r="V247" s="1179">
        <f t="shared" si="52"/>
        <v>0</v>
      </c>
      <c r="X247" s="163"/>
      <c r="Y247" s="163"/>
    </row>
    <row r="248" spans="1:25" s="64" customFormat="1" ht="13.8" x14ac:dyDescent="0.25">
      <c r="A248" s="60"/>
      <c r="B248" s="148"/>
      <c r="C248" s="92"/>
      <c r="D248" s="93"/>
      <c r="E248" s="162"/>
      <c r="F248" s="162"/>
      <c r="G248" s="162"/>
      <c r="H248" s="162"/>
      <c r="I248" s="164"/>
      <c r="J248" s="165"/>
      <c r="K248" s="166"/>
      <c r="L248" s="162"/>
      <c r="M248" s="162"/>
      <c r="N248" s="162"/>
      <c r="O248" s="162"/>
      <c r="P248" s="162"/>
      <c r="Q248" s="165"/>
      <c r="R248" s="185"/>
      <c r="S248" s="185"/>
      <c r="T248" s="185"/>
      <c r="U248" s="166"/>
      <c r="V248" s="1179">
        <f t="shared" si="52"/>
        <v>0</v>
      </c>
      <c r="X248" s="163"/>
      <c r="Y248" s="163"/>
    </row>
    <row r="249" spans="1:25" s="8" customFormat="1" ht="13.8" x14ac:dyDescent="0.25">
      <c r="A249" s="70"/>
      <c r="B249" s="150"/>
      <c r="C249" s="97"/>
      <c r="D249" s="98"/>
      <c r="E249" s="105"/>
      <c r="F249" s="74"/>
      <c r="G249" s="105"/>
      <c r="H249" s="105"/>
      <c r="I249" s="179"/>
      <c r="J249" s="110"/>
      <c r="K249" s="180"/>
      <c r="L249" s="109"/>
      <c r="M249" s="109"/>
      <c r="N249" s="109"/>
      <c r="O249" s="105"/>
      <c r="P249" s="105"/>
      <c r="Q249" s="110"/>
      <c r="R249" s="105"/>
      <c r="S249" s="105"/>
      <c r="T249" s="105"/>
      <c r="U249" s="180"/>
      <c r="V249" s="1179">
        <f t="shared" si="52"/>
        <v>0</v>
      </c>
    </row>
    <row r="250" spans="1:25" s="8" customFormat="1" ht="13.8" x14ac:dyDescent="0.25">
      <c r="A250" s="70"/>
      <c r="B250" s="150" t="s">
        <v>227</v>
      </c>
      <c r="C250" s="97"/>
      <c r="D250" s="98" t="s">
        <v>228</v>
      </c>
      <c r="E250" s="182"/>
      <c r="F250" s="74">
        <f>SUM(G250:U250)</f>
        <v>0</v>
      </c>
      <c r="G250" s="105"/>
      <c r="H250" s="105"/>
      <c r="I250" s="179"/>
      <c r="J250" s="110"/>
      <c r="K250" s="180"/>
      <c r="L250" s="109"/>
      <c r="M250" s="109"/>
      <c r="N250" s="109"/>
      <c r="O250" s="105"/>
      <c r="P250" s="105"/>
      <c r="Q250" s="110"/>
      <c r="R250" s="105"/>
      <c r="S250" s="105"/>
      <c r="T250" s="105"/>
      <c r="U250" s="180"/>
      <c r="V250" s="1179">
        <f t="shared" si="52"/>
        <v>0</v>
      </c>
    </row>
    <row r="251" spans="1:25" s="8" customFormat="1" ht="13.8" x14ac:dyDescent="0.25">
      <c r="A251" s="70"/>
      <c r="B251" s="150"/>
      <c r="C251" s="97"/>
      <c r="D251" s="98" t="s">
        <v>148</v>
      </c>
      <c r="E251" s="182"/>
      <c r="F251" s="74">
        <f>SUM(G251:U251)</f>
        <v>0</v>
      </c>
      <c r="G251" s="105"/>
      <c r="H251" s="105"/>
      <c r="I251" s="179"/>
      <c r="J251" s="110"/>
      <c r="K251" s="180"/>
      <c r="L251" s="109"/>
      <c r="M251" s="109"/>
      <c r="N251" s="109"/>
      <c r="O251" s="105"/>
      <c r="P251" s="105"/>
      <c r="Q251" s="110"/>
      <c r="R251" s="105"/>
      <c r="S251" s="105"/>
      <c r="T251" s="105"/>
      <c r="U251" s="180"/>
      <c r="V251" s="1201">
        <f>E251-F251</f>
        <v>0</v>
      </c>
    </row>
    <row r="252" spans="1:25" s="8" customFormat="1" ht="13.8" x14ac:dyDescent="0.25">
      <c r="A252" s="70"/>
      <c r="B252" s="150"/>
      <c r="C252" s="97"/>
      <c r="D252" s="98"/>
      <c r="E252" s="151">
        <f>SUM(E250:E251)</f>
        <v>0</v>
      </c>
      <c r="F252" s="151">
        <f t="shared" ref="F252:U252" si="53">SUM(F250:F251)</f>
        <v>0</v>
      </c>
      <c r="G252" s="151">
        <f t="shared" si="53"/>
        <v>0</v>
      </c>
      <c r="H252" s="151">
        <f t="shared" si="53"/>
        <v>0</v>
      </c>
      <c r="I252" s="151">
        <f t="shared" si="53"/>
        <v>0</v>
      </c>
      <c r="J252" s="151"/>
      <c r="K252" s="151">
        <f t="shared" si="53"/>
        <v>0</v>
      </c>
      <c r="L252" s="151">
        <f t="shared" si="53"/>
        <v>0</v>
      </c>
      <c r="M252" s="151">
        <f t="shared" si="53"/>
        <v>0</v>
      </c>
      <c r="N252" s="151">
        <f t="shared" si="53"/>
        <v>0</v>
      </c>
      <c r="O252" s="151">
        <f t="shared" si="53"/>
        <v>0</v>
      </c>
      <c r="P252" s="151">
        <f t="shared" si="53"/>
        <v>0</v>
      </c>
      <c r="Q252" s="151">
        <f t="shared" si="53"/>
        <v>0</v>
      </c>
      <c r="R252" s="151">
        <f t="shared" si="53"/>
        <v>0</v>
      </c>
      <c r="S252" s="151">
        <f t="shared" si="53"/>
        <v>0</v>
      </c>
      <c r="T252" s="151">
        <f t="shared" si="53"/>
        <v>0</v>
      </c>
      <c r="U252" s="733">
        <f t="shared" si="53"/>
        <v>0</v>
      </c>
      <c r="V252" s="1186">
        <f>SUM(V246:V251)</f>
        <v>456299.53</v>
      </c>
    </row>
    <row r="253" spans="1:25" s="8" customFormat="1" ht="13.8" x14ac:dyDescent="0.25">
      <c r="A253" s="70"/>
      <c r="B253" s="150"/>
      <c r="C253" s="97"/>
      <c r="D253" s="98"/>
      <c r="E253" s="735"/>
      <c r="F253" s="735"/>
      <c r="G253" s="735"/>
      <c r="H253" s="735"/>
      <c r="I253" s="736"/>
      <c r="J253" s="737"/>
      <c r="K253" s="738"/>
      <c r="L253" s="735"/>
      <c r="M253" s="735"/>
      <c r="N253" s="735"/>
      <c r="O253" s="735"/>
      <c r="P253" s="735"/>
      <c r="Q253" s="737"/>
      <c r="R253" s="735"/>
      <c r="S253" s="735"/>
      <c r="T253" s="735"/>
      <c r="U253" s="738"/>
      <c r="V253" s="1199"/>
    </row>
    <row r="254" spans="1:25" s="8" customFormat="1" ht="13.8" x14ac:dyDescent="0.25">
      <c r="A254" s="70"/>
      <c r="B254" s="150" t="s">
        <v>229</v>
      </c>
      <c r="C254" s="97"/>
      <c r="D254" s="98" t="s">
        <v>230</v>
      </c>
      <c r="E254" s="105"/>
      <c r="F254" s="74">
        <f>SUM(G254:U254)</f>
        <v>0</v>
      </c>
      <c r="G254" s="105"/>
      <c r="H254" s="105"/>
      <c r="I254" s="179"/>
      <c r="J254" s="110"/>
      <c r="K254" s="180"/>
      <c r="L254" s="109"/>
      <c r="M254" s="109"/>
      <c r="N254" s="109"/>
      <c r="O254" s="105"/>
      <c r="P254" s="105"/>
      <c r="Q254" s="110"/>
      <c r="R254" s="105"/>
      <c r="S254" s="105"/>
      <c r="T254" s="105"/>
      <c r="U254" s="180"/>
      <c r="V254" s="1179">
        <f>E254-F254</f>
        <v>0</v>
      </c>
    </row>
    <row r="255" spans="1:25" s="8" customFormat="1" ht="13.8" x14ac:dyDescent="0.25">
      <c r="A255" s="70"/>
      <c r="B255" s="174"/>
      <c r="C255" s="97"/>
      <c r="D255" s="98" t="s">
        <v>171</v>
      </c>
      <c r="E255" s="182"/>
      <c r="F255" s="74">
        <f>SUM(G255:U255)</f>
        <v>0</v>
      </c>
      <c r="G255" s="105"/>
      <c r="H255" s="105"/>
      <c r="I255" s="179"/>
      <c r="J255" s="110"/>
      <c r="K255" s="180"/>
      <c r="L255" s="109"/>
      <c r="M255" s="109"/>
      <c r="N255" s="109"/>
      <c r="O255" s="105"/>
      <c r="P255" s="105"/>
      <c r="Q255" s="110"/>
      <c r="R255" s="105"/>
      <c r="S255" s="105"/>
      <c r="T255" s="105"/>
      <c r="U255" s="180"/>
      <c r="V255" s="1179">
        <f t="shared" ref="V255:V257" si="54">E255-F255</f>
        <v>0</v>
      </c>
    </row>
    <row r="256" spans="1:25" s="8" customFormat="1" ht="13.8" x14ac:dyDescent="0.25">
      <c r="A256" s="70"/>
      <c r="B256" s="174"/>
      <c r="C256" s="97"/>
      <c r="D256" s="98" t="s">
        <v>191</v>
      </c>
      <c r="E256" s="182"/>
      <c r="F256" s="74">
        <f>SUM(G256:U256)</f>
        <v>0</v>
      </c>
      <c r="G256" s="105"/>
      <c r="H256" s="105"/>
      <c r="I256" s="179"/>
      <c r="J256" s="110"/>
      <c r="K256" s="180"/>
      <c r="L256" s="109"/>
      <c r="M256" s="109"/>
      <c r="N256" s="109"/>
      <c r="O256" s="105"/>
      <c r="P256" s="105"/>
      <c r="Q256" s="110"/>
      <c r="R256" s="105"/>
      <c r="S256" s="105"/>
      <c r="T256" s="105"/>
      <c r="U256" s="180"/>
      <c r="V256" s="1179">
        <f t="shared" si="54"/>
        <v>0</v>
      </c>
    </row>
    <row r="257" spans="1:25" s="8" customFormat="1" ht="13.8" x14ac:dyDescent="0.25">
      <c r="A257" s="70"/>
      <c r="C257" s="97"/>
      <c r="D257" s="98" t="s">
        <v>172</v>
      </c>
      <c r="E257" s="182">
        <v>293505.46000000002</v>
      </c>
      <c r="F257" s="74">
        <f>SUM(G257:U257)</f>
        <v>122166.44</v>
      </c>
      <c r="G257" s="105"/>
      <c r="H257" s="105"/>
      <c r="I257" s="179"/>
      <c r="J257" s="77">
        <v>93366.44</v>
      </c>
      <c r="K257" s="180"/>
      <c r="L257" s="109"/>
      <c r="M257" s="109">
        <v>28800</v>
      </c>
      <c r="N257" s="109"/>
      <c r="O257" s="105"/>
      <c r="P257" s="105"/>
      <c r="Q257" s="110"/>
      <c r="R257" s="105"/>
      <c r="S257" s="105"/>
      <c r="T257" s="105"/>
      <c r="U257" s="180"/>
      <c r="V257" s="1179">
        <f t="shared" si="54"/>
        <v>171339.02000000002</v>
      </c>
    </row>
    <row r="258" spans="1:25" s="8" customFormat="1" ht="13.8" x14ac:dyDescent="0.25">
      <c r="A258" s="70"/>
      <c r="B258" s="150"/>
      <c r="C258" s="97"/>
      <c r="D258" s="98"/>
      <c r="E258" s="151">
        <f>SUM(E254:E257)</f>
        <v>293505.46000000002</v>
      </c>
      <c r="F258" s="151">
        <f>SUM(F254:F257)</f>
        <v>122166.44</v>
      </c>
      <c r="G258" s="151">
        <f t="shared" ref="G258:V258" si="55">SUM(G254:G257)</f>
        <v>0</v>
      </c>
      <c r="H258" s="151">
        <f t="shared" si="55"/>
        <v>0</v>
      </c>
      <c r="I258" s="151">
        <f t="shared" si="55"/>
        <v>0</v>
      </c>
      <c r="J258" s="1227"/>
      <c r="K258" s="151">
        <f t="shared" si="55"/>
        <v>0</v>
      </c>
      <c r="L258" s="151">
        <f t="shared" si="55"/>
        <v>0</v>
      </c>
      <c r="M258" s="151">
        <f t="shared" si="55"/>
        <v>28800</v>
      </c>
      <c r="N258" s="151">
        <f t="shared" si="55"/>
        <v>0</v>
      </c>
      <c r="O258" s="151">
        <f t="shared" si="55"/>
        <v>0</v>
      </c>
      <c r="P258" s="151">
        <f t="shared" si="55"/>
        <v>0</v>
      </c>
      <c r="Q258" s="151">
        <f t="shared" si="55"/>
        <v>0</v>
      </c>
      <c r="R258" s="151">
        <f t="shared" si="55"/>
        <v>0</v>
      </c>
      <c r="S258" s="151">
        <f t="shared" si="55"/>
        <v>0</v>
      </c>
      <c r="T258" s="151">
        <f t="shared" si="55"/>
        <v>0</v>
      </c>
      <c r="U258" s="733">
        <f t="shared" si="55"/>
        <v>0</v>
      </c>
      <c r="V258" s="1186">
        <f t="shared" si="55"/>
        <v>171339.02000000002</v>
      </c>
      <c r="X258" s="80"/>
      <c r="Y258" s="80"/>
    </row>
    <row r="259" spans="1:25" s="8" customFormat="1" ht="13.8" x14ac:dyDescent="0.25">
      <c r="A259" s="70"/>
      <c r="B259" s="150"/>
      <c r="C259" s="97"/>
      <c r="D259" s="98"/>
      <c r="E259" s="105"/>
      <c r="F259" s="74"/>
      <c r="G259" s="105"/>
      <c r="H259" s="105"/>
      <c r="I259" s="179"/>
      <c r="J259" s="77"/>
      <c r="K259" s="180"/>
      <c r="L259" s="109"/>
      <c r="M259" s="109"/>
      <c r="N259" s="109"/>
      <c r="O259" s="105"/>
      <c r="P259" s="105"/>
      <c r="Q259" s="110"/>
      <c r="R259" s="105"/>
      <c r="S259" s="105"/>
      <c r="T259" s="105"/>
      <c r="U259" s="180"/>
      <c r="V259" s="1179"/>
    </row>
    <row r="260" spans="1:25" s="8" customFormat="1" ht="13.8" x14ac:dyDescent="0.25">
      <c r="A260" s="70"/>
      <c r="B260" s="150" t="s">
        <v>454</v>
      </c>
      <c r="C260" s="97"/>
      <c r="D260" s="98" t="s">
        <v>231</v>
      </c>
      <c r="E260" s="182"/>
      <c r="F260" s="74">
        <f t="shared" ref="F260:F263" si="56">SUM(G260:U260)</f>
        <v>0</v>
      </c>
      <c r="G260" s="105"/>
      <c r="H260" s="105"/>
      <c r="I260" s="179"/>
      <c r="J260" s="77"/>
      <c r="K260" s="180"/>
      <c r="L260" s="109"/>
      <c r="M260" s="109"/>
      <c r="N260" s="109"/>
      <c r="O260" s="105"/>
      <c r="P260" s="105"/>
      <c r="Q260" s="110"/>
      <c r="R260" s="105"/>
      <c r="S260" s="105"/>
      <c r="T260" s="105"/>
      <c r="U260" s="180"/>
      <c r="V260" s="1179">
        <f t="shared" ref="V260" si="57">E260-F260</f>
        <v>0</v>
      </c>
    </row>
    <row r="261" spans="1:25" s="8" customFormat="1" ht="13.8" x14ac:dyDescent="0.25">
      <c r="A261" s="70"/>
      <c r="B261" s="150"/>
      <c r="C261" s="97"/>
      <c r="D261" s="202" t="s">
        <v>180</v>
      </c>
      <c r="E261" s="182"/>
      <c r="F261" s="74">
        <f t="shared" si="56"/>
        <v>0</v>
      </c>
      <c r="G261" s="105"/>
      <c r="H261" s="105"/>
      <c r="I261" s="179"/>
      <c r="J261" s="77"/>
      <c r="K261" s="180"/>
      <c r="L261" s="109"/>
      <c r="M261" s="109"/>
      <c r="N261" s="109"/>
      <c r="O261" s="105"/>
      <c r="P261" s="105"/>
      <c r="Q261" s="110"/>
      <c r="R261" s="105"/>
      <c r="S261" s="105"/>
      <c r="T261" s="105"/>
      <c r="U261" s="180"/>
      <c r="V261" s="1181">
        <f>E261-F261</f>
        <v>0</v>
      </c>
    </row>
    <row r="262" spans="1:25" s="8" customFormat="1" ht="13.8" x14ac:dyDescent="0.25">
      <c r="A262" s="70"/>
      <c r="B262" s="150"/>
      <c r="C262" s="97"/>
      <c r="D262" s="98" t="s">
        <v>171</v>
      </c>
      <c r="E262" s="182">
        <v>235200</v>
      </c>
      <c r="F262" s="74">
        <f t="shared" si="56"/>
        <v>235200</v>
      </c>
      <c r="G262" s="105"/>
      <c r="H262" s="105"/>
      <c r="I262" s="179"/>
      <c r="J262" s="77">
        <v>235200</v>
      </c>
      <c r="K262" s="180"/>
      <c r="L262" s="109"/>
      <c r="M262" s="109"/>
      <c r="N262" s="109"/>
      <c r="O262" s="105"/>
      <c r="P262" s="105"/>
      <c r="Q262" s="110"/>
      <c r="R262" s="105"/>
      <c r="S262" s="105"/>
      <c r="T262" s="105"/>
      <c r="U262" s="180"/>
      <c r="V262" s="1201">
        <f>E262-F262</f>
        <v>0</v>
      </c>
    </row>
    <row r="263" spans="1:25" s="8" customFormat="1" ht="13.8" x14ac:dyDescent="0.25">
      <c r="A263" s="70"/>
      <c r="B263" s="150"/>
      <c r="C263" s="97"/>
      <c r="D263" s="98" t="s">
        <v>232</v>
      </c>
      <c r="E263" s="182"/>
      <c r="F263" s="74">
        <f t="shared" si="56"/>
        <v>0</v>
      </c>
      <c r="G263" s="105"/>
      <c r="H263" s="105"/>
      <c r="I263" s="179"/>
      <c r="J263" s="110"/>
      <c r="K263" s="180"/>
      <c r="L263" s="109"/>
      <c r="M263" s="109"/>
      <c r="N263" s="109"/>
      <c r="O263" s="105"/>
      <c r="P263" s="105"/>
      <c r="Q263" s="110"/>
      <c r="R263" s="105"/>
      <c r="S263" s="105"/>
      <c r="T263" s="105"/>
      <c r="U263" s="180"/>
      <c r="V263" s="1179">
        <f>E263-F263</f>
        <v>0</v>
      </c>
    </row>
    <row r="264" spans="1:25" s="8" customFormat="1" ht="13.8" x14ac:dyDescent="0.25">
      <c r="A264" s="169"/>
      <c r="B264" s="170"/>
      <c r="C264" s="171"/>
      <c r="D264" s="172"/>
      <c r="E264" s="173">
        <f>SUM(E260:E263)</f>
        <v>235200</v>
      </c>
      <c r="F264" s="173">
        <f>SUM(F260:F263)</f>
        <v>235200</v>
      </c>
      <c r="G264" s="173">
        <f>SUM(G260:G263)</f>
        <v>0</v>
      </c>
      <c r="H264" s="173">
        <f t="shared" ref="H264:V264" si="58">SUM(H260:H263)</f>
        <v>0</v>
      </c>
      <c r="I264" s="173">
        <f t="shared" si="58"/>
        <v>0</v>
      </c>
      <c r="J264" s="173"/>
      <c r="K264" s="173">
        <f t="shared" si="58"/>
        <v>0</v>
      </c>
      <c r="L264" s="173">
        <f t="shared" si="58"/>
        <v>0</v>
      </c>
      <c r="M264" s="173">
        <f t="shared" si="58"/>
        <v>0</v>
      </c>
      <c r="N264" s="173">
        <f t="shared" si="58"/>
        <v>0</v>
      </c>
      <c r="O264" s="173">
        <f t="shared" si="58"/>
        <v>0</v>
      </c>
      <c r="P264" s="173">
        <f t="shared" si="58"/>
        <v>0</v>
      </c>
      <c r="Q264" s="173">
        <f t="shared" si="58"/>
        <v>0</v>
      </c>
      <c r="R264" s="173">
        <f t="shared" si="58"/>
        <v>0</v>
      </c>
      <c r="S264" s="173">
        <f t="shared" si="58"/>
        <v>0</v>
      </c>
      <c r="T264" s="173">
        <f t="shared" si="58"/>
        <v>0</v>
      </c>
      <c r="U264" s="1151">
        <f t="shared" si="58"/>
        <v>0</v>
      </c>
      <c r="V264" s="1191">
        <f t="shared" si="58"/>
        <v>0</v>
      </c>
      <c r="X264" s="80"/>
      <c r="Y264" s="80"/>
    </row>
    <row r="265" spans="1:25" s="8" customFormat="1" ht="13.8" x14ac:dyDescent="0.25">
      <c r="A265" s="1326" t="s">
        <v>106</v>
      </c>
      <c r="B265" s="1326"/>
      <c r="C265" s="1326"/>
      <c r="D265" s="1326"/>
      <c r="E265" s="1326"/>
      <c r="F265" s="1326"/>
      <c r="G265" s="1326"/>
      <c r="H265" s="1326"/>
      <c r="I265" s="1326"/>
      <c r="J265" s="11"/>
      <c r="K265" s="9"/>
      <c r="L265" s="10"/>
      <c r="M265" s="10"/>
      <c r="N265" s="10"/>
      <c r="V265" s="1175"/>
    </row>
    <row r="266" spans="1:25" s="8" customFormat="1" ht="13.8" x14ac:dyDescent="0.25">
      <c r="A266" s="1326" t="s">
        <v>192</v>
      </c>
      <c r="B266" s="1326"/>
      <c r="C266" s="1326"/>
      <c r="D266" s="1326"/>
      <c r="E266" s="1326"/>
      <c r="F266" s="1326"/>
      <c r="G266" s="1326"/>
      <c r="H266" s="1326"/>
      <c r="I266" s="1326"/>
      <c r="J266" s="1326"/>
      <c r="K266" s="1326"/>
      <c r="L266" s="1326"/>
      <c r="M266" s="1326"/>
      <c r="N266" s="1326"/>
      <c r="O266" s="1326"/>
      <c r="V266" s="1175"/>
    </row>
    <row r="267" spans="1:25" s="8" customFormat="1" ht="13.8" x14ac:dyDescent="0.25">
      <c r="A267" s="1326" t="s">
        <v>116</v>
      </c>
      <c r="B267" s="1326"/>
      <c r="C267" s="1326"/>
      <c r="D267" s="1326"/>
      <c r="E267" s="1326"/>
      <c r="F267" s="1326"/>
      <c r="G267" s="1326"/>
      <c r="H267" s="1326"/>
      <c r="I267" s="1326"/>
      <c r="J267" s="11"/>
      <c r="K267" s="9"/>
      <c r="L267" s="10"/>
      <c r="M267" s="10"/>
      <c r="N267" s="10"/>
      <c r="V267" s="1175"/>
    </row>
    <row r="268" spans="1:25" s="8" customFormat="1" ht="13.8" x14ac:dyDescent="0.25">
      <c r="A268" s="11" t="s">
        <v>108</v>
      </c>
      <c r="B268" s="11"/>
      <c r="C268" s="11"/>
      <c r="D268" s="11"/>
      <c r="E268" s="11"/>
      <c r="F268" s="11"/>
      <c r="G268" s="11"/>
      <c r="H268" s="11"/>
      <c r="I268" s="11"/>
      <c r="J268" s="11"/>
      <c r="K268" s="9"/>
      <c r="L268" s="10"/>
      <c r="M268" s="10"/>
      <c r="N268" s="10"/>
      <c r="V268" s="1175"/>
    </row>
    <row r="269" spans="1:25" s="8" customFormat="1" ht="14.4" thickBot="1" x14ac:dyDescent="0.3">
      <c r="A269" s="1326" t="s">
        <v>177</v>
      </c>
      <c r="B269" s="1326"/>
      <c r="C269" s="1326"/>
      <c r="D269" s="1326"/>
      <c r="E269" s="1326"/>
      <c r="F269" s="1326"/>
      <c r="G269" s="1326"/>
      <c r="H269" s="1326"/>
      <c r="I269" s="1326"/>
      <c r="J269" s="11"/>
      <c r="K269" s="9"/>
      <c r="L269" s="10"/>
      <c r="M269" s="10"/>
      <c r="N269" s="10"/>
      <c r="V269" s="1182" t="s">
        <v>204</v>
      </c>
    </row>
    <row r="270" spans="1:25" s="8" customFormat="1" ht="14.4" thickTop="1" x14ac:dyDescent="0.25">
      <c r="A270" s="128"/>
      <c r="B270" s="129"/>
      <c r="C270" s="129"/>
      <c r="D270" s="130"/>
      <c r="E270" s="87" t="s">
        <v>111</v>
      </c>
      <c r="F270" s="130"/>
      <c r="G270" s="1327" t="s">
        <v>112</v>
      </c>
      <c r="H270" s="1328"/>
      <c r="I270" s="1328"/>
      <c r="J270" s="1328"/>
      <c r="K270" s="1328"/>
      <c r="L270" s="1328"/>
      <c r="M270" s="1328"/>
      <c r="N270" s="1328"/>
      <c r="O270" s="1328"/>
      <c r="P270" s="1328"/>
      <c r="Q270" s="1328"/>
      <c r="R270" s="1328"/>
      <c r="S270" s="1328"/>
      <c r="T270" s="1328"/>
      <c r="U270" s="1329"/>
      <c r="V270" s="1166"/>
    </row>
    <row r="271" spans="1:25" s="8" customFormat="1" ht="13.8" x14ac:dyDescent="0.25">
      <c r="A271" s="18"/>
      <c r="B271" s="4"/>
      <c r="C271" s="4"/>
      <c r="D271" s="19"/>
      <c r="E271" s="20" t="s">
        <v>113</v>
      </c>
      <c r="F271" s="20" t="s">
        <v>2</v>
      </c>
      <c r="G271" s="1330" t="s">
        <v>114</v>
      </c>
      <c r="H271" s="1331"/>
      <c r="I271" s="1331"/>
      <c r="J271" s="1331"/>
      <c r="K271" s="1331"/>
      <c r="L271" s="1331"/>
      <c r="M271" s="1331"/>
      <c r="N271" s="1331"/>
      <c r="O271" s="1331"/>
      <c r="P271" s="1331"/>
      <c r="Q271" s="1331"/>
      <c r="R271" s="1331"/>
      <c r="S271" s="1331"/>
      <c r="T271" s="1331"/>
      <c r="U271" s="1331"/>
      <c r="V271" s="1175"/>
    </row>
    <row r="272" spans="1:25" s="8" customFormat="1" ht="13.8" x14ac:dyDescent="0.25">
      <c r="A272" s="1318" t="s">
        <v>115</v>
      </c>
      <c r="B272" s="1319"/>
      <c r="C272" s="1320"/>
      <c r="D272" s="20" t="s">
        <v>116</v>
      </c>
      <c r="E272" s="20" t="s">
        <v>117</v>
      </c>
      <c r="F272" s="20" t="s">
        <v>118</v>
      </c>
      <c r="H272" s="20"/>
      <c r="I272" s="22"/>
      <c r="J272" s="22" t="s">
        <v>119</v>
      </c>
      <c r="K272" s="23"/>
      <c r="L272" s="24"/>
      <c r="M272" s="25"/>
      <c r="N272" s="24"/>
      <c r="O272" s="20"/>
      <c r="P272" s="20"/>
      <c r="Q272" s="176"/>
      <c r="R272" s="26"/>
      <c r="S272" s="27"/>
      <c r="T272" s="27"/>
      <c r="U272" s="1148"/>
      <c r="V272" s="1183"/>
    </row>
    <row r="273" spans="1:22" s="8" customFormat="1" ht="13.8" x14ac:dyDescent="0.25">
      <c r="A273" s="30"/>
      <c r="D273" s="20" t="s">
        <v>120</v>
      </c>
      <c r="E273" s="20" t="s">
        <v>121</v>
      </c>
      <c r="F273" s="20" t="s">
        <v>122</v>
      </c>
      <c r="G273" s="20" t="s">
        <v>123</v>
      </c>
      <c r="H273" s="20" t="s">
        <v>124</v>
      </c>
      <c r="I273" s="22" t="s">
        <v>125</v>
      </c>
      <c r="J273" s="31">
        <v>41334</v>
      </c>
      <c r="K273" s="25" t="s">
        <v>126</v>
      </c>
      <c r="L273" s="24" t="s">
        <v>127</v>
      </c>
      <c r="M273" s="32" t="s">
        <v>128</v>
      </c>
      <c r="N273" s="32" t="s">
        <v>129</v>
      </c>
      <c r="O273" s="32" t="s">
        <v>194</v>
      </c>
      <c r="P273" s="20" t="s">
        <v>131</v>
      </c>
      <c r="Q273" s="33" t="s">
        <v>132</v>
      </c>
      <c r="R273" s="34" t="s">
        <v>119</v>
      </c>
      <c r="S273" s="35" t="s">
        <v>133</v>
      </c>
      <c r="T273" s="35" t="s">
        <v>133</v>
      </c>
      <c r="U273" s="1152" t="s">
        <v>134</v>
      </c>
      <c r="V273" s="1183" t="s">
        <v>135</v>
      </c>
    </row>
    <row r="274" spans="1:22" s="8" customFormat="1" ht="14.4" thickBot="1" x14ac:dyDescent="0.3">
      <c r="A274" s="36"/>
      <c r="B274" s="37"/>
      <c r="C274" s="37"/>
      <c r="D274" s="38"/>
      <c r="E274" s="39" t="s">
        <v>136</v>
      </c>
      <c r="F274" s="40"/>
      <c r="G274" s="41"/>
      <c r="H274" s="40"/>
      <c r="I274" s="42"/>
      <c r="J274" s="42" t="s">
        <v>137</v>
      </c>
      <c r="K274" s="40"/>
      <c r="L274" s="43"/>
      <c r="M274" s="44"/>
      <c r="N274" s="45"/>
      <c r="O274" s="41"/>
      <c r="P274" s="38"/>
      <c r="Q274" s="46"/>
      <c r="R274" s="132" t="s">
        <v>178</v>
      </c>
      <c r="S274" s="48"/>
      <c r="T274" s="48"/>
      <c r="U274" s="1149"/>
      <c r="V274" s="1184"/>
    </row>
    <row r="275" spans="1:22" s="8" customFormat="1" ht="14.4" thickTop="1" x14ac:dyDescent="0.25">
      <c r="A275" s="204"/>
      <c r="B275" s="205" t="s">
        <v>233</v>
      </c>
      <c r="C275" s="205"/>
      <c r="D275" s="206" t="s">
        <v>146</v>
      </c>
      <c r="E275" s="207"/>
      <c r="F275" s="74">
        <f t="shared" ref="F275:F292" si="59">SUM(G275:U275)</f>
        <v>0</v>
      </c>
      <c r="G275" s="208"/>
      <c r="H275" s="208"/>
      <c r="I275" s="209"/>
      <c r="J275" s="210"/>
      <c r="K275" s="211"/>
      <c r="L275" s="212"/>
      <c r="M275" s="212"/>
      <c r="N275" s="212"/>
      <c r="O275" s="208"/>
      <c r="P275" s="208"/>
      <c r="Q275" s="213"/>
      <c r="R275" s="208"/>
      <c r="S275" s="208"/>
      <c r="T275" s="208"/>
      <c r="U275" s="211"/>
      <c r="V275" s="1202">
        <f>E275-F275</f>
        <v>0</v>
      </c>
    </row>
    <row r="276" spans="1:22" s="8" customFormat="1" ht="13.8" x14ac:dyDescent="0.25">
      <c r="A276" s="70"/>
      <c r="B276" s="71"/>
      <c r="C276" s="97"/>
      <c r="D276" s="98" t="s">
        <v>147</v>
      </c>
      <c r="E276" s="182">
        <v>367426.54</v>
      </c>
      <c r="F276" s="74">
        <f t="shared" si="59"/>
        <v>367426.54</v>
      </c>
      <c r="G276" s="105"/>
      <c r="H276" s="105"/>
      <c r="I276" s="215"/>
      <c r="J276" s="1300">
        <v>367426.54</v>
      </c>
      <c r="K276" s="462"/>
      <c r="L276" s="76"/>
      <c r="M276" s="76"/>
      <c r="N276" s="76"/>
      <c r="O276" s="74"/>
      <c r="P276" s="105"/>
      <c r="Q276" s="110"/>
      <c r="R276" s="105"/>
      <c r="S276" s="105"/>
      <c r="T276" s="105"/>
      <c r="U276" s="180"/>
      <c r="V276" s="1202">
        <f t="shared" ref="V276:V292" si="60">E276-F276</f>
        <v>0</v>
      </c>
    </row>
    <row r="277" spans="1:22" s="8" customFormat="1" ht="13.8" x14ac:dyDescent="0.25">
      <c r="A277" s="70"/>
      <c r="B277" s="71"/>
      <c r="C277" s="97"/>
      <c r="D277" s="202" t="s">
        <v>230</v>
      </c>
      <c r="E277" s="182"/>
      <c r="F277" s="74">
        <f t="shared" si="59"/>
        <v>0</v>
      </c>
      <c r="G277" s="105"/>
      <c r="H277" s="105"/>
      <c r="I277" s="215"/>
      <c r="J277" s="1300"/>
      <c r="K277" s="462"/>
      <c r="L277" s="76"/>
      <c r="M277" s="76"/>
      <c r="N277" s="76"/>
      <c r="O277" s="74"/>
      <c r="P277" s="105"/>
      <c r="Q277" s="110"/>
      <c r="R277" s="105"/>
      <c r="S277" s="105"/>
      <c r="T277" s="105"/>
      <c r="U277" s="180"/>
      <c r="V277" s="1202">
        <f t="shared" si="60"/>
        <v>0</v>
      </c>
    </row>
    <row r="278" spans="1:22" s="8" customFormat="1" ht="13.8" x14ac:dyDescent="0.25">
      <c r="A278" s="70"/>
      <c r="B278" s="71"/>
      <c r="C278" s="97"/>
      <c r="D278" s="98" t="s">
        <v>148</v>
      </c>
      <c r="E278" s="182">
        <v>772605.46</v>
      </c>
      <c r="F278" s="74">
        <f t="shared" si="59"/>
        <v>467551.9</v>
      </c>
      <c r="G278" s="105"/>
      <c r="H278" s="105"/>
      <c r="I278" s="215"/>
      <c r="J278" s="1300">
        <v>467551.9</v>
      </c>
      <c r="K278" s="462"/>
      <c r="L278" s="76"/>
      <c r="M278" s="76"/>
      <c r="N278" s="76"/>
      <c r="O278" s="74"/>
      <c r="P278" s="105"/>
      <c r="Q278" s="110"/>
      <c r="R278" s="105"/>
      <c r="S278" s="105"/>
      <c r="T278" s="105"/>
      <c r="U278" s="180"/>
      <c r="V278" s="1202">
        <f t="shared" si="60"/>
        <v>305053.55999999994</v>
      </c>
    </row>
    <row r="279" spans="1:22" s="8" customFormat="1" ht="13.8" x14ac:dyDescent="0.25">
      <c r="A279" s="70"/>
      <c r="B279" s="71"/>
      <c r="C279" s="97"/>
      <c r="D279" s="98" t="s">
        <v>150</v>
      </c>
      <c r="E279" s="182">
        <v>562988.88</v>
      </c>
      <c r="F279" s="74">
        <f t="shared" si="59"/>
        <v>0</v>
      </c>
      <c r="G279" s="105"/>
      <c r="H279" s="105"/>
      <c r="I279" s="215"/>
      <c r="J279" s="1300"/>
      <c r="K279" s="462"/>
      <c r="L279" s="76"/>
      <c r="M279" s="76"/>
      <c r="N279" s="76"/>
      <c r="O279" s="74"/>
      <c r="P279" s="105"/>
      <c r="Q279" s="110"/>
      <c r="R279" s="105"/>
      <c r="S279" s="105"/>
      <c r="T279" s="105"/>
      <c r="U279" s="180"/>
      <c r="V279" s="1202">
        <f t="shared" si="60"/>
        <v>562988.88</v>
      </c>
    </row>
    <row r="280" spans="1:22" s="8" customFormat="1" ht="13.8" x14ac:dyDescent="0.25">
      <c r="A280" s="70"/>
      <c r="B280" s="71"/>
      <c r="C280" s="97"/>
      <c r="D280" s="98" t="s">
        <v>475</v>
      </c>
      <c r="E280" s="182"/>
      <c r="F280" s="74">
        <f t="shared" si="59"/>
        <v>1391414</v>
      </c>
      <c r="G280" s="74">
        <v>189135</v>
      </c>
      <c r="H280" s="74">
        <v>237845</v>
      </c>
      <c r="I280" s="1099">
        <v>286960</v>
      </c>
      <c r="J280" s="1300"/>
      <c r="K280" s="462">
        <v>426800</v>
      </c>
      <c r="L280" s="76">
        <v>101979</v>
      </c>
      <c r="M280" s="76">
        <v>6495</v>
      </c>
      <c r="N280" s="76">
        <v>142200</v>
      </c>
      <c r="O280" s="74"/>
      <c r="P280" s="105"/>
      <c r="Q280" s="110"/>
      <c r="R280" s="105"/>
      <c r="S280" s="105"/>
      <c r="T280" s="105"/>
      <c r="U280" s="180"/>
      <c r="V280" s="1202">
        <f>F280</f>
        <v>1391414</v>
      </c>
    </row>
    <row r="281" spans="1:22" s="8" customFormat="1" ht="13.8" x14ac:dyDescent="0.25">
      <c r="A281" s="70"/>
      <c r="B281" s="71"/>
      <c r="C281" s="97"/>
      <c r="D281" s="98" t="s">
        <v>168</v>
      </c>
      <c r="E281" s="182">
        <v>115458.49</v>
      </c>
      <c r="F281" s="74">
        <f t="shared" si="59"/>
        <v>0</v>
      </c>
      <c r="G281" s="105"/>
      <c r="H281" s="105"/>
      <c r="I281" s="215"/>
      <c r="J281" s="1300"/>
      <c r="K281" s="462"/>
      <c r="L281" s="76"/>
      <c r="M281" s="76"/>
      <c r="N281" s="76"/>
      <c r="O281" s="74"/>
      <c r="P281" s="105"/>
      <c r="Q281" s="110"/>
      <c r="R281" s="105"/>
      <c r="S281" s="105"/>
      <c r="T281" s="105"/>
      <c r="U281" s="180"/>
      <c r="V281" s="1202">
        <f t="shared" si="60"/>
        <v>115458.49</v>
      </c>
    </row>
    <row r="282" spans="1:22" s="8" customFormat="1" ht="13.8" x14ac:dyDescent="0.25">
      <c r="A282" s="70"/>
      <c r="B282" s="71"/>
      <c r="C282" s="97"/>
      <c r="D282" s="98" t="s">
        <v>169</v>
      </c>
      <c r="E282" s="182">
        <v>279330</v>
      </c>
      <c r="F282" s="74">
        <f t="shared" si="59"/>
        <v>122712.15</v>
      </c>
      <c r="G282" s="105"/>
      <c r="H282" s="105"/>
      <c r="I282" s="215"/>
      <c r="J282" s="1300">
        <v>122712.15</v>
      </c>
      <c r="K282" s="462"/>
      <c r="L282" s="76"/>
      <c r="M282" s="76"/>
      <c r="N282" s="76"/>
      <c r="O282" s="74"/>
      <c r="P282" s="105"/>
      <c r="Q282" s="110"/>
      <c r="R282" s="105"/>
      <c r="S282" s="105"/>
      <c r="T282" s="105"/>
      <c r="U282" s="180"/>
      <c r="V282" s="1202">
        <f t="shared" si="60"/>
        <v>156617.85</v>
      </c>
    </row>
    <row r="283" spans="1:22" s="8" customFormat="1" ht="13.8" x14ac:dyDescent="0.25">
      <c r="A283" s="70"/>
      <c r="B283" s="71"/>
      <c r="C283" s="97"/>
      <c r="D283" s="98" t="s">
        <v>213</v>
      </c>
      <c r="E283" s="182">
        <v>64000</v>
      </c>
      <c r="F283" s="74">
        <f t="shared" si="59"/>
        <v>0</v>
      </c>
      <c r="G283" s="105"/>
      <c r="H283" s="105"/>
      <c r="I283" s="215"/>
      <c r="J283" s="1300"/>
      <c r="K283" s="462"/>
      <c r="L283" s="76"/>
      <c r="M283" s="76"/>
      <c r="N283" s="76"/>
      <c r="O283" s="74"/>
      <c r="P283" s="105"/>
      <c r="Q283" s="110"/>
      <c r="R283" s="105"/>
      <c r="S283" s="105"/>
      <c r="T283" s="105"/>
      <c r="U283" s="180"/>
      <c r="V283" s="1202">
        <f t="shared" si="60"/>
        <v>64000</v>
      </c>
    </row>
    <row r="284" spans="1:22" s="8" customFormat="1" ht="13.8" x14ac:dyDescent="0.25">
      <c r="A284" s="70"/>
      <c r="B284" s="71"/>
      <c r="C284" s="97"/>
      <c r="D284" s="98" t="s">
        <v>185</v>
      </c>
      <c r="E284" s="182"/>
      <c r="F284" s="74">
        <f t="shared" si="59"/>
        <v>0</v>
      </c>
      <c r="G284" s="105"/>
      <c r="H284" s="105"/>
      <c r="I284" s="215"/>
      <c r="J284" s="1300"/>
      <c r="K284" s="462"/>
      <c r="L284" s="76"/>
      <c r="M284" s="76"/>
      <c r="N284" s="76"/>
      <c r="O284" s="74"/>
      <c r="P284" s="105"/>
      <c r="Q284" s="110"/>
      <c r="R284" s="105"/>
      <c r="S284" s="105"/>
      <c r="T284" s="105"/>
      <c r="U284" s="180"/>
      <c r="V284" s="1202">
        <f t="shared" ref="V284" si="61">E284-F284</f>
        <v>0</v>
      </c>
    </row>
    <row r="285" spans="1:22" s="8" customFormat="1" ht="13.8" x14ac:dyDescent="0.25">
      <c r="A285" s="70"/>
      <c r="B285" s="71"/>
      <c r="C285" s="97"/>
      <c r="D285" s="98" t="s">
        <v>235</v>
      </c>
      <c r="E285" s="182">
        <v>83085</v>
      </c>
      <c r="F285" s="74">
        <f t="shared" si="59"/>
        <v>83085</v>
      </c>
      <c r="G285" s="105"/>
      <c r="H285" s="105"/>
      <c r="I285" s="215"/>
      <c r="J285" s="1300">
        <v>83085</v>
      </c>
      <c r="K285" s="462"/>
      <c r="L285" s="76"/>
      <c r="M285" s="76"/>
      <c r="N285" s="76"/>
      <c r="O285" s="74"/>
      <c r="P285" s="105"/>
      <c r="Q285" s="110"/>
      <c r="R285" s="105"/>
      <c r="S285" s="105"/>
      <c r="T285" s="105"/>
      <c r="U285" s="180"/>
      <c r="V285" s="1202">
        <f t="shared" si="60"/>
        <v>0</v>
      </c>
    </row>
    <row r="286" spans="1:22" s="8" customFormat="1" ht="13.8" x14ac:dyDescent="0.25">
      <c r="A286" s="70"/>
      <c r="B286" s="71"/>
      <c r="C286" s="97"/>
      <c r="D286" s="98" t="s">
        <v>171</v>
      </c>
      <c r="E286" s="182">
        <v>250136.98</v>
      </c>
      <c r="F286" s="74">
        <f t="shared" si="59"/>
        <v>112451.28</v>
      </c>
      <c r="G286" s="105"/>
      <c r="H286" s="105"/>
      <c r="I286" s="215"/>
      <c r="J286" s="1300">
        <v>112451.28</v>
      </c>
      <c r="K286" s="462"/>
      <c r="L286" s="76"/>
      <c r="M286" s="76"/>
      <c r="N286" s="76"/>
      <c r="O286" s="74"/>
      <c r="P286" s="105"/>
      <c r="Q286" s="110"/>
      <c r="R286" s="105"/>
      <c r="S286" s="105"/>
      <c r="T286" s="105"/>
      <c r="U286" s="180"/>
      <c r="V286" s="1202">
        <f t="shared" si="60"/>
        <v>137685.70000000001</v>
      </c>
    </row>
    <row r="287" spans="1:22" s="8" customFormat="1" ht="13.8" x14ac:dyDescent="0.25">
      <c r="A287" s="70"/>
      <c r="B287" s="71"/>
      <c r="C287" s="97"/>
      <c r="D287" s="98" t="s">
        <v>232</v>
      </c>
      <c r="E287" s="182">
        <v>83085</v>
      </c>
      <c r="F287" s="74">
        <f t="shared" si="59"/>
        <v>83085</v>
      </c>
      <c r="G287" s="105"/>
      <c r="H287" s="105"/>
      <c r="I287" s="215"/>
      <c r="J287" s="1300">
        <v>83085</v>
      </c>
      <c r="K287" s="462"/>
      <c r="L287" s="76"/>
      <c r="M287" s="76"/>
      <c r="N287" s="76"/>
      <c r="O287" s="74"/>
      <c r="P287" s="105"/>
      <c r="Q287" s="110"/>
      <c r="R287" s="105"/>
      <c r="S287" s="105"/>
      <c r="T287" s="105"/>
      <c r="U287" s="180"/>
      <c r="V287" s="1202">
        <f t="shared" si="60"/>
        <v>0</v>
      </c>
    </row>
    <row r="288" spans="1:22" s="8" customFormat="1" ht="13.8" x14ac:dyDescent="0.25">
      <c r="A288" s="70"/>
      <c r="B288" s="71"/>
      <c r="C288" s="97"/>
      <c r="D288" s="98" t="s">
        <v>201</v>
      </c>
      <c r="E288" s="182">
        <v>506378.5</v>
      </c>
      <c r="F288" s="74">
        <f t="shared" si="59"/>
        <v>506378.5</v>
      </c>
      <c r="G288" s="105"/>
      <c r="H288" s="105"/>
      <c r="I288" s="215"/>
      <c r="J288" s="1300">
        <v>506378.5</v>
      </c>
      <c r="K288" s="462"/>
      <c r="L288" s="76"/>
      <c r="M288" s="76"/>
      <c r="N288" s="76"/>
      <c r="O288" s="74"/>
      <c r="P288" s="105"/>
      <c r="Q288" s="110"/>
      <c r="R288" s="105"/>
      <c r="S288" s="105"/>
      <c r="T288" s="105"/>
      <c r="U288" s="180"/>
      <c r="V288" s="1202">
        <f t="shared" si="60"/>
        <v>0</v>
      </c>
    </row>
    <row r="289" spans="1:25" s="8" customFormat="1" ht="13.8" x14ac:dyDescent="0.25">
      <c r="A289" s="70"/>
      <c r="B289" s="71"/>
      <c r="C289" s="97"/>
      <c r="D289" s="98" t="s">
        <v>155</v>
      </c>
      <c r="E289" s="182">
        <v>84924</v>
      </c>
      <c r="F289" s="74">
        <f t="shared" si="59"/>
        <v>16993.29</v>
      </c>
      <c r="G289" s="105"/>
      <c r="H289" s="105"/>
      <c r="I289" s="215"/>
      <c r="J289" s="1300">
        <v>16993.29</v>
      </c>
      <c r="K289" s="462"/>
      <c r="L289" s="76"/>
      <c r="M289" s="76"/>
      <c r="N289" s="76"/>
      <c r="O289" s="74"/>
      <c r="P289" s="105"/>
      <c r="Q289" s="110"/>
      <c r="R289" s="105"/>
      <c r="S289" s="105"/>
      <c r="T289" s="105"/>
      <c r="U289" s="180"/>
      <c r="V289" s="1202">
        <f t="shared" si="60"/>
        <v>67930.709999999992</v>
      </c>
    </row>
    <row r="290" spans="1:25" s="8" customFormat="1" ht="13.8" x14ac:dyDescent="0.25">
      <c r="A290" s="70"/>
      <c r="B290" s="71"/>
      <c r="C290" s="97"/>
      <c r="D290" s="98" t="s">
        <v>172</v>
      </c>
      <c r="E290" s="182">
        <v>20000</v>
      </c>
      <c r="F290" s="74">
        <f t="shared" si="59"/>
        <v>0</v>
      </c>
      <c r="G290" s="105"/>
      <c r="H290" s="105"/>
      <c r="I290" s="215"/>
      <c r="J290" s="1300"/>
      <c r="K290" s="462"/>
      <c r="L290" s="76"/>
      <c r="M290" s="76"/>
      <c r="N290" s="76"/>
      <c r="O290" s="74"/>
      <c r="P290" s="105"/>
      <c r="Q290" s="110"/>
      <c r="R290" s="105"/>
      <c r="S290" s="105"/>
      <c r="T290" s="105"/>
      <c r="U290" s="180"/>
      <c r="V290" s="1202">
        <f t="shared" si="60"/>
        <v>20000</v>
      </c>
    </row>
    <row r="291" spans="1:25" s="8" customFormat="1" ht="13.8" x14ac:dyDescent="0.25">
      <c r="A291" s="70"/>
      <c r="B291" s="71"/>
      <c r="C291" s="97"/>
      <c r="D291" s="217" t="s">
        <v>142</v>
      </c>
      <c r="E291" s="182"/>
      <c r="F291" s="74">
        <f t="shared" si="59"/>
        <v>0</v>
      </c>
      <c r="G291" s="105"/>
      <c r="H291" s="105"/>
      <c r="I291" s="215"/>
      <c r="J291" s="1300"/>
      <c r="K291" s="462"/>
      <c r="L291" s="76"/>
      <c r="M291" s="76"/>
      <c r="N291" s="76"/>
      <c r="O291" s="74"/>
      <c r="P291" s="105"/>
      <c r="Q291" s="110"/>
      <c r="R291" s="105"/>
      <c r="S291" s="105"/>
      <c r="T291" s="105"/>
      <c r="U291" s="180"/>
      <c r="V291" s="1202">
        <f t="shared" si="60"/>
        <v>0</v>
      </c>
    </row>
    <row r="292" spans="1:25" s="8" customFormat="1" ht="13.8" x14ac:dyDescent="0.25">
      <c r="A292" s="70"/>
      <c r="B292" s="71"/>
      <c r="C292" s="97"/>
      <c r="D292" s="217" t="s">
        <v>236</v>
      </c>
      <c r="E292" s="105"/>
      <c r="F292" s="74">
        <f t="shared" si="59"/>
        <v>0</v>
      </c>
      <c r="G292" s="105"/>
      <c r="H292" s="105"/>
      <c r="I292" s="215"/>
      <c r="J292" s="216"/>
      <c r="K292" s="180"/>
      <c r="L292" s="109"/>
      <c r="M292" s="109"/>
      <c r="N292" s="109"/>
      <c r="O292" s="105"/>
      <c r="P292" s="105"/>
      <c r="Q292" s="110"/>
      <c r="R292" s="105"/>
      <c r="S292" s="105"/>
      <c r="T292" s="105"/>
      <c r="U292" s="180"/>
      <c r="V292" s="1202">
        <f t="shared" si="60"/>
        <v>0</v>
      </c>
    </row>
    <row r="293" spans="1:25" s="8" customFormat="1" ht="13.8" x14ac:dyDescent="0.25">
      <c r="A293" s="70"/>
      <c r="B293" s="71"/>
      <c r="C293" s="97"/>
      <c r="D293" s="217"/>
      <c r="E293" s="151">
        <f>SUM(E275:E291)</f>
        <v>3189418.85</v>
      </c>
      <c r="F293" s="151">
        <f>SUM(F275:F292)</f>
        <v>3151097.6599999997</v>
      </c>
      <c r="G293" s="151">
        <f>SUM(G275:G292)</f>
        <v>189135</v>
      </c>
      <c r="H293" s="151">
        <f t="shared" ref="H293:T293" si="62">SUM(H275:H292)</f>
        <v>237845</v>
      </c>
      <c r="I293" s="151">
        <f t="shared" si="62"/>
        <v>286960</v>
      </c>
      <c r="J293" s="151"/>
      <c r="K293" s="151">
        <f t="shared" si="62"/>
        <v>426800</v>
      </c>
      <c r="L293" s="151">
        <f t="shared" si="62"/>
        <v>101979</v>
      </c>
      <c r="M293" s="151">
        <f t="shared" si="62"/>
        <v>6495</v>
      </c>
      <c r="N293" s="151">
        <f t="shared" si="62"/>
        <v>142200</v>
      </c>
      <c r="O293" s="151">
        <f t="shared" si="62"/>
        <v>0</v>
      </c>
      <c r="P293" s="151">
        <f t="shared" si="62"/>
        <v>0</v>
      </c>
      <c r="Q293" s="151">
        <f t="shared" si="62"/>
        <v>0</v>
      </c>
      <c r="R293" s="151">
        <f t="shared" si="62"/>
        <v>0</v>
      </c>
      <c r="S293" s="151">
        <f t="shared" si="62"/>
        <v>0</v>
      </c>
      <c r="T293" s="151">
        <f t="shared" si="62"/>
        <v>0</v>
      </c>
      <c r="U293" s="733">
        <f>SUM(U275:U292)</f>
        <v>0</v>
      </c>
      <c r="V293" s="1186">
        <f>SUM(V275:V292)</f>
        <v>2821149.1900000004</v>
      </c>
      <c r="X293" s="80"/>
      <c r="Y293" s="80"/>
    </row>
    <row r="294" spans="1:25" s="8" customFormat="1" ht="13.8" x14ac:dyDescent="0.25">
      <c r="A294" s="70"/>
      <c r="B294" s="71"/>
      <c r="C294" s="97"/>
      <c r="D294" s="98"/>
      <c r="E294" s="105"/>
      <c r="F294" s="74"/>
      <c r="G294" s="105"/>
      <c r="H294" s="105"/>
      <c r="I294" s="215"/>
      <c r="J294" s="216"/>
      <c r="K294" s="180"/>
      <c r="L294" s="109"/>
      <c r="M294" s="109"/>
      <c r="N294" s="109"/>
      <c r="O294" s="105"/>
      <c r="P294" s="105"/>
      <c r="Q294" s="110"/>
      <c r="R294" s="105"/>
      <c r="S294" s="218"/>
      <c r="T294" s="218"/>
      <c r="U294" s="1157"/>
      <c r="V294" s="1194">
        <f>E294-F294</f>
        <v>0</v>
      </c>
    </row>
    <row r="295" spans="1:25" s="8" customFormat="1" ht="14.4" thickBot="1" x14ac:dyDescent="0.3">
      <c r="A295" s="220"/>
      <c r="B295" s="221" t="s">
        <v>237</v>
      </c>
      <c r="C295" s="222"/>
      <c r="D295" s="223"/>
      <c r="E295" s="224">
        <f>E293+E264+E258+E244+E252+E229+E227+E210+E214+E203+E193+E182+E160+E157+E136+E132+E129+E114+E110+E107+E89+E59+E55</f>
        <v>15006110.309999997</v>
      </c>
      <c r="F295" s="224">
        <f>F55+F59+F89+F107+F110+F114+F132+F136+F157+F160+F182+F187+F193+F203+F210+F214+F223+F227+F229+F244+F246+F252+F258+F264+F293</f>
        <v>9168062.75</v>
      </c>
      <c r="G295" s="224">
        <f>G293+G264+G258+G244+G252+G229+G227+G210+G214+G203+G193+G182+G160+G157+G136+G132+G129+G114+G110+G107+G89+G59+G55</f>
        <v>285915</v>
      </c>
      <c r="H295" s="224">
        <f>H293+H264+H258+H244+H252+H229+H227+H210+H214+H203+H193+H182+H160+H157+H136+H132+H129+H114+H110+H107+H89+H59+H55</f>
        <v>237845</v>
      </c>
      <c r="I295" s="224">
        <f>I293+I264+I258+I244+I252+I229+I227+I210+I214+I203+I193+I182+I160+I157+I136+I132+I129+I114+I110+I107+I89+I59+I55</f>
        <v>286960</v>
      </c>
      <c r="J295" s="224"/>
      <c r="K295" s="224">
        <f t="shared" ref="K295:U295" si="63">K293+K264+K258+K244+K252+K229+K227+K210+K214+K203+K193+K182+K160+K157+K136+K132+K129+K114+K110+K107+K89+K59+K55</f>
        <v>426800</v>
      </c>
      <c r="L295" s="224">
        <f t="shared" si="63"/>
        <v>101979</v>
      </c>
      <c r="M295" s="224">
        <f t="shared" si="63"/>
        <v>178235</v>
      </c>
      <c r="N295" s="224">
        <f t="shared" si="63"/>
        <v>142200</v>
      </c>
      <c r="O295" s="224">
        <f t="shared" si="63"/>
        <v>0</v>
      </c>
      <c r="P295" s="224">
        <f t="shared" si="63"/>
        <v>0</v>
      </c>
      <c r="Q295" s="224">
        <f t="shared" si="63"/>
        <v>0</v>
      </c>
      <c r="R295" s="224">
        <f>R293+R264+R258+R244+R252+R229+R227+R210+R214+R203+R193+R182+R160+R157+R136+R132+R129+R114+R110+R107+R89+R59+R55</f>
        <v>0</v>
      </c>
      <c r="S295" s="224">
        <f>S293+S264+S258+S244+S252+S229+S227+S210+S214+S203+S193+S182+S160+S157+S136+S132+S129+S114+S110+S107+S89+S59+S55</f>
        <v>0</v>
      </c>
      <c r="T295" s="224">
        <f>T293+T264+T258+T244+T252+T229+T227+T210+T214+T203+T193+T182+T160+T157+T136+T132+T129+T114+T110+T107+T89+T59+T55</f>
        <v>0</v>
      </c>
      <c r="U295" s="1158">
        <f t="shared" si="63"/>
        <v>0</v>
      </c>
      <c r="V295" s="1203">
        <f>V293+V264+V258+V252+V244+V229+V214+V210+V203+V193+V182+V160+V157+V136+V132+V129+V114+V110+V107+V89+V59+V55</f>
        <v>10111660.09</v>
      </c>
      <c r="X295" s="9"/>
      <c r="Y295" s="9"/>
    </row>
    <row r="296" spans="1:25" s="8" customFormat="1" ht="14.4" thickTop="1" x14ac:dyDescent="0.25">
      <c r="B296" s="225"/>
      <c r="D296" s="6"/>
      <c r="E296" s="175"/>
      <c r="F296" s="175"/>
      <c r="G296" s="175"/>
      <c r="H296" s="175"/>
      <c r="I296" s="175"/>
      <c r="J296" s="175"/>
      <c r="K296" s="175"/>
      <c r="L296" s="175"/>
      <c r="M296" s="175"/>
      <c r="N296" s="175"/>
      <c r="O296" s="175"/>
      <c r="P296" s="175"/>
      <c r="Q296" s="175"/>
      <c r="R296" s="175"/>
      <c r="S296" s="175"/>
      <c r="T296" s="175"/>
      <c r="U296" s="175"/>
      <c r="V296" s="1192"/>
      <c r="X296" s="9"/>
      <c r="Y296" s="9"/>
    </row>
    <row r="297" spans="1:25" s="8" customFormat="1" ht="13.8" x14ac:dyDescent="0.25">
      <c r="B297" s="225"/>
      <c r="D297" s="6"/>
      <c r="E297" s="175"/>
      <c r="F297" s="175"/>
      <c r="G297" s="175"/>
      <c r="H297" s="175"/>
      <c r="I297" s="175"/>
      <c r="J297" s="175"/>
      <c r="K297" s="175"/>
      <c r="L297" s="175"/>
      <c r="M297" s="175"/>
      <c r="N297" s="175"/>
      <c r="O297" s="175"/>
      <c r="P297" s="175"/>
      <c r="Q297" s="175"/>
      <c r="R297" s="175"/>
      <c r="S297" s="175"/>
      <c r="T297" s="175"/>
      <c r="U297" s="175"/>
      <c r="V297" s="1192"/>
      <c r="X297" s="9"/>
      <c r="Y297" s="9"/>
    </row>
    <row r="298" spans="1:25" s="8" customFormat="1" ht="13.8" x14ac:dyDescent="0.25">
      <c r="B298" s="225"/>
      <c r="D298" s="6"/>
      <c r="E298" s="175"/>
      <c r="F298" s="175"/>
      <c r="G298" s="175"/>
      <c r="H298" s="175"/>
      <c r="I298" s="175"/>
      <c r="J298" s="175"/>
      <c r="K298" s="175"/>
      <c r="L298" s="175"/>
      <c r="M298" s="175"/>
      <c r="N298" s="175"/>
      <c r="O298" s="175"/>
      <c r="P298" s="175"/>
      <c r="Q298" s="175"/>
      <c r="R298" s="175"/>
      <c r="S298" s="175"/>
      <c r="T298" s="175"/>
      <c r="U298" s="175"/>
      <c r="V298" s="1192"/>
      <c r="X298" s="9"/>
      <c r="Y298" s="9"/>
    </row>
    <row r="299" spans="1:25" s="8" customFormat="1" ht="13.8" x14ac:dyDescent="0.25">
      <c r="B299" s="225"/>
      <c r="D299" s="6"/>
      <c r="E299" s="175"/>
      <c r="F299" s="175"/>
      <c r="G299" s="175"/>
      <c r="H299" s="175"/>
      <c r="I299" s="175"/>
      <c r="J299" s="175"/>
      <c r="K299" s="175"/>
      <c r="L299" s="175"/>
      <c r="M299" s="175"/>
      <c r="N299" s="175"/>
      <c r="O299" s="175"/>
      <c r="P299" s="175"/>
      <c r="Q299" s="175"/>
      <c r="R299" s="175"/>
      <c r="S299" s="175"/>
      <c r="T299" s="175"/>
      <c r="U299" s="175"/>
      <c r="V299" s="1192"/>
      <c r="X299" s="9"/>
      <c r="Y299" s="9"/>
    </row>
    <row r="300" spans="1:25" s="8" customFormat="1" ht="13.8" x14ac:dyDescent="0.25">
      <c r="A300" s="1326" t="s">
        <v>106</v>
      </c>
      <c r="B300" s="1326"/>
      <c r="C300" s="1326"/>
      <c r="D300" s="1326"/>
      <c r="E300" s="1326"/>
      <c r="F300" s="1326"/>
      <c r="G300" s="1326"/>
      <c r="H300" s="1326"/>
      <c r="I300" s="1326"/>
      <c r="J300" s="11"/>
      <c r="K300" s="9"/>
      <c r="L300" s="10"/>
      <c r="M300" s="10"/>
      <c r="N300" s="10"/>
      <c r="V300" s="1175"/>
    </row>
    <row r="301" spans="1:25" s="8" customFormat="1" ht="13.8" x14ac:dyDescent="0.25">
      <c r="A301" s="1326" t="s">
        <v>192</v>
      </c>
      <c r="B301" s="1326"/>
      <c r="C301" s="1326"/>
      <c r="D301" s="1326"/>
      <c r="E301" s="1326"/>
      <c r="F301" s="1326"/>
      <c r="G301" s="1326"/>
      <c r="H301" s="1326"/>
      <c r="I301" s="1326"/>
      <c r="J301" s="1326"/>
      <c r="K301" s="1326"/>
      <c r="L301" s="1326"/>
      <c r="M301" s="1326"/>
      <c r="N301" s="1326"/>
      <c r="O301" s="1326"/>
      <c r="P301" s="1301"/>
      <c r="V301" s="1175"/>
    </row>
    <row r="302" spans="1:25" s="8" customFormat="1" ht="13.8" x14ac:dyDescent="0.25">
      <c r="A302" s="1326" t="s">
        <v>116</v>
      </c>
      <c r="B302" s="1326"/>
      <c r="C302" s="1326"/>
      <c r="D302" s="1326"/>
      <c r="E302" s="1326"/>
      <c r="F302" s="1326"/>
      <c r="G302" s="1326"/>
      <c r="H302" s="1326"/>
      <c r="I302" s="1326"/>
      <c r="J302" s="11"/>
      <c r="K302" s="9"/>
      <c r="L302" s="10"/>
      <c r="M302" s="10"/>
      <c r="N302" s="10"/>
      <c r="P302" s="1301"/>
      <c r="V302" s="1175"/>
    </row>
    <row r="303" spans="1:25" s="8" customFormat="1" ht="13.8" x14ac:dyDescent="0.25">
      <c r="A303" s="11" t="s">
        <v>108</v>
      </c>
      <c r="B303" s="11"/>
      <c r="C303" s="11"/>
      <c r="D303" s="11"/>
      <c r="E303" s="11"/>
      <c r="F303" s="11"/>
      <c r="G303" s="11"/>
      <c r="H303" s="11"/>
      <c r="I303" s="11"/>
      <c r="J303" s="11"/>
      <c r="K303" s="9"/>
      <c r="L303" s="10"/>
      <c r="M303" s="10"/>
      <c r="N303" s="10"/>
      <c r="P303" s="1301"/>
      <c r="V303" s="1175"/>
    </row>
    <row r="304" spans="1:25" s="8" customFormat="1" ht="14.4" thickBot="1" x14ac:dyDescent="0.3">
      <c r="A304" s="1326" t="s">
        <v>177</v>
      </c>
      <c r="B304" s="1326"/>
      <c r="C304" s="1326"/>
      <c r="D304" s="1326"/>
      <c r="E304" s="1326"/>
      <c r="F304" s="1326"/>
      <c r="G304" s="1326"/>
      <c r="H304" s="1326"/>
      <c r="I304" s="1326"/>
      <c r="J304" s="11"/>
      <c r="K304" s="9"/>
      <c r="L304" s="10"/>
      <c r="M304" s="10"/>
      <c r="N304" s="10"/>
      <c r="V304" s="1182" t="s">
        <v>238</v>
      </c>
    </row>
    <row r="305" spans="1:22" s="8" customFormat="1" ht="14.4" thickTop="1" x14ac:dyDescent="0.25">
      <c r="A305" s="128"/>
      <c r="B305" s="129"/>
      <c r="C305" s="129"/>
      <c r="D305" s="130"/>
      <c r="E305" s="87" t="s">
        <v>111</v>
      </c>
      <c r="F305" s="130"/>
      <c r="G305" s="1327" t="s">
        <v>112</v>
      </c>
      <c r="H305" s="1328"/>
      <c r="I305" s="1328"/>
      <c r="J305" s="1328"/>
      <c r="K305" s="1328"/>
      <c r="L305" s="1328"/>
      <c r="M305" s="1328"/>
      <c r="N305" s="1328"/>
      <c r="O305" s="1328"/>
      <c r="P305" s="1328"/>
      <c r="Q305" s="1328"/>
      <c r="R305" s="1328"/>
      <c r="S305" s="1328"/>
      <c r="T305" s="1328"/>
      <c r="U305" s="1329"/>
      <c r="V305" s="1166"/>
    </row>
    <row r="306" spans="1:22" s="8" customFormat="1" ht="13.8" x14ac:dyDescent="0.25">
      <c r="A306" s="18"/>
      <c r="B306" s="4"/>
      <c r="C306" s="4"/>
      <c r="D306" s="19"/>
      <c r="E306" s="20" t="s">
        <v>113</v>
      </c>
      <c r="F306" s="20" t="s">
        <v>2</v>
      </c>
      <c r="G306" s="1330" t="s">
        <v>114</v>
      </c>
      <c r="H306" s="1331"/>
      <c r="I306" s="1331"/>
      <c r="J306" s="1331"/>
      <c r="K306" s="1331"/>
      <c r="L306" s="1331"/>
      <c r="M306" s="1331"/>
      <c r="N306" s="1331"/>
      <c r="O306" s="1331"/>
      <c r="P306" s="1331"/>
      <c r="Q306" s="1331"/>
      <c r="R306" s="1331"/>
      <c r="S306" s="1331"/>
      <c r="T306" s="1331"/>
      <c r="U306" s="1331"/>
      <c r="V306" s="1175"/>
    </row>
    <row r="307" spans="1:22" s="8" customFormat="1" ht="13.8" x14ac:dyDescent="0.25">
      <c r="A307" s="1318" t="s">
        <v>115</v>
      </c>
      <c r="B307" s="1319"/>
      <c r="C307" s="1320"/>
      <c r="D307" s="20" t="s">
        <v>116</v>
      </c>
      <c r="E307" s="20" t="s">
        <v>117</v>
      </c>
      <c r="F307" s="20" t="s">
        <v>118</v>
      </c>
      <c r="H307" s="20"/>
      <c r="I307" s="22"/>
      <c r="J307" s="22"/>
      <c r="K307" s="23"/>
      <c r="L307" s="24"/>
      <c r="M307" s="25"/>
      <c r="N307" s="24"/>
      <c r="O307" s="20"/>
      <c r="P307" s="20"/>
      <c r="Q307" s="176"/>
      <c r="R307" s="26"/>
      <c r="S307" s="27"/>
      <c r="T307" s="27"/>
      <c r="U307" s="1148"/>
      <c r="V307" s="1183"/>
    </row>
    <row r="308" spans="1:22" s="8" customFormat="1" ht="13.8" x14ac:dyDescent="0.25">
      <c r="A308" s="30"/>
      <c r="D308" s="20" t="s">
        <v>120</v>
      </c>
      <c r="E308" s="20" t="s">
        <v>121</v>
      </c>
      <c r="F308" s="20" t="s">
        <v>122</v>
      </c>
      <c r="G308" s="20" t="s">
        <v>123</v>
      </c>
      <c r="H308" s="20" t="s">
        <v>124</v>
      </c>
      <c r="I308" s="22" t="s">
        <v>125</v>
      </c>
      <c r="J308" s="22"/>
      <c r="K308" s="25" t="s">
        <v>126</v>
      </c>
      <c r="L308" s="24" t="s">
        <v>127</v>
      </c>
      <c r="M308" s="32" t="s">
        <v>128</v>
      </c>
      <c r="N308" s="32" t="s">
        <v>239</v>
      </c>
      <c r="O308" s="32" t="s">
        <v>194</v>
      </c>
      <c r="P308" s="20" t="s">
        <v>131</v>
      </c>
      <c r="Q308" s="33" t="s">
        <v>132</v>
      </c>
      <c r="R308" s="34" t="s">
        <v>119</v>
      </c>
      <c r="S308" s="35" t="s">
        <v>133</v>
      </c>
      <c r="T308" s="35" t="s">
        <v>133</v>
      </c>
      <c r="U308" s="1152" t="s">
        <v>134</v>
      </c>
      <c r="V308" s="1183" t="s">
        <v>135</v>
      </c>
    </row>
    <row r="309" spans="1:22" s="8" customFormat="1" ht="14.4" thickBot="1" x14ac:dyDescent="0.3">
      <c r="A309" s="36"/>
      <c r="B309" s="37"/>
      <c r="C309" s="37"/>
      <c r="D309" s="38"/>
      <c r="E309" s="39" t="s">
        <v>136</v>
      </c>
      <c r="F309" s="40"/>
      <c r="G309" s="41"/>
      <c r="H309" s="40"/>
      <c r="I309" s="42"/>
      <c r="J309" s="42"/>
      <c r="K309" s="40"/>
      <c r="L309" s="43"/>
      <c r="M309" s="44"/>
      <c r="N309" s="45"/>
      <c r="O309" s="41"/>
      <c r="P309" s="38"/>
      <c r="Q309" s="46"/>
      <c r="R309" s="132" t="s">
        <v>178</v>
      </c>
      <c r="S309" s="48"/>
      <c r="T309" s="48"/>
      <c r="U309" s="1149"/>
      <c r="V309" s="1184"/>
    </row>
    <row r="310" spans="1:22" s="8" customFormat="1" ht="14.4" thickTop="1" x14ac:dyDescent="0.25">
      <c r="A310" s="30"/>
      <c r="B310" s="225"/>
      <c r="C310" s="91"/>
      <c r="D310" s="35"/>
      <c r="E310" s="226"/>
      <c r="F310" s="226"/>
      <c r="G310" s="226"/>
      <c r="H310" s="226"/>
      <c r="I310" s="227"/>
      <c r="J310" s="1225"/>
      <c r="K310" s="228"/>
      <c r="L310" s="226"/>
      <c r="M310" s="226"/>
      <c r="N310" s="226"/>
      <c r="O310" s="226"/>
      <c r="P310" s="226"/>
      <c r="Q310" s="229"/>
      <c r="R310" s="226"/>
      <c r="S310" s="226"/>
      <c r="T310" s="226"/>
      <c r="U310" s="1159"/>
      <c r="V310" s="1204"/>
    </row>
    <row r="311" spans="1:22" s="8" customFormat="1" ht="13.8" x14ac:dyDescent="0.25">
      <c r="A311" s="18" t="s">
        <v>240</v>
      </c>
      <c r="B311" s="4" t="s">
        <v>241</v>
      </c>
      <c r="C311" s="89"/>
      <c r="D311" s="230"/>
      <c r="E311" s="105"/>
      <c r="F311" s="105"/>
      <c r="G311" s="105"/>
      <c r="H311" s="105"/>
      <c r="I311" s="179"/>
      <c r="J311" s="105"/>
      <c r="K311" s="110"/>
      <c r="L311" s="109"/>
      <c r="M311" s="109"/>
      <c r="N311" s="109"/>
      <c r="O311" s="105"/>
      <c r="P311" s="105"/>
      <c r="Q311" s="180"/>
      <c r="R311" s="105"/>
      <c r="S311" s="105"/>
      <c r="T311" s="105"/>
      <c r="U311" s="180"/>
      <c r="V311" s="1205"/>
    </row>
    <row r="312" spans="1:22" s="64" customFormat="1" ht="13.8" x14ac:dyDescent="0.25">
      <c r="A312" s="231"/>
      <c r="B312" s="64" t="s">
        <v>104</v>
      </c>
      <c r="C312" s="232"/>
      <c r="D312" s="233" t="s">
        <v>150</v>
      </c>
      <c r="E312" s="136"/>
      <c r="F312" s="136">
        <f>SUM(G312:U312)</f>
        <v>0</v>
      </c>
      <c r="G312" s="136"/>
      <c r="H312" s="136"/>
      <c r="I312" s="138"/>
      <c r="J312" s="136"/>
      <c r="K312" s="142"/>
      <c r="L312" s="141"/>
      <c r="M312" s="141"/>
      <c r="N312" s="141"/>
      <c r="O312" s="136"/>
      <c r="P312" s="136"/>
      <c r="Q312" s="144"/>
      <c r="R312" s="136"/>
      <c r="S312" s="136"/>
      <c r="T312" s="136"/>
      <c r="U312" s="144"/>
      <c r="V312" s="1206">
        <f>E312-F312</f>
        <v>0</v>
      </c>
    </row>
    <row r="313" spans="1:22" s="64" customFormat="1" ht="13.8" x14ac:dyDescent="0.25">
      <c r="A313" s="231"/>
      <c r="C313" s="232"/>
      <c r="D313" s="233" t="s">
        <v>142</v>
      </c>
      <c r="E313" s="136"/>
      <c r="F313" s="136">
        <f>SUM(G313:U313)</f>
        <v>0</v>
      </c>
      <c r="G313" s="136"/>
      <c r="H313" s="136"/>
      <c r="I313" s="138"/>
      <c r="J313" s="136"/>
      <c r="K313" s="142"/>
      <c r="L313" s="1126"/>
      <c r="M313" s="141"/>
      <c r="N313" s="141"/>
      <c r="O313" s="136"/>
      <c r="P313" s="136"/>
      <c r="Q313" s="144"/>
      <c r="R313" s="136"/>
      <c r="S313" s="136"/>
      <c r="T313" s="136"/>
      <c r="U313" s="144"/>
      <c r="V313" s="1207">
        <f>E313-F313</f>
        <v>0</v>
      </c>
    </row>
    <row r="314" spans="1:22" s="4" customFormat="1" ht="13.8" x14ac:dyDescent="0.25">
      <c r="A314" s="18"/>
      <c r="C314" s="89"/>
      <c r="D314" s="234"/>
      <c r="E314" s="235">
        <f>SUM(E312:E313)</f>
        <v>0</v>
      </c>
      <c r="F314" s="235">
        <f>SUM(F312:F313)</f>
        <v>0</v>
      </c>
      <c r="G314" s="235">
        <f t="shared" ref="G314:V314" si="64">SUM(G312:G313)</f>
        <v>0</v>
      </c>
      <c r="H314" s="235">
        <f t="shared" si="64"/>
        <v>0</v>
      </c>
      <c r="I314" s="235">
        <f t="shared" si="64"/>
        <v>0</v>
      </c>
      <c r="J314" s="235"/>
      <c r="K314" s="1041">
        <f t="shared" si="64"/>
        <v>0</v>
      </c>
      <c r="L314" s="235">
        <f t="shared" si="64"/>
        <v>0</v>
      </c>
      <c r="M314" s="235">
        <f t="shared" si="64"/>
        <v>0</v>
      </c>
      <c r="N314" s="235">
        <f t="shared" si="64"/>
        <v>0</v>
      </c>
      <c r="O314" s="235">
        <f t="shared" si="64"/>
        <v>0</v>
      </c>
      <c r="P314" s="235">
        <f t="shared" si="64"/>
        <v>0</v>
      </c>
      <c r="Q314" s="235">
        <f t="shared" si="64"/>
        <v>0</v>
      </c>
      <c r="R314" s="235">
        <f t="shared" si="64"/>
        <v>0</v>
      </c>
      <c r="S314" s="235">
        <f t="shared" si="64"/>
        <v>0</v>
      </c>
      <c r="T314" s="235">
        <f t="shared" si="64"/>
        <v>0</v>
      </c>
      <c r="U314" s="1160">
        <f t="shared" si="64"/>
        <v>0</v>
      </c>
      <c r="V314" s="1208">
        <f t="shared" si="64"/>
        <v>0</v>
      </c>
    </row>
    <row r="315" spans="1:22" s="64" customFormat="1" ht="13.8" x14ac:dyDescent="0.25">
      <c r="A315" s="231"/>
      <c r="B315" s="64" t="s">
        <v>242</v>
      </c>
      <c r="C315" s="232"/>
      <c r="D315" s="233" t="s">
        <v>150</v>
      </c>
      <c r="E315" s="136">
        <v>0</v>
      </c>
      <c r="F315" s="58">
        <f>SUM(G315:U315)</f>
        <v>0</v>
      </c>
      <c r="G315" s="136"/>
      <c r="H315" s="136"/>
      <c r="I315" s="138"/>
      <c r="J315" s="136"/>
      <c r="K315" s="142"/>
      <c r="L315" s="769"/>
      <c r="M315" s="141"/>
      <c r="N315" s="141"/>
      <c r="O315" s="136"/>
      <c r="P315" s="136"/>
      <c r="Q315" s="144"/>
      <c r="R315" s="136"/>
      <c r="S315" s="136"/>
      <c r="T315" s="136"/>
      <c r="U315" s="144"/>
      <c r="V315" s="1207">
        <f>E315-F315</f>
        <v>0</v>
      </c>
    </row>
    <row r="316" spans="1:22" s="64" customFormat="1" ht="13.8" x14ac:dyDescent="0.25">
      <c r="A316" s="231"/>
      <c r="C316" s="232"/>
      <c r="D316" s="233" t="s">
        <v>142</v>
      </c>
      <c r="E316" s="136"/>
      <c r="F316" s="58">
        <f>SUM(G316:U316)</f>
        <v>0</v>
      </c>
      <c r="G316" s="136"/>
      <c r="H316" s="136"/>
      <c r="I316" s="138"/>
      <c r="J316" s="136"/>
      <c r="K316" s="142"/>
      <c r="L316" s="141"/>
      <c r="M316" s="141"/>
      <c r="N316" s="141"/>
      <c r="O316" s="136"/>
      <c r="P316" s="136"/>
      <c r="Q316" s="144"/>
      <c r="R316" s="136"/>
      <c r="S316" s="136"/>
      <c r="T316" s="136"/>
      <c r="U316" s="144"/>
      <c r="V316" s="1206">
        <f>E316-F316</f>
        <v>0</v>
      </c>
    </row>
    <row r="317" spans="1:22" s="8" customFormat="1" ht="13.8" x14ac:dyDescent="0.25">
      <c r="A317" s="18"/>
      <c r="C317" s="89"/>
      <c r="D317" s="230"/>
      <c r="E317" s="235">
        <f>SUM(E315:E316)</f>
        <v>0</v>
      </c>
      <c r="F317" s="236">
        <f>SUM(F315:F316)</f>
        <v>0</v>
      </c>
      <c r="G317" s="236">
        <f t="shared" ref="G317:V317" si="65">SUM(G315:G316)</f>
        <v>0</v>
      </c>
      <c r="H317" s="236">
        <f t="shared" si="65"/>
        <v>0</v>
      </c>
      <c r="I317" s="236">
        <f t="shared" si="65"/>
        <v>0</v>
      </c>
      <c r="J317" s="236"/>
      <c r="K317" s="1223">
        <f t="shared" si="65"/>
        <v>0</v>
      </c>
      <c r="L317" s="236">
        <f t="shared" si="65"/>
        <v>0</v>
      </c>
      <c r="M317" s="236">
        <f t="shared" si="65"/>
        <v>0</v>
      </c>
      <c r="N317" s="236">
        <f t="shared" si="65"/>
        <v>0</v>
      </c>
      <c r="O317" s="236">
        <f t="shared" si="65"/>
        <v>0</v>
      </c>
      <c r="P317" s="236">
        <f t="shared" si="65"/>
        <v>0</v>
      </c>
      <c r="Q317" s="236">
        <f t="shared" si="65"/>
        <v>0</v>
      </c>
      <c r="R317" s="236">
        <f t="shared" si="65"/>
        <v>0</v>
      </c>
      <c r="S317" s="236">
        <f t="shared" si="65"/>
        <v>0</v>
      </c>
      <c r="T317" s="236">
        <f t="shared" si="65"/>
        <v>0</v>
      </c>
      <c r="U317" s="245">
        <f t="shared" si="65"/>
        <v>0</v>
      </c>
      <c r="V317" s="1209">
        <f t="shared" si="65"/>
        <v>0</v>
      </c>
    </row>
    <row r="318" spans="1:22" s="8" customFormat="1" ht="13.8" x14ac:dyDescent="0.25">
      <c r="A318" s="18"/>
      <c r="C318" s="89"/>
      <c r="D318" s="230"/>
      <c r="E318" s="105"/>
      <c r="F318" s="74"/>
      <c r="G318" s="105"/>
      <c r="H318" s="105"/>
      <c r="I318" s="179"/>
      <c r="J318" s="105"/>
      <c r="K318" s="110"/>
      <c r="L318" s="109"/>
      <c r="M318" s="109"/>
      <c r="N318" s="109"/>
      <c r="O318" s="105"/>
      <c r="P318" s="105"/>
      <c r="Q318" s="180"/>
      <c r="R318" s="105"/>
      <c r="S318" s="105"/>
      <c r="T318" s="105"/>
      <c r="U318" s="180"/>
      <c r="V318" s="1179"/>
    </row>
    <row r="319" spans="1:22" s="8" customFormat="1" ht="13.8" x14ac:dyDescent="0.25">
      <c r="A319" s="18"/>
      <c r="B319" s="8" t="s">
        <v>243</v>
      </c>
      <c r="C319" s="89"/>
      <c r="D319" s="230" t="s">
        <v>142</v>
      </c>
      <c r="E319" s="105"/>
      <c r="F319" s="74">
        <f>SUM(G319:U319)</f>
        <v>0</v>
      </c>
      <c r="G319" s="105"/>
      <c r="H319" s="105"/>
      <c r="I319" s="179"/>
      <c r="J319" s="105"/>
      <c r="K319" s="110"/>
      <c r="L319" s="109"/>
      <c r="M319" s="109"/>
      <c r="N319" s="109"/>
      <c r="O319" s="105"/>
      <c r="P319" s="105"/>
      <c r="Q319" s="180"/>
      <c r="R319" s="105"/>
      <c r="S319" s="105"/>
      <c r="T319" s="105"/>
      <c r="U319" s="180"/>
      <c r="V319" s="1181">
        <f>E319-F319</f>
        <v>0</v>
      </c>
    </row>
    <row r="320" spans="1:22" s="8" customFormat="1" ht="13.8" x14ac:dyDescent="0.25">
      <c r="A320" s="18"/>
      <c r="C320" s="89"/>
      <c r="D320" s="230"/>
      <c r="E320" s="237">
        <f>SUM(E319)</f>
        <v>0</v>
      </c>
      <c r="F320" s="237">
        <f>SUM(F319)</f>
        <v>0</v>
      </c>
      <c r="G320" s="237">
        <f>SUM(G319)</f>
        <v>0</v>
      </c>
      <c r="H320" s="237">
        <f t="shared" ref="H320:U320" si="66">SUM(H319)</f>
        <v>0</v>
      </c>
      <c r="I320" s="237">
        <f t="shared" si="66"/>
        <v>0</v>
      </c>
      <c r="J320" s="237"/>
      <c r="K320" s="1224">
        <f t="shared" si="66"/>
        <v>0</v>
      </c>
      <c r="L320" s="237">
        <f t="shared" si="66"/>
        <v>0</v>
      </c>
      <c r="M320" s="237">
        <f t="shared" si="66"/>
        <v>0</v>
      </c>
      <c r="N320" s="237">
        <f t="shared" si="66"/>
        <v>0</v>
      </c>
      <c r="O320" s="237">
        <f t="shared" si="66"/>
        <v>0</v>
      </c>
      <c r="P320" s="237">
        <f t="shared" si="66"/>
        <v>0</v>
      </c>
      <c r="Q320" s="237">
        <f t="shared" si="66"/>
        <v>0</v>
      </c>
      <c r="R320" s="237">
        <f t="shared" si="66"/>
        <v>0</v>
      </c>
      <c r="S320" s="237"/>
      <c r="T320" s="237"/>
      <c r="U320" s="240">
        <f t="shared" si="66"/>
        <v>0</v>
      </c>
      <c r="V320" s="1210">
        <f>SUM(V319)</f>
        <v>0</v>
      </c>
    </row>
    <row r="321" spans="1:25" s="8" customFormat="1" ht="13.8" x14ac:dyDescent="0.25">
      <c r="A321" s="18"/>
      <c r="C321" s="89"/>
      <c r="D321" s="230"/>
      <c r="E321" s="105"/>
      <c r="F321" s="105"/>
      <c r="G321" s="105"/>
      <c r="H321" s="105"/>
      <c r="I321" s="179"/>
      <c r="J321" s="105"/>
      <c r="K321" s="179"/>
      <c r="L321" s="109"/>
      <c r="M321" s="109"/>
      <c r="N321" s="76"/>
      <c r="O321" s="105"/>
      <c r="P321" s="105"/>
      <c r="Q321" s="180"/>
      <c r="R321" s="105"/>
      <c r="S321" s="105"/>
      <c r="T321" s="105"/>
      <c r="U321" s="180"/>
      <c r="V321" s="1194"/>
    </row>
    <row r="322" spans="1:25" s="64" customFormat="1" ht="13.8" x14ac:dyDescent="0.25">
      <c r="A322" s="60"/>
      <c r="B322" s="61" t="s">
        <v>79</v>
      </c>
      <c r="C322" s="92"/>
      <c r="D322" s="1309" t="s">
        <v>150</v>
      </c>
      <c r="E322" s="136"/>
      <c r="F322" s="58">
        <f>SUM(G322:U322)</f>
        <v>0</v>
      </c>
      <c r="G322" s="136"/>
      <c r="H322" s="136"/>
      <c r="I322" s="238"/>
      <c r="J322" s="141"/>
      <c r="K322" s="138">
        <v>0</v>
      </c>
      <c r="L322" s="141"/>
      <c r="M322" s="141"/>
      <c r="N322" s="141"/>
      <c r="O322" s="136"/>
      <c r="P322" s="136"/>
      <c r="Q322" s="144"/>
      <c r="R322" s="136"/>
      <c r="S322" s="136"/>
      <c r="T322" s="136"/>
      <c r="U322" s="144"/>
      <c r="V322" s="1198">
        <f>E322-F322</f>
        <v>0</v>
      </c>
    </row>
    <row r="323" spans="1:25" s="64" customFormat="1" ht="13.8" x14ac:dyDescent="0.25">
      <c r="A323" s="60"/>
      <c r="B323" s="61"/>
      <c r="C323" s="92"/>
      <c r="D323" s="1309" t="s">
        <v>142</v>
      </c>
      <c r="E323" s="136"/>
      <c r="F323" s="58">
        <f>SUM(G323:U323)</f>
        <v>0</v>
      </c>
      <c r="G323" s="136"/>
      <c r="H323" s="136"/>
      <c r="I323" s="238"/>
      <c r="J323" s="159"/>
      <c r="K323" s="136">
        <v>0</v>
      </c>
      <c r="L323" s="141"/>
      <c r="M323" s="141"/>
      <c r="N323" s="141"/>
      <c r="O323" s="136"/>
      <c r="P323" s="136"/>
      <c r="Q323" s="144"/>
      <c r="R323" s="136"/>
      <c r="S323" s="136"/>
      <c r="T323" s="136"/>
      <c r="U323" s="144"/>
      <c r="V323" s="1198">
        <f>E323-F323</f>
        <v>0</v>
      </c>
    </row>
    <row r="324" spans="1:25" s="8" customFormat="1" ht="13.8" x14ac:dyDescent="0.25">
      <c r="A324" s="70"/>
      <c r="B324" s="71"/>
      <c r="C324" s="97"/>
      <c r="D324" s="1310"/>
      <c r="E324" s="237">
        <f>SUM(E322:E323)</f>
        <v>0</v>
      </c>
      <c r="F324" s="237">
        <f>SUM(F322:F323)</f>
        <v>0</v>
      </c>
      <c r="G324" s="237">
        <f t="shared" ref="G324:V324" si="67">SUM(G322:G323)</f>
        <v>0</v>
      </c>
      <c r="H324" s="237">
        <f t="shared" si="67"/>
        <v>0</v>
      </c>
      <c r="I324" s="237">
        <f t="shared" si="67"/>
        <v>0</v>
      </c>
      <c r="J324" s="240"/>
      <c r="K324" s="237">
        <f t="shared" si="67"/>
        <v>0</v>
      </c>
      <c r="L324" s="237">
        <f t="shared" si="67"/>
        <v>0</v>
      </c>
      <c r="M324" s="237">
        <f t="shared" si="67"/>
        <v>0</v>
      </c>
      <c r="N324" s="237">
        <f t="shared" si="67"/>
        <v>0</v>
      </c>
      <c r="O324" s="237">
        <f t="shared" si="67"/>
        <v>0</v>
      </c>
      <c r="P324" s="237">
        <f t="shared" si="67"/>
        <v>0</v>
      </c>
      <c r="Q324" s="237">
        <f t="shared" si="67"/>
        <v>0</v>
      </c>
      <c r="R324" s="237">
        <f t="shared" si="67"/>
        <v>0</v>
      </c>
      <c r="S324" s="237">
        <f t="shared" si="67"/>
        <v>0</v>
      </c>
      <c r="T324" s="237">
        <f t="shared" si="67"/>
        <v>0</v>
      </c>
      <c r="U324" s="240">
        <f t="shared" si="67"/>
        <v>0</v>
      </c>
      <c r="V324" s="1210">
        <f t="shared" si="67"/>
        <v>0</v>
      </c>
      <c r="W324" s="165"/>
      <c r="X324" s="175"/>
      <c r="Y324" s="175"/>
    </row>
    <row r="325" spans="1:25" s="8" customFormat="1" ht="13.8" x14ac:dyDescent="0.25">
      <c r="A325" s="70"/>
      <c r="B325" s="71"/>
      <c r="C325" s="97"/>
      <c r="D325" s="1310"/>
      <c r="E325" s="105"/>
      <c r="F325" s="105"/>
      <c r="G325" s="105"/>
      <c r="H325" s="105"/>
      <c r="I325" s="215"/>
      <c r="J325" s="216"/>
      <c r="K325" s="105"/>
      <c r="L325" s="109"/>
      <c r="M325" s="109"/>
      <c r="N325" s="109"/>
      <c r="O325" s="105"/>
      <c r="P325" s="105"/>
      <c r="Q325" s="180"/>
      <c r="R325" s="105"/>
      <c r="S325" s="105"/>
      <c r="T325" s="105"/>
      <c r="U325" s="180"/>
      <c r="V325" s="1194"/>
    </row>
    <row r="326" spans="1:25" s="64" customFormat="1" ht="13.8" x14ac:dyDescent="0.25">
      <c r="A326" s="60"/>
      <c r="B326" s="61" t="s">
        <v>13</v>
      </c>
      <c r="C326" s="92"/>
      <c r="D326" s="1309" t="s">
        <v>148</v>
      </c>
      <c r="E326" s="136"/>
      <c r="F326" s="58">
        <f>SUM(G326:U326)</f>
        <v>0</v>
      </c>
      <c r="G326" s="136"/>
      <c r="H326" s="136"/>
      <c r="I326" s="238"/>
      <c r="J326" s="159"/>
      <c r="K326" s="136"/>
      <c r="L326" s="141"/>
      <c r="M326" s="141"/>
      <c r="N326" s="141"/>
      <c r="O326" s="136"/>
      <c r="P326" s="136"/>
      <c r="Q326" s="144"/>
      <c r="R326" s="136"/>
      <c r="S326" s="136"/>
      <c r="T326" s="136"/>
      <c r="U326" s="144"/>
      <c r="V326" s="1176">
        <f t="shared" ref="V326:V331" si="68">E326-F326</f>
        <v>0</v>
      </c>
    </row>
    <row r="327" spans="1:25" s="64" customFormat="1" ht="13.8" x14ac:dyDescent="0.25">
      <c r="A327" s="60"/>
      <c r="B327" s="61"/>
      <c r="C327" s="92"/>
      <c r="D327" s="1309" t="s">
        <v>166</v>
      </c>
      <c r="E327" s="136"/>
      <c r="F327" s="136">
        <f t="shared" ref="F327:F331" si="69">SUM(G327:U327)</f>
        <v>0</v>
      </c>
      <c r="G327" s="136"/>
      <c r="H327" s="136"/>
      <c r="I327" s="238"/>
      <c r="J327" s="159"/>
      <c r="K327" s="136"/>
      <c r="L327" s="141"/>
      <c r="M327" s="141"/>
      <c r="N327" s="141"/>
      <c r="O327" s="136"/>
      <c r="P327" s="136"/>
      <c r="Q327" s="144"/>
      <c r="R327" s="136"/>
      <c r="S327" s="136"/>
      <c r="T327" s="136"/>
      <c r="U327" s="144"/>
      <c r="V327" s="1176">
        <f t="shared" si="68"/>
        <v>0</v>
      </c>
    </row>
    <row r="328" spans="1:25" s="64" customFormat="1" ht="13.8" x14ac:dyDescent="0.25">
      <c r="A328" s="60"/>
      <c r="B328" s="61"/>
      <c r="C328" s="92"/>
      <c r="D328" s="1309" t="s">
        <v>150</v>
      </c>
      <c r="E328" s="136"/>
      <c r="F328" s="136">
        <f t="shared" si="69"/>
        <v>0</v>
      </c>
      <c r="G328" s="136"/>
      <c r="H328" s="136"/>
      <c r="I328" s="238"/>
      <c r="J328" s="159"/>
      <c r="K328" s="136"/>
      <c r="L328" s="141"/>
      <c r="M328" s="141"/>
      <c r="N328" s="141"/>
      <c r="O328" s="136"/>
      <c r="P328" s="136"/>
      <c r="Q328" s="144"/>
      <c r="R328" s="136"/>
      <c r="S328" s="136"/>
      <c r="T328" s="136"/>
      <c r="U328" s="144"/>
      <c r="V328" s="1176">
        <f t="shared" si="68"/>
        <v>0</v>
      </c>
    </row>
    <row r="329" spans="1:25" s="64" customFormat="1" ht="13.8" x14ac:dyDescent="0.25">
      <c r="A329" s="60"/>
      <c r="B329" s="61"/>
      <c r="C329" s="92"/>
      <c r="D329" s="1309" t="s">
        <v>142</v>
      </c>
      <c r="E329" s="136"/>
      <c r="F329" s="136">
        <f t="shared" si="69"/>
        <v>0</v>
      </c>
      <c r="G329" s="136"/>
      <c r="H329" s="136"/>
      <c r="I329" s="238"/>
      <c r="J329" s="159"/>
      <c r="K329" s="136"/>
      <c r="L329" s="141"/>
      <c r="M329" s="141"/>
      <c r="N329" s="141"/>
      <c r="O329" s="136"/>
      <c r="P329" s="136"/>
      <c r="Q329" s="144"/>
      <c r="R329" s="136"/>
      <c r="S329" s="136"/>
      <c r="T329" s="136"/>
      <c r="U329" s="144"/>
      <c r="V329" s="1176">
        <f t="shared" si="68"/>
        <v>0</v>
      </c>
    </row>
    <row r="330" spans="1:25" s="8" customFormat="1" ht="13.8" x14ac:dyDescent="0.25">
      <c r="A330" s="70"/>
      <c r="B330" s="71"/>
      <c r="C330" s="97"/>
      <c r="D330" s="1310" t="s">
        <v>173</v>
      </c>
      <c r="E330" s="105"/>
      <c r="F330" s="105">
        <f t="shared" si="69"/>
        <v>0</v>
      </c>
      <c r="G330" s="105"/>
      <c r="H330" s="105"/>
      <c r="I330" s="215"/>
      <c r="J330" s="216"/>
      <c r="K330" s="105"/>
      <c r="L330" s="109"/>
      <c r="M330" s="109"/>
      <c r="N330" s="109"/>
      <c r="O330" s="105"/>
      <c r="P330" s="105"/>
      <c r="Q330" s="180"/>
      <c r="R330" s="105"/>
      <c r="S330" s="105"/>
      <c r="T330" s="105"/>
      <c r="U330" s="180"/>
      <c r="V330" s="1179">
        <f t="shared" si="68"/>
        <v>0</v>
      </c>
    </row>
    <row r="331" spans="1:25" s="8" customFormat="1" ht="13.8" x14ac:dyDescent="0.25">
      <c r="A331" s="70"/>
      <c r="B331" s="71"/>
      <c r="C331" s="97"/>
      <c r="D331" s="1310" t="s">
        <v>234</v>
      </c>
      <c r="E331" s="105"/>
      <c r="F331" s="105">
        <f t="shared" si="69"/>
        <v>0</v>
      </c>
      <c r="G331" s="105"/>
      <c r="H331" s="105"/>
      <c r="I331" s="215"/>
      <c r="J331" s="216"/>
      <c r="K331" s="105"/>
      <c r="L331" s="109"/>
      <c r="M331" s="109"/>
      <c r="N331" s="109"/>
      <c r="O331" s="105"/>
      <c r="P331" s="105"/>
      <c r="Q331" s="180"/>
      <c r="R331" s="105"/>
      <c r="S331" s="105"/>
      <c r="T331" s="105"/>
      <c r="U331" s="180"/>
      <c r="V331" s="1181">
        <f t="shared" si="68"/>
        <v>0</v>
      </c>
    </row>
    <row r="332" spans="1:25" s="8" customFormat="1" ht="13.8" x14ac:dyDescent="0.25">
      <c r="A332" s="70"/>
      <c r="B332" s="71"/>
      <c r="C332" s="97"/>
      <c r="D332" s="1310"/>
      <c r="E332" s="237">
        <f t="shared" ref="E332:V332" si="70">SUM(E326:E331)</f>
        <v>0</v>
      </c>
      <c r="F332" s="237">
        <f>SUM(F326:F331)</f>
        <v>0</v>
      </c>
      <c r="G332" s="237">
        <f t="shared" si="70"/>
        <v>0</v>
      </c>
      <c r="H332" s="237">
        <f t="shared" si="70"/>
        <v>0</v>
      </c>
      <c r="I332" s="237">
        <f t="shared" si="70"/>
        <v>0</v>
      </c>
      <c r="J332" s="240"/>
      <c r="K332" s="237">
        <f t="shared" si="70"/>
        <v>0</v>
      </c>
      <c r="L332" s="237">
        <f t="shared" si="70"/>
        <v>0</v>
      </c>
      <c r="M332" s="237">
        <f t="shared" si="70"/>
        <v>0</v>
      </c>
      <c r="N332" s="237">
        <f t="shared" si="70"/>
        <v>0</v>
      </c>
      <c r="O332" s="237">
        <f t="shared" si="70"/>
        <v>0</v>
      </c>
      <c r="P332" s="237">
        <f t="shared" si="70"/>
        <v>0</v>
      </c>
      <c r="Q332" s="237">
        <f t="shared" si="70"/>
        <v>0</v>
      </c>
      <c r="R332" s="237">
        <f t="shared" si="70"/>
        <v>0</v>
      </c>
      <c r="S332" s="237">
        <f>SUM(S326:S331)</f>
        <v>0</v>
      </c>
      <c r="T332" s="237"/>
      <c r="U332" s="240">
        <f t="shared" si="70"/>
        <v>0</v>
      </c>
      <c r="V332" s="1210">
        <f t="shared" si="70"/>
        <v>0</v>
      </c>
    </row>
    <row r="333" spans="1:25" s="8" customFormat="1" ht="13.8" x14ac:dyDescent="0.25">
      <c r="A333" s="70"/>
      <c r="B333" s="71"/>
      <c r="C333" s="97"/>
      <c r="D333" s="1311"/>
      <c r="E333" s="105"/>
      <c r="F333" s="105">
        <f>SUM(G333:U333)</f>
        <v>0</v>
      </c>
      <c r="G333" s="105"/>
      <c r="H333" s="105"/>
      <c r="I333" s="215"/>
      <c r="J333" s="216"/>
      <c r="K333" s="105"/>
      <c r="L333" s="109"/>
      <c r="M333" s="109"/>
      <c r="N333" s="109"/>
      <c r="O333" s="105"/>
      <c r="P333" s="105"/>
      <c r="Q333" s="180"/>
      <c r="R333" s="105"/>
      <c r="S333" s="105"/>
      <c r="T333" s="105"/>
      <c r="U333" s="180"/>
      <c r="V333" s="1194">
        <f>E333-F333</f>
        <v>0</v>
      </c>
    </row>
    <row r="334" spans="1:25" s="8" customFormat="1" ht="13.8" x14ac:dyDescent="0.25">
      <c r="A334" s="70"/>
      <c r="B334" s="71" t="s">
        <v>92</v>
      </c>
      <c r="C334" s="97"/>
      <c r="D334" s="1310" t="s">
        <v>173</v>
      </c>
      <c r="E334" s="236"/>
      <c r="F334" s="236">
        <f>SUM(G334:U334)</f>
        <v>0</v>
      </c>
      <c r="G334" s="236"/>
      <c r="H334" s="236"/>
      <c r="I334" s="242"/>
      <c r="J334" s="243"/>
      <c r="K334" s="236"/>
      <c r="L334" s="244"/>
      <c r="M334" s="244"/>
      <c r="N334" s="244"/>
      <c r="O334" s="236"/>
      <c r="P334" s="236"/>
      <c r="Q334" s="245"/>
      <c r="R334" s="236"/>
      <c r="S334" s="236"/>
      <c r="T334" s="236"/>
      <c r="U334" s="245"/>
      <c r="V334" s="1211">
        <f>E334-F334</f>
        <v>0</v>
      </c>
    </row>
    <row r="335" spans="1:25" s="8" customFormat="1" ht="13.8" x14ac:dyDescent="0.25">
      <c r="A335" s="70"/>
      <c r="B335" s="71"/>
      <c r="C335" s="97"/>
      <c r="D335" s="1311"/>
      <c r="E335" s="105"/>
      <c r="F335" s="105"/>
      <c r="G335" s="105"/>
      <c r="H335" s="105"/>
      <c r="I335" s="215"/>
      <c r="J335" s="216"/>
      <c r="K335" s="105"/>
      <c r="L335" s="109"/>
      <c r="M335" s="109"/>
      <c r="N335" s="109"/>
      <c r="O335" s="105"/>
      <c r="P335" s="105"/>
      <c r="Q335" s="180"/>
      <c r="R335" s="105"/>
      <c r="S335" s="105"/>
      <c r="T335" s="105"/>
      <c r="U335" s="180"/>
      <c r="V335" s="1194"/>
    </row>
    <row r="336" spans="1:25" s="64" customFormat="1" ht="13.8" x14ac:dyDescent="0.25">
      <c r="A336" s="60"/>
      <c r="B336" s="61" t="s">
        <v>244</v>
      </c>
      <c r="C336" s="92"/>
      <c r="D336" s="1309" t="s">
        <v>148</v>
      </c>
      <c r="E336" s="136"/>
      <c r="F336" s="136">
        <f>SUM(G336:U336)</f>
        <v>0</v>
      </c>
      <c r="G336" s="136"/>
      <c r="H336" s="136"/>
      <c r="I336" s="238"/>
      <c r="J336" s="159"/>
      <c r="K336" s="136"/>
      <c r="L336" s="141"/>
      <c r="M336" s="141"/>
      <c r="N336" s="141"/>
      <c r="O336" s="136"/>
      <c r="P336" s="136"/>
      <c r="Q336" s="144"/>
      <c r="R336" s="136"/>
      <c r="S336" s="136"/>
      <c r="T336" s="136"/>
      <c r="U336" s="144"/>
      <c r="V336" s="1176">
        <f>E336-F336</f>
        <v>0</v>
      </c>
    </row>
    <row r="337" spans="1:22" s="64" customFormat="1" ht="13.8" x14ac:dyDescent="0.25">
      <c r="A337" s="60"/>
      <c r="B337" s="61"/>
      <c r="C337" s="92"/>
      <c r="D337" s="1309" t="s">
        <v>166</v>
      </c>
      <c r="E337" s="136">
        <v>567775</v>
      </c>
      <c r="F337" s="136">
        <f t="shared" ref="F337:F345" si="71">SUM(G337:U337)</f>
        <v>567775</v>
      </c>
      <c r="G337" s="136"/>
      <c r="H337" s="136"/>
      <c r="I337" s="238"/>
      <c r="J337" s="159">
        <v>567775</v>
      </c>
      <c r="K337" s="136"/>
      <c r="L337" s="141"/>
      <c r="M337" s="141"/>
      <c r="N337" s="141"/>
      <c r="O337" s="136"/>
      <c r="P337" s="136"/>
      <c r="Q337" s="144"/>
      <c r="R337" s="136"/>
      <c r="S337" s="136"/>
      <c r="T337" s="136"/>
      <c r="U337" s="144"/>
      <c r="V337" s="1176">
        <f t="shared" ref="V337:V344" si="72">E337-F337</f>
        <v>0</v>
      </c>
    </row>
    <row r="338" spans="1:22" s="64" customFormat="1" ht="13.8" x14ac:dyDescent="0.25">
      <c r="A338" s="60"/>
      <c r="B338" s="61"/>
      <c r="C338" s="92"/>
      <c r="D338" s="1309" t="s">
        <v>150</v>
      </c>
      <c r="E338" s="136"/>
      <c r="F338" s="136">
        <f t="shared" si="71"/>
        <v>0</v>
      </c>
      <c r="G338" s="136"/>
      <c r="H338" s="136"/>
      <c r="I338" s="238"/>
      <c r="J338" s="159"/>
      <c r="K338" s="136"/>
      <c r="L338" s="141"/>
      <c r="M338" s="141"/>
      <c r="N338" s="141"/>
      <c r="O338" s="136"/>
      <c r="P338" s="136"/>
      <c r="Q338" s="144"/>
      <c r="R338" s="136"/>
      <c r="S338" s="136"/>
      <c r="T338" s="136"/>
      <c r="U338" s="144"/>
      <c r="V338" s="1176">
        <f t="shared" si="72"/>
        <v>0</v>
      </c>
    </row>
    <row r="339" spans="1:22" s="64" customFormat="1" ht="13.8" x14ac:dyDescent="0.25">
      <c r="A339" s="60"/>
      <c r="B339" s="61"/>
      <c r="C339" s="92"/>
      <c r="D339" s="1309" t="s">
        <v>234</v>
      </c>
      <c r="E339" s="136"/>
      <c r="F339" s="136">
        <f t="shared" si="71"/>
        <v>0</v>
      </c>
      <c r="G339" s="141"/>
      <c r="H339" s="141"/>
      <c r="I339" s="238"/>
      <c r="J339" s="159"/>
      <c r="K339" s="136"/>
      <c r="L339" s="141"/>
      <c r="M339" s="141"/>
      <c r="N339" s="141"/>
      <c r="O339" s="136"/>
      <c r="P339" s="136"/>
      <c r="Q339" s="144"/>
      <c r="R339" s="136"/>
      <c r="S339" s="136"/>
      <c r="T339" s="136"/>
      <c r="U339" s="144"/>
      <c r="V339" s="1176">
        <f t="shared" si="72"/>
        <v>0</v>
      </c>
    </row>
    <row r="340" spans="1:22" s="64" customFormat="1" ht="13.8" x14ac:dyDescent="0.25">
      <c r="A340" s="60"/>
      <c r="B340" s="61"/>
      <c r="C340" s="92"/>
      <c r="D340" s="1309" t="s">
        <v>171</v>
      </c>
      <c r="E340" s="136">
        <v>140000</v>
      </c>
      <c r="F340" s="136">
        <f t="shared" si="71"/>
        <v>0</v>
      </c>
      <c r="G340" s="141"/>
      <c r="H340" s="141"/>
      <c r="I340" s="238"/>
      <c r="J340" s="159"/>
      <c r="K340" s="136"/>
      <c r="L340" s="141"/>
      <c r="M340" s="141"/>
      <c r="N340" s="141"/>
      <c r="O340" s="136"/>
      <c r="P340" s="136"/>
      <c r="Q340" s="144"/>
      <c r="R340" s="136"/>
      <c r="S340" s="136"/>
      <c r="T340" s="136"/>
      <c r="U340" s="144"/>
      <c r="V340" s="1176">
        <f t="shared" si="72"/>
        <v>140000</v>
      </c>
    </row>
    <row r="341" spans="1:22" s="64" customFormat="1" ht="13.8" x14ac:dyDescent="0.25">
      <c r="A341" s="60"/>
      <c r="B341" s="61"/>
      <c r="C341" s="92"/>
      <c r="D341" s="1309" t="s">
        <v>155</v>
      </c>
      <c r="E341" s="136"/>
      <c r="F341" s="136">
        <f t="shared" si="71"/>
        <v>0</v>
      </c>
      <c r="G341" s="141"/>
      <c r="H341" s="141"/>
      <c r="I341" s="238"/>
      <c r="J341" s="159"/>
      <c r="K341" s="136"/>
      <c r="L341" s="141"/>
      <c r="M341" s="141"/>
      <c r="N341" s="141"/>
      <c r="O341" s="136"/>
      <c r="P341" s="136"/>
      <c r="Q341" s="144"/>
      <c r="R341" s="136"/>
      <c r="S341" s="136"/>
      <c r="T341" s="136"/>
      <c r="U341" s="144"/>
      <c r="V341" s="1176">
        <f t="shared" si="72"/>
        <v>0</v>
      </c>
    </row>
    <row r="342" spans="1:22" s="64" customFormat="1" ht="13.8" x14ac:dyDescent="0.25">
      <c r="A342" s="60"/>
      <c r="B342" s="61"/>
      <c r="C342" s="92"/>
      <c r="D342" s="1309" t="s">
        <v>169</v>
      </c>
      <c r="E342" s="136"/>
      <c r="F342" s="136">
        <f t="shared" si="71"/>
        <v>0</v>
      </c>
      <c r="G342" s="141"/>
      <c r="H342" s="141"/>
      <c r="I342" s="238"/>
      <c r="J342" s="159"/>
      <c r="K342" s="136"/>
      <c r="L342" s="141"/>
      <c r="M342" s="141"/>
      <c r="N342" s="141"/>
      <c r="O342" s="136"/>
      <c r="P342" s="136"/>
      <c r="Q342" s="144"/>
      <c r="R342" s="136"/>
      <c r="S342" s="136"/>
      <c r="T342" s="136"/>
      <c r="U342" s="144"/>
      <c r="V342" s="1176">
        <f t="shared" si="72"/>
        <v>0</v>
      </c>
    </row>
    <row r="343" spans="1:22" s="64" customFormat="1" ht="13.8" x14ac:dyDescent="0.25">
      <c r="A343" s="60"/>
      <c r="B343" s="61"/>
      <c r="C343" s="92"/>
      <c r="D343" s="1309" t="s">
        <v>142</v>
      </c>
      <c r="E343" s="136"/>
      <c r="F343" s="136">
        <f t="shared" si="71"/>
        <v>0</v>
      </c>
      <c r="G343" s="141"/>
      <c r="H343" s="141"/>
      <c r="I343" s="238"/>
      <c r="J343" s="159"/>
      <c r="K343" s="136"/>
      <c r="L343" s="141"/>
      <c r="M343" s="141"/>
      <c r="N343" s="141"/>
      <c r="O343" s="136"/>
      <c r="P343" s="136"/>
      <c r="Q343" s="144"/>
      <c r="R343" s="136"/>
      <c r="S343" s="136"/>
      <c r="T343" s="136"/>
      <c r="U343" s="144"/>
      <c r="V343" s="1176">
        <f t="shared" si="72"/>
        <v>0</v>
      </c>
    </row>
    <row r="344" spans="1:22" s="64" customFormat="1" ht="13.8" x14ac:dyDescent="0.25">
      <c r="A344" s="60"/>
      <c r="B344" s="61"/>
      <c r="C344" s="92"/>
      <c r="D344" s="1309" t="s">
        <v>172</v>
      </c>
      <c r="E344" s="136"/>
      <c r="F344" s="136">
        <f t="shared" si="71"/>
        <v>0</v>
      </c>
      <c r="G344" s="141"/>
      <c r="H344" s="141"/>
      <c r="I344" s="238"/>
      <c r="J344" s="159"/>
      <c r="K344" s="136"/>
      <c r="L344" s="141"/>
      <c r="M344" s="141"/>
      <c r="N344" s="141"/>
      <c r="O344" s="136"/>
      <c r="P344" s="136"/>
      <c r="Q344" s="144"/>
      <c r="R344" s="136"/>
      <c r="S344" s="136"/>
      <c r="T344" s="136"/>
      <c r="U344" s="144"/>
      <c r="V344" s="1176">
        <f t="shared" si="72"/>
        <v>0</v>
      </c>
    </row>
    <row r="345" spans="1:22" s="64" customFormat="1" ht="13.8" x14ac:dyDescent="0.25">
      <c r="A345" s="60"/>
      <c r="B345" s="61"/>
      <c r="C345" s="92"/>
      <c r="D345" s="1309" t="s">
        <v>174</v>
      </c>
      <c r="E345" s="136"/>
      <c r="F345" s="136">
        <f t="shared" si="71"/>
        <v>0</v>
      </c>
      <c r="G345" s="141"/>
      <c r="H345" s="141"/>
      <c r="I345" s="238"/>
      <c r="J345" s="159"/>
      <c r="K345" s="136"/>
      <c r="L345" s="141"/>
      <c r="M345" s="141"/>
      <c r="N345" s="141"/>
      <c r="O345" s="136"/>
      <c r="P345" s="136"/>
      <c r="Q345" s="144"/>
      <c r="R345" s="136"/>
      <c r="S345" s="136"/>
      <c r="T345" s="136"/>
      <c r="U345" s="144"/>
      <c r="V345" s="1188">
        <f>E345-F345</f>
        <v>0</v>
      </c>
    </row>
    <row r="346" spans="1:22" s="8" customFormat="1" ht="13.8" x14ac:dyDescent="0.25">
      <c r="A346" s="70"/>
      <c r="B346" s="71"/>
      <c r="C346" s="97"/>
      <c r="D346" s="1310"/>
      <c r="E346" s="237">
        <f>SUM(E336:E345)</f>
        <v>707775</v>
      </c>
      <c r="F346" s="237">
        <f>SUM(F336:F345)</f>
        <v>567775</v>
      </c>
      <c r="G346" s="237">
        <f>SUM(G336:G345)</f>
        <v>0</v>
      </c>
      <c r="H346" s="237">
        <f>SUM(H336:H345)</f>
        <v>0</v>
      </c>
      <c r="I346" s="237">
        <f>SUM(I336:I345)</f>
        <v>0</v>
      </c>
      <c r="J346" s="240"/>
      <c r="K346" s="237">
        <f t="shared" ref="K346:R346" si="73">SUM(K336:K345)</f>
        <v>0</v>
      </c>
      <c r="L346" s="237">
        <f t="shared" si="73"/>
        <v>0</v>
      </c>
      <c r="M346" s="237">
        <f t="shared" si="73"/>
        <v>0</v>
      </c>
      <c r="N346" s="246">
        <f t="shared" si="73"/>
        <v>0</v>
      </c>
      <c r="O346" s="237">
        <f t="shared" si="73"/>
        <v>0</v>
      </c>
      <c r="P346" s="237">
        <f t="shared" si="73"/>
        <v>0</v>
      </c>
      <c r="Q346" s="237">
        <f t="shared" si="73"/>
        <v>0</v>
      </c>
      <c r="R346" s="246">
        <f t="shared" si="73"/>
        <v>0</v>
      </c>
      <c r="S346" s="246"/>
      <c r="T346" s="246"/>
      <c r="U346" s="240">
        <f>SUM(U336:U345)</f>
        <v>0</v>
      </c>
      <c r="V346" s="1210">
        <f>SUM(V336:V345)</f>
        <v>140000</v>
      </c>
    </row>
    <row r="347" spans="1:22" s="8" customFormat="1" ht="13.8" x14ac:dyDescent="0.25">
      <c r="A347" s="70"/>
      <c r="B347" s="71"/>
      <c r="C347" s="97"/>
      <c r="D347" s="241"/>
      <c r="E347" s="105"/>
      <c r="F347" s="105"/>
      <c r="G347" s="109"/>
      <c r="H347" s="109"/>
      <c r="I347" s="215"/>
      <c r="J347" s="216"/>
      <c r="K347" s="105"/>
      <c r="L347" s="109"/>
      <c r="M347" s="109"/>
      <c r="N347" s="109"/>
      <c r="O347" s="105"/>
      <c r="P347" s="105"/>
      <c r="Q347" s="180"/>
      <c r="R347" s="105"/>
      <c r="S347" s="105"/>
      <c r="T347" s="105"/>
      <c r="U347" s="180"/>
      <c r="V347" s="1194"/>
    </row>
    <row r="348" spans="1:22" s="8" customFormat="1" ht="13.8" x14ac:dyDescent="0.25">
      <c r="A348" s="70"/>
      <c r="B348" s="71"/>
      <c r="C348" s="97"/>
      <c r="D348" s="241"/>
      <c r="E348" s="105"/>
      <c r="F348" s="105"/>
      <c r="G348" s="109"/>
      <c r="H348" s="109"/>
      <c r="I348" s="215"/>
      <c r="J348" s="109"/>
      <c r="K348" s="110"/>
      <c r="L348" s="109"/>
      <c r="M348" s="109"/>
      <c r="N348" s="109"/>
      <c r="O348" s="105"/>
      <c r="P348" s="105"/>
      <c r="Q348" s="180"/>
      <c r="R348" s="105"/>
      <c r="S348" s="105"/>
      <c r="T348" s="105"/>
      <c r="U348" s="180"/>
      <c r="V348" s="1194"/>
    </row>
    <row r="349" spans="1:22" s="8" customFormat="1" ht="13.8" x14ac:dyDescent="0.25">
      <c r="A349" s="70"/>
      <c r="B349" s="71"/>
      <c r="C349" s="97"/>
      <c r="D349" s="241"/>
      <c r="E349" s="105"/>
      <c r="F349" s="105"/>
      <c r="G349" s="109"/>
      <c r="H349" s="109"/>
      <c r="I349" s="215"/>
      <c r="J349" s="109"/>
      <c r="K349" s="110"/>
      <c r="L349" s="109"/>
      <c r="M349" s="109"/>
      <c r="N349" s="109"/>
      <c r="O349" s="105"/>
      <c r="P349" s="105"/>
      <c r="Q349" s="180"/>
      <c r="R349" s="105"/>
      <c r="S349" s="105"/>
      <c r="T349" s="105"/>
      <c r="U349" s="180"/>
      <c r="V349" s="1194"/>
    </row>
    <row r="350" spans="1:22" s="8" customFormat="1" ht="13.8" x14ac:dyDescent="0.25">
      <c r="D350" s="247"/>
      <c r="E350" s="123"/>
      <c r="F350" s="123"/>
      <c r="G350" s="127"/>
      <c r="H350" s="127"/>
      <c r="I350" s="127"/>
      <c r="J350" s="127"/>
      <c r="K350" s="123"/>
      <c r="L350" s="127"/>
      <c r="M350" s="127"/>
      <c r="N350" s="127"/>
      <c r="O350" s="123"/>
      <c r="P350" s="123"/>
      <c r="Q350" s="123"/>
      <c r="R350" s="123"/>
      <c r="S350" s="123"/>
      <c r="T350" s="123"/>
      <c r="U350" s="123"/>
      <c r="V350" s="1195"/>
    </row>
    <row r="351" spans="1:22" s="8" customFormat="1" ht="13.8" x14ac:dyDescent="0.25">
      <c r="D351" s="247"/>
      <c r="E351" s="123"/>
      <c r="F351" s="123"/>
      <c r="G351" s="127"/>
      <c r="H351" s="127"/>
      <c r="I351" s="127"/>
      <c r="J351" s="127"/>
      <c r="K351" s="123"/>
      <c r="L351" s="127"/>
      <c r="M351" s="127"/>
      <c r="N351" s="127"/>
      <c r="O351" s="123"/>
      <c r="P351" s="123"/>
      <c r="Q351" s="123"/>
      <c r="R351" s="123"/>
      <c r="S351" s="123"/>
      <c r="T351" s="123"/>
      <c r="U351" s="123"/>
      <c r="V351" s="1195"/>
    </row>
    <row r="352" spans="1:22" s="8" customFormat="1" ht="13.8" x14ac:dyDescent="0.25">
      <c r="D352" s="247"/>
      <c r="E352" s="123"/>
      <c r="F352" s="123"/>
      <c r="G352" s="127"/>
      <c r="H352" s="127"/>
      <c r="I352" s="127"/>
      <c r="J352" s="127"/>
      <c r="K352" s="123"/>
      <c r="L352" s="127"/>
      <c r="M352" s="127"/>
      <c r="N352" s="127"/>
      <c r="O352" s="123"/>
      <c r="P352" s="123"/>
      <c r="Q352" s="123"/>
      <c r="R352" s="123"/>
      <c r="S352" s="123"/>
      <c r="T352" s="123"/>
      <c r="U352" s="123"/>
      <c r="V352" s="1195"/>
    </row>
    <row r="353" spans="1:22" s="8" customFormat="1" ht="13.8" x14ac:dyDescent="0.25">
      <c r="D353" s="247"/>
      <c r="E353" s="123"/>
      <c r="F353" s="123"/>
      <c r="G353" s="127"/>
      <c r="H353" s="127"/>
      <c r="I353" s="127"/>
      <c r="J353" s="127"/>
      <c r="K353" s="123"/>
      <c r="L353" s="127"/>
      <c r="M353" s="127"/>
      <c r="N353" s="127"/>
      <c r="O353" s="123"/>
      <c r="P353" s="123"/>
      <c r="Q353" s="123"/>
      <c r="R353" s="123"/>
      <c r="S353" s="123"/>
      <c r="T353" s="123"/>
      <c r="U353" s="123"/>
      <c r="V353" s="1195"/>
    </row>
    <row r="354" spans="1:22" s="8" customFormat="1" ht="13.8" x14ac:dyDescent="0.25">
      <c r="D354" s="247"/>
      <c r="E354" s="123"/>
      <c r="F354" s="123"/>
      <c r="G354" s="127"/>
      <c r="H354" s="127"/>
      <c r="I354" s="127"/>
      <c r="J354" s="127"/>
      <c r="K354" s="123"/>
      <c r="L354" s="127"/>
      <c r="M354" s="127"/>
      <c r="N354" s="127"/>
      <c r="O354" s="123"/>
      <c r="P354" s="123"/>
      <c r="Q354" s="123"/>
      <c r="R354" s="123"/>
      <c r="S354" s="123"/>
      <c r="T354" s="123"/>
      <c r="U354" s="123"/>
      <c r="V354" s="1195"/>
    </row>
    <row r="355" spans="1:22" s="8" customFormat="1" ht="13.8" x14ac:dyDescent="0.25">
      <c r="D355" s="247"/>
      <c r="E355" s="123"/>
      <c r="F355" s="123"/>
      <c r="G355" s="127"/>
      <c r="H355" s="127"/>
      <c r="I355" s="127"/>
      <c r="J355" s="127"/>
      <c r="K355" s="123"/>
      <c r="L355" s="127"/>
      <c r="M355" s="127"/>
      <c r="N355" s="127"/>
      <c r="O355" s="123"/>
      <c r="P355" s="123"/>
      <c r="Q355" s="123"/>
      <c r="R355" s="123"/>
      <c r="S355" s="123"/>
      <c r="T355" s="123"/>
      <c r="U355" s="123"/>
      <c r="V355" s="1195"/>
    </row>
    <row r="356" spans="1:22" s="8" customFormat="1" ht="13.8" x14ac:dyDescent="0.25">
      <c r="D356" s="247"/>
      <c r="E356" s="123"/>
      <c r="F356" s="123"/>
      <c r="G356" s="127"/>
      <c r="H356" s="127"/>
      <c r="I356" s="127"/>
      <c r="J356" s="127"/>
      <c r="K356" s="123"/>
      <c r="L356" s="127"/>
      <c r="M356" s="127"/>
      <c r="N356" s="127"/>
      <c r="O356" s="123"/>
      <c r="P356" s="123"/>
      <c r="Q356" s="123"/>
      <c r="R356" s="123"/>
      <c r="S356" s="123"/>
      <c r="T356" s="123"/>
      <c r="U356" s="123"/>
      <c r="V356" s="1195"/>
    </row>
    <row r="357" spans="1:22" s="8" customFormat="1" ht="13.8" x14ac:dyDescent="0.25">
      <c r="A357" s="1326" t="s">
        <v>106</v>
      </c>
      <c r="B357" s="1326"/>
      <c r="C357" s="1326"/>
      <c r="D357" s="1326"/>
      <c r="E357" s="1326"/>
      <c r="F357" s="1326"/>
      <c r="G357" s="1326"/>
      <c r="H357" s="1326"/>
      <c r="I357" s="1326"/>
      <c r="J357" s="11"/>
      <c r="K357" s="9"/>
      <c r="L357" s="10"/>
      <c r="M357" s="10"/>
      <c r="N357" s="10"/>
      <c r="V357" s="1175"/>
    </row>
    <row r="358" spans="1:22" s="8" customFormat="1" ht="13.8" x14ac:dyDescent="0.25">
      <c r="A358" s="1326" t="s">
        <v>192</v>
      </c>
      <c r="B358" s="1326"/>
      <c r="C358" s="1326"/>
      <c r="D358" s="1326"/>
      <c r="E358" s="1326"/>
      <c r="F358" s="1326"/>
      <c r="G358" s="1326"/>
      <c r="H358" s="1326"/>
      <c r="I358" s="1326"/>
      <c r="J358" s="1326"/>
      <c r="K358" s="1326"/>
      <c r="L358" s="1326"/>
      <c r="M358" s="1326"/>
      <c r="N358" s="1326"/>
      <c r="O358" s="1326"/>
      <c r="V358" s="1175"/>
    </row>
    <row r="359" spans="1:22" s="8" customFormat="1" ht="13.8" x14ac:dyDescent="0.25">
      <c r="A359" s="1326" t="s">
        <v>116</v>
      </c>
      <c r="B359" s="1326"/>
      <c r="C359" s="1326"/>
      <c r="D359" s="1326"/>
      <c r="E359" s="1326"/>
      <c r="F359" s="1326"/>
      <c r="G359" s="1326"/>
      <c r="H359" s="1326"/>
      <c r="I359" s="1326"/>
      <c r="J359" s="11"/>
      <c r="K359" s="9"/>
      <c r="L359" s="10"/>
      <c r="M359" s="10"/>
      <c r="N359" s="10"/>
      <c r="V359" s="1175"/>
    </row>
    <row r="360" spans="1:22" s="8" customFormat="1" ht="13.8" x14ac:dyDescent="0.25">
      <c r="A360" s="11" t="s">
        <v>108</v>
      </c>
      <c r="B360" s="11"/>
      <c r="C360" s="11"/>
      <c r="D360" s="11"/>
      <c r="E360" s="11"/>
      <c r="F360" s="11"/>
      <c r="G360" s="11"/>
      <c r="H360" s="11"/>
      <c r="I360" s="11"/>
      <c r="J360" s="11"/>
      <c r="K360" s="9"/>
      <c r="L360" s="10"/>
      <c r="M360" s="10"/>
      <c r="N360" s="10"/>
      <c r="V360" s="1175"/>
    </row>
    <row r="361" spans="1:22" s="8" customFormat="1" ht="14.4" thickBot="1" x14ac:dyDescent="0.3">
      <c r="A361" s="1326" t="s">
        <v>109</v>
      </c>
      <c r="B361" s="1326"/>
      <c r="C361" s="1326"/>
      <c r="D361" s="1326"/>
      <c r="E361" s="1326"/>
      <c r="F361" s="1326"/>
      <c r="G361" s="1326"/>
      <c r="H361" s="1326"/>
      <c r="I361" s="1326"/>
      <c r="J361" s="11"/>
      <c r="K361" s="9"/>
      <c r="L361" s="10"/>
      <c r="M361" s="10"/>
      <c r="N361" s="10"/>
      <c r="V361" s="1182" t="s">
        <v>245</v>
      </c>
    </row>
    <row r="362" spans="1:22" s="8" customFormat="1" ht="14.4" thickTop="1" x14ac:dyDescent="0.25">
      <c r="A362" s="128"/>
      <c r="B362" s="129"/>
      <c r="C362" s="129"/>
      <c r="D362" s="130"/>
      <c r="E362" s="87" t="s">
        <v>111</v>
      </c>
      <c r="F362" s="130"/>
      <c r="G362" s="1327" t="s">
        <v>112</v>
      </c>
      <c r="H362" s="1328"/>
      <c r="I362" s="1328"/>
      <c r="J362" s="1328"/>
      <c r="K362" s="1328"/>
      <c r="L362" s="1328"/>
      <c r="M362" s="1328"/>
      <c r="N362" s="1328"/>
      <c r="O362" s="1328"/>
      <c r="P362" s="1328"/>
      <c r="Q362" s="1328"/>
      <c r="R362" s="1328"/>
      <c r="S362" s="1328"/>
      <c r="T362" s="1328"/>
      <c r="U362" s="1329"/>
      <c r="V362" s="1166"/>
    </row>
    <row r="363" spans="1:22" s="8" customFormat="1" ht="13.8" x14ac:dyDescent="0.25">
      <c r="A363" s="18"/>
      <c r="B363" s="4"/>
      <c r="C363" s="4"/>
      <c r="D363" s="19"/>
      <c r="E363" s="20" t="s">
        <v>113</v>
      </c>
      <c r="F363" s="20" t="s">
        <v>2</v>
      </c>
      <c r="G363" s="1330" t="s">
        <v>114</v>
      </c>
      <c r="H363" s="1331"/>
      <c r="I363" s="1331"/>
      <c r="J363" s="1331"/>
      <c r="K363" s="1331"/>
      <c r="L363" s="1331"/>
      <c r="M363" s="1331"/>
      <c r="N363" s="1331"/>
      <c r="O363" s="1331"/>
      <c r="P363" s="1331"/>
      <c r="Q363" s="1331"/>
      <c r="R363" s="1331"/>
      <c r="S363" s="1331"/>
      <c r="T363" s="1331"/>
      <c r="U363" s="1331"/>
      <c r="V363" s="1175"/>
    </row>
    <row r="364" spans="1:22" s="8" customFormat="1" ht="13.8" x14ac:dyDescent="0.25">
      <c r="A364" s="1318" t="s">
        <v>115</v>
      </c>
      <c r="B364" s="1319"/>
      <c r="C364" s="1320"/>
      <c r="D364" s="20" t="s">
        <v>116</v>
      </c>
      <c r="E364" s="20" t="s">
        <v>117</v>
      </c>
      <c r="F364" s="20" t="s">
        <v>118</v>
      </c>
      <c r="G364" s="1315" t="s">
        <v>123</v>
      </c>
      <c r="H364" s="20"/>
      <c r="I364" s="22"/>
      <c r="J364" s="22"/>
      <c r="K364" s="23"/>
      <c r="L364" s="24"/>
      <c r="M364" s="25"/>
      <c r="N364" s="24"/>
      <c r="O364" s="20"/>
      <c r="P364" s="20"/>
      <c r="Q364" s="176"/>
      <c r="R364" s="26"/>
      <c r="S364" s="27"/>
      <c r="T364" s="27"/>
      <c r="U364" s="1312" t="s">
        <v>134</v>
      </c>
      <c r="V364" s="1183"/>
    </row>
    <row r="365" spans="1:22" s="8" customFormat="1" ht="13.8" x14ac:dyDescent="0.25">
      <c r="A365" s="30"/>
      <c r="D365" s="20" t="s">
        <v>120</v>
      </c>
      <c r="E365" s="20" t="s">
        <v>121</v>
      </c>
      <c r="F365" s="20" t="s">
        <v>122</v>
      </c>
      <c r="G365" s="1316"/>
      <c r="H365" s="20" t="s">
        <v>124</v>
      </c>
      <c r="I365" s="22" t="s">
        <v>125</v>
      </c>
      <c r="J365" s="22"/>
      <c r="K365" s="25" t="s">
        <v>126</v>
      </c>
      <c r="L365" s="24" t="s">
        <v>127</v>
      </c>
      <c r="M365" s="32" t="s">
        <v>128</v>
      </c>
      <c r="N365" s="20" t="s">
        <v>129</v>
      </c>
      <c r="O365" s="20" t="s">
        <v>194</v>
      </c>
      <c r="P365" s="20" t="s">
        <v>131</v>
      </c>
      <c r="Q365" s="33" t="s">
        <v>132</v>
      </c>
      <c r="R365" s="34" t="s">
        <v>119</v>
      </c>
      <c r="S365" s="35" t="s">
        <v>133</v>
      </c>
      <c r="T365" s="27"/>
      <c r="U365" s="1313"/>
      <c r="V365" s="1183" t="s">
        <v>135</v>
      </c>
    </row>
    <row r="366" spans="1:22" s="8" customFormat="1" ht="14.4" thickBot="1" x14ac:dyDescent="0.3">
      <c r="A366" s="36"/>
      <c r="B366" s="37"/>
      <c r="C366" s="37"/>
      <c r="D366" s="38"/>
      <c r="E366" s="39" t="s">
        <v>136</v>
      </c>
      <c r="F366" s="40"/>
      <c r="G366" s="1317"/>
      <c r="H366" s="40"/>
      <c r="I366" s="42"/>
      <c r="J366" s="42"/>
      <c r="K366" s="40"/>
      <c r="L366" s="43"/>
      <c r="M366" s="44"/>
      <c r="N366" s="45"/>
      <c r="O366" s="41"/>
      <c r="P366" s="38"/>
      <c r="Q366" s="46"/>
      <c r="R366" s="47" t="s">
        <v>178</v>
      </c>
      <c r="S366" s="48"/>
      <c r="T366" s="48"/>
      <c r="U366" s="1314"/>
      <c r="V366" s="1184"/>
    </row>
    <row r="367" spans="1:22" s="64" customFormat="1" ht="14.4" thickTop="1" x14ac:dyDescent="0.25">
      <c r="A367" s="60"/>
      <c r="B367" s="61" t="s">
        <v>246</v>
      </c>
      <c r="C367" s="92"/>
      <c r="D367" s="158" t="s">
        <v>150</v>
      </c>
      <c r="E367" s="136">
        <v>0</v>
      </c>
      <c r="F367" s="136">
        <f>SUM(H367:U367)</f>
        <v>0</v>
      </c>
      <c r="G367" s="141"/>
      <c r="H367" s="141"/>
      <c r="I367" s="238"/>
      <c r="J367" s="1275"/>
      <c r="K367" s="142"/>
      <c r="L367" s="141"/>
      <c r="M367" s="141"/>
      <c r="N367" s="141"/>
      <c r="O367" s="136"/>
      <c r="P367" s="136"/>
      <c r="Q367" s="144"/>
      <c r="R367" s="136"/>
      <c r="S367" s="136"/>
      <c r="T367" s="136"/>
      <c r="U367" s="144"/>
      <c r="V367" s="1176">
        <f>E367-F367</f>
        <v>0</v>
      </c>
    </row>
    <row r="368" spans="1:22" s="8" customFormat="1" ht="13.8" x14ac:dyDescent="0.25">
      <c r="A368" s="70"/>
      <c r="B368" s="71"/>
      <c r="C368" s="97"/>
      <c r="D368" s="217" t="s">
        <v>142</v>
      </c>
      <c r="E368" s="182"/>
      <c r="F368" s="105">
        <f>SUM(H368:U368)</f>
        <v>0</v>
      </c>
      <c r="G368" s="109"/>
      <c r="H368" s="109"/>
      <c r="I368" s="215"/>
      <c r="J368" s="109"/>
      <c r="K368" s="110"/>
      <c r="L368" s="109"/>
      <c r="M368" s="109"/>
      <c r="N368" s="109"/>
      <c r="O368" s="105"/>
      <c r="P368" s="105"/>
      <c r="Q368" s="180"/>
      <c r="R368" s="105"/>
      <c r="S368" s="105"/>
      <c r="T368" s="105"/>
      <c r="U368" s="180"/>
      <c r="V368" s="1181">
        <f>E368-F368</f>
        <v>0</v>
      </c>
    </row>
    <row r="369" spans="1:22" s="8" customFormat="1" ht="13.8" x14ac:dyDescent="0.25">
      <c r="A369" s="70"/>
      <c r="B369" s="71"/>
      <c r="C369" s="97"/>
      <c r="D369" s="217"/>
      <c r="E369" s="237">
        <f t="shared" ref="E369:V369" si="74">SUM(E367:E368)</f>
        <v>0</v>
      </c>
      <c r="F369" s="237">
        <f>SUM(F367:F368)</f>
        <v>0</v>
      </c>
      <c r="G369" s="237">
        <f t="shared" si="74"/>
        <v>0</v>
      </c>
      <c r="H369" s="237">
        <f t="shared" si="74"/>
        <v>0</v>
      </c>
      <c r="I369" s="237">
        <f t="shared" si="74"/>
        <v>0</v>
      </c>
      <c r="J369" s="237"/>
      <c r="K369" s="1224">
        <f t="shared" si="74"/>
        <v>0</v>
      </c>
      <c r="L369" s="237">
        <f t="shared" si="74"/>
        <v>0</v>
      </c>
      <c r="M369" s="237">
        <f t="shared" si="74"/>
        <v>0</v>
      </c>
      <c r="N369" s="237">
        <f t="shared" si="74"/>
        <v>0</v>
      </c>
      <c r="O369" s="237">
        <f t="shared" si="74"/>
        <v>0</v>
      </c>
      <c r="P369" s="237">
        <f t="shared" si="74"/>
        <v>0</v>
      </c>
      <c r="Q369" s="237">
        <f t="shared" si="74"/>
        <v>0</v>
      </c>
      <c r="R369" s="237">
        <f t="shared" si="74"/>
        <v>0</v>
      </c>
      <c r="S369" s="237"/>
      <c r="T369" s="237"/>
      <c r="U369" s="240">
        <f t="shared" si="74"/>
        <v>0</v>
      </c>
      <c r="V369" s="1210">
        <f t="shared" si="74"/>
        <v>0</v>
      </c>
    </row>
    <row r="370" spans="1:22" s="8" customFormat="1" ht="13.8" x14ac:dyDescent="0.25">
      <c r="A370" s="70"/>
      <c r="B370" s="71"/>
      <c r="C370" s="97"/>
      <c r="D370" s="241"/>
      <c r="E370" s="105"/>
      <c r="F370" s="105"/>
      <c r="G370" s="109"/>
      <c r="H370" s="109"/>
      <c r="I370" s="215"/>
      <c r="J370" s="109"/>
      <c r="K370" s="110"/>
      <c r="L370" s="109"/>
      <c r="M370" s="109"/>
      <c r="N370" s="109"/>
      <c r="O370" s="105"/>
      <c r="P370" s="105"/>
      <c r="Q370" s="180"/>
      <c r="R370" s="105"/>
      <c r="S370" s="105"/>
      <c r="T370" s="105"/>
      <c r="U370" s="180"/>
      <c r="V370" s="1194"/>
    </row>
    <row r="371" spans="1:22" s="64" customFormat="1" ht="13.8" x14ac:dyDescent="0.25">
      <c r="A371" s="60"/>
      <c r="B371" s="61" t="s">
        <v>105</v>
      </c>
      <c r="C371" s="92"/>
      <c r="D371" s="158" t="s">
        <v>150</v>
      </c>
      <c r="E371" s="136">
        <v>0</v>
      </c>
      <c r="F371" s="136">
        <f>SUM(H371:U371)</f>
        <v>0</v>
      </c>
      <c r="G371" s="141"/>
      <c r="H371" s="141"/>
      <c r="I371" s="238"/>
      <c r="J371" s="141"/>
      <c r="K371" s="142"/>
      <c r="L371" s="141"/>
      <c r="M371" s="141"/>
      <c r="N371" s="141"/>
      <c r="O371" s="136"/>
      <c r="P371" s="136"/>
      <c r="Q371" s="144"/>
      <c r="R371" s="136"/>
      <c r="S371" s="136"/>
      <c r="T371" s="136"/>
      <c r="U371" s="144"/>
      <c r="V371" s="1176">
        <f>E371-F371</f>
        <v>0</v>
      </c>
    </row>
    <row r="372" spans="1:22" s="8" customFormat="1" ht="13.8" x14ac:dyDescent="0.25">
      <c r="A372" s="70"/>
      <c r="B372" s="71"/>
      <c r="C372" s="97"/>
      <c r="D372" s="217" t="s">
        <v>234</v>
      </c>
      <c r="E372" s="105"/>
      <c r="F372" s="105">
        <f>SUM(H372:U372)</f>
        <v>0</v>
      </c>
      <c r="G372" s="109"/>
      <c r="H372" s="109"/>
      <c r="I372" s="215"/>
      <c r="J372" s="109"/>
      <c r="K372" s="110"/>
      <c r="L372" s="109"/>
      <c r="M372" s="109"/>
      <c r="N372" s="109"/>
      <c r="O372" s="105"/>
      <c r="P372" s="105"/>
      <c r="Q372" s="180"/>
      <c r="R372" s="105"/>
      <c r="S372" s="105"/>
      <c r="T372" s="105"/>
      <c r="U372" s="180"/>
      <c r="V372" s="1179">
        <f>E372-F372</f>
        <v>0</v>
      </c>
    </row>
    <row r="373" spans="1:22" s="8" customFormat="1" ht="13.8" x14ac:dyDescent="0.25">
      <c r="A373" s="70"/>
      <c r="B373" s="71"/>
      <c r="C373" s="97"/>
      <c r="D373" s="217" t="s">
        <v>173</v>
      </c>
      <c r="E373" s="105"/>
      <c r="F373" s="105">
        <f>SUM(H373:U373)</f>
        <v>0</v>
      </c>
      <c r="G373" s="109"/>
      <c r="H373" s="109"/>
      <c r="I373" s="215"/>
      <c r="J373" s="109"/>
      <c r="K373" s="110"/>
      <c r="L373" s="109"/>
      <c r="M373" s="109"/>
      <c r="N373" s="109"/>
      <c r="O373" s="105"/>
      <c r="P373" s="105"/>
      <c r="Q373" s="180"/>
      <c r="R373" s="105"/>
      <c r="S373" s="105"/>
      <c r="T373" s="105"/>
      <c r="U373" s="180"/>
      <c r="V373" s="1179">
        <f>E373-F373</f>
        <v>0</v>
      </c>
    </row>
    <row r="374" spans="1:22" s="64" customFormat="1" ht="13.8" x14ac:dyDescent="0.25">
      <c r="A374" s="60"/>
      <c r="B374" s="61"/>
      <c r="C374" s="92"/>
      <c r="D374" s="158" t="s">
        <v>142</v>
      </c>
      <c r="E374" s="136"/>
      <c r="F374" s="136">
        <f>SUM(H374:U374)</f>
        <v>0</v>
      </c>
      <c r="G374" s="141"/>
      <c r="H374" s="141"/>
      <c r="I374" s="238"/>
      <c r="J374" s="141"/>
      <c r="K374" s="142"/>
      <c r="L374" s="141"/>
      <c r="M374" s="141"/>
      <c r="N374" s="141"/>
      <c r="O374" s="136"/>
      <c r="P374" s="136"/>
      <c r="Q374" s="144"/>
      <c r="R374" s="136"/>
      <c r="S374" s="136"/>
      <c r="T374" s="136"/>
      <c r="U374" s="144"/>
      <c r="V374" s="1188">
        <f>E374-F374</f>
        <v>0</v>
      </c>
    </row>
    <row r="375" spans="1:22" s="8" customFormat="1" ht="13.8" x14ac:dyDescent="0.25">
      <c r="A375" s="70"/>
      <c r="B375" s="71"/>
      <c r="C375" s="97"/>
      <c r="D375" s="217"/>
      <c r="E375" s="237">
        <f t="shared" ref="E375:V375" si="75">SUM(E371:E374)</f>
        <v>0</v>
      </c>
      <c r="F375" s="237">
        <f>SUM(F371:F374)</f>
        <v>0</v>
      </c>
      <c r="G375" s="237">
        <f t="shared" si="75"/>
        <v>0</v>
      </c>
      <c r="H375" s="237">
        <f t="shared" si="75"/>
        <v>0</v>
      </c>
      <c r="I375" s="237">
        <f t="shared" si="75"/>
        <v>0</v>
      </c>
      <c r="J375" s="237"/>
      <c r="K375" s="1224">
        <f t="shared" si="75"/>
        <v>0</v>
      </c>
      <c r="L375" s="237">
        <f t="shared" si="75"/>
        <v>0</v>
      </c>
      <c r="M375" s="237">
        <f t="shared" si="75"/>
        <v>0</v>
      </c>
      <c r="N375" s="237">
        <f t="shared" si="75"/>
        <v>0</v>
      </c>
      <c r="O375" s="237">
        <f t="shared" si="75"/>
        <v>0</v>
      </c>
      <c r="P375" s="237">
        <f t="shared" si="75"/>
        <v>0</v>
      </c>
      <c r="Q375" s="237">
        <f t="shared" si="75"/>
        <v>0</v>
      </c>
      <c r="R375" s="246">
        <f t="shared" si="75"/>
        <v>0</v>
      </c>
      <c r="S375" s="246"/>
      <c r="T375" s="246"/>
      <c r="U375" s="240">
        <f t="shared" si="75"/>
        <v>0</v>
      </c>
      <c r="V375" s="1210">
        <f t="shared" si="75"/>
        <v>0</v>
      </c>
    </row>
    <row r="376" spans="1:22" s="8" customFormat="1" ht="13.8" x14ac:dyDescent="0.25">
      <c r="A376" s="70"/>
      <c r="B376" s="71"/>
      <c r="C376" s="97"/>
      <c r="D376" s="217"/>
      <c r="E376" s="105"/>
      <c r="F376" s="105">
        <f>SUM(G376:U376)</f>
        <v>0</v>
      </c>
      <c r="G376" s="109"/>
      <c r="H376" s="109"/>
      <c r="I376" s="215"/>
      <c r="J376" s="109"/>
      <c r="K376" s="216"/>
      <c r="L376" s="109"/>
      <c r="M376" s="109"/>
      <c r="N376" s="109"/>
      <c r="O376" s="105"/>
      <c r="P376" s="109"/>
      <c r="Q376" s="248"/>
      <c r="R376" s="109"/>
      <c r="S376" s="109"/>
      <c r="T376" s="109"/>
      <c r="U376" s="180"/>
      <c r="V376" s="1194">
        <f>E376-F376</f>
        <v>0</v>
      </c>
    </row>
    <row r="377" spans="1:22" s="8" customFormat="1" ht="13.8" x14ac:dyDescent="0.25">
      <c r="A377" s="70"/>
      <c r="B377" s="71" t="s">
        <v>27</v>
      </c>
      <c r="C377" s="97"/>
      <c r="D377" s="217" t="s">
        <v>172</v>
      </c>
      <c r="E377" s="105"/>
      <c r="F377" s="105">
        <f>SUM(G377:U377)</f>
        <v>0</v>
      </c>
      <c r="G377" s="109"/>
      <c r="H377" s="109"/>
      <c r="I377" s="215"/>
      <c r="J377" s="109"/>
      <c r="K377" s="216"/>
      <c r="L377" s="109"/>
      <c r="M377" s="109"/>
      <c r="N377" s="109"/>
      <c r="O377" s="105"/>
      <c r="P377" s="109"/>
      <c r="Q377" s="180"/>
      <c r="R377" s="109"/>
      <c r="S377" s="109"/>
      <c r="T377" s="109"/>
      <c r="U377" s="180"/>
      <c r="V377" s="1194">
        <f>E377-F377</f>
        <v>0</v>
      </c>
    </row>
    <row r="378" spans="1:22" s="8" customFormat="1" ht="13.8" x14ac:dyDescent="0.25">
      <c r="A378" s="70"/>
      <c r="B378" s="71"/>
      <c r="C378" s="97"/>
      <c r="D378" s="217"/>
      <c r="E378" s="237">
        <f t="shared" ref="E378:V378" si="76">SUM(E377)</f>
        <v>0</v>
      </c>
      <c r="F378" s="237">
        <f>SUM(F377)</f>
        <v>0</v>
      </c>
      <c r="G378" s="237">
        <f t="shared" si="76"/>
        <v>0</v>
      </c>
      <c r="H378" s="237">
        <f t="shared" si="76"/>
        <v>0</v>
      </c>
      <c r="I378" s="237">
        <f t="shared" si="76"/>
        <v>0</v>
      </c>
      <c r="J378" s="237"/>
      <c r="K378" s="237">
        <f t="shared" si="76"/>
        <v>0</v>
      </c>
      <c r="L378" s="237">
        <f t="shared" si="76"/>
        <v>0</v>
      </c>
      <c r="M378" s="237">
        <f t="shared" si="76"/>
        <v>0</v>
      </c>
      <c r="N378" s="237">
        <f t="shared" si="76"/>
        <v>0</v>
      </c>
      <c r="O378" s="237">
        <f t="shared" si="76"/>
        <v>0</v>
      </c>
      <c r="P378" s="237">
        <f t="shared" si="76"/>
        <v>0</v>
      </c>
      <c r="Q378" s="237">
        <f t="shared" si="76"/>
        <v>0</v>
      </c>
      <c r="R378" s="237">
        <f t="shared" si="76"/>
        <v>0</v>
      </c>
      <c r="S378" s="237"/>
      <c r="T378" s="237"/>
      <c r="U378" s="240">
        <f t="shared" si="76"/>
        <v>0</v>
      </c>
      <c r="V378" s="1212">
        <f t="shared" si="76"/>
        <v>0</v>
      </c>
    </row>
    <row r="379" spans="1:22" s="8" customFormat="1" ht="14.4" thickBot="1" x14ac:dyDescent="0.3">
      <c r="A379" s="115"/>
      <c r="B379" s="116"/>
      <c r="C379" s="117"/>
      <c r="D379" s="249"/>
      <c r="E379" s="250"/>
      <c r="F379" s="250"/>
      <c r="G379" s="251"/>
      <c r="H379" s="251"/>
      <c r="I379" s="252"/>
      <c r="J379" s="253"/>
      <c r="K379" s="254"/>
      <c r="L379" s="251"/>
      <c r="M379" s="251"/>
      <c r="N379" s="251"/>
      <c r="O379" s="250"/>
      <c r="P379" s="251"/>
      <c r="Q379" s="255"/>
      <c r="R379" s="251"/>
      <c r="S379" s="251"/>
      <c r="T379" s="251"/>
      <c r="U379" s="255"/>
      <c r="V379" s="1213"/>
    </row>
    <row r="380" spans="1:22" s="64" customFormat="1" ht="13.8" x14ac:dyDescent="0.25">
      <c r="A380" s="60"/>
      <c r="B380" s="61" t="s">
        <v>247</v>
      </c>
      <c r="C380" s="92"/>
      <c r="D380" s="158" t="s">
        <v>207</v>
      </c>
      <c r="E380" s="136">
        <v>0</v>
      </c>
      <c r="F380" s="136">
        <f t="shared" ref="F380:F385" si="77">SUM(G380:U380)</f>
        <v>0</v>
      </c>
      <c r="G380" s="141"/>
      <c r="H380" s="141"/>
      <c r="I380" s="238"/>
      <c r="J380" s="159"/>
      <c r="K380" s="256"/>
      <c r="L380" s="141"/>
      <c r="M380" s="141"/>
      <c r="N380" s="141"/>
      <c r="O380" s="136"/>
      <c r="P380" s="141"/>
      <c r="Q380" s="144"/>
      <c r="R380" s="141"/>
      <c r="S380" s="141"/>
      <c r="T380" s="141"/>
      <c r="U380" s="144"/>
      <c r="V380" s="1176">
        <f t="shared" ref="V380" si="78">E380-F380</f>
        <v>0</v>
      </c>
    </row>
    <row r="381" spans="1:22" s="64" customFormat="1" ht="13.8" x14ac:dyDescent="0.25">
      <c r="A381" s="60"/>
      <c r="B381" s="61"/>
      <c r="C381" s="92"/>
      <c r="D381" s="158" t="s">
        <v>248</v>
      </c>
      <c r="E381" s="136">
        <v>0</v>
      </c>
      <c r="F381" s="136">
        <f t="shared" si="77"/>
        <v>0</v>
      </c>
      <c r="G381" s="141"/>
      <c r="H381" s="141"/>
      <c r="I381" s="238"/>
      <c r="J381" s="159"/>
      <c r="K381" s="256"/>
      <c r="L381" s="141"/>
      <c r="M381" s="141"/>
      <c r="N381" s="141"/>
      <c r="O381" s="136"/>
      <c r="P381" s="141"/>
      <c r="Q381" s="144"/>
      <c r="R381" s="141"/>
      <c r="S381" s="141"/>
      <c r="T381" s="141"/>
      <c r="U381" s="144"/>
      <c r="V381" s="1176">
        <f>E381-F381</f>
        <v>0</v>
      </c>
    </row>
    <row r="382" spans="1:22" s="64" customFormat="1" ht="13.8" x14ac:dyDescent="0.25">
      <c r="A382" s="60"/>
      <c r="B382" s="61"/>
      <c r="C382" s="92"/>
      <c r="D382" s="158" t="s">
        <v>150</v>
      </c>
      <c r="E382" s="136">
        <v>0</v>
      </c>
      <c r="F382" s="136">
        <f t="shared" si="77"/>
        <v>0</v>
      </c>
      <c r="G382" s="141"/>
      <c r="H382" s="141"/>
      <c r="I382" s="238"/>
      <c r="J382" s="159"/>
      <c r="K382" s="256"/>
      <c r="L382" s="141"/>
      <c r="M382" s="141"/>
      <c r="N382" s="141"/>
      <c r="O382" s="136"/>
      <c r="P382" s="141"/>
      <c r="Q382" s="144"/>
      <c r="R382" s="141"/>
      <c r="S382" s="141"/>
      <c r="T382" s="141"/>
      <c r="U382" s="144"/>
      <c r="V382" s="1176">
        <f t="shared" ref="V382:V385" si="79">E382-F382</f>
        <v>0</v>
      </c>
    </row>
    <row r="383" spans="1:22" s="64" customFormat="1" ht="13.8" x14ac:dyDescent="0.25">
      <c r="A383" s="60"/>
      <c r="B383" s="61"/>
      <c r="C383" s="92"/>
      <c r="D383" s="158" t="s">
        <v>142</v>
      </c>
      <c r="E383" s="136"/>
      <c r="F383" s="136">
        <f t="shared" si="77"/>
        <v>0</v>
      </c>
      <c r="G383" s="141"/>
      <c r="H383" s="141"/>
      <c r="I383" s="238"/>
      <c r="J383" s="159"/>
      <c r="K383" s="256"/>
      <c r="L383" s="141"/>
      <c r="M383" s="141"/>
      <c r="N383" s="141"/>
      <c r="O383" s="136"/>
      <c r="P383" s="141"/>
      <c r="Q383" s="144"/>
      <c r="R383" s="141"/>
      <c r="S383" s="141"/>
      <c r="T383" s="141"/>
      <c r="U383" s="144"/>
      <c r="V383" s="1176">
        <f t="shared" si="79"/>
        <v>0</v>
      </c>
    </row>
    <row r="384" spans="1:22" s="64" customFormat="1" ht="13.8" x14ac:dyDescent="0.25">
      <c r="A384" s="60"/>
      <c r="B384" s="61"/>
      <c r="C384" s="92"/>
      <c r="D384" s="158" t="s">
        <v>173</v>
      </c>
      <c r="E384" s="136"/>
      <c r="F384" s="136">
        <f t="shared" si="77"/>
        <v>0</v>
      </c>
      <c r="G384" s="141"/>
      <c r="H384" s="141"/>
      <c r="I384" s="238"/>
      <c r="J384" s="159"/>
      <c r="K384" s="256"/>
      <c r="L384" s="141"/>
      <c r="M384" s="141"/>
      <c r="N384" s="141"/>
      <c r="O384" s="136"/>
      <c r="P384" s="141"/>
      <c r="Q384" s="144"/>
      <c r="R384" s="141"/>
      <c r="S384" s="141"/>
      <c r="T384" s="141"/>
      <c r="U384" s="144"/>
      <c r="V384" s="1176">
        <f t="shared" si="79"/>
        <v>0</v>
      </c>
    </row>
    <row r="385" spans="1:25" s="8" customFormat="1" ht="13.8" x14ac:dyDescent="0.25">
      <c r="A385" s="70"/>
      <c r="B385" s="71"/>
      <c r="C385" s="97"/>
      <c r="D385" s="217" t="s">
        <v>172</v>
      </c>
      <c r="E385" s="105"/>
      <c r="F385" s="105">
        <f t="shared" si="77"/>
        <v>0</v>
      </c>
      <c r="G385" s="109"/>
      <c r="H385" s="109"/>
      <c r="I385" s="215"/>
      <c r="J385" s="216"/>
      <c r="K385" s="248"/>
      <c r="L385" s="109"/>
      <c r="M385" s="109"/>
      <c r="N385" s="109"/>
      <c r="O385" s="105"/>
      <c r="P385" s="109"/>
      <c r="Q385" s="180"/>
      <c r="R385" s="105"/>
      <c r="S385" s="105"/>
      <c r="T385" s="105"/>
      <c r="U385" s="180"/>
      <c r="V385" s="1179">
        <f t="shared" si="79"/>
        <v>0</v>
      </c>
    </row>
    <row r="386" spans="1:25" s="8" customFormat="1" ht="13.8" x14ac:dyDescent="0.25">
      <c r="A386" s="204"/>
      <c r="B386" s="257"/>
      <c r="C386" s="205"/>
      <c r="D386" s="258"/>
      <c r="E386" s="237">
        <f t="shared" ref="E386:R386" si="80">SUM(E380:E385)</f>
        <v>0</v>
      </c>
      <c r="F386" s="237">
        <f>SUM(F380:F385)</f>
        <v>0</v>
      </c>
      <c r="G386" s="259">
        <f t="shared" si="80"/>
        <v>0</v>
      </c>
      <c r="H386" s="259">
        <f t="shared" si="80"/>
        <v>0</v>
      </c>
      <c r="I386" s="259">
        <f t="shared" si="80"/>
        <v>0</v>
      </c>
      <c r="J386" s="259"/>
      <c r="K386" s="259">
        <f t="shared" si="80"/>
        <v>0</v>
      </c>
      <c r="L386" s="259">
        <f t="shared" si="80"/>
        <v>0</v>
      </c>
      <c r="M386" s="259">
        <f t="shared" si="80"/>
        <v>0</v>
      </c>
      <c r="N386" s="259">
        <f t="shared" si="80"/>
        <v>0</v>
      </c>
      <c r="O386" s="259">
        <f t="shared" si="80"/>
        <v>0</v>
      </c>
      <c r="P386" s="259">
        <f t="shared" si="80"/>
        <v>0</v>
      </c>
      <c r="Q386" s="259">
        <f t="shared" si="80"/>
        <v>0</v>
      </c>
      <c r="R386" s="259">
        <f t="shared" si="80"/>
        <v>0</v>
      </c>
      <c r="S386" s="259"/>
      <c r="T386" s="259"/>
      <c r="U386" s="1161">
        <f>SUM(U380:U385)</f>
        <v>0</v>
      </c>
      <c r="V386" s="1214">
        <f>SUM(V380:V385)</f>
        <v>0</v>
      </c>
    </row>
    <row r="387" spans="1:25" s="8" customFormat="1" ht="13.8" x14ac:dyDescent="0.25">
      <c r="A387" s="204"/>
      <c r="B387" s="257"/>
      <c r="C387" s="205"/>
      <c r="D387" s="258"/>
      <c r="E387" s="258"/>
      <c r="F387" s="258"/>
      <c r="G387" s="215"/>
      <c r="H387" s="109"/>
      <c r="I387" s="215"/>
      <c r="J387" s="216"/>
      <c r="K387" s="248"/>
      <c r="L387" s="109"/>
      <c r="M387" s="109"/>
      <c r="N387" s="109"/>
      <c r="O387" s="105"/>
      <c r="P387" s="109"/>
      <c r="Q387" s="180"/>
      <c r="R387" s="105"/>
      <c r="S387" s="105"/>
      <c r="T387" s="105"/>
      <c r="U387" s="180"/>
      <c r="V387" s="1194"/>
    </row>
    <row r="388" spans="1:25" s="8" customFormat="1" ht="13.8" x14ac:dyDescent="0.25">
      <c r="A388" s="204"/>
      <c r="B388" s="257" t="s">
        <v>249</v>
      </c>
      <c r="C388" s="205"/>
      <c r="D388" s="258" t="s">
        <v>150</v>
      </c>
      <c r="E388" s="1276">
        <v>0</v>
      </c>
      <c r="F388" s="265">
        <f>SUM(G388:U388)</f>
        <v>0</v>
      </c>
      <c r="G388" s="261"/>
      <c r="H388" s="260"/>
      <c r="I388" s="261"/>
      <c r="J388" s="127"/>
      <c r="K388" s="262"/>
      <c r="L388" s="260"/>
      <c r="M388" s="260"/>
      <c r="N388" s="260"/>
      <c r="O388" s="263"/>
      <c r="P388" s="260"/>
      <c r="Q388" s="264"/>
      <c r="R388" s="263">
        <v>0</v>
      </c>
      <c r="S388" s="263"/>
      <c r="T388" s="263"/>
      <c r="U388" s="264"/>
      <c r="V388" s="1195">
        <f>E388-F388</f>
        <v>0</v>
      </c>
    </row>
    <row r="389" spans="1:25" s="4" customFormat="1" ht="13.8" x14ac:dyDescent="0.25">
      <c r="A389" s="266"/>
      <c r="B389" s="267"/>
      <c r="C389" s="268"/>
      <c r="D389" s="1278"/>
      <c r="E389" s="1124">
        <f>SUM(E388:E388)</f>
        <v>0</v>
      </c>
      <c r="F389" s="1124">
        <f t="shared" ref="F389:U389" si="81">SUM(F388:F388)</f>
        <v>0</v>
      </c>
      <c r="G389" s="1139">
        <f t="shared" si="81"/>
        <v>0</v>
      </c>
      <c r="H389" s="1124">
        <f t="shared" si="81"/>
        <v>0</v>
      </c>
      <c r="I389" s="1124">
        <f t="shared" si="81"/>
        <v>0</v>
      </c>
      <c r="J389" s="1124"/>
      <c r="K389" s="1124">
        <f t="shared" si="81"/>
        <v>0</v>
      </c>
      <c r="L389" s="1124">
        <f t="shared" si="81"/>
        <v>0</v>
      </c>
      <c r="M389" s="1124">
        <f t="shared" si="81"/>
        <v>0</v>
      </c>
      <c r="N389" s="1124">
        <f t="shared" si="81"/>
        <v>0</v>
      </c>
      <c r="O389" s="1124">
        <f t="shared" si="81"/>
        <v>0</v>
      </c>
      <c r="P389" s="1124">
        <f t="shared" si="81"/>
        <v>0</v>
      </c>
      <c r="Q389" s="1124">
        <f t="shared" si="81"/>
        <v>0</v>
      </c>
      <c r="R389" s="1124">
        <f t="shared" si="81"/>
        <v>0</v>
      </c>
      <c r="S389" s="1124">
        <f t="shared" si="81"/>
        <v>0</v>
      </c>
      <c r="T389" s="1124">
        <f t="shared" si="81"/>
        <v>0</v>
      </c>
      <c r="U389" s="1162">
        <f t="shared" si="81"/>
        <v>0</v>
      </c>
      <c r="V389" s="1215">
        <f>SUM(V388:V388)</f>
        <v>0</v>
      </c>
    </row>
    <row r="390" spans="1:25" s="8" customFormat="1" ht="13.8" x14ac:dyDescent="0.25">
      <c r="A390" s="204"/>
      <c r="B390" s="257" t="s">
        <v>250</v>
      </c>
      <c r="C390" s="205"/>
      <c r="D390" s="258"/>
      <c r="E390" s="258"/>
      <c r="F390" s="269"/>
      <c r="G390" s="270"/>
      <c r="H390" s="270"/>
      <c r="I390" s="271"/>
      <c r="J390" s="272"/>
      <c r="K390" s="273"/>
      <c r="L390" s="270"/>
      <c r="M390" s="270"/>
      <c r="N390" s="270"/>
      <c r="O390" s="226"/>
      <c r="P390" s="270"/>
      <c r="Q390" s="229"/>
      <c r="R390" s="226"/>
      <c r="S390" s="226"/>
      <c r="T390" s="226"/>
      <c r="U390" s="229"/>
      <c r="V390" s="1216"/>
    </row>
    <row r="391" spans="1:25" s="279" customFormat="1" ht="13.8" x14ac:dyDescent="0.25">
      <c r="A391" s="274"/>
      <c r="B391" s="275"/>
      <c r="C391" s="276"/>
      <c r="D391" s="277" t="s">
        <v>142</v>
      </c>
      <c r="E391" s="277"/>
      <c r="F391" s="1138">
        <f>SUM(G391:U391)</f>
        <v>0</v>
      </c>
      <c r="G391" s="1121">
        <v>0</v>
      </c>
      <c r="H391" s="1010">
        <v>0</v>
      </c>
      <c r="I391" s="1121">
        <v>0</v>
      </c>
      <c r="J391" s="1122"/>
      <c r="K391" s="1123">
        <v>0</v>
      </c>
      <c r="L391" s="1010">
        <v>0</v>
      </c>
      <c r="M391" s="1010">
        <v>0</v>
      </c>
      <c r="N391" s="1010">
        <v>0</v>
      </c>
      <c r="O391" s="177">
        <v>0</v>
      </c>
      <c r="P391" s="1010">
        <v>0</v>
      </c>
      <c r="Q391" s="192">
        <v>0</v>
      </c>
      <c r="R391" s="177">
        <v>0</v>
      </c>
      <c r="S391" s="177">
        <v>0</v>
      </c>
      <c r="T391" s="177">
        <v>0</v>
      </c>
      <c r="U391" s="192">
        <v>0</v>
      </c>
      <c r="V391" s="1217">
        <f>E391-F391</f>
        <v>0</v>
      </c>
    </row>
    <row r="392" spans="1:25" s="64" customFormat="1" ht="13.8" x14ac:dyDescent="0.25">
      <c r="A392" s="147"/>
      <c r="B392" s="280"/>
      <c r="C392" s="281"/>
      <c r="D392" s="158"/>
      <c r="E392" s="1132"/>
      <c r="F392" s="1125"/>
      <c r="G392" s="270"/>
      <c r="H392" s="270"/>
      <c r="I392" s="271"/>
      <c r="J392" s="272"/>
      <c r="K392" s="273"/>
      <c r="L392" s="270"/>
      <c r="M392" s="270"/>
      <c r="N392" s="270"/>
      <c r="O392" s="226"/>
      <c r="P392" s="270"/>
      <c r="Q392" s="229"/>
      <c r="R392" s="226"/>
      <c r="S392" s="226"/>
      <c r="T392" s="226"/>
      <c r="U392" s="229"/>
      <c r="V392" s="1216"/>
    </row>
    <row r="393" spans="1:25" s="64" customFormat="1" ht="13.8" x14ac:dyDescent="0.25">
      <c r="A393" s="147"/>
      <c r="B393" s="280"/>
      <c r="C393" s="281"/>
      <c r="D393" s="269"/>
      <c r="E393" s="1133"/>
      <c r="F393" s="1131"/>
      <c r="G393" s="1126"/>
      <c r="H393" s="1126"/>
      <c r="I393" s="1127"/>
      <c r="J393" s="1128"/>
      <c r="K393" s="1129"/>
      <c r="L393" s="1126"/>
      <c r="M393" s="1126"/>
      <c r="N393" s="1126"/>
      <c r="O393" s="926"/>
      <c r="P393" s="1126"/>
      <c r="Q393" s="1130"/>
      <c r="R393" s="926"/>
      <c r="S393" s="926"/>
      <c r="T393" s="926"/>
      <c r="U393" s="1130"/>
      <c r="V393" s="1218"/>
    </row>
    <row r="394" spans="1:25" s="64" customFormat="1" ht="13.8" x14ac:dyDescent="0.25">
      <c r="A394" s="147"/>
      <c r="B394" s="280"/>
      <c r="C394" s="281"/>
      <c r="D394" s="269"/>
      <c r="E394" s="1134"/>
      <c r="F394" s="158"/>
      <c r="G394" s="141"/>
      <c r="H394" s="141"/>
      <c r="I394" s="238"/>
      <c r="J394" s="159"/>
      <c r="K394" s="256"/>
      <c r="L394" s="141"/>
      <c r="M394" s="141"/>
      <c r="N394" s="141"/>
      <c r="O394" s="136"/>
      <c r="P394" s="141"/>
      <c r="Q394" s="144"/>
      <c r="R394" s="136"/>
      <c r="S394" s="136"/>
      <c r="T394" s="136"/>
      <c r="U394" s="144"/>
      <c r="V394" s="1219"/>
    </row>
    <row r="395" spans="1:25" s="64" customFormat="1" ht="13.8" x14ac:dyDescent="0.25">
      <c r="A395" s="147"/>
      <c r="B395" s="280" t="s">
        <v>84</v>
      </c>
      <c r="C395" s="281"/>
      <c r="D395" s="269" t="s">
        <v>145</v>
      </c>
      <c r="E395" s="1135"/>
      <c r="F395" s="765">
        <f>SUM(G395:U395)</f>
        <v>0</v>
      </c>
      <c r="G395" s="270"/>
      <c r="H395" s="270"/>
      <c r="I395" s="271"/>
      <c r="J395" s="272"/>
      <c r="K395" s="273">
        <v>0</v>
      </c>
      <c r="L395" s="270"/>
      <c r="M395" s="270"/>
      <c r="N395" s="270"/>
      <c r="O395" s="226"/>
      <c r="P395" s="270"/>
      <c r="Q395" s="229"/>
      <c r="R395" s="226"/>
      <c r="S395" s="226"/>
      <c r="T395" s="226"/>
      <c r="U395" s="229"/>
      <c r="V395" s="1188">
        <f>E395-F395</f>
        <v>0</v>
      </c>
    </row>
    <row r="396" spans="1:25" s="64" customFormat="1" ht="13.8" x14ac:dyDescent="0.25">
      <c r="A396" s="147"/>
      <c r="B396" s="280"/>
      <c r="C396" s="281"/>
      <c r="D396" s="269" t="s">
        <v>150</v>
      </c>
      <c r="E396" s="269"/>
      <c r="F396" s="144">
        <f t="shared" ref="F396:F397" si="82">SUM(G396:U396)</f>
        <v>0</v>
      </c>
      <c r="G396" s="141"/>
      <c r="H396" s="141"/>
      <c r="I396" s="238"/>
      <c r="J396" s="238"/>
      <c r="K396" s="256">
        <v>0</v>
      </c>
      <c r="L396" s="141"/>
      <c r="M396" s="141"/>
      <c r="N396" s="141"/>
      <c r="O396" s="136"/>
      <c r="P396" s="141"/>
      <c r="Q396" s="144"/>
      <c r="R396" s="136"/>
      <c r="S396" s="136"/>
      <c r="T396" s="136"/>
      <c r="U396" s="144"/>
      <c r="V396" s="1176">
        <f t="shared" ref="V396:V397" si="83">E396-F396</f>
        <v>0</v>
      </c>
    </row>
    <row r="397" spans="1:25" s="64" customFormat="1" ht="13.8" x14ac:dyDescent="0.25">
      <c r="A397" s="147"/>
      <c r="B397" s="280"/>
      <c r="C397" s="281"/>
      <c r="D397" s="269" t="s">
        <v>142</v>
      </c>
      <c r="E397" s="269"/>
      <c r="F397" s="136">
        <f t="shared" si="82"/>
        <v>0</v>
      </c>
      <c r="G397" s="141"/>
      <c r="H397" s="141"/>
      <c r="I397" s="238"/>
      <c r="J397" s="159"/>
      <c r="K397" s="256">
        <v>0</v>
      </c>
      <c r="L397" s="141"/>
      <c r="M397" s="141"/>
      <c r="N397" s="141"/>
      <c r="O397" s="136"/>
      <c r="P397" s="141"/>
      <c r="Q397" s="144"/>
      <c r="R397" s="136"/>
      <c r="S397" s="136"/>
      <c r="T397" s="136"/>
      <c r="U397" s="144"/>
      <c r="V397" s="1176">
        <f t="shared" si="83"/>
        <v>0</v>
      </c>
    </row>
    <row r="398" spans="1:25" s="8" customFormat="1" ht="13.8" x14ac:dyDescent="0.25">
      <c r="A398" s="204"/>
      <c r="B398" s="257"/>
      <c r="C398" s="205"/>
      <c r="D398" s="258"/>
      <c r="E398" s="237">
        <f>SUM(E395:E397)</f>
        <v>0</v>
      </c>
      <c r="F398" s="1161">
        <f>SUM(F395:F397)</f>
        <v>0</v>
      </c>
      <c r="G398" s="237">
        <f t="shared" ref="G398:V398" si="84">SUM(G395:G397)</f>
        <v>0</v>
      </c>
      <c r="H398" s="237">
        <f t="shared" si="84"/>
        <v>0</v>
      </c>
      <c r="I398" s="237">
        <f t="shared" si="84"/>
        <v>0</v>
      </c>
      <c r="J398" s="237"/>
      <c r="K398" s="237">
        <f t="shared" si="84"/>
        <v>0</v>
      </c>
      <c r="L398" s="237">
        <f t="shared" si="84"/>
        <v>0</v>
      </c>
      <c r="M398" s="237">
        <f t="shared" si="84"/>
        <v>0</v>
      </c>
      <c r="N398" s="237">
        <f t="shared" si="84"/>
        <v>0</v>
      </c>
      <c r="O398" s="237">
        <f t="shared" si="84"/>
        <v>0</v>
      </c>
      <c r="P398" s="237">
        <f t="shared" si="84"/>
        <v>0</v>
      </c>
      <c r="Q398" s="237">
        <f t="shared" si="84"/>
        <v>0</v>
      </c>
      <c r="R398" s="237">
        <f t="shared" si="84"/>
        <v>0</v>
      </c>
      <c r="S398" s="237">
        <f t="shared" si="84"/>
        <v>0</v>
      </c>
      <c r="T398" s="237">
        <f t="shared" si="84"/>
        <v>0</v>
      </c>
      <c r="U398" s="240">
        <f t="shared" si="84"/>
        <v>0</v>
      </c>
      <c r="V398" s="1277">
        <f t="shared" si="84"/>
        <v>0</v>
      </c>
      <c r="W398" s="30"/>
    </row>
    <row r="399" spans="1:25" s="8" customFormat="1" ht="13.8" x14ac:dyDescent="0.25">
      <c r="A399" s="204"/>
      <c r="B399" s="257"/>
      <c r="C399" s="205"/>
      <c r="D399" s="282"/>
      <c r="E399" s="263"/>
      <c r="F399" s="105"/>
      <c r="G399" s="260"/>
      <c r="H399" s="260"/>
      <c r="I399" s="261"/>
      <c r="J399" s="127"/>
      <c r="K399" s="283"/>
      <c r="L399" s="284"/>
      <c r="M399" s="284"/>
      <c r="N399" s="284"/>
      <c r="O399" s="285"/>
      <c r="P399" s="284"/>
      <c r="Q399" s="286"/>
      <c r="R399" s="285"/>
      <c r="S399" s="263"/>
      <c r="T399" s="263"/>
      <c r="U399" s="264"/>
      <c r="V399" s="1181"/>
    </row>
    <row r="400" spans="1:25" s="8" customFormat="1" ht="13.8" x14ac:dyDescent="0.25">
      <c r="A400" s="70"/>
      <c r="B400" s="287" t="s">
        <v>251</v>
      </c>
      <c r="C400" s="97"/>
      <c r="D400" s="230"/>
      <c r="E400" s="288">
        <f>E398+E391+E389+E386+E378+E375+E369+E346+E334+E332+E324+E320+E314+E317</f>
        <v>707775</v>
      </c>
      <c r="F400" s="288">
        <f>F398+F391+F389+F386+F378+F375+F369+F346+F334+F332+F324+F320+F317+F314</f>
        <v>567775</v>
      </c>
      <c r="G400" s="288">
        <f>G398+G391+G389+G386+G378+G375+G369+G346+G334+G332+G324+G320+G317+G314</f>
        <v>0</v>
      </c>
      <c r="H400" s="288">
        <f>H398+H391+H389+H386+H378+H375+H369+H346+H334+H332+H324+H320+H317+H314</f>
        <v>0</v>
      </c>
      <c r="I400" s="288">
        <f>I398+I391+I389+I386+I378+I375+I369+I346+I334+I332+I324+I320+I317+I314</f>
        <v>0</v>
      </c>
      <c r="J400" s="288"/>
      <c r="K400" s="288">
        <f t="shared" ref="K400:V400" si="85">K398+K391+K389+K386+K378+K375+K369+K346+K334+K332+K324+K320+K317+K314</f>
        <v>0</v>
      </c>
      <c r="L400" s="288">
        <f t="shared" si="85"/>
        <v>0</v>
      </c>
      <c r="M400" s="288">
        <f t="shared" si="85"/>
        <v>0</v>
      </c>
      <c r="N400" s="288">
        <f t="shared" si="85"/>
        <v>0</v>
      </c>
      <c r="O400" s="288">
        <f t="shared" si="85"/>
        <v>0</v>
      </c>
      <c r="P400" s="288">
        <f t="shared" si="85"/>
        <v>0</v>
      </c>
      <c r="Q400" s="288">
        <f t="shared" si="85"/>
        <v>0</v>
      </c>
      <c r="R400" s="288">
        <f t="shared" si="85"/>
        <v>0</v>
      </c>
      <c r="S400" s="288">
        <f t="shared" si="85"/>
        <v>0</v>
      </c>
      <c r="T400" s="288">
        <f t="shared" si="85"/>
        <v>0</v>
      </c>
      <c r="U400" s="1163">
        <f t="shared" si="85"/>
        <v>0</v>
      </c>
      <c r="V400" s="1220">
        <f t="shared" si="85"/>
        <v>140000</v>
      </c>
      <c r="X400" s="80"/>
      <c r="Y400" s="80"/>
    </row>
    <row r="401" spans="1:25" s="8" customFormat="1" ht="13.8" x14ac:dyDescent="0.25">
      <c r="A401" s="70"/>
      <c r="B401" s="71"/>
      <c r="C401" s="97"/>
      <c r="D401" s="230"/>
      <c r="E401" s="289"/>
      <c r="F401" s="289"/>
      <c r="G401" s="289"/>
      <c r="H401" s="289"/>
      <c r="I401" s="289"/>
      <c r="J401" s="289"/>
      <c r="K401" s="289"/>
      <c r="L401" s="289"/>
      <c r="M401" s="289"/>
      <c r="N401" s="289"/>
      <c r="O401" s="289"/>
      <c r="P401" s="289"/>
      <c r="Q401" s="289"/>
      <c r="R401" s="289"/>
      <c r="S401" s="289"/>
      <c r="T401" s="289"/>
      <c r="U401" s="1164"/>
      <c r="V401" s="1221"/>
    </row>
    <row r="402" spans="1:25" s="8" customFormat="1" ht="14.4" thickBot="1" x14ac:dyDescent="0.3">
      <c r="A402" s="220"/>
      <c r="B402" s="290" t="s">
        <v>3</v>
      </c>
      <c r="C402" s="222"/>
      <c r="D402" s="291"/>
      <c r="E402" s="292">
        <f>E33+E295+E400</f>
        <v>24075708.969999999</v>
      </c>
      <c r="F402" s="292">
        <f>F33+F295+F400</f>
        <v>15823792.899999999</v>
      </c>
      <c r="G402" s="292">
        <f>G33+G295+G400</f>
        <v>595745</v>
      </c>
      <c r="H402" s="292">
        <f>H33+H295+H400</f>
        <v>324249</v>
      </c>
      <c r="I402" s="292">
        <f>I33+I295+I400</f>
        <v>286960</v>
      </c>
      <c r="J402" s="292"/>
      <c r="K402" s="292">
        <f t="shared" ref="K402:V402" si="86">K33+K295+K400</f>
        <v>426800</v>
      </c>
      <c r="L402" s="292">
        <f t="shared" si="86"/>
        <v>101979</v>
      </c>
      <c r="M402" s="292">
        <f t="shared" si="86"/>
        <v>178335</v>
      </c>
      <c r="N402" s="292">
        <f t="shared" si="86"/>
        <v>142200</v>
      </c>
      <c r="O402" s="292">
        <f t="shared" si="86"/>
        <v>0</v>
      </c>
      <c r="P402" s="292">
        <f t="shared" si="86"/>
        <v>0</v>
      </c>
      <c r="Q402" s="292">
        <f t="shared" si="86"/>
        <v>0</v>
      </c>
      <c r="R402" s="292">
        <f t="shared" si="86"/>
        <v>0</v>
      </c>
      <c r="S402" s="292">
        <f t="shared" si="86"/>
        <v>0</v>
      </c>
      <c r="T402" s="292">
        <f t="shared" si="86"/>
        <v>0</v>
      </c>
      <c r="U402" s="1165">
        <f t="shared" si="86"/>
        <v>0</v>
      </c>
      <c r="V402" s="1222">
        <f t="shared" si="86"/>
        <v>12525528.6</v>
      </c>
      <c r="X402" s="80"/>
      <c r="Y402" s="80"/>
    </row>
    <row r="403" spans="1:25" s="293" customFormat="1" ht="14.4" thickTop="1" x14ac:dyDescent="0.25">
      <c r="A403" s="1321"/>
      <c r="B403" s="1321"/>
      <c r="D403" s="1322"/>
      <c r="E403" s="1322"/>
      <c r="F403" s="1322"/>
      <c r="L403" s="294"/>
      <c r="M403" s="294"/>
    </row>
    <row r="404" spans="1:25" s="293" customFormat="1" ht="13.8" x14ac:dyDescent="0.25">
      <c r="A404" s="295"/>
      <c r="F404" s="296"/>
      <c r="G404" s="297"/>
      <c r="H404" s="297"/>
      <c r="I404" s="297"/>
      <c r="J404" s="297"/>
      <c r="K404" s="297"/>
      <c r="L404" s="297"/>
      <c r="M404" s="297"/>
      <c r="N404" s="298"/>
      <c r="O404" s="297"/>
      <c r="P404" s="297"/>
      <c r="Q404" s="297"/>
      <c r="U404" s="297"/>
    </row>
    <row r="405" spans="1:25" s="299" customFormat="1" ht="14.4" x14ac:dyDescent="0.3">
      <c r="E405" s="300"/>
      <c r="F405" s="301"/>
      <c r="I405" s="9"/>
      <c r="J405" s="9"/>
      <c r="L405" s="300"/>
      <c r="M405" s="302"/>
      <c r="N405" s="303"/>
      <c r="O405" s="300"/>
      <c r="P405" s="300"/>
      <c r="R405" s="300"/>
      <c r="S405" s="300"/>
      <c r="T405" s="300"/>
      <c r="U405" s="300"/>
      <c r="V405" s="300"/>
    </row>
    <row r="406" spans="1:25" s="9" customFormat="1" ht="13.8" x14ac:dyDescent="0.25">
      <c r="A406" s="1323"/>
      <c r="B406" s="1323"/>
      <c r="E406" s="293"/>
      <c r="F406" s="301"/>
      <c r="L406" s="293"/>
      <c r="M406" s="293"/>
      <c r="N406" s="10"/>
      <c r="R406" s="293"/>
      <c r="S406" s="293"/>
      <c r="T406" s="293"/>
      <c r="U406" s="293"/>
      <c r="V406" s="293"/>
    </row>
    <row r="407" spans="1:25" s="8" customFormat="1" ht="13.8" x14ac:dyDescent="0.25">
      <c r="A407" s="304"/>
      <c r="E407" s="9"/>
      <c r="F407" s="301"/>
      <c r="G407" s="9"/>
      <c r="H407" s="9"/>
      <c r="I407" s="9"/>
      <c r="J407" s="9"/>
      <c r="K407" s="9"/>
      <c r="L407" s="10"/>
      <c r="M407" s="10"/>
      <c r="N407" s="10"/>
      <c r="P407" s="9"/>
      <c r="R407" s="293"/>
      <c r="S407" s="293"/>
      <c r="T407" s="293"/>
      <c r="U407" s="293"/>
      <c r="V407" s="10"/>
    </row>
    <row r="408" spans="1:25" s="8" customFormat="1" ht="13.8" x14ac:dyDescent="0.25">
      <c r="E408" s="9"/>
      <c r="F408" s="9"/>
      <c r="G408" s="9"/>
      <c r="H408" s="9"/>
      <c r="I408" s="9"/>
      <c r="J408" s="9"/>
      <c r="K408" s="9"/>
      <c r="L408" s="10"/>
      <c r="M408" s="10"/>
      <c r="N408" s="10"/>
      <c r="V408" s="10"/>
    </row>
    <row r="409" spans="1:25" s="8" customFormat="1" ht="13.8" x14ac:dyDescent="0.25">
      <c r="A409" s="304"/>
      <c r="E409" s="9"/>
      <c r="F409" s="9"/>
      <c r="G409" s="9"/>
      <c r="H409" s="9"/>
      <c r="I409" s="9"/>
      <c r="J409" s="9"/>
      <c r="K409" s="9"/>
      <c r="L409" s="10"/>
      <c r="M409" s="10"/>
      <c r="N409" s="10"/>
      <c r="V409" s="10"/>
    </row>
    <row r="410" spans="1:25" s="8" customFormat="1" ht="13.8" x14ac:dyDescent="0.25">
      <c r="A410" s="304"/>
      <c r="E410" s="9"/>
      <c r="F410" s="9"/>
      <c r="G410" s="9"/>
      <c r="H410" s="9"/>
      <c r="I410" s="9"/>
      <c r="J410" s="9"/>
      <c r="K410" s="9"/>
      <c r="L410" s="10"/>
      <c r="M410" s="10"/>
      <c r="N410" s="10"/>
      <c r="V410" s="10"/>
    </row>
    <row r="411" spans="1:25" s="8" customFormat="1" ht="13.8" x14ac:dyDescent="0.25">
      <c r="E411" s="9"/>
      <c r="F411" s="9"/>
      <c r="G411" s="9"/>
      <c r="H411" s="9"/>
      <c r="I411" s="9"/>
      <c r="J411" s="9"/>
      <c r="K411" s="9"/>
      <c r="L411" s="10"/>
      <c r="M411" s="10"/>
      <c r="N411" s="10"/>
      <c r="V411" s="10"/>
    </row>
    <row r="412" spans="1:25" s="8" customFormat="1" ht="13.8" x14ac:dyDescent="0.25">
      <c r="E412" s="9"/>
      <c r="F412" s="9"/>
      <c r="G412" s="9"/>
      <c r="H412" s="9"/>
      <c r="I412" s="9"/>
      <c r="J412" s="9"/>
      <c r="K412" s="9"/>
      <c r="L412" s="10"/>
      <c r="M412" s="10"/>
      <c r="N412" s="10"/>
      <c r="V412" s="10"/>
    </row>
    <row r="413" spans="1:25" s="8" customFormat="1" ht="13.8" x14ac:dyDescent="0.25">
      <c r="E413" s="9"/>
      <c r="F413" s="9"/>
      <c r="G413" s="9"/>
      <c r="H413" s="9"/>
      <c r="I413" s="9"/>
      <c r="J413" s="9"/>
      <c r="K413" s="9"/>
      <c r="L413" s="10"/>
      <c r="M413" s="10"/>
      <c r="N413" s="10"/>
      <c r="V413" s="10"/>
    </row>
    <row r="414" spans="1:25" s="8" customFormat="1" ht="13.8" x14ac:dyDescent="0.25">
      <c r="E414" s="9"/>
      <c r="F414" s="9"/>
      <c r="G414" s="9"/>
      <c r="H414" s="9"/>
      <c r="I414" s="9"/>
      <c r="J414" s="9"/>
      <c r="K414" s="9"/>
      <c r="L414" s="10"/>
      <c r="M414" s="10"/>
      <c r="N414" s="10"/>
      <c r="V414" s="10"/>
    </row>
    <row r="415" spans="1:25" s="8" customFormat="1" ht="13.8" x14ac:dyDescent="0.25">
      <c r="E415" s="9"/>
      <c r="F415" s="9"/>
      <c r="G415" s="9"/>
      <c r="H415" s="9"/>
      <c r="I415" s="9"/>
      <c r="J415" s="9"/>
      <c r="K415" s="9"/>
      <c r="L415" s="10"/>
      <c r="M415" s="10"/>
      <c r="N415" s="10"/>
      <c r="V415" s="10"/>
    </row>
    <row r="416" spans="1:25" s="8" customFormat="1" ht="13.8" x14ac:dyDescent="0.25">
      <c r="E416" s="9"/>
      <c r="F416" s="9"/>
      <c r="G416" s="9"/>
      <c r="H416" s="9"/>
      <c r="I416" s="9"/>
      <c r="J416" s="9"/>
      <c r="K416" s="9"/>
      <c r="L416" s="10"/>
      <c r="M416" s="10"/>
      <c r="N416" s="10"/>
      <c r="V416" s="10"/>
    </row>
    <row r="417" spans="5:22" s="8" customFormat="1" ht="13.8" x14ac:dyDescent="0.25">
      <c r="E417" s="9"/>
      <c r="F417" s="9"/>
      <c r="G417" s="9"/>
      <c r="H417" s="9"/>
      <c r="I417" s="9"/>
      <c r="J417" s="9"/>
      <c r="K417" s="9"/>
      <c r="L417" s="10"/>
      <c r="M417" s="10"/>
      <c r="N417" s="10"/>
      <c r="V417" s="10"/>
    </row>
    <row r="418" spans="5:22" s="8" customFormat="1" ht="13.8" x14ac:dyDescent="0.25">
      <c r="E418" s="9"/>
      <c r="F418" s="9"/>
      <c r="G418" s="9"/>
      <c r="H418" s="9"/>
      <c r="I418" s="9"/>
      <c r="J418" s="9"/>
      <c r="K418" s="9"/>
      <c r="L418" s="10"/>
      <c r="M418" s="10"/>
      <c r="N418" s="10"/>
      <c r="V418" s="10"/>
    </row>
    <row r="419" spans="5:22" s="8" customFormat="1" ht="13.8" x14ac:dyDescent="0.25">
      <c r="E419" s="9"/>
      <c r="F419" s="9"/>
      <c r="G419" s="9"/>
      <c r="H419" s="9"/>
      <c r="I419" s="9"/>
      <c r="J419" s="9"/>
      <c r="K419" s="9"/>
      <c r="L419" s="10"/>
      <c r="M419" s="10"/>
      <c r="N419" s="10"/>
      <c r="V419" s="10"/>
    </row>
    <row r="420" spans="5:22" s="8" customFormat="1" ht="13.8" x14ac:dyDescent="0.25">
      <c r="E420" s="9"/>
      <c r="F420" s="9"/>
      <c r="G420" s="9"/>
      <c r="H420" s="9"/>
      <c r="I420" s="9"/>
      <c r="J420" s="9"/>
      <c r="K420" s="9"/>
      <c r="L420" s="10"/>
      <c r="M420" s="10"/>
      <c r="N420" s="10"/>
      <c r="V420" s="10"/>
    </row>
    <row r="421" spans="5:22" s="8" customFormat="1" ht="13.8" x14ac:dyDescent="0.25">
      <c r="E421" s="9"/>
      <c r="F421" s="9"/>
      <c r="G421" s="9"/>
      <c r="H421" s="9"/>
      <c r="I421" s="9"/>
      <c r="J421" s="9"/>
      <c r="K421" s="9"/>
      <c r="L421" s="10"/>
      <c r="M421" s="10"/>
      <c r="N421" s="10"/>
      <c r="V421" s="10"/>
    </row>
    <row r="422" spans="5:22" s="8" customFormat="1" ht="13.8" x14ac:dyDescent="0.25">
      <c r="E422" s="9"/>
      <c r="F422" s="9"/>
      <c r="G422" s="9"/>
      <c r="H422" s="9"/>
      <c r="I422" s="9"/>
      <c r="J422" s="9"/>
      <c r="K422" s="9"/>
      <c r="L422" s="10"/>
      <c r="M422" s="10"/>
      <c r="N422" s="10"/>
      <c r="V422" s="10"/>
    </row>
    <row r="423" spans="5:22" s="8" customFormat="1" ht="13.8" x14ac:dyDescent="0.25">
      <c r="E423" s="9"/>
      <c r="F423" s="9"/>
      <c r="G423" s="9"/>
      <c r="H423" s="9"/>
      <c r="I423" s="9"/>
      <c r="J423" s="9"/>
      <c r="K423" s="9"/>
      <c r="L423" s="10"/>
      <c r="M423" s="10"/>
      <c r="N423" s="10"/>
    </row>
    <row r="424" spans="5:22" s="8" customFormat="1" ht="13.8" x14ac:dyDescent="0.25">
      <c r="E424" s="9"/>
      <c r="F424" s="9"/>
      <c r="G424" s="9"/>
      <c r="H424" s="9"/>
      <c r="I424" s="9"/>
      <c r="J424" s="9"/>
      <c r="K424" s="9"/>
      <c r="L424" s="10"/>
      <c r="M424" s="10"/>
      <c r="N424" s="10"/>
    </row>
    <row r="425" spans="5:22" s="8" customFormat="1" ht="13.8" x14ac:dyDescent="0.25">
      <c r="E425" s="9"/>
      <c r="F425" s="9"/>
      <c r="G425" s="9"/>
      <c r="H425" s="9"/>
      <c r="I425" s="9"/>
      <c r="J425" s="9"/>
      <c r="K425" s="9"/>
      <c r="L425" s="10"/>
      <c r="M425" s="10"/>
      <c r="N425" s="10"/>
    </row>
    <row r="426" spans="5:22" s="8" customFormat="1" ht="13.8" x14ac:dyDescent="0.25">
      <c r="E426" s="9"/>
      <c r="F426" s="9"/>
      <c r="G426" s="9"/>
      <c r="H426" s="9"/>
      <c r="I426" s="9"/>
      <c r="J426" s="9"/>
      <c r="K426" s="9"/>
      <c r="L426" s="10"/>
      <c r="M426" s="10"/>
      <c r="N426" s="10"/>
    </row>
    <row r="427" spans="5:22" s="8" customFormat="1" ht="13.8" x14ac:dyDescent="0.25">
      <c r="E427" s="9"/>
      <c r="F427" s="9"/>
      <c r="G427" s="9"/>
      <c r="H427" s="9"/>
      <c r="I427" s="9"/>
      <c r="J427" s="9"/>
      <c r="K427" s="9"/>
      <c r="L427" s="10"/>
      <c r="M427" s="10"/>
      <c r="N427" s="10"/>
    </row>
    <row r="428" spans="5:22" s="8" customFormat="1" ht="13.8" x14ac:dyDescent="0.25">
      <c r="E428" s="9"/>
      <c r="F428" s="9"/>
      <c r="G428" s="9"/>
      <c r="H428" s="9"/>
      <c r="I428" s="9"/>
      <c r="J428" s="9"/>
      <c r="K428" s="9"/>
      <c r="L428" s="10"/>
      <c r="M428" s="10"/>
      <c r="N428" s="10"/>
    </row>
    <row r="429" spans="5:22" s="8" customFormat="1" ht="13.8" x14ac:dyDescent="0.25">
      <c r="E429" s="9"/>
      <c r="F429" s="9"/>
      <c r="G429" s="9"/>
      <c r="H429" s="9"/>
      <c r="I429" s="9"/>
      <c r="J429" s="9"/>
      <c r="K429" s="9"/>
      <c r="L429" s="10"/>
      <c r="M429" s="10"/>
      <c r="N429" s="10"/>
    </row>
    <row r="430" spans="5:22" s="8" customFormat="1" ht="13.8" x14ac:dyDescent="0.25">
      <c r="E430" s="9"/>
      <c r="F430" s="9"/>
      <c r="G430" s="9"/>
      <c r="H430" s="9"/>
      <c r="I430" s="9"/>
      <c r="J430" s="9"/>
      <c r="K430" s="9"/>
      <c r="L430" s="10"/>
      <c r="M430" s="10"/>
      <c r="N430" s="10"/>
    </row>
    <row r="431" spans="5:22" s="8" customFormat="1" ht="13.8" x14ac:dyDescent="0.25">
      <c r="E431" s="9"/>
      <c r="F431" s="9"/>
      <c r="G431" s="9"/>
      <c r="H431" s="9"/>
      <c r="I431" s="9"/>
      <c r="J431" s="9"/>
      <c r="K431" s="9"/>
      <c r="L431" s="10"/>
      <c r="M431" s="10"/>
      <c r="N431" s="10"/>
    </row>
    <row r="432" spans="5:22" s="8" customFormat="1" ht="13.8" x14ac:dyDescent="0.25">
      <c r="K432" s="9"/>
      <c r="L432" s="10"/>
      <c r="M432" s="10"/>
      <c r="N432" s="10"/>
    </row>
    <row r="433" spans="11:14" s="8" customFormat="1" ht="13.8" x14ac:dyDescent="0.25">
      <c r="K433" s="9"/>
      <c r="L433" s="10"/>
      <c r="M433" s="10"/>
      <c r="N433" s="10"/>
    </row>
    <row r="434" spans="11:14" s="8" customFormat="1" ht="13.8" x14ac:dyDescent="0.25">
      <c r="K434" s="9"/>
      <c r="L434" s="10"/>
      <c r="M434" s="10"/>
      <c r="N434" s="10"/>
    </row>
    <row r="435" spans="11:14" s="8" customFormat="1" ht="13.8" x14ac:dyDescent="0.25">
      <c r="K435" s="9"/>
      <c r="L435" s="10"/>
      <c r="M435" s="10"/>
      <c r="N435" s="10"/>
    </row>
    <row r="436" spans="11:14" s="8" customFormat="1" ht="13.8" x14ac:dyDescent="0.25">
      <c r="K436" s="9"/>
      <c r="L436" s="10"/>
      <c r="M436" s="10"/>
      <c r="N436" s="10"/>
    </row>
    <row r="437" spans="11:14" s="8" customFormat="1" ht="13.8" x14ac:dyDescent="0.25">
      <c r="K437" s="9"/>
      <c r="L437" s="10"/>
      <c r="M437" s="10"/>
      <c r="N437" s="10"/>
    </row>
    <row r="438" spans="11:14" s="8" customFormat="1" ht="13.8" x14ac:dyDescent="0.25">
      <c r="K438" s="9"/>
      <c r="L438" s="10"/>
      <c r="M438" s="10"/>
      <c r="N438" s="10"/>
    </row>
    <row r="439" spans="11:14" s="8" customFormat="1" ht="13.8" x14ac:dyDescent="0.25">
      <c r="K439" s="9"/>
      <c r="L439" s="10"/>
      <c r="M439" s="10"/>
      <c r="N439" s="10"/>
    </row>
    <row r="440" spans="11:14" s="8" customFormat="1" ht="13.8" x14ac:dyDescent="0.25">
      <c r="K440" s="9"/>
      <c r="L440" s="10"/>
      <c r="M440" s="10"/>
      <c r="N440" s="10"/>
    </row>
    <row r="441" spans="11:14" s="8" customFormat="1" ht="13.8" x14ac:dyDescent="0.25">
      <c r="K441" s="9"/>
      <c r="L441" s="10"/>
      <c r="M441" s="10"/>
      <c r="N441" s="10"/>
    </row>
    <row r="442" spans="11:14" s="8" customFormat="1" ht="13.8" x14ac:dyDescent="0.25">
      <c r="K442" s="9"/>
      <c r="L442" s="10"/>
      <c r="M442" s="10"/>
      <c r="N442" s="10"/>
    </row>
  </sheetData>
  <mergeCells count="55">
    <mergeCell ref="G8:U8"/>
    <mergeCell ref="A2:I2"/>
    <mergeCell ref="A3:O3"/>
    <mergeCell ref="A4:I4"/>
    <mergeCell ref="A6:I6"/>
    <mergeCell ref="G7:U7"/>
    <mergeCell ref="A265:I265"/>
    <mergeCell ref="A121:I121"/>
    <mergeCell ref="A9:C9"/>
    <mergeCell ref="A62:I62"/>
    <mergeCell ref="A63:O63"/>
    <mergeCell ref="A64:I64"/>
    <mergeCell ref="A66:I66"/>
    <mergeCell ref="G67:U67"/>
    <mergeCell ref="G68:U68"/>
    <mergeCell ref="A69:C69"/>
    <mergeCell ref="A117:I117"/>
    <mergeCell ref="A118:O118"/>
    <mergeCell ref="A119:I119"/>
    <mergeCell ref="A166:I166"/>
    <mergeCell ref="A168:I168"/>
    <mergeCell ref="G169:U169"/>
    <mergeCell ref="G170:U170"/>
    <mergeCell ref="A171:C171"/>
    <mergeCell ref="G122:U122"/>
    <mergeCell ref="G123:U123"/>
    <mergeCell ref="A124:C124"/>
    <mergeCell ref="A164:I164"/>
    <mergeCell ref="A165:O165"/>
    <mergeCell ref="G270:U270"/>
    <mergeCell ref="G271:U271"/>
    <mergeCell ref="A272:C272"/>
    <mergeCell ref="A300:I300"/>
    <mergeCell ref="A266:O266"/>
    <mergeCell ref="A406:B406"/>
    <mergeCell ref="B159:C159"/>
    <mergeCell ref="A357:I357"/>
    <mergeCell ref="A358:O358"/>
    <mergeCell ref="A359:I359"/>
    <mergeCell ref="A361:I361"/>
    <mergeCell ref="G362:U362"/>
    <mergeCell ref="G363:U363"/>
    <mergeCell ref="A301:O301"/>
    <mergeCell ref="A302:I302"/>
    <mergeCell ref="A304:I304"/>
    <mergeCell ref="G305:U305"/>
    <mergeCell ref="G306:U306"/>
    <mergeCell ref="A307:C307"/>
    <mergeCell ref="A267:I267"/>
    <mergeCell ref="A269:I269"/>
    <mergeCell ref="U364:U366"/>
    <mergeCell ref="G364:G366"/>
    <mergeCell ref="A364:C364"/>
    <mergeCell ref="A403:B403"/>
    <mergeCell ref="D403:F403"/>
  </mergeCells>
  <pageMargins left="0.7" right="0.7" top="0.75" bottom="0.75" header="0.3" footer="0.3"/>
  <pageSetup paperSize="256" scale="37" fitToHeight="0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264D4-CC52-4FFD-897B-66C111B109FB}">
  <dimension ref="A1:Z576"/>
  <sheetViews>
    <sheetView zoomScale="80" zoomScaleNormal="80" workbookViewId="0">
      <selection activeCell="R17" sqref="R17"/>
    </sheetView>
  </sheetViews>
  <sheetFormatPr defaultColWidth="9.109375" defaultRowHeight="13.2" x14ac:dyDescent="0.25"/>
  <cols>
    <col min="3" max="3" width="15.88671875" bestFit="1" customWidth="1"/>
    <col min="4" max="4" width="7.109375" customWidth="1"/>
    <col min="5" max="5" width="17.109375" style="503" customWidth="1"/>
    <col min="6" max="6" width="16.109375" style="503" customWidth="1"/>
    <col min="7" max="7" width="20" style="503" customWidth="1"/>
    <col min="8" max="8" width="17.44140625" style="503" customWidth="1"/>
    <col min="9" max="9" width="14.44140625" style="503" customWidth="1"/>
    <col min="10" max="10" width="14.33203125" style="503" customWidth="1"/>
    <col min="11" max="11" width="20.5546875" style="503" customWidth="1"/>
    <col min="12" max="12" width="15.5546875" style="503" customWidth="1"/>
    <col min="13" max="13" width="15.6640625" style="503" customWidth="1"/>
    <col min="14" max="14" width="15" style="503" customWidth="1"/>
    <col min="15" max="15" width="15.109375" style="503" customWidth="1"/>
    <col min="16" max="16" width="16.6640625" style="503" customWidth="1"/>
    <col min="17" max="17" width="14" customWidth="1"/>
    <col min="18" max="19" width="18.6640625" customWidth="1"/>
    <col min="20" max="20" width="15" customWidth="1"/>
    <col min="21" max="21" width="14.88671875" customWidth="1"/>
    <col min="22" max="22" width="17" customWidth="1"/>
    <col min="24" max="24" width="18.109375" customWidth="1"/>
    <col min="25" max="25" width="20.5546875" style="520" customWidth="1"/>
    <col min="26" max="26" width="18.109375" customWidth="1"/>
  </cols>
  <sheetData>
    <row r="1" spans="1:25" s="8" customFormat="1" ht="9" customHeight="1" x14ac:dyDescent="0.25">
      <c r="Q1" s="10"/>
      <c r="R1" s="10"/>
      <c r="S1" s="10"/>
      <c r="T1" s="10"/>
      <c r="Y1" s="9"/>
    </row>
    <row r="2" spans="1:25" s="8" customFormat="1" ht="13.8" x14ac:dyDescent="0.25">
      <c r="A2" s="1326" t="s">
        <v>106</v>
      </c>
      <c r="B2" s="1326"/>
      <c r="C2" s="1326"/>
      <c r="D2" s="1326"/>
      <c r="E2" s="1326"/>
      <c r="F2" s="1326"/>
      <c r="G2" s="1326"/>
      <c r="H2" s="1326"/>
      <c r="I2" s="1326"/>
      <c r="J2" s="1326"/>
      <c r="K2" s="1326"/>
      <c r="L2" s="1326"/>
      <c r="M2" s="1326"/>
      <c r="N2" s="1326"/>
      <c r="O2" s="1326"/>
      <c r="P2" s="1326"/>
      <c r="Q2" s="10"/>
      <c r="R2" s="10"/>
      <c r="S2" s="10"/>
      <c r="T2" s="10"/>
      <c r="Y2" s="9"/>
    </row>
    <row r="3" spans="1:25" s="8" customFormat="1" ht="13.8" x14ac:dyDescent="0.25">
      <c r="A3" s="1326" t="s">
        <v>192</v>
      </c>
      <c r="B3" s="1326"/>
      <c r="C3" s="1326"/>
      <c r="D3" s="1326"/>
      <c r="E3" s="1326"/>
      <c r="F3" s="1326"/>
      <c r="G3" s="1326"/>
      <c r="H3" s="1326"/>
      <c r="I3" s="1326"/>
      <c r="J3" s="1326"/>
      <c r="K3" s="1326"/>
      <c r="L3" s="1326"/>
      <c r="M3" s="1326"/>
      <c r="N3" s="1326"/>
      <c r="O3" s="1326"/>
      <c r="P3" s="1326"/>
      <c r="Q3" s="10"/>
      <c r="R3" s="10"/>
      <c r="S3" s="10"/>
      <c r="T3" s="10"/>
      <c r="Y3" s="9"/>
    </row>
    <row r="4" spans="1:25" s="8" customFormat="1" ht="13.8" x14ac:dyDescent="0.25">
      <c r="A4" s="1326" t="s">
        <v>252</v>
      </c>
      <c r="B4" s="1326"/>
      <c r="C4" s="1326"/>
      <c r="D4" s="1326"/>
      <c r="E4" s="1326"/>
      <c r="F4" s="1326"/>
      <c r="G4" s="1326"/>
      <c r="H4" s="1326"/>
      <c r="I4" s="1326"/>
      <c r="J4" s="1326"/>
      <c r="K4" s="1326"/>
      <c r="L4" s="1326"/>
      <c r="M4" s="1326"/>
      <c r="N4" s="1326"/>
      <c r="O4" s="1326"/>
      <c r="P4" s="1326"/>
      <c r="Q4" s="10"/>
      <c r="R4" s="10"/>
      <c r="S4" s="10"/>
      <c r="T4" s="10"/>
      <c r="V4" s="12"/>
      <c r="Y4" s="9"/>
    </row>
    <row r="5" spans="1:25" s="8" customFormat="1" ht="13.8" x14ac:dyDescent="0.25">
      <c r="A5" s="11" t="s">
        <v>108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0"/>
      <c r="R5" s="10"/>
      <c r="S5" s="10"/>
      <c r="T5" s="10"/>
      <c r="V5" s="12" t="s">
        <v>94</v>
      </c>
      <c r="Y5" s="9"/>
    </row>
    <row r="6" spans="1:25" s="8" customFormat="1" ht="19.5" customHeight="1" thickBot="1" x14ac:dyDescent="0.3">
      <c r="A6" s="11" t="s">
        <v>109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0"/>
      <c r="R6" s="10"/>
      <c r="S6" s="10"/>
      <c r="T6" s="10"/>
      <c r="Y6" s="65"/>
    </row>
    <row r="7" spans="1:25" s="8" customFormat="1" ht="14.4" thickTop="1" x14ac:dyDescent="0.25">
      <c r="A7" s="980"/>
      <c r="B7" s="981"/>
      <c r="C7" s="981"/>
      <c r="D7" s="968"/>
      <c r="E7" s="982" t="s">
        <v>111</v>
      </c>
      <c r="F7" s="983"/>
      <c r="G7" s="984"/>
      <c r="H7" s="1327" t="s">
        <v>112</v>
      </c>
      <c r="I7" s="1329"/>
      <c r="J7" s="1329"/>
      <c r="K7" s="1329"/>
      <c r="L7" s="1329"/>
      <c r="M7" s="1329"/>
      <c r="N7" s="1329"/>
      <c r="O7" s="1329"/>
      <c r="P7" s="1329"/>
      <c r="Q7" s="1329"/>
      <c r="R7" s="1329"/>
      <c r="S7" s="1329"/>
      <c r="T7" s="1329"/>
      <c r="U7" s="1329"/>
      <c r="V7" s="985"/>
      <c r="X7" s="1301"/>
      <c r="Y7" s="65"/>
    </row>
    <row r="8" spans="1:25" s="8" customFormat="1" ht="13.8" x14ac:dyDescent="0.25">
      <c r="A8" s="18"/>
      <c r="B8" s="4"/>
      <c r="C8" s="4"/>
      <c r="D8" s="969"/>
      <c r="E8" s="22" t="s">
        <v>113</v>
      </c>
      <c r="F8" s="20"/>
      <c r="G8" s="20" t="s">
        <v>2</v>
      </c>
      <c r="H8" s="1330" t="s">
        <v>114</v>
      </c>
      <c r="I8" s="1331"/>
      <c r="J8" s="1331"/>
      <c r="K8" s="1331"/>
      <c r="L8" s="1331"/>
      <c r="M8" s="1331"/>
      <c r="N8" s="1331"/>
      <c r="O8" s="1331"/>
      <c r="P8" s="1331"/>
      <c r="Q8" s="1331"/>
      <c r="R8" s="1331"/>
      <c r="S8" s="1331"/>
      <c r="T8" s="1331"/>
      <c r="U8" s="1331"/>
      <c r="V8" s="21"/>
      <c r="X8" s="1301"/>
      <c r="Y8" s="65"/>
    </row>
    <row r="9" spans="1:25" s="8" customFormat="1" ht="13.8" x14ac:dyDescent="0.25">
      <c r="A9" s="1318" t="s">
        <v>0</v>
      </c>
      <c r="B9" s="1319"/>
      <c r="C9" s="1319"/>
      <c r="D9" s="1338"/>
      <c r="E9" s="22" t="s">
        <v>117</v>
      </c>
      <c r="F9" s="20" t="s">
        <v>253</v>
      </c>
      <c r="G9" s="20" t="s">
        <v>118</v>
      </c>
      <c r="H9" s="307"/>
      <c r="I9" s="20"/>
      <c r="J9" s="22"/>
      <c r="K9" s="1364" t="s">
        <v>254</v>
      </c>
      <c r="L9" s="23"/>
      <c r="M9" s="23"/>
      <c r="N9" s="25"/>
      <c r="O9" s="24"/>
      <c r="P9" s="20"/>
      <c r="Q9" s="20"/>
      <c r="R9" s="20"/>
      <c r="S9" s="20" t="s">
        <v>119</v>
      </c>
      <c r="T9" s="308"/>
      <c r="U9" s="26"/>
      <c r="V9" s="29"/>
      <c r="X9" s="9"/>
      <c r="Y9" s="65"/>
    </row>
    <row r="10" spans="1:25" s="8" customFormat="1" ht="13.8" x14ac:dyDescent="0.25">
      <c r="A10" s="30"/>
      <c r="D10" s="954"/>
      <c r="E10" s="22" t="s">
        <v>121</v>
      </c>
      <c r="F10" s="20"/>
      <c r="G10" s="20" t="s">
        <v>122</v>
      </c>
      <c r="H10" s="176" t="s">
        <v>123</v>
      </c>
      <c r="I10" s="20" t="s">
        <v>124</v>
      </c>
      <c r="J10" s="20" t="s">
        <v>255</v>
      </c>
      <c r="K10" s="1365"/>
      <c r="L10" s="25" t="s">
        <v>126</v>
      </c>
      <c r="M10" s="25" t="s">
        <v>127</v>
      </c>
      <c r="N10" s="309" t="s">
        <v>128</v>
      </c>
      <c r="O10" s="25" t="s">
        <v>129</v>
      </c>
      <c r="P10" s="25" t="s">
        <v>130</v>
      </c>
      <c r="Q10" s="25" t="s">
        <v>256</v>
      </c>
      <c r="R10" s="310" t="s">
        <v>132</v>
      </c>
      <c r="S10" s="25" t="s">
        <v>178</v>
      </c>
      <c r="T10" s="25" t="s">
        <v>133</v>
      </c>
      <c r="U10" s="25" t="s">
        <v>134</v>
      </c>
      <c r="V10" s="29" t="s">
        <v>135</v>
      </c>
      <c r="X10" s="9"/>
      <c r="Y10" s="65"/>
    </row>
    <row r="11" spans="1:25" s="8" customFormat="1" ht="14.4" thickBot="1" x14ac:dyDescent="0.3">
      <c r="A11" s="36"/>
      <c r="B11" s="37"/>
      <c r="C11" s="37"/>
      <c r="D11" s="963"/>
      <c r="E11" s="933" t="s">
        <v>136</v>
      </c>
      <c r="F11" s="39"/>
      <c r="G11" s="40"/>
      <c r="H11" s="311"/>
      <c r="I11" s="40"/>
      <c r="J11" s="312"/>
      <c r="K11" s="1366"/>
      <c r="L11" s="40"/>
      <c r="M11" s="40"/>
      <c r="N11" s="44"/>
      <c r="O11" s="43"/>
      <c r="P11" s="313"/>
      <c r="Q11" s="38"/>
      <c r="R11" s="313"/>
      <c r="S11" s="38"/>
      <c r="T11" s="314"/>
      <c r="U11" s="49"/>
      <c r="V11" s="50"/>
      <c r="X11" s="9"/>
      <c r="Y11" s="65"/>
    </row>
    <row r="12" spans="1:25" s="316" customFormat="1" ht="14.4" thickTop="1" x14ac:dyDescent="0.25">
      <c r="A12" s="315" t="s">
        <v>257</v>
      </c>
      <c r="D12" s="970"/>
      <c r="E12" s="936">
        <f>E21</f>
        <v>7103777.4500000002</v>
      </c>
      <c r="F12" s="317">
        <f t="shared" ref="F12:V12" si="0">F21</f>
        <v>0</v>
      </c>
      <c r="G12" s="317">
        <f t="shared" si="0"/>
        <v>3509675.88</v>
      </c>
      <c r="H12" s="317">
        <f t="shared" si="0"/>
        <v>0</v>
      </c>
      <c r="I12" s="317">
        <f t="shared" si="0"/>
        <v>0</v>
      </c>
      <c r="J12" s="317">
        <f t="shared" si="0"/>
        <v>0</v>
      </c>
      <c r="K12" s="317"/>
      <c r="L12" s="317">
        <f t="shared" si="0"/>
        <v>13224</v>
      </c>
      <c r="M12" s="317">
        <f t="shared" si="0"/>
        <v>15529.75</v>
      </c>
      <c r="N12" s="317">
        <f t="shared" si="0"/>
        <v>72895.88</v>
      </c>
      <c r="O12" s="317">
        <f t="shared" si="0"/>
        <v>0</v>
      </c>
      <c r="P12" s="317">
        <f t="shared" si="0"/>
        <v>0</v>
      </c>
      <c r="Q12" s="317">
        <f t="shared" si="0"/>
        <v>0</v>
      </c>
      <c r="R12" s="317">
        <f t="shared" si="0"/>
        <v>0</v>
      </c>
      <c r="S12" s="317">
        <f t="shared" si="0"/>
        <v>0</v>
      </c>
      <c r="T12" s="317">
        <f t="shared" si="0"/>
        <v>0</v>
      </c>
      <c r="U12" s="1006">
        <f t="shared" si="0"/>
        <v>0</v>
      </c>
      <c r="V12" s="1001">
        <f t="shared" si="0"/>
        <v>3594101.5700000003</v>
      </c>
      <c r="X12" s="9"/>
      <c r="Y12" s="318"/>
    </row>
    <row r="13" spans="1:25" s="64" customFormat="1" ht="13.8" x14ac:dyDescent="0.25">
      <c r="A13" s="319" t="s">
        <v>88</v>
      </c>
      <c r="B13" s="61"/>
      <c r="C13" s="61"/>
      <c r="D13" s="964"/>
      <c r="E13" s="1294">
        <v>2000000</v>
      </c>
      <c r="F13" s="321" t="s">
        <v>258</v>
      </c>
      <c r="G13" s="359">
        <f>SUM(H13:U13)</f>
        <v>1528875</v>
      </c>
      <c r="H13" s="895"/>
      <c r="I13" s="895"/>
      <c r="J13" s="1009"/>
      <c r="K13" s="1009">
        <v>1461851.25</v>
      </c>
      <c r="L13" s="1009">
        <v>9280</v>
      </c>
      <c r="M13" s="891">
        <v>6588.75</v>
      </c>
      <c r="N13" s="895">
        <v>51155</v>
      </c>
      <c r="O13" s="1008"/>
      <c r="P13" s="1008"/>
      <c r="Q13" s="891"/>
      <c r="R13" s="875"/>
      <c r="S13" s="895"/>
      <c r="T13" s="895"/>
      <c r="U13" s="895"/>
      <c r="V13" s="1002">
        <f t="shared" ref="V13:V20" si="1">E13-G13</f>
        <v>471125</v>
      </c>
      <c r="W13" s="325"/>
      <c r="X13" s="65"/>
      <c r="Y13" s="326"/>
    </row>
    <row r="14" spans="1:25" s="64" customFormat="1" ht="13.8" x14ac:dyDescent="0.25">
      <c r="A14" s="327"/>
      <c r="C14" s="326"/>
      <c r="D14" s="971"/>
      <c r="E14" s="1295">
        <v>4487201.2300000004</v>
      </c>
      <c r="F14" s="328" t="s">
        <v>259</v>
      </c>
      <c r="G14" s="58">
        <f>SUM(H14:U14)</f>
        <v>1574857.25</v>
      </c>
      <c r="H14" s="397"/>
      <c r="I14" s="66"/>
      <c r="J14" s="69"/>
      <c r="K14" s="69">
        <v>1546175</v>
      </c>
      <c r="L14" s="69">
        <v>3248</v>
      </c>
      <c r="M14" s="66">
        <v>7530</v>
      </c>
      <c r="N14" s="66">
        <v>17904.25</v>
      </c>
      <c r="O14" s="917"/>
      <c r="P14" s="917"/>
      <c r="Q14" s="66"/>
      <c r="R14" s="396"/>
      <c r="S14" s="66"/>
      <c r="T14" s="66"/>
      <c r="U14" s="66"/>
      <c r="V14" s="1003">
        <f t="shared" si="1"/>
        <v>2912343.9800000004</v>
      </c>
      <c r="X14" s="330"/>
      <c r="Y14" s="326"/>
    </row>
    <row r="15" spans="1:25" s="64" customFormat="1" ht="13.8" x14ac:dyDescent="0.25">
      <c r="A15" s="327"/>
      <c r="C15" s="326"/>
      <c r="D15" s="971"/>
      <c r="E15" s="1295">
        <v>16576.22</v>
      </c>
      <c r="F15" s="328" t="s">
        <v>260</v>
      </c>
      <c r="G15" s="58">
        <f>SUM(H15:U15)</f>
        <v>5943.63</v>
      </c>
      <c r="H15" s="66"/>
      <c r="I15" s="66"/>
      <c r="J15" s="69"/>
      <c r="K15" s="69"/>
      <c r="L15" s="69">
        <v>696</v>
      </c>
      <c r="M15" s="66">
        <v>1411</v>
      </c>
      <c r="N15" s="66">
        <v>3836.63</v>
      </c>
      <c r="O15" s="917"/>
      <c r="P15" s="917"/>
      <c r="Q15" s="66"/>
      <c r="R15" s="369"/>
      <c r="S15" s="66"/>
      <c r="T15" s="66"/>
      <c r="U15" s="66"/>
      <c r="V15" s="1004">
        <f t="shared" si="1"/>
        <v>10632.59</v>
      </c>
      <c r="W15" s="463"/>
      <c r="X15" s="330"/>
      <c r="Y15" s="326"/>
    </row>
    <row r="16" spans="1:25" s="64" customFormat="1" ht="13.8" x14ac:dyDescent="0.25">
      <c r="A16" s="327"/>
      <c r="C16" s="326"/>
      <c r="D16" s="971"/>
      <c r="E16" s="1295">
        <v>300000</v>
      </c>
      <c r="F16" s="328" t="s">
        <v>261</v>
      </c>
      <c r="G16" s="58">
        <f>SUM(H16:U16)</f>
        <v>200000</v>
      </c>
      <c r="H16" s="66"/>
      <c r="I16" s="66"/>
      <c r="J16" s="69"/>
      <c r="K16" s="69">
        <v>200000</v>
      </c>
      <c r="L16" s="69"/>
      <c r="M16" s="66"/>
      <c r="N16" s="66"/>
      <c r="O16" s="917"/>
      <c r="P16" s="917"/>
      <c r="Q16" s="66"/>
      <c r="R16" s="369"/>
      <c r="S16" s="66"/>
      <c r="T16" s="66"/>
      <c r="U16" s="66"/>
      <c r="V16" s="1004">
        <f t="shared" si="1"/>
        <v>100000</v>
      </c>
      <c r="W16" s="463"/>
      <c r="X16" s="330"/>
      <c r="Y16" s="326"/>
    </row>
    <row r="17" spans="1:25" s="64" customFormat="1" ht="13.8" x14ac:dyDescent="0.25">
      <c r="A17" s="327"/>
      <c r="C17" s="326"/>
      <c r="D17" s="971"/>
      <c r="E17" s="1295">
        <v>300000</v>
      </c>
      <c r="F17" s="328" t="s">
        <v>262</v>
      </c>
      <c r="G17" s="58">
        <f t="shared" ref="G17:G19" si="2">SUM(H17:U17)</f>
        <v>200000</v>
      </c>
      <c r="H17" s="66"/>
      <c r="I17" s="66"/>
      <c r="J17" s="69"/>
      <c r="K17" s="69">
        <v>200000</v>
      </c>
      <c r="L17" s="69"/>
      <c r="M17" s="66"/>
      <c r="N17" s="66"/>
      <c r="O17" s="917"/>
      <c r="P17" s="917"/>
      <c r="Q17" s="66"/>
      <c r="R17" s="369"/>
      <c r="S17" s="66"/>
      <c r="T17" s="66"/>
      <c r="U17" s="66"/>
      <c r="V17" s="1004">
        <f t="shared" si="1"/>
        <v>100000</v>
      </c>
      <c r="W17" s="463"/>
      <c r="X17" s="330"/>
      <c r="Y17" s="326"/>
    </row>
    <row r="18" spans="1:25" s="64" customFormat="1" ht="13.8" x14ac:dyDescent="0.25">
      <c r="A18" s="327"/>
      <c r="C18" s="326"/>
      <c r="D18" s="971"/>
      <c r="E18" s="1295"/>
      <c r="F18" s="328" t="s">
        <v>234</v>
      </c>
      <c r="G18" s="58">
        <f t="shared" si="2"/>
        <v>0</v>
      </c>
      <c r="H18" s="66"/>
      <c r="I18" s="66"/>
      <c r="J18" s="69"/>
      <c r="K18" s="69"/>
      <c r="L18" s="69"/>
      <c r="M18" s="66"/>
      <c r="N18" s="66"/>
      <c r="O18" s="917"/>
      <c r="P18" s="917"/>
      <c r="Q18" s="66"/>
      <c r="R18" s="369"/>
      <c r="S18" s="66"/>
      <c r="T18" s="66"/>
      <c r="U18" s="66"/>
      <c r="V18" s="1004">
        <f t="shared" si="1"/>
        <v>0</v>
      </c>
      <c r="W18" s="463"/>
      <c r="X18" s="330"/>
      <c r="Y18" s="326"/>
    </row>
    <row r="19" spans="1:25" s="64" customFormat="1" ht="13.8" x14ac:dyDescent="0.25">
      <c r="A19" s="327"/>
      <c r="C19" s="326"/>
      <c r="D19" s="971"/>
      <c r="E19" s="1295"/>
      <c r="F19" s="328" t="s">
        <v>158</v>
      </c>
      <c r="G19" s="58">
        <f t="shared" si="2"/>
        <v>0</v>
      </c>
      <c r="H19" s="66"/>
      <c r="I19" s="66"/>
      <c r="J19" s="69"/>
      <c r="K19" s="69"/>
      <c r="L19" s="69"/>
      <c r="M19" s="66"/>
      <c r="N19" s="66"/>
      <c r="O19" s="917"/>
      <c r="P19" s="917"/>
      <c r="Q19" s="66"/>
      <c r="R19" s="369"/>
      <c r="S19" s="66"/>
      <c r="T19" s="66"/>
      <c r="U19" s="66"/>
      <c r="V19" s="1004">
        <f t="shared" si="1"/>
        <v>0</v>
      </c>
      <c r="W19" s="463"/>
      <c r="X19" s="330"/>
      <c r="Y19" s="326"/>
    </row>
    <row r="20" spans="1:25" s="64" customFormat="1" ht="13.8" x14ac:dyDescent="0.25">
      <c r="A20" s="327"/>
      <c r="C20" s="326"/>
      <c r="D20" s="971"/>
      <c r="E20" s="937"/>
      <c r="F20" s="321" t="s">
        <v>263</v>
      </c>
      <c r="G20" s="403">
        <f>SUM(H20:U20)</f>
        <v>0</v>
      </c>
      <c r="H20" s="1015"/>
      <c r="I20" s="1022"/>
      <c r="J20" s="1023"/>
      <c r="K20" s="1024"/>
      <c r="L20" s="1023"/>
      <c r="M20" s="1022"/>
      <c r="N20" s="1022"/>
      <c r="O20" s="1025"/>
      <c r="P20" s="1025"/>
      <c r="Q20" s="1026"/>
      <c r="R20" s="1022"/>
      <c r="S20" s="1022"/>
      <c r="T20" s="1022"/>
      <c r="U20" s="1022"/>
      <c r="V20" s="1027">
        <f t="shared" si="1"/>
        <v>0</v>
      </c>
      <c r="X20" s="330"/>
      <c r="Y20" s="326"/>
    </row>
    <row r="21" spans="1:25" s="2" customFormat="1" x14ac:dyDescent="0.25">
      <c r="A21" s="812"/>
      <c r="C21" s="813"/>
      <c r="D21" s="972"/>
      <c r="E21" s="938">
        <f t="shared" ref="E21:F21" si="3">SUM(E13:E20)</f>
        <v>7103777.4500000002</v>
      </c>
      <c r="F21" s="814">
        <f t="shared" si="3"/>
        <v>0</v>
      </c>
      <c r="G21" s="814">
        <f>SUM(G13:G20)</f>
        <v>3509675.88</v>
      </c>
      <c r="H21" s="817">
        <f t="shared" ref="H21:U21" si="4">SUM(H13:H20)</f>
        <v>0</v>
      </c>
      <c r="I21" s="817">
        <f t="shared" si="4"/>
        <v>0</v>
      </c>
      <c r="J21" s="1007">
        <f t="shared" si="4"/>
        <v>0</v>
      </c>
      <c r="K21" s="817">
        <f t="shared" si="4"/>
        <v>3408026.25</v>
      </c>
      <c r="L21" s="817">
        <f t="shared" si="4"/>
        <v>13224</v>
      </c>
      <c r="M21" s="817">
        <f t="shared" si="4"/>
        <v>15529.75</v>
      </c>
      <c r="N21" s="817">
        <f t="shared" si="4"/>
        <v>72895.88</v>
      </c>
      <c r="O21" s="817">
        <f t="shared" si="4"/>
        <v>0</v>
      </c>
      <c r="P21" s="817">
        <f t="shared" si="4"/>
        <v>0</v>
      </c>
      <c r="Q21" s="1007">
        <f t="shared" si="4"/>
        <v>0</v>
      </c>
      <c r="R21" s="817">
        <f t="shared" si="4"/>
        <v>0</v>
      </c>
      <c r="S21" s="1007">
        <f t="shared" si="4"/>
        <v>0</v>
      </c>
      <c r="T21" s="817">
        <f t="shared" si="4"/>
        <v>0</v>
      </c>
      <c r="U21" s="1007">
        <f t="shared" si="4"/>
        <v>0</v>
      </c>
      <c r="V21" s="1005">
        <f>SUM(V13:V20)</f>
        <v>3594101.5700000003</v>
      </c>
      <c r="X21" s="815"/>
      <c r="Y21" s="797"/>
    </row>
    <row r="22" spans="1:25" s="316" customFormat="1" ht="13.8" x14ac:dyDescent="0.25">
      <c r="A22" s="315" t="s">
        <v>264</v>
      </c>
      <c r="D22" s="970"/>
      <c r="E22" s="334"/>
      <c r="F22" s="333"/>
      <c r="G22" s="333"/>
      <c r="H22" s="333"/>
      <c r="I22" s="333"/>
      <c r="J22" s="334"/>
      <c r="K22" s="334"/>
      <c r="L22" s="334"/>
      <c r="M22" s="333"/>
      <c r="N22" s="333"/>
      <c r="O22" s="335"/>
      <c r="P22" s="335"/>
      <c r="Q22" s="336"/>
      <c r="R22" s="336"/>
      <c r="S22" s="336"/>
      <c r="T22" s="336"/>
      <c r="U22" s="336"/>
      <c r="V22" s="337"/>
      <c r="X22" s="332"/>
      <c r="Y22" s="330"/>
    </row>
    <row r="23" spans="1:25" s="316" customFormat="1" ht="13.8" x14ac:dyDescent="0.25">
      <c r="A23" s="315" t="s">
        <v>265</v>
      </c>
      <c r="D23" s="970"/>
      <c r="E23" s="939">
        <f>E32+E38+E47+E50+E61+E67+E77+E79+E86+E92+E98+E100+E115+E121+E130+E132+E141+E143+E148+E155+E160+E162+E169+E177+E183+E199+E202+E215+E150+E195+E126</f>
        <v>18440308.609999999</v>
      </c>
      <c r="F23" s="338"/>
      <c r="G23" s="338">
        <f ca="1">G32+G38+G47+G50+G61+G67+G77+G79+G86+G92+G98+G100+G115+G121+G130+G132+G141+G143+G148+G155+G160+G162+G169+G177+G183+G199+G202+G215+G150+G195+G126</f>
        <v>0</v>
      </c>
      <c r="H23" s="338">
        <f ca="1">H32+H38+H47+H50+H61+H67+H77+H79+H86+H92+H98+H100+H115+H121+H130+H132+H141+H143+H148+H155+H160+H162+H169+H177+H183+H199+H202+H215+H150+H195+H126</f>
        <v>0</v>
      </c>
      <c r="I23" s="338">
        <f ca="1">I32+I38+I47+I50+I61+I67+I77+I79+I86+I92+I98+I100+I115+I121+I130+I132+I141+I143+I148+I155+I160+I162+I169+I177+I183+I199+I202+I215+I150+I195+I126</f>
        <v>0</v>
      </c>
      <c r="J23" s="338">
        <f ca="1">J32+J38+J47+J50+J61+J67+J77+J79+J86+J92+J98+J100+J115+J121+J130+J132+J141+J143+J148+J155+J160+J162+J169+J177+J183+J199+J202+J215+J150+J195+J126</f>
        <v>0</v>
      </c>
      <c r="K23" s="338"/>
      <c r="L23" s="338">
        <f t="shared" ref="L23:U23" ca="1" si="5">L32+L38+L47+L50+L61+L67+L77+L79+L86+L92+L98+L100+L115+L121+L130+L132+L141+L143+L148+L155+L160+L162+L169+L177+L183+L199+L202+L215+L150+L195+L126</f>
        <v>0</v>
      </c>
      <c r="M23" s="338">
        <f t="shared" ca="1" si="5"/>
        <v>0</v>
      </c>
      <c r="N23" s="338">
        <f t="shared" ca="1" si="5"/>
        <v>0</v>
      </c>
      <c r="O23" s="338">
        <f t="shared" ca="1" si="5"/>
        <v>0</v>
      </c>
      <c r="P23" s="338">
        <f t="shared" ca="1" si="5"/>
        <v>0</v>
      </c>
      <c r="Q23" s="338">
        <f t="shared" ca="1" si="5"/>
        <v>0</v>
      </c>
      <c r="R23" s="338">
        <f t="shared" ca="1" si="5"/>
        <v>0</v>
      </c>
      <c r="S23" s="338">
        <f t="shared" ca="1" si="5"/>
        <v>0</v>
      </c>
      <c r="T23" s="338">
        <f t="shared" ca="1" si="5"/>
        <v>0</v>
      </c>
      <c r="U23" s="338">
        <f t="shared" ca="1" si="5"/>
        <v>0</v>
      </c>
      <c r="V23" s="831">
        <f ca="1">E23-G23</f>
        <v>10943733</v>
      </c>
      <c r="W23" s="315"/>
      <c r="X23" s="332">
        <f>V32+V38+V47+V50+V61+V67+V77+V79+V86+V92+V98+V100+V115+V121+V128+V132+V141+V148+V150+V155+V160+V162+V164+V169+V177+V183+V199+V202+V215</f>
        <v>9417232.2100000009</v>
      </c>
      <c r="Y23" s="330"/>
    </row>
    <row r="24" spans="1:25" s="8" customFormat="1" ht="13.8" x14ac:dyDescent="0.25">
      <c r="A24" s="30"/>
      <c r="D24" s="954"/>
      <c r="E24" s="90"/>
      <c r="F24" s="53"/>
      <c r="G24" s="53"/>
      <c r="H24" s="53"/>
      <c r="I24" s="53"/>
      <c r="J24" s="90"/>
      <c r="K24" s="90"/>
      <c r="L24" s="90"/>
      <c r="M24" s="53"/>
      <c r="N24" s="53"/>
      <c r="O24" s="55"/>
      <c r="P24" s="55"/>
      <c r="Q24" s="19"/>
      <c r="R24" s="19"/>
      <c r="S24" s="19"/>
      <c r="T24" s="19"/>
      <c r="U24" s="19"/>
      <c r="V24" s="111">
        <f>E24-G24</f>
        <v>0</v>
      </c>
      <c r="X24" s="9"/>
      <c r="Y24" s="65"/>
    </row>
    <row r="25" spans="1:25" s="8" customFormat="1" ht="13.8" x14ac:dyDescent="0.25">
      <c r="A25" s="339" t="s">
        <v>5</v>
      </c>
      <c r="B25" s="340"/>
      <c r="C25" s="71"/>
      <c r="D25" s="965"/>
      <c r="E25" s="179">
        <v>500000</v>
      </c>
      <c r="F25" s="79" t="s">
        <v>258</v>
      </c>
      <c r="G25" s="105">
        <f t="shared" ref="G25:G31" si="6">SUM(H25:U25)</f>
        <v>200000</v>
      </c>
      <c r="H25" s="105"/>
      <c r="I25" s="105"/>
      <c r="J25" s="179"/>
      <c r="K25" s="179">
        <v>200000</v>
      </c>
      <c r="L25" s="341"/>
      <c r="M25" s="74"/>
      <c r="N25" s="74"/>
      <c r="O25" s="342"/>
      <c r="P25" s="76"/>
      <c r="Q25" s="343"/>
      <c r="R25" s="343"/>
      <c r="S25" s="74"/>
      <c r="T25" s="343"/>
      <c r="U25" s="343"/>
      <c r="V25" s="111">
        <f t="shared" ref="V25:V46" si="7">E25-G25</f>
        <v>300000</v>
      </c>
      <c r="W25" s="304"/>
      <c r="X25" s="9"/>
      <c r="Y25" s="65"/>
    </row>
    <row r="26" spans="1:25" s="345" customFormat="1" ht="13.8" x14ac:dyDescent="0.25">
      <c r="A26" s="344"/>
      <c r="B26" s="986"/>
      <c r="D26" s="973"/>
      <c r="E26" s="138">
        <v>100000</v>
      </c>
      <c r="F26" s="328" t="s">
        <v>259</v>
      </c>
      <c r="G26" s="136">
        <f t="shared" si="6"/>
        <v>100000</v>
      </c>
      <c r="H26" s="136"/>
      <c r="I26" s="136"/>
      <c r="J26" s="138"/>
      <c r="K26" s="138">
        <v>100000</v>
      </c>
      <c r="L26" s="66"/>
      <c r="M26" s="346"/>
      <c r="N26" s="346"/>
      <c r="O26" s="347"/>
      <c r="P26" s="348"/>
      <c r="Q26" s="349"/>
      <c r="R26" s="349"/>
      <c r="S26" s="346"/>
      <c r="T26" s="349"/>
      <c r="U26" s="349"/>
      <c r="V26" s="111">
        <f t="shared" si="7"/>
        <v>0</v>
      </c>
      <c r="W26" s="350"/>
      <c r="X26" s="351"/>
      <c r="Y26" s="351"/>
    </row>
    <row r="27" spans="1:25" s="64" customFormat="1" ht="13.8" x14ac:dyDescent="0.25">
      <c r="A27" s="352"/>
      <c r="B27" s="987"/>
      <c r="D27" s="971"/>
      <c r="E27" s="138">
        <v>181640</v>
      </c>
      <c r="F27" s="353" t="s">
        <v>260</v>
      </c>
      <c r="G27" s="136">
        <f t="shared" si="6"/>
        <v>100000</v>
      </c>
      <c r="H27" s="136"/>
      <c r="I27" s="136"/>
      <c r="J27" s="138"/>
      <c r="K27" s="138">
        <v>100000</v>
      </c>
      <c r="L27" s="66"/>
      <c r="M27" s="58"/>
      <c r="N27" s="58"/>
      <c r="O27" s="62"/>
      <c r="P27" s="62"/>
      <c r="Q27" s="58"/>
      <c r="R27" s="58"/>
      <c r="S27" s="58"/>
      <c r="T27" s="67"/>
      <c r="U27" s="67"/>
      <c r="V27" s="95">
        <f t="shared" si="7"/>
        <v>81640</v>
      </c>
      <c r="W27" s="325"/>
      <c r="X27" s="65"/>
      <c r="Y27" s="65"/>
    </row>
    <row r="28" spans="1:25" s="64" customFormat="1" ht="13.8" x14ac:dyDescent="0.25">
      <c r="A28" s="352"/>
      <c r="B28" s="987"/>
      <c r="C28" s="326"/>
      <c r="D28" s="971"/>
      <c r="E28" s="138">
        <v>200000</v>
      </c>
      <c r="F28" s="353" t="s">
        <v>261</v>
      </c>
      <c r="G28" s="765">
        <f t="shared" si="6"/>
        <v>200000</v>
      </c>
      <c r="H28" s="228"/>
      <c r="I28" s="136"/>
      <c r="J28" s="138"/>
      <c r="K28" s="138">
        <v>200000</v>
      </c>
      <c r="L28" s="66"/>
      <c r="M28" s="58"/>
      <c r="N28" s="58"/>
      <c r="O28" s="62"/>
      <c r="P28" s="62"/>
      <c r="Q28" s="58"/>
      <c r="R28" s="58"/>
      <c r="S28" s="58"/>
      <c r="T28" s="58"/>
      <c r="U28" s="67"/>
      <c r="V28" s="95">
        <f t="shared" si="7"/>
        <v>0</v>
      </c>
      <c r="W28" s="325"/>
      <c r="X28" s="330"/>
      <c r="Y28" s="330"/>
    </row>
    <row r="29" spans="1:25" s="64" customFormat="1" ht="13.8" x14ac:dyDescent="0.25">
      <c r="A29" s="352"/>
      <c r="B29" s="987"/>
      <c r="C29" s="326"/>
      <c r="D29" s="971"/>
      <c r="E29" s="138">
        <v>400000</v>
      </c>
      <c r="F29" s="353" t="s">
        <v>262</v>
      </c>
      <c r="G29" s="765">
        <f t="shared" si="6"/>
        <v>200000</v>
      </c>
      <c r="H29" s="136"/>
      <c r="I29" s="136"/>
      <c r="J29" s="138"/>
      <c r="K29" s="138">
        <v>200000</v>
      </c>
      <c r="L29" s="66"/>
      <c r="M29" s="58"/>
      <c r="N29" s="58"/>
      <c r="O29" s="62"/>
      <c r="P29" s="62"/>
      <c r="Q29" s="58"/>
      <c r="R29" s="58"/>
      <c r="S29" s="354"/>
      <c r="T29" s="58"/>
      <c r="U29" s="67"/>
      <c r="V29" s="95">
        <f t="shared" si="7"/>
        <v>200000</v>
      </c>
      <c r="X29" s="65"/>
      <c r="Y29" s="65"/>
    </row>
    <row r="30" spans="1:25" s="64" customFormat="1" ht="13.8" x14ac:dyDescent="0.25">
      <c r="A30" s="352"/>
      <c r="B30" s="987"/>
      <c r="C30" s="326"/>
      <c r="D30" s="971"/>
      <c r="E30" s="138">
        <v>99023.88</v>
      </c>
      <c r="F30" s="353" t="s">
        <v>266</v>
      </c>
      <c r="G30" s="136">
        <f t="shared" si="6"/>
        <v>35000</v>
      </c>
      <c r="H30" s="136"/>
      <c r="I30" s="136"/>
      <c r="J30" s="138"/>
      <c r="K30" s="138">
        <v>35000</v>
      </c>
      <c r="L30" s="66"/>
      <c r="M30" s="58"/>
      <c r="N30" s="58"/>
      <c r="O30" s="62"/>
      <c r="P30" s="62"/>
      <c r="Q30" s="58"/>
      <c r="R30" s="58"/>
      <c r="S30" s="67"/>
      <c r="T30" s="58"/>
      <c r="U30" s="67"/>
      <c r="V30" s="95">
        <f t="shared" si="7"/>
        <v>64023.880000000005</v>
      </c>
      <c r="X30" s="65"/>
      <c r="Y30" s="65"/>
    </row>
    <row r="31" spans="1:25" s="64" customFormat="1" ht="13.8" x14ac:dyDescent="0.25">
      <c r="A31" s="352"/>
      <c r="B31" s="987"/>
      <c r="C31" s="326"/>
      <c r="D31" s="971"/>
      <c r="E31" s="227">
        <v>400000</v>
      </c>
      <c r="F31" s="355" t="s">
        <v>263</v>
      </c>
      <c r="G31" s="136">
        <f t="shared" si="6"/>
        <v>155621</v>
      </c>
      <c r="H31" s="226"/>
      <c r="I31" s="226"/>
      <c r="J31" s="227"/>
      <c r="K31" s="227">
        <v>150000</v>
      </c>
      <c r="L31" s="356">
        <f>1856</f>
        <v>1856</v>
      </c>
      <c r="M31" s="322">
        <v>3765</v>
      </c>
      <c r="N31" s="322"/>
      <c r="O31" s="323"/>
      <c r="P31" s="323"/>
      <c r="Q31" s="322"/>
      <c r="R31" s="322"/>
      <c r="S31" s="331"/>
      <c r="T31" s="331"/>
      <c r="U31" s="331"/>
      <c r="V31" s="95">
        <f t="shared" si="7"/>
        <v>244379</v>
      </c>
      <c r="X31" s="65"/>
      <c r="Y31" s="65"/>
    </row>
    <row r="32" spans="1:25" s="4" customFormat="1" ht="13.8" x14ac:dyDescent="0.25">
      <c r="A32" s="770"/>
      <c r="B32" s="988"/>
      <c r="D32" s="969"/>
      <c r="E32" s="928">
        <f>SUM(E25:E31)</f>
        <v>1880663.88</v>
      </c>
      <c r="F32" s="481"/>
      <c r="G32" s="465">
        <f t="shared" ref="G32:V32" si="8">SUM(G25:G31)</f>
        <v>990621</v>
      </c>
      <c r="H32" s="465">
        <f t="shared" si="8"/>
        <v>0</v>
      </c>
      <c r="I32" s="465">
        <f t="shared" si="8"/>
        <v>0</v>
      </c>
      <c r="J32" s="465">
        <f t="shared" si="8"/>
        <v>0</v>
      </c>
      <c r="K32" s="465">
        <f t="shared" si="8"/>
        <v>985000</v>
      </c>
      <c r="L32" s="481">
        <f t="shared" si="8"/>
        <v>1856</v>
      </c>
      <c r="M32" s="481">
        <f t="shared" si="8"/>
        <v>3765</v>
      </c>
      <c r="N32" s="481">
        <f t="shared" si="8"/>
        <v>0</v>
      </c>
      <c r="O32" s="481">
        <f t="shared" si="8"/>
        <v>0</v>
      </c>
      <c r="P32" s="481">
        <f t="shared" si="8"/>
        <v>0</v>
      </c>
      <c r="Q32" s="481">
        <f t="shared" si="8"/>
        <v>0</v>
      </c>
      <c r="R32" s="481">
        <f t="shared" si="8"/>
        <v>0</v>
      </c>
      <c r="S32" s="481">
        <f t="shared" si="8"/>
        <v>0</v>
      </c>
      <c r="T32" s="481">
        <f t="shared" si="8"/>
        <v>0</v>
      </c>
      <c r="U32" s="481">
        <f t="shared" si="8"/>
        <v>0</v>
      </c>
      <c r="V32" s="832">
        <f t="shared" si="8"/>
        <v>890042.88</v>
      </c>
      <c r="W32" s="18"/>
      <c r="X32" s="788"/>
      <c r="Y32" s="771"/>
    </row>
    <row r="33" spans="1:25" s="8" customFormat="1" ht="13.8" x14ac:dyDescent="0.25">
      <c r="A33" s="357"/>
      <c r="B33" s="989"/>
      <c r="D33" s="954"/>
      <c r="E33" s="747"/>
      <c r="F33" s="746"/>
      <c r="G33" s="746"/>
      <c r="H33" s="746"/>
      <c r="I33" s="746"/>
      <c r="J33" s="747"/>
      <c r="K33" s="747"/>
      <c r="L33" s="747"/>
      <c r="M33" s="746"/>
      <c r="N33" s="746"/>
      <c r="O33" s="746"/>
      <c r="P33" s="746"/>
      <c r="Q33" s="746"/>
      <c r="R33" s="746"/>
      <c r="S33" s="746"/>
      <c r="T33" s="746"/>
      <c r="U33" s="746"/>
      <c r="V33" s="874"/>
      <c r="W33" s="30"/>
      <c r="X33" s="420"/>
      <c r="Y33" s="420"/>
    </row>
    <row r="34" spans="1:25" s="8" customFormat="1" ht="13.8" x14ac:dyDescent="0.25">
      <c r="A34" s="339" t="s">
        <v>6</v>
      </c>
      <c r="B34" s="340"/>
      <c r="C34" s="71"/>
      <c r="D34" s="965"/>
      <c r="E34" s="66"/>
      <c r="F34" s="79" t="s">
        <v>258</v>
      </c>
      <c r="G34" s="74">
        <f>SUM(H34:U34)</f>
        <v>0</v>
      </c>
      <c r="H34" s="430"/>
      <c r="I34" s="430"/>
      <c r="J34" s="905"/>
      <c r="K34" s="905"/>
      <c r="L34" s="905"/>
      <c r="M34" s="430"/>
      <c r="N34" s="430"/>
      <c r="O34" s="432"/>
      <c r="P34" s="432"/>
      <c r="Q34" s="430"/>
      <c r="R34" s="430"/>
      <c r="S34" s="430"/>
      <c r="T34" s="430"/>
      <c r="U34" s="430"/>
      <c r="V34" s="111">
        <f t="shared" si="7"/>
        <v>0</v>
      </c>
      <c r="X34" s="9"/>
      <c r="Y34" s="65"/>
    </row>
    <row r="35" spans="1:25" s="8" customFormat="1" ht="13.8" x14ac:dyDescent="0.25">
      <c r="A35" s="339"/>
      <c r="B35" s="340"/>
      <c r="C35" s="71"/>
      <c r="D35" s="965"/>
      <c r="E35" s="356"/>
      <c r="F35" s="364" t="s">
        <v>259</v>
      </c>
      <c r="G35" s="53">
        <f>SUM(H35:U35)</f>
        <v>0</v>
      </c>
      <c r="H35" s="361"/>
      <c r="I35" s="361"/>
      <c r="J35" s="362"/>
      <c r="K35" s="362"/>
      <c r="L35" s="362"/>
      <c r="M35" s="361"/>
      <c r="N35" s="361"/>
      <c r="O35" s="363"/>
      <c r="P35" s="363"/>
      <c r="Q35" s="361"/>
      <c r="R35" s="361"/>
      <c r="S35" s="361"/>
      <c r="T35" s="361"/>
      <c r="U35" s="361"/>
      <c r="V35" s="184">
        <f t="shared" si="7"/>
        <v>0</v>
      </c>
      <c r="X35" s="9"/>
      <c r="Y35" s="65"/>
    </row>
    <row r="36" spans="1:25" s="1" customFormat="1" ht="13.8" x14ac:dyDescent="0.25">
      <c r="A36" s="802"/>
      <c r="B36" s="803"/>
      <c r="C36" s="804"/>
      <c r="D36" s="974"/>
      <c r="E36" s="179">
        <v>200000</v>
      </c>
      <c r="F36" s="906" t="s">
        <v>261</v>
      </c>
      <c r="G36" s="105">
        <f>SUM(H36:U36)</f>
        <v>103765</v>
      </c>
      <c r="H36" s="105"/>
      <c r="I36" s="105"/>
      <c r="J36" s="179"/>
      <c r="K36" s="179">
        <v>100000</v>
      </c>
      <c r="L36" s="179"/>
      <c r="M36" s="105">
        <v>3765</v>
      </c>
      <c r="N36" s="105"/>
      <c r="O36" s="109"/>
      <c r="P36" s="109"/>
      <c r="Q36" s="105"/>
      <c r="R36" s="105"/>
      <c r="S36" s="105"/>
      <c r="T36" s="105"/>
      <c r="U36" s="105"/>
      <c r="V36" s="111">
        <f t="shared" si="7"/>
        <v>96235</v>
      </c>
      <c r="X36" s="805"/>
      <c r="Y36" s="806"/>
    </row>
    <row r="37" spans="1:25" s="8" customFormat="1" ht="13.8" x14ac:dyDescent="0.25">
      <c r="A37" s="339"/>
      <c r="B37" s="340"/>
      <c r="C37" s="71"/>
      <c r="D37" s="965"/>
      <c r="E37" s="356"/>
      <c r="F37" s="364" t="s">
        <v>262</v>
      </c>
      <c r="G37" s="360">
        <f>SUM(H37:U37)</f>
        <v>0</v>
      </c>
      <c r="H37" s="361"/>
      <c r="I37" s="361"/>
      <c r="J37" s="362"/>
      <c r="K37" s="362"/>
      <c r="L37" s="362"/>
      <c r="M37" s="361"/>
      <c r="N37" s="53"/>
      <c r="O37" s="363"/>
      <c r="P37" s="363"/>
      <c r="Q37" s="361"/>
      <c r="R37" s="361"/>
      <c r="S37" s="53"/>
      <c r="T37" s="361"/>
      <c r="U37" s="361"/>
      <c r="V37" s="214">
        <f t="shared" si="7"/>
        <v>0</v>
      </c>
      <c r="X37" s="9"/>
      <c r="Y37" s="65"/>
    </row>
    <row r="38" spans="1:25" s="2" customFormat="1" x14ac:dyDescent="0.25">
      <c r="A38" s="807"/>
      <c r="B38" s="808"/>
      <c r="C38" s="809"/>
      <c r="D38" s="975"/>
      <c r="E38" s="940">
        <f>SUM(E34:E37)</f>
        <v>200000</v>
      </c>
      <c r="F38" s="810"/>
      <c r="G38" s="810">
        <f t="shared" ref="G38:V38" si="9">SUM(G34:G37)</f>
        <v>103765</v>
      </c>
      <c r="H38" s="810">
        <f t="shared" si="9"/>
        <v>0</v>
      </c>
      <c r="I38" s="810">
        <f t="shared" si="9"/>
        <v>0</v>
      </c>
      <c r="J38" s="810">
        <f t="shared" si="9"/>
        <v>0</v>
      </c>
      <c r="K38" s="810">
        <f t="shared" si="9"/>
        <v>100000</v>
      </c>
      <c r="L38" s="810">
        <f t="shared" si="9"/>
        <v>0</v>
      </c>
      <c r="M38" s="810">
        <f t="shared" si="9"/>
        <v>3765</v>
      </c>
      <c r="N38" s="810">
        <f t="shared" si="9"/>
        <v>0</v>
      </c>
      <c r="O38" s="810">
        <f t="shared" si="9"/>
        <v>0</v>
      </c>
      <c r="P38" s="810">
        <f t="shared" si="9"/>
        <v>0</v>
      </c>
      <c r="Q38" s="810">
        <f t="shared" si="9"/>
        <v>0</v>
      </c>
      <c r="R38" s="810">
        <f t="shared" si="9"/>
        <v>0</v>
      </c>
      <c r="S38" s="810">
        <f t="shared" si="9"/>
        <v>0</v>
      </c>
      <c r="T38" s="810">
        <f t="shared" si="9"/>
        <v>0</v>
      </c>
      <c r="U38" s="810">
        <f t="shared" si="9"/>
        <v>0</v>
      </c>
      <c r="V38" s="795">
        <f t="shared" si="9"/>
        <v>96235</v>
      </c>
      <c r="X38" s="811"/>
      <c r="Y38" s="797"/>
    </row>
    <row r="39" spans="1:25" s="8" customFormat="1" ht="13.8" x14ac:dyDescent="0.25">
      <c r="A39" s="339"/>
      <c r="B39" s="340"/>
      <c r="C39" s="71"/>
      <c r="D39" s="965"/>
      <c r="E39" s="1089"/>
      <c r="F39" s="1037"/>
      <c r="G39" s="1037"/>
      <c r="H39" s="1037"/>
      <c r="I39" s="1037"/>
      <c r="J39" s="1038"/>
      <c r="K39" s="1038"/>
      <c r="L39" s="1038"/>
      <c r="M39" s="1037"/>
      <c r="N39" s="1037"/>
      <c r="O39" s="1037"/>
      <c r="P39" s="1037"/>
      <c r="Q39" s="1037"/>
      <c r="R39" s="1037"/>
      <c r="S39" s="1037"/>
      <c r="T39" s="1037"/>
      <c r="U39" s="1037"/>
      <c r="V39" s="184"/>
      <c r="X39" s="420"/>
      <c r="Y39" s="420"/>
    </row>
    <row r="40" spans="1:25" s="8" customFormat="1" ht="13.8" x14ac:dyDescent="0.25">
      <c r="A40" s="339" t="s">
        <v>7</v>
      </c>
      <c r="B40" s="340"/>
      <c r="C40" s="71"/>
      <c r="D40" s="965"/>
      <c r="E40" s="362">
        <v>300000</v>
      </c>
      <c r="F40" s="52" t="s">
        <v>258</v>
      </c>
      <c r="G40" s="208">
        <f>SUM(H40:U40)</f>
        <v>100000</v>
      </c>
      <c r="H40" s="361"/>
      <c r="I40" s="361"/>
      <c r="J40" s="362"/>
      <c r="K40" s="362">
        <v>100000</v>
      </c>
      <c r="L40" s="362"/>
      <c r="M40" s="361"/>
      <c r="N40" s="361"/>
      <c r="O40" s="361"/>
      <c r="P40" s="363"/>
      <c r="Q40" s="361"/>
      <c r="R40" s="361"/>
      <c r="S40" s="361"/>
      <c r="T40" s="361"/>
      <c r="U40" s="361"/>
      <c r="V40" s="111">
        <f t="shared" si="7"/>
        <v>200000</v>
      </c>
      <c r="W40" s="304"/>
      <c r="X40" s="332"/>
      <c r="Y40" s="330"/>
    </row>
    <row r="41" spans="1:25" s="64" customFormat="1" ht="13.8" x14ac:dyDescent="0.25">
      <c r="A41" s="366"/>
      <c r="B41" s="367"/>
      <c r="C41" s="368"/>
      <c r="D41" s="976"/>
      <c r="E41" s="369">
        <v>50000</v>
      </c>
      <c r="F41" s="353" t="s">
        <v>260</v>
      </c>
      <c r="G41" s="136">
        <f>SUM(H41:U41)</f>
        <v>50000</v>
      </c>
      <c r="H41" s="329"/>
      <c r="I41" s="329"/>
      <c r="J41" s="369"/>
      <c r="K41" s="369">
        <v>50000</v>
      </c>
      <c r="L41" s="369"/>
      <c r="M41" s="329"/>
      <c r="N41" s="58"/>
      <c r="O41" s="329"/>
      <c r="P41" s="370"/>
      <c r="Q41" s="329"/>
      <c r="R41" s="329"/>
      <c r="S41" s="329"/>
      <c r="T41" s="329"/>
      <c r="U41" s="329"/>
      <c r="V41" s="111">
        <f t="shared" si="7"/>
        <v>0</v>
      </c>
      <c r="X41" s="65"/>
      <c r="Y41" s="65"/>
    </row>
    <row r="42" spans="1:25" s="64" customFormat="1" ht="13.8" x14ac:dyDescent="0.25">
      <c r="A42" s="352"/>
      <c r="B42" s="987"/>
      <c r="D42" s="971"/>
      <c r="E42" s="369">
        <v>100000</v>
      </c>
      <c r="F42" s="328" t="s">
        <v>259</v>
      </c>
      <c r="G42" s="136">
        <f>SUM(H42:U42)</f>
        <v>100000</v>
      </c>
      <c r="H42" s="329"/>
      <c r="I42" s="329"/>
      <c r="J42" s="369"/>
      <c r="K42" s="369">
        <v>100000</v>
      </c>
      <c r="L42" s="369"/>
      <c r="M42" s="329"/>
      <c r="N42" s="58"/>
      <c r="O42" s="329"/>
      <c r="P42" s="370"/>
      <c r="Q42" s="329"/>
      <c r="R42" s="329"/>
      <c r="S42" s="329"/>
      <c r="T42" s="329"/>
      <c r="U42" s="329"/>
      <c r="V42" s="111">
        <f t="shared" si="7"/>
        <v>0</v>
      </c>
      <c r="X42" s="65"/>
      <c r="Y42" s="65"/>
    </row>
    <row r="43" spans="1:25" s="64" customFormat="1" ht="13.8" x14ac:dyDescent="0.25">
      <c r="A43" s="352"/>
      <c r="B43" s="987"/>
      <c r="D43" s="971"/>
      <c r="E43" s="369">
        <v>350000</v>
      </c>
      <c r="F43" s="329" t="s">
        <v>261</v>
      </c>
      <c r="G43" s="136">
        <f>SUM(H43:U43)</f>
        <v>300000</v>
      </c>
      <c r="H43" s="329"/>
      <c r="I43" s="329"/>
      <c r="J43" s="369"/>
      <c r="K43" s="369">
        <v>300000</v>
      </c>
      <c r="L43" s="369"/>
      <c r="M43" s="329"/>
      <c r="N43" s="329"/>
      <c r="O43" s="329"/>
      <c r="P43" s="370"/>
      <c r="Q43" s="329"/>
      <c r="R43" s="329"/>
      <c r="S43" s="58"/>
      <c r="T43" s="329"/>
      <c r="U43" s="329"/>
      <c r="V43" s="95">
        <f t="shared" si="7"/>
        <v>50000</v>
      </c>
      <c r="X43" s="65"/>
      <c r="Y43" s="65"/>
    </row>
    <row r="44" spans="1:25" s="64" customFormat="1" ht="13.8" x14ac:dyDescent="0.25">
      <c r="A44" s="352"/>
      <c r="B44" s="987"/>
      <c r="D44" s="971"/>
      <c r="E44" s="369">
        <v>300000</v>
      </c>
      <c r="F44" s="329" t="s">
        <v>262</v>
      </c>
      <c r="G44" s="136">
        <f>SUM(I44:U44)</f>
        <v>100000</v>
      </c>
      <c r="I44" s="329"/>
      <c r="J44" s="369"/>
      <c r="K44" s="369">
        <v>100000</v>
      </c>
      <c r="L44" s="369"/>
      <c r="M44" s="329"/>
      <c r="N44" s="58"/>
      <c r="O44" s="329"/>
      <c r="P44" s="370"/>
      <c r="Q44" s="329"/>
      <c r="R44" s="329"/>
      <c r="S44" s="58"/>
      <c r="T44" s="371"/>
      <c r="U44" s="329"/>
      <c r="V44" s="95">
        <f t="shared" si="7"/>
        <v>200000</v>
      </c>
      <c r="W44" s="325"/>
      <c r="X44" s="330"/>
      <c r="Y44" s="330"/>
    </row>
    <row r="45" spans="1:25" s="64" customFormat="1" ht="13.8" x14ac:dyDescent="0.25">
      <c r="A45" s="352"/>
      <c r="B45" s="987"/>
      <c r="D45" s="971"/>
      <c r="E45" s="369"/>
      <c r="F45" s="329" t="s">
        <v>266</v>
      </c>
      <c r="G45" s="136">
        <f>SUM(H45:U45)</f>
        <v>0</v>
      </c>
      <c r="H45" s="329"/>
      <c r="I45" s="329"/>
      <c r="J45" s="369"/>
      <c r="K45" s="369"/>
      <c r="L45" s="369"/>
      <c r="M45" s="329"/>
      <c r="N45" s="329"/>
      <c r="O45" s="329"/>
      <c r="P45" s="370"/>
      <c r="Q45" s="329"/>
      <c r="R45" s="329"/>
      <c r="S45" s="329"/>
      <c r="T45" s="371"/>
      <c r="U45" s="329"/>
      <c r="V45" s="95">
        <f t="shared" si="7"/>
        <v>0</v>
      </c>
      <c r="W45" s="325"/>
      <c r="X45" s="330"/>
      <c r="Y45" s="330"/>
    </row>
    <row r="46" spans="1:25" s="64" customFormat="1" ht="13.8" x14ac:dyDescent="0.25">
      <c r="A46" s="352"/>
      <c r="B46" s="987"/>
      <c r="D46" s="971"/>
      <c r="E46" s="376">
        <v>200000</v>
      </c>
      <c r="F46" s="324" t="s">
        <v>263</v>
      </c>
      <c r="G46" s="765">
        <f>SUM(H46:U46)</f>
        <v>50000</v>
      </c>
      <c r="H46" s="324"/>
      <c r="I46" s="324"/>
      <c r="J46" s="356"/>
      <c r="K46" s="227">
        <v>50000</v>
      </c>
      <c r="L46" s="356"/>
      <c r="M46" s="322"/>
      <c r="N46" s="322"/>
      <c r="O46" s="322"/>
      <c r="P46" s="323"/>
      <c r="Q46" s="322"/>
      <c r="R46" s="322"/>
      <c r="S46" s="322"/>
      <c r="T46" s="326"/>
      <c r="U46" s="322"/>
      <c r="V46" s="95">
        <f t="shared" si="7"/>
        <v>150000</v>
      </c>
      <c r="Y46" s="65"/>
    </row>
    <row r="47" spans="1:25" s="4" customFormat="1" ht="13.8" x14ac:dyDescent="0.25">
      <c r="A47" s="790"/>
      <c r="B47" s="798"/>
      <c r="C47" s="267"/>
      <c r="D47" s="955"/>
      <c r="E47" s="928">
        <f>SUM(E40:E46)</f>
        <v>1300000</v>
      </c>
      <c r="F47" s="465">
        <f t="shared" ref="F47:U47" si="10">SUM(F40:F46)</f>
        <v>0</v>
      </c>
      <c r="G47" s="465">
        <f>SUM(G40:G46)</f>
        <v>700000</v>
      </c>
      <c r="H47" s="465">
        <f t="shared" si="10"/>
        <v>0</v>
      </c>
      <c r="I47" s="465">
        <f t="shared" si="10"/>
        <v>0</v>
      </c>
      <c r="J47" s="465">
        <f t="shared" si="10"/>
        <v>0</v>
      </c>
      <c r="K47" s="465">
        <f t="shared" si="10"/>
        <v>700000</v>
      </c>
      <c r="L47" s="465">
        <f t="shared" si="10"/>
        <v>0</v>
      </c>
      <c r="M47" s="465">
        <f t="shared" si="10"/>
        <v>0</v>
      </c>
      <c r="N47" s="465">
        <f t="shared" si="10"/>
        <v>0</v>
      </c>
      <c r="O47" s="465">
        <f t="shared" si="10"/>
        <v>0</v>
      </c>
      <c r="P47" s="465">
        <f t="shared" si="10"/>
        <v>0</v>
      </c>
      <c r="Q47" s="465">
        <f t="shared" si="10"/>
        <v>0</v>
      </c>
      <c r="R47" s="465">
        <f t="shared" si="10"/>
        <v>0</v>
      </c>
      <c r="S47" s="465">
        <f t="shared" si="10"/>
        <v>0</v>
      </c>
      <c r="T47" s="465">
        <f t="shared" si="10"/>
        <v>0</v>
      </c>
      <c r="U47" s="465">
        <f t="shared" si="10"/>
        <v>0</v>
      </c>
      <c r="V47" s="791">
        <f>SUM(V40:V46)</f>
        <v>600000</v>
      </c>
      <c r="X47" s="788"/>
      <c r="Y47" s="771"/>
    </row>
    <row r="48" spans="1:25" s="8" customFormat="1" ht="13.8" x14ac:dyDescent="0.25">
      <c r="A48" s="372"/>
      <c r="B48" s="373"/>
      <c r="C48" s="257"/>
      <c r="D48" s="956"/>
      <c r="E48" s="749"/>
      <c r="F48" s="748"/>
      <c r="G48" s="746"/>
      <c r="H48" s="748"/>
      <c r="I48" s="748"/>
      <c r="J48" s="749"/>
      <c r="K48" s="749"/>
      <c r="L48" s="749"/>
      <c r="M48" s="748"/>
      <c r="N48" s="748"/>
      <c r="O48" s="748"/>
      <c r="P48" s="748"/>
      <c r="Q48" s="748"/>
      <c r="R48" s="748"/>
      <c r="S48" s="748"/>
      <c r="T48" s="750"/>
      <c r="U48" s="748"/>
      <c r="V48" s="877"/>
      <c r="X48" s="420"/>
      <c r="Y48" s="420"/>
    </row>
    <row r="49" spans="1:25" s="8" customFormat="1" ht="13.8" x14ac:dyDescent="0.25">
      <c r="A49" s="372"/>
      <c r="B49" s="373"/>
      <c r="C49" s="257"/>
      <c r="D49" s="956"/>
      <c r="E49" s="881"/>
      <c r="F49" s="880"/>
      <c r="G49" s="887"/>
      <c r="H49" s="880"/>
      <c r="I49" s="880"/>
      <c r="J49" s="881"/>
      <c r="K49" s="881"/>
      <c r="L49" s="881"/>
      <c r="M49" s="880"/>
      <c r="N49" s="880"/>
      <c r="O49" s="880"/>
      <c r="P49" s="880"/>
      <c r="Q49" s="880"/>
      <c r="R49" s="880"/>
      <c r="S49" s="880"/>
      <c r="T49" s="882"/>
      <c r="U49" s="880"/>
      <c r="V49" s="927"/>
      <c r="X49" s="420"/>
      <c r="Y49" s="420"/>
    </row>
    <row r="50" spans="1:25" s="64" customFormat="1" ht="13.8" x14ac:dyDescent="0.25">
      <c r="A50" s="319" t="s">
        <v>14</v>
      </c>
      <c r="B50" s="375"/>
      <c r="C50" s="61"/>
      <c r="D50" s="964"/>
      <c r="E50" s="376"/>
      <c r="F50" s="320" t="s">
        <v>258</v>
      </c>
      <c r="G50" s="400">
        <f>SUM(H50:U50)</f>
        <v>0</v>
      </c>
      <c r="H50" s="435"/>
      <c r="I50" s="376"/>
      <c r="J50" s="376"/>
      <c r="K50" s="376"/>
      <c r="L50" s="376">
        <v>0</v>
      </c>
      <c r="M50" s="324"/>
      <c r="N50" s="324"/>
      <c r="O50" s="435"/>
      <c r="P50" s="402"/>
      <c r="Q50" s="324"/>
      <c r="R50" s="324"/>
      <c r="S50" s="324"/>
      <c r="T50" s="377"/>
      <c r="U50" s="324"/>
      <c r="V50" s="907">
        <f>E50-G50</f>
        <v>0</v>
      </c>
      <c r="X50" s="65"/>
      <c r="Y50" s="65"/>
    </row>
    <row r="51" spans="1:25" s="64" customFormat="1" ht="13.8" x14ac:dyDescent="0.25">
      <c r="A51" s="319"/>
      <c r="B51" s="367"/>
      <c r="C51" s="368"/>
      <c r="D51" s="976"/>
      <c r="E51" s="928">
        <f>E50</f>
        <v>0</v>
      </c>
      <c r="F51" s="1020"/>
      <c r="G51" s="481">
        <f>G50</f>
        <v>0</v>
      </c>
      <c r="H51" s="481">
        <f t="shared" ref="H51:V51" si="11">H50</f>
        <v>0</v>
      </c>
      <c r="I51" s="481">
        <f t="shared" si="11"/>
        <v>0</v>
      </c>
      <c r="J51" s="481">
        <f t="shared" si="11"/>
        <v>0</v>
      </c>
      <c r="K51" s="481">
        <f t="shared" si="11"/>
        <v>0</v>
      </c>
      <c r="L51" s="481">
        <f t="shared" si="11"/>
        <v>0</v>
      </c>
      <c r="M51" s="481">
        <f t="shared" si="11"/>
        <v>0</v>
      </c>
      <c r="N51" s="481">
        <f t="shared" si="11"/>
        <v>0</v>
      </c>
      <c r="O51" s="481">
        <f t="shared" si="11"/>
        <v>0</v>
      </c>
      <c r="P51" s="481">
        <f t="shared" si="11"/>
        <v>0</v>
      </c>
      <c r="Q51" s="481">
        <f t="shared" si="11"/>
        <v>0</v>
      </c>
      <c r="R51" s="481">
        <f t="shared" si="11"/>
        <v>0</v>
      </c>
      <c r="S51" s="481">
        <f t="shared" si="11"/>
        <v>0</v>
      </c>
      <c r="T51" s="481">
        <f t="shared" si="11"/>
        <v>0</v>
      </c>
      <c r="U51" s="481">
        <f t="shared" si="11"/>
        <v>0</v>
      </c>
      <c r="V51" s="1068">
        <f t="shared" si="11"/>
        <v>0</v>
      </c>
      <c r="W51" s="463"/>
      <c r="X51" s="65"/>
      <c r="Y51" s="65"/>
    </row>
    <row r="52" spans="1:25" s="64" customFormat="1" ht="13.8" x14ac:dyDescent="0.25">
      <c r="A52" s="319"/>
      <c r="B52" s="367"/>
      <c r="C52" s="368"/>
      <c r="D52" s="368"/>
      <c r="E52" s="1054"/>
      <c r="F52" s="1020"/>
      <c r="G52" s="481"/>
      <c r="H52" s="481"/>
      <c r="I52" s="481"/>
      <c r="J52" s="481"/>
      <c r="K52" s="481"/>
      <c r="L52" s="481"/>
      <c r="M52" s="481"/>
      <c r="N52" s="481"/>
      <c r="O52" s="481"/>
      <c r="P52" s="481"/>
      <c r="Q52" s="481"/>
      <c r="R52" s="481"/>
      <c r="S52" s="481"/>
      <c r="T52" s="481"/>
      <c r="U52" s="481"/>
      <c r="V52" s="1109"/>
      <c r="W52" s="463"/>
      <c r="X52" s="65"/>
      <c r="Y52" s="65"/>
    </row>
    <row r="53" spans="1:25" s="64" customFormat="1" ht="13.8" x14ac:dyDescent="0.25">
      <c r="A53" s="319"/>
      <c r="B53" s="367"/>
      <c r="C53" s="368"/>
      <c r="D53" s="976"/>
      <c r="E53" s="1077"/>
      <c r="F53" s="1017"/>
      <c r="G53" s="1018"/>
      <c r="H53" s="883"/>
      <c r="I53" s="883"/>
      <c r="J53" s="883"/>
      <c r="K53" s="883"/>
      <c r="L53" s="883"/>
      <c r="M53" s="883"/>
      <c r="N53" s="883"/>
      <c r="O53" s="883"/>
      <c r="P53" s="1019"/>
      <c r="Q53" s="883"/>
      <c r="R53" s="883"/>
      <c r="S53" s="883"/>
      <c r="T53" s="883"/>
      <c r="U53" s="883"/>
      <c r="V53" s="1108">
        <f t="shared" ref="V53:V58" si="12">E53-G53</f>
        <v>0</v>
      </c>
      <c r="X53" s="65"/>
      <c r="Y53" s="65"/>
    </row>
    <row r="54" spans="1:25" s="64" customFormat="1" ht="13.8" x14ac:dyDescent="0.25">
      <c r="A54" s="319" t="s">
        <v>8</v>
      </c>
      <c r="B54" s="367"/>
      <c r="C54" s="368"/>
      <c r="D54" s="976"/>
      <c r="E54" s="369">
        <v>50000</v>
      </c>
      <c r="F54" s="329" t="s">
        <v>261</v>
      </c>
      <c r="G54" s="136">
        <f t="shared" ref="G54:G60" si="13">SUM(H54:U54)</f>
        <v>50000</v>
      </c>
      <c r="H54" s="329"/>
      <c r="I54" s="329"/>
      <c r="J54" s="329"/>
      <c r="K54" s="329">
        <v>50000</v>
      </c>
      <c r="L54" s="371"/>
      <c r="M54" s="329"/>
      <c r="N54" s="63"/>
      <c r="O54" s="370"/>
      <c r="P54" s="62"/>
      <c r="Q54" s="58"/>
      <c r="R54" s="58"/>
      <c r="S54" s="58"/>
      <c r="T54" s="66"/>
      <c r="U54" s="58"/>
      <c r="V54" s="1011">
        <f t="shared" si="12"/>
        <v>0</v>
      </c>
      <c r="W54" s="325"/>
      <c r="X54" s="330"/>
      <c r="Y54" s="330"/>
    </row>
    <row r="55" spans="1:25" s="64" customFormat="1" ht="13.8" x14ac:dyDescent="0.25">
      <c r="A55" s="352"/>
      <c r="B55" s="987"/>
      <c r="D55" s="971"/>
      <c r="E55" s="369">
        <v>200000</v>
      </c>
      <c r="F55" s="329" t="s">
        <v>262</v>
      </c>
      <c r="G55" s="136">
        <f t="shared" si="13"/>
        <v>103765</v>
      </c>
      <c r="H55" s="329"/>
      <c r="I55" s="329"/>
      <c r="J55" s="369"/>
      <c r="K55" s="371">
        <v>100000</v>
      </c>
      <c r="L55" s="382"/>
      <c r="M55" s="382">
        <v>3765</v>
      </c>
      <c r="N55" s="383"/>
      <c r="O55" s="62"/>
      <c r="P55" s="62"/>
      <c r="Q55" s="58"/>
      <c r="R55" s="58"/>
      <c r="S55" s="58"/>
      <c r="T55" s="58"/>
      <c r="U55" s="58"/>
      <c r="V55" s="95">
        <f t="shared" si="12"/>
        <v>96235</v>
      </c>
      <c r="X55" s="65"/>
      <c r="Y55" s="65"/>
    </row>
    <row r="56" spans="1:25" s="64" customFormat="1" ht="13.8" x14ac:dyDescent="0.25">
      <c r="A56" s="352"/>
      <c r="B56" s="987"/>
      <c r="D56" s="971"/>
      <c r="E56" s="369">
        <v>200000</v>
      </c>
      <c r="F56" s="329" t="s">
        <v>267</v>
      </c>
      <c r="G56" s="136">
        <f t="shared" si="13"/>
        <v>100000</v>
      </c>
      <c r="H56" s="329"/>
      <c r="I56" s="329"/>
      <c r="J56" s="369"/>
      <c r="K56" s="371">
        <v>100000</v>
      </c>
      <c r="L56" s="382"/>
      <c r="M56" s="382"/>
      <c r="N56" s="383"/>
      <c r="O56" s="62"/>
      <c r="P56" s="62"/>
      <c r="Q56" s="58"/>
      <c r="R56" s="58"/>
      <c r="S56" s="58"/>
      <c r="T56" s="58"/>
      <c r="U56" s="58"/>
      <c r="V56" s="95">
        <f t="shared" si="12"/>
        <v>100000</v>
      </c>
      <c r="X56" s="65"/>
      <c r="Y56" s="65"/>
    </row>
    <row r="57" spans="1:25" s="345" customFormat="1" ht="13.8" x14ac:dyDescent="0.25">
      <c r="A57" s="344"/>
      <c r="B57" s="986"/>
      <c r="D57" s="973"/>
      <c r="E57" s="227">
        <v>100000</v>
      </c>
      <c r="F57" s="226" t="s">
        <v>268</v>
      </c>
      <c r="G57" s="226">
        <f t="shared" si="13"/>
        <v>100000</v>
      </c>
      <c r="H57" s="226"/>
      <c r="I57" s="226"/>
      <c r="J57" s="227"/>
      <c r="K57" s="228">
        <v>100000</v>
      </c>
      <c r="L57" s="908"/>
      <c r="M57" s="908"/>
      <c r="N57" s="909"/>
      <c r="O57" s="910"/>
      <c r="P57" s="910"/>
      <c r="Q57" s="911"/>
      <c r="R57" s="911"/>
      <c r="S57" s="911"/>
      <c r="T57" s="911"/>
      <c r="U57" s="911"/>
      <c r="V57" s="160">
        <f t="shared" si="12"/>
        <v>0</v>
      </c>
      <c r="X57" s="351"/>
      <c r="Y57" s="351"/>
    </row>
    <row r="58" spans="1:25" s="64" customFormat="1" ht="13.8" x14ac:dyDescent="0.25">
      <c r="A58" s="352"/>
      <c r="B58" s="987"/>
      <c r="D58" s="971"/>
      <c r="E58" s="369">
        <v>642291</v>
      </c>
      <c r="F58" s="57" t="s">
        <v>258</v>
      </c>
      <c r="G58" s="136">
        <f t="shared" si="13"/>
        <v>100000</v>
      </c>
      <c r="H58" s="329"/>
      <c r="I58" s="329"/>
      <c r="J58" s="369"/>
      <c r="K58" s="371">
        <v>100000</v>
      </c>
      <c r="L58" s="382"/>
      <c r="M58" s="382"/>
      <c r="N58" s="383"/>
      <c r="O58" s="62"/>
      <c r="P58" s="62"/>
      <c r="Q58" s="58"/>
      <c r="R58" s="58"/>
      <c r="S58" s="58"/>
      <c r="T58" s="58"/>
      <c r="U58" s="58"/>
      <c r="V58" s="95">
        <f t="shared" si="12"/>
        <v>542291</v>
      </c>
      <c r="X58" s="65"/>
      <c r="Y58" s="65"/>
    </row>
    <row r="59" spans="1:25" s="64" customFormat="1" ht="13.8" x14ac:dyDescent="0.25">
      <c r="A59" s="352"/>
      <c r="B59" s="987"/>
      <c r="D59" s="971"/>
      <c r="E59" s="369">
        <v>423900</v>
      </c>
      <c r="F59" s="329" t="s">
        <v>266</v>
      </c>
      <c r="G59" s="136">
        <f t="shared" si="13"/>
        <v>205621</v>
      </c>
      <c r="H59" s="329"/>
      <c r="I59" s="58"/>
      <c r="J59" s="369"/>
      <c r="K59" s="371">
        <v>200000</v>
      </c>
      <c r="L59" s="383">
        <v>1856</v>
      </c>
      <c r="M59" s="382">
        <v>3765</v>
      </c>
      <c r="N59" s="383"/>
      <c r="O59" s="62"/>
      <c r="P59" s="62"/>
      <c r="Q59" s="58"/>
      <c r="R59" s="58"/>
      <c r="S59" s="58"/>
      <c r="T59" s="58"/>
      <c r="U59" s="58"/>
      <c r="V59" s="95">
        <f t="shared" ref="V59:V60" si="14">E59-G59</f>
        <v>218279</v>
      </c>
      <c r="X59" s="65"/>
      <c r="Y59" s="65"/>
    </row>
    <row r="60" spans="1:25" s="64" customFormat="1" ht="13.8" x14ac:dyDescent="0.25">
      <c r="A60" s="352"/>
      <c r="B60" s="987"/>
      <c r="D60" s="971"/>
      <c r="E60" s="376">
        <v>500000</v>
      </c>
      <c r="F60" s="324" t="s">
        <v>263</v>
      </c>
      <c r="G60" s="226">
        <f t="shared" si="13"/>
        <v>209230</v>
      </c>
      <c r="H60" s="324">
        <v>50520</v>
      </c>
      <c r="I60" s="324">
        <v>33050</v>
      </c>
      <c r="J60" s="227">
        <v>25660</v>
      </c>
      <c r="K60" s="228">
        <v>100000</v>
      </c>
      <c r="L60" s="384"/>
      <c r="M60" s="379"/>
      <c r="N60" s="384"/>
      <c r="O60" s="323"/>
      <c r="P60" s="323"/>
      <c r="Q60" s="322"/>
      <c r="R60" s="322"/>
      <c r="S60" s="322"/>
      <c r="T60" s="322"/>
      <c r="U60" s="322"/>
      <c r="V60" s="752">
        <f t="shared" si="14"/>
        <v>290770</v>
      </c>
      <c r="X60" s="65"/>
      <c r="Y60" s="65"/>
    </row>
    <row r="61" spans="1:25" s="4" customFormat="1" ht="13.8" x14ac:dyDescent="0.25">
      <c r="A61" s="790"/>
      <c r="B61" s="798"/>
      <c r="C61" s="267"/>
      <c r="D61" s="955"/>
      <c r="E61" s="928">
        <f>SUM(E54:E60)</f>
        <v>2116191</v>
      </c>
      <c r="F61" s="465">
        <f t="shared" ref="F61:U61" si="15">SUM(F54:F60)</f>
        <v>0</v>
      </c>
      <c r="G61" s="465">
        <f t="shared" si="15"/>
        <v>868616</v>
      </c>
      <c r="H61" s="465">
        <f t="shared" si="15"/>
        <v>50520</v>
      </c>
      <c r="I61" s="465">
        <f t="shared" si="15"/>
        <v>33050</v>
      </c>
      <c r="J61" s="465">
        <f t="shared" si="15"/>
        <v>25660</v>
      </c>
      <c r="K61" s="465">
        <f t="shared" si="15"/>
        <v>750000</v>
      </c>
      <c r="L61" s="465"/>
      <c r="M61" s="465"/>
      <c r="N61" s="465"/>
      <c r="O61" s="465"/>
      <c r="P61" s="465"/>
      <c r="Q61" s="465"/>
      <c r="R61" s="465"/>
      <c r="S61" s="465"/>
      <c r="T61" s="465"/>
      <c r="U61" s="465">
        <f t="shared" si="15"/>
        <v>0</v>
      </c>
      <c r="V61" s="791">
        <f>SUM(V54:V60)</f>
        <v>1247575</v>
      </c>
      <c r="X61" s="788"/>
      <c r="Y61" s="771"/>
    </row>
    <row r="62" spans="1:25" s="8" customFormat="1" ht="13.8" x14ac:dyDescent="0.25">
      <c r="A62" s="357"/>
      <c r="B62" s="989"/>
      <c r="D62" s="954"/>
      <c r="E62" s="749"/>
      <c r="F62" s="748"/>
      <c r="G62" s="748"/>
      <c r="H62" s="748"/>
      <c r="I62" s="748"/>
      <c r="J62" s="749"/>
      <c r="K62" s="750"/>
      <c r="L62" s="751"/>
      <c r="M62" s="748"/>
      <c r="N62" s="751"/>
      <c r="O62" s="748"/>
      <c r="P62" s="748"/>
      <c r="Q62" s="748"/>
      <c r="R62" s="748"/>
      <c r="S62" s="748"/>
      <c r="T62" s="748"/>
      <c r="U62" s="748"/>
      <c r="V62" s="833"/>
      <c r="X62" s="420"/>
      <c r="Y62" s="420"/>
    </row>
    <row r="63" spans="1:25" s="8" customFormat="1" ht="13.8" x14ac:dyDescent="0.25">
      <c r="A63" s="386" t="s">
        <v>269</v>
      </c>
      <c r="B63" s="989"/>
      <c r="D63" s="954"/>
      <c r="E63" s="396">
        <v>200000</v>
      </c>
      <c r="F63" s="912" t="s">
        <v>262</v>
      </c>
      <c r="G63" s="418">
        <f>SUM(H63:U63)</f>
        <v>1856</v>
      </c>
      <c r="H63" s="418"/>
      <c r="I63" s="418"/>
      <c r="J63" s="415"/>
      <c r="K63" s="913"/>
      <c r="L63" s="914">
        <v>1856</v>
      </c>
      <c r="M63" s="418"/>
      <c r="N63" s="914"/>
      <c r="O63" s="418"/>
      <c r="P63" s="418"/>
      <c r="Q63" s="418"/>
      <c r="R63" s="418"/>
      <c r="S63" s="418"/>
      <c r="T63" s="418"/>
      <c r="U63" s="914"/>
      <c r="V63" s="111">
        <f t="shared" ref="V63:V66" si="16">E63-G63</f>
        <v>198144</v>
      </c>
      <c r="X63" s="9"/>
      <c r="Y63" s="65"/>
    </row>
    <row r="64" spans="1:25" s="8" customFormat="1" ht="13.8" x14ac:dyDescent="0.25">
      <c r="A64" s="357"/>
      <c r="B64" s="989"/>
      <c r="D64" s="954"/>
      <c r="E64" s="369">
        <v>50000</v>
      </c>
      <c r="F64" s="430" t="s">
        <v>261</v>
      </c>
      <c r="G64" s="74">
        <f t="shared" ref="G64:G65" si="17">SUM(H64:U64)</f>
        <v>1856</v>
      </c>
      <c r="H64" s="74"/>
      <c r="I64" s="74"/>
      <c r="J64" s="341"/>
      <c r="K64" s="77"/>
      <c r="L64" s="462">
        <f>1856</f>
        <v>1856</v>
      </c>
      <c r="M64" s="74"/>
      <c r="N64" s="462"/>
      <c r="O64" s="74"/>
      <c r="P64" s="74"/>
      <c r="Q64" s="74"/>
      <c r="R64" s="74"/>
      <c r="S64" s="74"/>
      <c r="T64" s="74"/>
      <c r="U64" s="74"/>
      <c r="V64" s="111">
        <f t="shared" si="16"/>
        <v>48144</v>
      </c>
      <c r="X64" s="9"/>
      <c r="Y64" s="65"/>
    </row>
    <row r="65" spans="1:25" s="64" customFormat="1" ht="13.8" x14ac:dyDescent="0.25">
      <c r="A65" s="352"/>
      <c r="B65" s="987"/>
      <c r="D65" s="971"/>
      <c r="E65" s="376"/>
      <c r="F65" s="324" t="s">
        <v>270</v>
      </c>
      <c r="G65" s="53">
        <f t="shared" si="17"/>
        <v>0</v>
      </c>
      <c r="H65" s="322"/>
      <c r="I65" s="322"/>
      <c r="J65" s="356"/>
      <c r="K65" s="326"/>
      <c r="L65" s="384"/>
      <c r="M65" s="322">
        <v>0</v>
      </c>
      <c r="N65" s="384"/>
      <c r="O65" s="322"/>
      <c r="P65" s="322"/>
      <c r="Q65" s="322"/>
      <c r="R65" s="322"/>
      <c r="S65" s="322">
        <v>0</v>
      </c>
      <c r="T65" s="322"/>
      <c r="U65" s="322"/>
      <c r="V65" s="160">
        <f t="shared" ref="V65" si="18">E65-G65</f>
        <v>0</v>
      </c>
      <c r="X65" s="65"/>
      <c r="Y65" s="65"/>
    </row>
    <row r="66" spans="1:25" s="64" customFormat="1" ht="13.8" x14ac:dyDescent="0.25">
      <c r="A66" s="352"/>
      <c r="B66" s="987"/>
      <c r="D66" s="971"/>
      <c r="E66" s="942">
        <v>100000</v>
      </c>
      <c r="F66" s="753" t="s">
        <v>263</v>
      </c>
      <c r="G66" s="925">
        <f>SUM(H66:U66)</f>
        <v>50000</v>
      </c>
      <c r="H66" s="925"/>
      <c r="I66" s="925"/>
      <c r="J66" s="1012"/>
      <c r="K66" s="1013">
        <v>50000</v>
      </c>
      <c r="L66" s="1014"/>
      <c r="M66" s="1015">
        <v>0</v>
      </c>
      <c r="N66" s="1014"/>
      <c r="O66" s="1015"/>
      <c r="P66" s="1015"/>
      <c r="Q66" s="1015"/>
      <c r="R66" s="1015"/>
      <c r="S66" s="1015">
        <v>0</v>
      </c>
      <c r="T66" s="1015"/>
      <c r="U66" s="1015"/>
      <c r="V66" s="1016">
        <f t="shared" si="16"/>
        <v>50000</v>
      </c>
      <c r="X66" s="65"/>
      <c r="Y66" s="65"/>
    </row>
    <row r="67" spans="1:25" s="4" customFormat="1" ht="13.8" x14ac:dyDescent="0.25">
      <c r="A67" s="770"/>
      <c r="B67" s="799"/>
      <c r="C67" s="800"/>
      <c r="D67" s="977"/>
      <c r="E67" s="932">
        <f>SUM(E63:E66)</f>
        <v>350000</v>
      </c>
      <c r="F67" s="894">
        <f t="shared" ref="F67:V67" si="19">SUM(F63:F66)</f>
        <v>0</v>
      </c>
      <c r="G67" s="894">
        <f t="shared" si="19"/>
        <v>53712</v>
      </c>
      <c r="H67" s="894">
        <f t="shared" si="19"/>
        <v>0</v>
      </c>
      <c r="I67" s="894">
        <f t="shared" si="19"/>
        <v>0</v>
      </c>
      <c r="J67" s="894">
        <f t="shared" si="19"/>
        <v>0</v>
      </c>
      <c r="K67" s="894">
        <f t="shared" si="19"/>
        <v>50000</v>
      </c>
      <c r="L67" s="916">
        <f t="shared" si="19"/>
        <v>3712</v>
      </c>
      <c r="M67" s="894">
        <f t="shared" si="19"/>
        <v>0</v>
      </c>
      <c r="N67" s="894">
        <f t="shared" si="19"/>
        <v>0</v>
      </c>
      <c r="O67" s="894">
        <f t="shared" si="19"/>
        <v>0</v>
      </c>
      <c r="P67" s="894">
        <f t="shared" si="19"/>
        <v>0</v>
      </c>
      <c r="Q67" s="894">
        <f t="shared" si="19"/>
        <v>0</v>
      </c>
      <c r="R67" s="894">
        <f t="shared" si="19"/>
        <v>0</v>
      </c>
      <c r="S67" s="894">
        <f t="shared" si="19"/>
        <v>0</v>
      </c>
      <c r="T67" s="894">
        <f t="shared" si="19"/>
        <v>0</v>
      </c>
      <c r="U67" s="894">
        <f t="shared" si="19"/>
        <v>0</v>
      </c>
      <c r="V67" s="836">
        <f t="shared" si="19"/>
        <v>296288</v>
      </c>
      <c r="X67" s="788"/>
      <c r="Y67" s="771"/>
    </row>
    <row r="68" spans="1:25" s="8" customFormat="1" ht="13.8" x14ac:dyDescent="0.25">
      <c r="A68" s="357"/>
      <c r="B68" s="389"/>
      <c r="C68" s="390"/>
      <c r="D68" s="953"/>
      <c r="E68" s="1086"/>
      <c r="F68" s="749"/>
      <c r="G68" s="748"/>
      <c r="H68" s="748"/>
      <c r="I68" s="748"/>
      <c r="J68" s="749"/>
      <c r="K68" s="750"/>
      <c r="L68" s="751"/>
      <c r="M68" s="748"/>
      <c r="N68" s="748"/>
      <c r="O68" s="749"/>
      <c r="P68" s="748"/>
      <c r="Q68" s="748"/>
      <c r="R68" s="748"/>
      <c r="S68" s="748"/>
      <c r="T68" s="748"/>
      <c r="U68" s="748"/>
      <c r="V68" s="834"/>
      <c r="X68" s="420"/>
      <c r="Y68" s="420"/>
    </row>
    <row r="69" spans="1:25" s="64" customFormat="1" ht="13.8" x14ac:dyDescent="0.25">
      <c r="A69" s="319" t="s">
        <v>271</v>
      </c>
      <c r="B69" s="375"/>
      <c r="C69" s="61"/>
      <c r="D69" s="964"/>
      <c r="E69" s="1087">
        <v>250000</v>
      </c>
      <c r="F69" s="1084" t="s">
        <v>267</v>
      </c>
      <c r="G69" s="136">
        <f t="shared" ref="G69:G76" si="20">SUM(H69:U69)</f>
        <v>100000</v>
      </c>
      <c r="H69" s="329"/>
      <c r="I69" s="329"/>
      <c r="J69" s="369"/>
      <c r="K69" s="371">
        <v>100000</v>
      </c>
      <c r="L69" s="382"/>
      <c r="M69" s="329"/>
      <c r="N69" s="58"/>
      <c r="O69" s="917"/>
      <c r="P69" s="62"/>
      <c r="Q69" s="58"/>
      <c r="R69" s="58"/>
      <c r="S69" s="58"/>
      <c r="T69" s="58"/>
      <c r="U69" s="383"/>
      <c r="V69" s="95">
        <f t="shared" ref="V69:V97" si="21">E69-G69</f>
        <v>150000</v>
      </c>
      <c r="X69" s="65"/>
      <c r="Y69" s="65"/>
    </row>
    <row r="70" spans="1:25" s="64" customFormat="1" ht="13.8" x14ac:dyDescent="0.25">
      <c r="A70" s="366"/>
      <c r="B70" s="367"/>
      <c r="C70" s="368"/>
      <c r="D70" s="976"/>
      <c r="E70" s="1088"/>
      <c r="F70" s="1085" t="s">
        <v>270</v>
      </c>
      <c r="G70" s="136">
        <f t="shared" si="20"/>
        <v>0</v>
      </c>
      <c r="H70" s="356"/>
      <c r="I70" s="356"/>
      <c r="J70" s="356"/>
      <c r="K70" s="326"/>
      <c r="L70" s="384"/>
      <c r="M70" s="322"/>
      <c r="N70" s="322"/>
      <c r="O70" s="356"/>
      <c r="P70" s="356"/>
      <c r="Q70" s="356"/>
      <c r="R70" s="356"/>
      <c r="S70" s="356"/>
      <c r="T70" s="322"/>
      <c r="U70" s="356"/>
      <c r="V70" s="95">
        <f t="shared" si="21"/>
        <v>0</v>
      </c>
      <c r="X70" s="65"/>
      <c r="Y70" s="65"/>
    </row>
    <row r="71" spans="1:25" s="64" customFormat="1" ht="13.8" x14ac:dyDescent="0.25">
      <c r="A71" s="366"/>
      <c r="B71" s="367"/>
      <c r="C71" s="368"/>
      <c r="D71" s="976"/>
      <c r="E71" s="1088">
        <f>500000+200000+200000</f>
        <v>900000</v>
      </c>
      <c r="F71" s="937" t="s">
        <v>258</v>
      </c>
      <c r="G71" s="226">
        <f t="shared" si="20"/>
        <v>300000</v>
      </c>
      <c r="H71" s="397"/>
      <c r="I71" s="397"/>
      <c r="J71" s="397"/>
      <c r="K71" s="398">
        <v>300000</v>
      </c>
      <c r="L71" s="399"/>
      <c r="M71" s="400"/>
      <c r="N71" s="400"/>
      <c r="O71" s="397"/>
      <c r="P71" s="397"/>
      <c r="Q71" s="397"/>
      <c r="R71" s="397"/>
      <c r="S71" s="397"/>
      <c r="T71" s="400"/>
      <c r="U71" s="397"/>
      <c r="V71" s="95">
        <f t="shared" si="21"/>
        <v>600000</v>
      </c>
      <c r="X71" s="65"/>
      <c r="Y71" s="65"/>
    </row>
    <row r="72" spans="1:25" s="64" customFormat="1" ht="13.8" x14ac:dyDescent="0.25">
      <c r="A72" s="366"/>
      <c r="B72" s="367"/>
      <c r="C72" s="368"/>
      <c r="D72" s="976"/>
      <c r="E72" s="1088">
        <f>100000+150000+150000</f>
        <v>400000</v>
      </c>
      <c r="F72" s="138" t="s">
        <v>268</v>
      </c>
      <c r="G72" s="144">
        <f t="shared" si="20"/>
        <v>200000</v>
      </c>
      <c r="H72" s="58"/>
      <c r="I72" s="397"/>
      <c r="J72" s="397"/>
      <c r="K72" s="398">
        <v>200000</v>
      </c>
      <c r="L72" s="399"/>
      <c r="M72" s="400"/>
      <c r="N72" s="400"/>
      <c r="O72" s="397"/>
      <c r="P72" s="397"/>
      <c r="Q72" s="397"/>
      <c r="R72" s="397"/>
      <c r="S72" s="397"/>
      <c r="T72" s="400"/>
      <c r="U72" s="397"/>
      <c r="V72" s="95">
        <f t="shared" si="21"/>
        <v>200000</v>
      </c>
      <c r="X72" s="65"/>
      <c r="Y72" s="65"/>
    </row>
    <row r="73" spans="1:25" s="64" customFormat="1" ht="13.8" x14ac:dyDescent="0.25">
      <c r="A73" s="366"/>
      <c r="B73" s="367"/>
      <c r="C73" s="368"/>
      <c r="D73" s="976"/>
      <c r="E73" s="1087">
        <f>200000+33923.88</f>
        <v>233923.88</v>
      </c>
      <c r="F73" s="409" t="s">
        <v>261</v>
      </c>
      <c r="G73" s="226">
        <f t="shared" si="20"/>
        <v>0</v>
      </c>
      <c r="H73" s="329"/>
      <c r="I73" s="329"/>
      <c r="J73" s="369"/>
      <c r="K73" s="371"/>
      <c r="L73" s="382"/>
      <c r="M73" s="329"/>
      <c r="N73" s="58"/>
      <c r="O73" s="370"/>
      <c r="P73" s="62"/>
      <c r="Q73" s="58"/>
      <c r="R73" s="58"/>
      <c r="S73" s="58"/>
      <c r="T73" s="58"/>
      <c r="U73" s="58"/>
      <c r="V73" s="95">
        <f t="shared" si="21"/>
        <v>233923.88</v>
      </c>
      <c r="X73" s="65"/>
      <c r="Y73" s="65"/>
    </row>
    <row r="74" spans="1:25" s="64" customFormat="1" ht="13.8" x14ac:dyDescent="0.25">
      <c r="A74" s="352"/>
      <c r="B74" s="987"/>
      <c r="D74" s="971"/>
      <c r="E74" s="1087">
        <f>200000+70000+96450</f>
        <v>366450</v>
      </c>
      <c r="F74" s="369" t="s">
        <v>262</v>
      </c>
      <c r="G74" s="136">
        <f>SUM(H74:U74)</f>
        <v>200000</v>
      </c>
      <c r="H74" s="329"/>
      <c r="I74" s="329"/>
      <c r="J74" s="369"/>
      <c r="K74" s="371">
        <v>200000</v>
      </c>
      <c r="L74" s="382"/>
      <c r="M74" s="329"/>
      <c r="N74" s="58"/>
      <c r="O74" s="401"/>
      <c r="P74" s="62"/>
      <c r="Q74" s="58"/>
      <c r="R74" s="58"/>
      <c r="S74" s="58"/>
      <c r="T74" s="58"/>
      <c r="U74" s="58"/>
      <c r="V74" s="95">
        <f t="shared" si="21"/>
        <v>166450</v>
      </c>
      <c r="X74" s="65"/>
      <c r="Y74" s="65"/>
    </row>
    <row r="75" spans="1:25" s="64" customFormat="1" ht="13.8" x14ac:dyDescent="0.25">
      <c r="A75" s="352"/>
      <c r="B75" s="987"/>
      <c r="D75" s="971"/>
      <c r="E75" s="369">
        <f>300000+50000+50000</f>
        <v>400000</v>
      </c>
      <c r="F75" s="329" t="s">
        <v>263</v>
      </c>
      <c r="G75" s="136">
        <f t="shared" si="20"/>
        <v>364425.5</v>
      </c>
      <c r="H75" s="329"/>
      <c r="I75" s="329"/>
      <c r="J75" s="369"/>
      <c r="K75" s="371">
        <v>150000</v>
      </c>
      <c r="L75" s="382">
        <v>42774</v>
      </c>
      <c r="M75" s="329">
        <v>128877.5</v>
      </c>
      <c r="N75" s="58">
        <v>42774</v>
      </c>
      <c r="O75" s="401"/>
      <c r="P75" s="62"/>
      <c r="Q75" s="58"/>
      <c r="R75" s="58"/>
      <c r="S75" s="58"/>
      <c r="T75" s="58"/>
      <c r="U75" s="58"/>
      <c r="V75" s="95">
        <f t="shared" si="21"/>
        <v>35574.5</v>
      </c>
      <c r="X75" s="65"/>
      <c r="Y75" s="65"/>
    </row>
    <row r="76" spans="1:25" s="64" customFormat="1" ht="13.8" x14ac:dyDescent="0.25">
      <c r="A76" s="352"/>
      <c r="B76" s="987"/>
      <c r="D76" s="971"/>
      <c r="E76" s="376">
        <f>197545+50000</f>
        <v>247545</v>
      </c>
      <c r="F76" s="324" t="s">
        <v>266</v>
      </c>
      <c r="G76" s="226">
        <f t="shared" si="20"/>
        <v>197545</v>
      </c>
      <c r="H76" s="324"/>
      <c r="I76" s="324"/>
      <c r="J76" s="376"/>
      <c r="K76" s="377">
        <v>197545</v>
      </c>
      <c r="L76" s="379"/>
      <c r="M76" s="324"/>
      <c r="N76" s="1015"/>
      <c r="O76" s="1059"/>
      <c r="P76" s="323"/>
      <c r="Q76" s="322"/>
      <c r="R76" s="322"/>
      <c r="S76" s="322"/>
      <c r="T76" s="403"/>
      <c r="U76" s="322"/>
      <c r="V76" s="95">
        <f t="shared" si="21"/>
        <v>50000</v>
      </c>
      <c r="X76" s="65"/>
      <c r="Y76" s="65"/>
    </row>
    <row r="77" spans="1:25" s="4" customFormat="1" ht="13.8" x14ac:dyDescent="0.25">
      <c r="A77" s="790"/>
      <c r="B77" s="798"/>
      <c r="C77" s="267"/>
      <c r="D77" s="955"/>
      <c r="E77" s="935">
        <f t="shared" ref="E77:U77" si="22">SUM(E69:E76)</f>
        <v>2797918.88</v>
      </c>
      <c r="F77" s="465">
        <f t="shared" si="22"/>
        <v>0</v>
      </c>
      <c r="G77" s="465">
        <f t="shared" si="22"/>
        <v>1361970.5</v>
      </c>
      <c r="H77" s="465">
        <f t="shared" si="22"/>
        <v>0</v>
      </c>
      <c r="I77" s="465">
        <f t="shared" si="22"/>
        <v>0</v>
      </c>
      <c r="J77" s="465">
        <f t="shared" si="22"/>
        <v>0</v>
      </c>
      <c r="K77" s="465">
        <f t="shared" si="22"/>
        <v>1147545</v>
      </c>
      <c r="L77" s="480">
        <f t="shared" si="22"/>
        <v>42774</v>
      </c>
      <c r="M77" s="465">
        <f t="shared" si="22"/>
        <v>128877.5</v>
      </c>
      <c r="N77" s="775">
        <f t="shared" si="22"/>
        <v>42774</v>
      </c>
      <c r="O77" s="465">
        <f t="shared" si="22"/>
        <v>0</v>
      </c>
      <c r="P77" s="465">
        <f t="shared" si="22"/>
        <v>0</v>
      </c>
      <c r="Q77" s="465">
        <f t="shared" si="22"/>
        <v>0</v>
      </c>
      <c r="R77" s="465">
        <f t="shared" si="22"/>
        <v>0</v>
      </c>
      <c r="S77" s="465">
        <f t="shared" si="22"/>
        <v>0</v>
      </c>
      <c r="T77" s="465">
        <f t="shared" si="22"/>
        <v>0</v>
      </c>
      <c r="U77" s="465">
        <f t="shared" si="22"/>
        <v>0</v>
      </c>
      <c r="V77" s="787">
        <f t="shared" si="21"/>
        <v>1435948.38</v>
      </c>
      <c r="X77" s="788"/>
      <c r="Y77" s="771"/>
    </row>
    <row r="78" spans="1:25" s="8" customFormat="1" ht="13.8" x14ac:dyDescent="0.25">
      <c r="A78" s="372"/>
      <c r="B78" s="373"/>
      <c r="C78" s="257"/>
      <c r="D78" s="956"/>
      <c r="E78" s="919"/>
      <c r="F78" s="918"/>
      <c r="G78" s="918"/>
      <c r="H78" s="918"/>
      <c r="I78" s="918"/>
      <c r="J78" s="919"/>
      <c r="K78" s="920"/>
      <c r="L78" s="921"/>
      <c r="M78" s="918"/>
      <c r="N78" s="921"/>
      <c r="O78" s="918"/>
      <c r="P78" s="918"/>
      <c r="Q78" s="918"/>
      <c r="R78" s="918"/>
      <c r="S78" s="918"/>
      <c r="T78" s="918"/>
      <c r="U78" s="918"/>
      <c r="V78" s="922"/>
      <c r="X78" s="420"/>
      <c r="Y78" s="420"/>
    </row>
    <row r="79" spans="1:25" s="64" customFormat="1" ht="13.8" x14ac:dyDescent="0.25">
      <c r="A79" s="319" t="s">
        <v>10</v>
      </c>
      <c r="B79" s="61"/>
      <c r="C79" s="61"/>
      <c r="D79" s="964"/>
      <c r="E79" s="376">
        <v>200000</v>
      </c>
      <c r="F79" s="324" t="s">
        <v>263</v>
      </c>
      <c r="G79" s="226">
        <f>SUM(H79:U79)</f>
        <v>100000</v>
      </c>
      <c r="H79" s="324"/>
      <c r="I79" s="324"/>
      <c r="J79" s="376"/>
      <c r="K79" s="377">
        <v>100000</v>
      </c>
      <c r="L79" s="379">
        <v>0</v>
      </c>
      <c r="M79" s="324">
        <v>0</v>
      </c>
      <c r="N79" s="379"/>
      <c r="O79" s="380">
        <v>0</v>
      </c>
      <c r="P79" s="323"/>
      <c r="Q79" s="322"/>
      <c r="R79" s="322"/>
      <c r="S79" s="322"/>
      <c r="T79" s="322"/>
      <c r="U79" s="322"/>
      <c r="V79" s="95">
        <f t="shared" si="21"/>
        <v>100000</v>
      </c>
      <c r="Y79" s="65"/>
    </row>
    <row r="80" spans="1:25" s="64" customFormat="1" ht="13.8" x14ac:dyDescent="0.25">
      <c r="A80" s="319"/>
      <c r="B80" s="61"/>
      <c r="C80" s="61"/>
      <c r="D80" s="964"/>
      <c r="E80" s="369">
        <v>150000</v>
      </c>
      <c r="F80" s="329" t="s">
        <v>262</v>
      </c>
      <c r="G80" s="136">
        <f t="shared" ref="G80:G83" si="23">SUM(H80:U80)</f>
        <v>50000</v>
      </c>
      <c r="H80" s="329"/>
      <c r="I80" s="329"/>
      <c r="J80" s="369"/>
      <c r="K80" s="371">
        <v>50000</v>
      </c>
      <c r="L80" s="382"/>
      <c r="M80" s="382"/>
      <c r="N80" s="382"/>
      <c r="O80" s="370"/>
      <c r="P80" s="62"/>
      <c r="Q80" s="58"/>
      <c r="R80" s="58"/>
      <c r="S80" s="58"/>
      <c r="T80" s="58"/>
      <c r="U80" s="58"/>
      <c r="V80" s="95">
        <f t="shared" si="21"/>
        <v>100000</v>
      </c>
      <c r="Y80" s="65"/>
    </row>
    <row r="81" spans="1:25" s="64" customFormat="1" ht="13.8" x14ac:dyDescent="0.25">
      <c r="A81" s="319"/>
      <c r="B81" s="61"/>
      <c r="C81" s="61"/>
      <c r="D81" s="964"/>
      <c r="E81" s="369">
        <v>400000</v>
      </c>
      <c r="F81" s="329" t="s">
        <v>270</v>
      </c>
      <c r="G81" s="136">
        <f t="shared" si="23"/>
        <v>0</v>
      </c>
      <c r="H81" s="329"/>
      <c r="I81" s="329"/>
      <c r="J81" s="369"/>
      <c r="K81" s="371"/>
      <c r="L81" s="382"/>
      <c r="M81" s="382"/>
      <c r="N81" s="382"/>
      <c r="O81" s="370"/>
      <c r="P81" s="62"/>
      <c r="Q81" s="58"/>
      <c r="R81" s="58"/>
      <c r="S81" s="58"/>
      <c r="T81" s="58"/>
      <c r="U81" s="58"/>
      <c r="V81" s="95">
        <f t="shared" si="21"/>
        <v>400000</v>
      </c>
      <c r="Y81" s="65"/>
    </row>
    <row r="82" spans="1:25" s="64" customFormat="1" ht="13.8" x14ac:dyDescent="0.25">
      <c r="A82" s="319"/>
      <c r="B82" s="61"/>
      <c r="C82" s="61"/>
      <c r="D82" s="964"/>
      <c r="E82" s="369">
        <v>400000</v>
      </c>
      <c r="F82" s="329" t="s">
        <v>270</v>
      </c>
      <c r="G82" s="136">
        <f t="shared" si="23"/>
        <v>201624</v>
      </c>
      <c r="H82" s="329"/>
      <c r="I82" s="329"/>
      <c r="J82" s="369"/>
      <c r="K82" s="371">
        <v>200000</v>
      </c>
      <c r="L82" s="382">
        <v>1624</v>
      </c>
      <c r="M82" s="382"/>
      <c r="N82" s="382"/>
      <c r="O82" s="370"/>
      <c r="P82" s="62"/>
      <c r="Q82" s="58"/>
      <c r="R82" s="58"/>
      <c r="S82" s="58"/>
      <c r="T82" s="58"/>
      <c r="U82" s="58"/>
      <c r="V82" s="95">
        <f t="shared" si="21"/>
        <v>198376</v>
      </c>
      <c r="Y82" s="65"/>
    </row>
    <row r="83" spans="1:25" s="64" customFormat="1" ht="13.8" x14ac:dyDescent="0.25">
      <c r="A83" s="319"/>
      <c r="B83" s="61"/>
      <c r="C83" s="61"/>
      <c r="D83" s="964"/>
      <c r="E83" s="754">
        <v>100000</v>
      </c>
      <c r="F83" s="388" t="s">
        <v>261</v>
      </c>
      <c r="G83" s="778">
        <f t="shared" si="23"/>
        <v>0</v>
      </c>
      <c r="H83" s="388"/>
      <c r="I83" s="388"/>
      <c r="J83" s="754"/>
      <c r="K83" s="755"/>
      <c r="L83" s="756"/>
      <c r="M83" s="756"/>
      <c r="N83" s="756"/>
      <c r="O83" s="801"/>
      <c r="P83" s="757"/>
      <c r="Q83" s="403"/>
      <c r="R83" s="403"/>
      <c r="S83" s="403"/>
      <c r="T83" s="403"/>
      <c r="U83" s="403"/>
      <c r="V83" s="160">
        <f t="shared" si="21"/>
        <v>100000</v>
      </c>
      <c r="Y83" s="65"/>
    </row>
    <row r="84" spans="1:25" s="796" customFormat="1" x14ac:dyDescent="0.25">
      <c r="A84" s="793"/>
      <c r="B84" s="794"/>
      <c r="C84" s="794"/>
      <c r="D84" s="978"/>
      <c r="E84" s="928">
        <f>SUM(E79:E83)</f>
        <v>1250000</v>
      </c>
      <c r="F84" s="465"/>
      <c r="G84" s="465">
        <f>SUM(G79:G83)</f>
        <v>351624</v>
      </c>
      <c r="H84" s="465">
        <f t="shared" ref="H84:V84" si="24">SUM(H79:H83)</f>
        <v>0</v>
      </c>
      <c r="I84" s="465">
        <f t="shared" si="24"/>
        <v>0</v>
      </c>
      <c r="J84" s="465">
        <f t="shared" si="24"/>
        <v>0</v>
      </c>
      <c r="K84" s="465">
        <f t="shared" si="24"/>
        <v>350000</v>
      </c>
      <c r="L84" s="465">
        <f t="shared" si="24"/>
        <v>1624</v>
      </c>
      <c r="M84" s="465">
        <f t="shared" si="24"/>
        <v>0</v>
      </c>
      <c r="N84" s="465">
        <f t="shared" si="24"/>
        <v>0</v>
      </c>
      <c r="O84" s="465">
        <f t="shared" si="24"/>
        <v>0</v>
      </c>
      <c r="P84" s="465">
        <f t="shared" si="24"/>
        <v>0</v>
      </c>
      <c r="Q84" s="465">
        <f t="shared" si="24"/>
        <v>0</v>
      </c>
      <c r="R84" s="465">
        <f t="shared" si="24"/>
        <v>0</v>
      </c>
      <c r="S84" s="465">
        <f t="shared" si="24"/>
        <v>0</v>
      </c>
      <c r="T84" s="465">
        <f t="shared" si="24"/>
        <v>0</v>
      </c>
      <c r="U84" s="465">
        <f t="shared" si="24"/>
        <v>0</v>
      </c>
      <c r="V84" s="465">
        <f t="shared" si="24"/>
        <v>898376</v>
      </c>
      <c r="Y84" s="797"/>
    </row>
    <row r="85" spans="1:25" s="8" customFormat="1" ht="13.8" x14ac:dyDescent="0.25">
      <c r="A85" s="339"/>
      <c r="B85" s="71"/>
      <c r="C85" s="71"/>
      <c r="D85" s="965"/>
      <c r="E85" s="941"/>
      <c r="F85" s="748"/>
      <c r="G85" s="818"/>
      <c r="H85" s="748"/>
      <c r="I85" s="748"/>
      <c r="J85" s="749"/>
      <c r="K85" s="750"/>
      <c r="L85" s="751"/>
      <c r="M85" s="751"/>
      <c r="N85" s="751"/>
      <c r="O85" s="923"/>
      <c r="P85" s="924"/>
      <c r="Q85" s="746"/>
      <c r="R85" s="746"/>
      <c r="S85" s="746"/>
      <c r="T85" s="746"/>
      <c r="U85" s="746"/>
      <c r="V85" s="483"/>
      <c r="Y85" s="420"/>
    </row>
    <row r="86" spans="1:25" s="64" customFormat="1" ht="13.8" x14ac:dyDescent="0.25">
      <c r="A86" s="319" t="s">
        <v>11</v>
      </c>
      <c r="B86" s="61"/>
      <c r="C86" s="61"/>
      <c r="D86" s="964"/>
      <c r="E86" s="369">
        <v>200000</v>
      </c>
      <c r="F86" s="329" t="s">
        <v>263</v>
      </c>
      <c r="G86" s="136">
        <f>SUM(H86:U86)</f>
        <v>133915</v>
      </c>
      <c r="H86" s="329">
        <v>0</v>
      </c>
      <c r="I86" s="329">
        <v>0</v>
      </c>
      <c r="J86" s="369">
        <v>0</v>
      </c>
      <c r="K86" s="371">
        <v>133915</v>
      </c>
      <c r="L86" s="382">
        <v>0</v>
      </c>
      <c r="M86" s="382">
        <v>0</v>
      </c>
      <c r="N86" s="382"/>
      <c r="O86" s="370"/>
      <c r="P86" s="62"/>
      <c r="Q86" s="58"/>
      <c r="R86" s="58"/>
      <c r="S86" s="400"/>
      <c r="T86" s="62"/>
      <c r="U86" s="58"/>
      <c r="V86" s="95">
        <f t="shared" si="21"/>
        <v>66085</v>
      </c>
      <c r="Y86" s="65"/>
    </row>
    <row r="87" spans="1:25" s="64" customFormat="1" ht="13.8" x14ac:dyDescent="0.25">
      <c r="A87" s="319"/>
      <c r="B87" s="61"/>
      <c r="C87" s="61"/>
      <c r="D87" s="964"/>
      <c r="E87" s="369">
        <v>467983.12</v>
      </c>
      <c r="F87" s="329" t="s">
        <v>266</v>
      </c>
      <c r="G87" s="136">
        <f t="shared" ref="G87:G89" si="25">SUM(H87:U87)</f>
        <v>351370</v>
      </c>
      <c r="H87" s="329"/>
      <c r="I87" s="329"/>
      <c r="J87" s="369"/>
      <c r="K87" s="371">
        <v>351370</v>
      </c>
      <c r="L87" s="382"/>
      <c r="M87" s="382"/>
      <c r="N87" s="382"/>
      <c r="O87" s="370"/>
      <c r="P87" s="62"/>
      <c r="Q87" s="58"/>
      <c r="R87" s="58"/>
      <c r="S87" s="58"/>
      <c r="T87" s="62"/>
      <c r="U87" s="58"/>
      <c r="V87" s="95">
        <f t="shared" si="21"/>
        <v>116613.12</v>
      </c>
      <c r="Y87" s="65"/>
    </row>
    <row r="88" spans="1:25" s="64" customFormat="1" ht="13.8" x14ac:dyDescent="0.25">
      <c r="A88" s="319"/>
      <c r="B88" s="61"/>
      <c r="C88" s="61"/>
      <c r="D88" s="964"/>
      <c r="E88" s="369">
        <v>150000</v>
      </c>
      <c r="F88" s="329" t="s">
        <v>262</v>
      </c>
      <c r="G88" s="136">
        <f t="shared" si="25"/>
        <v>126715</v>
      </c>
      <c r="H88" s="329"/>
      <c r="I88" s="329"/>
      <c r="J88" s="369"/>
      <c r="K88" s="371">
        <v>126715</v>
      </c>
      <c r="L88" s="382"/>
      <c r="M88" s="382"/>
      <c r="N88" s="382"/>
      <c r="O88" s="370"/>
      <c r="P88" s="62"/>
      <c r="Q88" s="58"/>
      <c r="R88" s="58"/>
      <c r="S88" s="58"/>
      <c r="T88" s="62"/>
      <c r="U88" s="58"/>
      <c r="V88" s="95">
        <f t="shared" si="21"/>
        <v>23285</v>
      </c>
      <c r="Y88" s="65"/>
    </row>
    <row r="89" spans="1:25" s="64" customFormat="1" ht="13.8" x14ac:dyDescent="0.25">
      <c r="A89" s="319"/>
      <c r="B89" s="61"/>
      <c r="C89" s="61"/>
      <c r="D89" s="964"/>
      <c r="E89" s="754">
        <v>200000</v>
      </c>
      <c r="F89" s="388" t="s">
        <v>261</v>
      </c>
      <c r="G89" s="778">
        <f t="shared" si="25"/>
        <v>0</v>
      </c>
      <c r="H89" s="388"/>
      <c r="I89" s="388"/>
      <c r="J89" s="754"/>
      <c r="K89" s="755"/>
      <c r="L89" s="756"/>
      <c r="M89" s="756"/>
      <c r="N89" s="756"/>
      <c r="O89" s="801"/>
      <c r="P89" s="757"/>
      <c r="Q89" s="403"/>
      <c r="R89" s="403"/>
      <c r="S89" s="403"/>
      <c r="T89" s="757"/>
      <c r="U89" s="403"/>
      <c r="V89" s="95">
        <f t="shared" si="21"/>
        <v>200000</v>
      </c>
      <c r="Y89" s="65"/>
    </row>
    <row r="90" spans="1:25" s="796" customFormat="1" x14ac:dyDescent="0.25">
      <c r="A90" s="793"/>
      <c r="B90" s="794"/>
      <c r="C90" s="794"/>
      <c r="D90" s="978"/>
      <c r="E90" s="928">
        <f>SUM(E86:E89)</f>
        <v>1017983.12</v>
      </c>
      <c r="F90" s="465"/>
      <c r="G90" s="465">
        <f>SUM(G86:G89)</f>
        <v>612000</v>
      </c>
      <c r="H90" s="465">
        <f t="shared" ref="H90:V90" si="26">SUM(H86:H89)</f>
        <v>0</v>
      </c>
      <c r="I90" s="465">
        <f t="shared" si="26"/>
        <v>0</v>
      </c>
      <c r="J90" s="465">
        <f t="shared" si="26"/>
        <v>0</v>
      </c>
      <c r="K90" s="465">
        <f t="shared" si="26"/>
        <v>612000</v>
      </c>
      <c r="L90" s="465">
        <f t="shared" si="26"/>
        <v>0</v>
      </c>
      <c r="M90" s="465">
        <f t="shared" si="26"/>
        <v>0</v>
      </c>
      <c r="N90" s="465">
        <f t="shared" si="26"/>
        <v>0</v>
      </c>
      <c r="O90" s="465">
        <f t="shared" si="26"/>
        <v>0</v>
      </c>
      <c r="P90" s="465">
        <f t="shared" si="26"/>
        <v>0</v>
      </c>
      <c r="Q90" s="465">
        <f t="shared" si="26"/>
        <v>0</v>
      </c>
      <c r="R90" s="465">
        <f t="shared" si="26"/>
        <v>0</v>
      </c>
      <c r="S90" s="465">
        <f t="shared" si="26"/>
        <v>0</v>
      </c>
      <c r="T90" s="465">
        <f t="shared" si="26"/>
        <v>0</v>
      </c>
      <c r="U90" s="465">
        <f t="shared" si="26"/>
        <v>0</v>
      </c>
      <c r="V90" s="465">
        <f t="shared" si="26"/>
        <v>405983.12</v>
      </c>
      <c r="Y90" s="797"/>
    </row>
    <row r="91" spans="1:25" s="8" customFormat="1" ht="13.8" x14ac:dyDescent="0.25">
      <c r="A91" s="339"/>
      <c r="B91" s="71"/>
      <c r="C91" s="71"/>
      <c r="D91" s="965"/>
      <c r="E91" s="941"/>
      <c r="F91" s="748"/>
      <c r="G91" s="746"/>
      <c r="H91" s="748"/>
      <c r="I91" s="748"/>
      <c r="J91" s="749"/>
      <c r="K91" s="750"/>
      <c r="L91" s="751"/>
      <c r="M91" s="751"/>
      <c r="N91" s="751"/>
      <c r="O91" s="923"/>
      <c r="P91" s="924"/>
      <c r="Q91" s="746"/>
      <c r="R91" s="746"/>
      <c r="S91" s="746"/>
      <c r="T91" s="924"/>
      <c r="U91" s="746"/>
      <c r="V91" s="483"/>
      <c r="Y91" s="420"/>
    </row>
    <row r="92" spans="1:25" s="64" customFormat="1" ht="13.8" x14ac:dyDescent="0.25">
      <c r="A92" s="319" t="s">
        <v>272</v>
      </c>
      <c r="B92" s="61"/>
      <c r="C92" s="61"/>
      <c r="D92" s="964"/>
      <c r="E92" s="369"/>
      <c r="F92" s="329" t="s">
        <v>263</v>
      </c>
      <c r="G92" s="58">
        <f>SUM(H92:U92)</f>
        <v>0</v>
      </c>
      <c r="H92" s="329"/>
      <c r="I92" s="329"/>
      <c r="J92" s="369"/>
      <c r="K92" s="371"/>
      <c r="L92" s="382">
        <v>0</v>
      </c>
      <c r="M92" s="382">
        <v>0</v>
      </c>
      <c r="N92" s="383"/>
      <c r="O92" s="370"/>
      <c r="P92" s="62"/>
      <c r="Q92" s="58"/>
      <c r="R92" s="58"/>
      <c r="S92" s="58"/>
      <c r="T92" s="62"/>
      <c r="U92" s="58"/>
      <c r="V92" s="95">
        <f>E92-G92</f>
        <v>0</v>
      </c>
      <c r="X92" s="65"/>
      <c r="Y92" s="65"/>
    </row>
    <row r="93" spans="1:25" s="64" customFormat="1" ht="13.8" x14ac:dyDescent="0.25">
      <c r="A93" s="319" t="s">
        <v>28</v>
      </c>
      <c r="B93" s="61"/>
      <c r="C93" s="61"/>
      <c r="D93" s="964"/>
      <c r="E93" s="369">
        <v>200000</v>
      </c>
      <c r="F93" s="324" t="s">
        <v>263</v>
      </c>
      <c r="G93" s="226">
        <f t="shared" ref="G93:G97" si="27">SUM(H93:U93)</f>
        <v>200000</v>
      </c>
      <c r="H93" s="329"/>
      <c r="I93" s="329"/>
      <c r="J93" s="369"/>
      <c r="K93" s="329">
        <v>200000</v>
      </c>
      <c r="L93" s="369"/>
      <c r="M93" s="369"/>
      <c r="N93" s="369"/>
      <c r="O93" s="401"/>
      <c r="P93" s="917"/>
      <c r="Q93" s="66"/>
      <c r="R93" s="66"/>
      <c r="S93" s="66"/>
      <c r="T93" s="917"/>
      <c r="U93" s="66"/>
      <c r="V93" s="1003">
        <f t="shared" si="21"/>
        <v>0</v>
      </c>
      <c r="X93" s="65"/>
      <c r="Y93" s="65"/>
    </row>
    <row r="94" spans="1:25" s="64" customFormat="1" ht="13.8" x14ac:dyDescent="0.25">
      <c r="A94" s="366"/>
      <c r="B94" s="368"/>
      <c r="C94" s="368"/>
      <c r="D94" s="976"/>
      <c r="E94" s="376">
        <v>10800</v>
      </c>
      <c r="F94" s="435" t="s">
        <v>261</v>
      </c>
      <c r="G94" s="926">
        <f t="shared" si="27"/>
        <v>0</v>
      </c>
      <c r="H94" s="324"/>
      <c r="I94" s="324"/>
      <c r="J94" s="376"/>
      <c r="K94" s="324"/>
      <c r="L94" s="369"/>
      <c r="M94" s="369"/>
      <c r="N94" s="369"/>
      <c r="O94" s="401"/>
      <c r="P94" s="917"/>
      <c r="Q94" s="66"/>
      <c r="R94" s="66"/>
      <c r="S94" s="66"/>
      <c r="T94" s="917"/>
      <c r="U94" s="66"/>
      <c r="V94" s="792">
        <f t="shared" si="21"/>
        <v>10800</v>
      </c>
      <c r="X94" s="65"/>
      <c r="Y94" s="65"/>
    </row>
    <row r="95" spans="1:25" s="64" customFormat="1" ht="13.8" x14ac:dyDescent="0.25">
      <c r="A95" s="366"/>
      <c r="B95" s="368"/>
      <c r="C95" s="368"/>
      <c r="D95" s="976"/>
      <c r="E95" s="396">
        <v>360000</v>
      </c>
      <c r="F95" s="926" t="s">
        <v>268</v>
      </c>
      <c r="G95" s="144">
        <f t="shared" si="27"/>
        <v>100000</v>
      </c>
      <c r="H95" s="382"/>
      <c r="I95" s="329"/>
      <c r="J95" s="329"/>
      <c r="K95" s="329">
        <v>100000</v>
      </c>
      <c r="L95" s="369"/>
      <c r="M95" s="369"/>
      <c r="N95" s="369"/>
      <c r="O95" s="401"/>
      <c r="P95" s="917"/>
      <c r="Q95" s="66"/>
      <c r="R95" s="66"/>
      <c r="S95" s="66"/>
      <c r="T95" s="917"/>
      <c r="U95" s="66"/>
      <c r="V95" s="792">
        <f t="shared" si="21"/>
        <v>260000</v>
      </c>
      <c r="X95" s="65"/>
      <c r="Y95" s="65"/>
    </row>
    <row r="96" spans="1:25" s="64" customFormat="1" ht="13.8" x14ac:dyDescent="0.25">
      <c r="A96" s="366"/>
      <c r="B96" s="368"/>
      <c r="C96" s="368"/>
      <c r="D96" s="976"/>
      <c r="E96" s="396">
        <v>150000</v>
      </c>
      <c r="F96" s="57" t="s">
        <v>258</v>
      </c>
      <c r="G96" s="136">
        <f t="shared" si="27"/>
        <v>50000</v>
      </c>
      <c r="H96" s="329"/>
      <c r="I96" s="329"/>
      <c r="J96" s="329"/>
      <c r="K96" s="329">
        <v>50000</v>
      </c>
      <c r="L96" s="369"/>
      <c r="M96" s="369"/>
      <c r="N96" s="369"/>
      <c r="O96" s="401"/>
      <c r="P96" s="917"/>
      <c r="Q96" s="66"/>
      <c r="R96" s="66"/>
      <c r="S96" s="66"/>
      <c r="T96" s="917"/>
      <c r="U96" s="66"/>
      <c r="V96" s="792">
        <f t="shared" si="21"/>
        <v>100000</v>
      </c>
      <c r="X96" s="65"/>
      <c r="Y96" s="65"/>
    </row>
    <row r="97" spans="1:25" s="64" customFormat="1" ht="13.8" x14ac:dyDescent="0.25">
      <c r="A97" s="366"/>
      <c r="B97" s="368"/>
      <c r="C97" s="368"/>
      <c r="D97" s="976"/>
      <c r="E97" s="942">
        <v>11000</v>
      </c>
      <c r="F97" s="408" t="s">
        <v>262</v>
      </c>
      <c r="G97" s="226">
        <f t="shared" si="27"/>
        <v>7200</v>
      </c>
      <c r="H97" s="408"/>
      <c r="I97" s="408"/>
      <c r="J97" s="409"/>
      <c r="K97" s="388">
        <v>7200</v>
      </c>
      <c r="L97" s="942">
        <v>0</v>
      </c>
      <c r="M97" s="371">
        <v>0</v>
      </c>
      <c r="N97" s="383"/>
      <c r="O97" s="1028"/>
      <c r="P97" s="1025"/>
      <c r="Q97" s="1022"/>
      <c r="R97" s="1022"/>
      <c r="S97" s="1022"/>
      <c r="T97" s="1025"/>
      <c r="U97" s="1022"/>
      <c r="V97" s="792">
        <f t="shared" si="21"/>
        <v>3800</v>
      </c>
      <c r="X97" s="65"/>
      <c r="Y97" s="65"/>
    </row>
    <row r="98" spans="1:25" s="4" customFormat="1" ht="13.8" x14ac:dyDescent="0.25">
      <c r="A98" s="790"/>
      <c r="B98" s="267"/>
      <c r="C98" s="267"/>
      <c r="D98" s="955"/>
      <c r="E98" s="928">
        <f t="shared" ref="E98:K98" si="28">SUM(E93:E97)</f>
        <v>731800</v>
      </c>
      <c r="F98" s="465">
        <f t="shared" si="28"/>
        <v>0</v>
      </c>
      <c r="G98" s="465">
        <f t="shared" si="28"/>
        <v>357200</v>
      </c>
      <c r="H98" s="465">
        <f t="shared" si="28"/>
        <v>0</v>
      </c>
      <c r="I98" s="465">
        <f t="shared" si="28"/>
        <v>0</v>
      </c>
      <c r="J98" s="465">
        <f t="shared" si="28"/>
        <v>0</v>
      </c>
      <c r="K98" s="465">
        <f t="shared" si="28"/>
        <v>357200</v>
      </c>
      <c r="L98" s="465">
        <f t="shared" ref="L98:V98" si="29">SUM(L93:L97)</f>
        <v>0</v>
      </c>
      <c r="M98" s="465">
        <f t="shared" si="29"/>
        <v>0</v>
      </c>
      <c r="N98" s="465">
        <f t="shared" si="29"/>
        <v>0</v>
      </c>
      <c r="O98" s="465">
        <f t="shared" si="29"/>
        <v>0</v>
      </c>
      <c r="P98" s="465">
        <f t="shared" si="29"/>
        <v>0</v>
      </c>
      <c r="Q98" s="465">
        <f t="shared" si="29"/>
        <v>0</v>
      </c>
      <c r="R98" s="465">
        <f t="shared" si="29"/>
        <v>0</v>
      </c>
      <c r="S98" s="465">
        <f t="shared" si="29"/>
        <v>0</v>
      </c>
      <c r="T98" s="465">
        <f t="shared" si="29"/>
        <v>0</v>
      </c>
      <c r="U98" s="465">
        <f t="shared" si="29"/>
        <v>0</v>
      </c>
      <c r="V98" s="791">
        <f t="shared" si="29"/>
        <v>374600</v>
      </c>
      <c r="X98" s="788"/>
      <c r="Y98" s="771"/>
    </row>
    <row r="99" spans="1:25" s="8" customFormat="1" ht="13.8" x14ac:dyDescent="0.25">
      <c r="A99" s="372"/>
      <c r="B99" s="257"/>
      <c r="C99" s="257"/>
      <c r="D99" s="956"/>
      <c r="E99" s="749"/>
      <c r="F99" s="749"/>
      <c r="G99" s="748"/>
      <c r="H99" s="748"/>
      <c r="I99" s="748"/>
      <c r="J99" s="749"/>
      <c r="K99" s="748"/>
      <c r="L99" s="750"/>
      <c r="M99" s="751"/>
      <c r="N99" s="751"/>
      <c r="O99" s="748"/>
      <c r="P99" s="748"/>
      <c r="Q99" s="748"/>
      <c r="R99" s="748"/>
      <c r="S99" s="748"/>
      <c r="T99" s="748"/>
      <c r="U99" s="748"/>
      <c r="V99" s="877"/>
      <c r="X99" s="420"/>
      <c r="Y99" s="420"/>
    </row>
    <row r="100" spans="1:25" s="64" customFormat="1" ht="13.8" x14ac:dyDescent="0.25">
      <c r="A100" s="319" t="s">
        <v>273</v>
      </c>
      <c r="B100" s="280"/>
      <c r="C100" s="280"/>
      <c r="D100" s="979"/>
      <c r="E100" s="66"/>
      <c r="F100" s="92" t="s">
        <v>263</v>
      </c>
      <c r="G100" s="58">
        <f>SUM(H100:U100)</f>
        <v>0</v>
      </c>
      <c r="H100" s="329"/>
      <c r="I100" s="329"/>
      <c r="J100" s="369"/>
      <c r="K100" s="329"/>
      <c r="L100" s="371"/>
      <c r="M100" s="382"/>
      <c r="N100" s="382"/>
      <c r="O100" s="329"/>
      <c r="P100" s="58"/>
      <c r="Q100" s="58"/>
      <c r="R100" s="58"/>
      <c r="S100" s="58"/>
      <c r="T100" s="58"/>
      <c r="U100" s="58"/>
      <c r="V100" s="95">
        <f>E100-G100</f>
        <v>0</v>
      </c>
      <c r="X100" s="65"/>
      <c r="Y100" s="65"/>
    </row>
    <row r="101" spans="1:25" s="8" customFormat="1" ht="13.8" x14ac:dyDescent="0.25">
      <c r="A101" s="990"/>
      <c r="D101" s="954"/>
      <c r="E101" s="326"/>
      <c r="F101" s="326"/>
      <c r="G101" s="377"/>
      <c r="H101" s="377"/>
      <c r="I101" s="377"/>
      <c r="J101" s="377"/>
      <c r="K101" s="377"/>
      <c r="L101" s="377"/>
      <c r="M101" s="377"/>
      <c r="N101" s="377"/>
      <c r="O101" s="377"/>
      <c r="P101" s="326"/>
      <c r="Q101" s="326"/>
      <c r="R101" s="326"/>
      <c r="S101" s="326"/>
      <c r="T101" s="326"/>
      <c r="U101" s="326"/>
      <c r="V101" s="991"/>
      <c r="X101" s="9"/>
      <c r="Y101" s="65"/>
    </row>
    <row r="102" spans="1:25" s="8" customFormat="1" ht="13.8" x14ac:dyDescent="0.25">
      <c r="A102" s="990"/>
      <c r="D102" s="954"/>
      <c r="E102" s="326"/>
      <c r="F102" s="326"/>
      <c r="G102" s="377"/>
      <c r="H102" s="377"/>
      <c r="I102" s="377"/>
      <c r="J102" s="377"/>
      <c r="K102" s="377"/>
      <c r="L102" s="377"/>
      <c r="M102" s="377"/>
      <c r="N102" s="377"/>
      <c r="O102" s="377"/>
      <c r="P102" s="326"/>
      <c r="Q102" s="326"/>
      <c r="R102" s="326"/>
      <c r="S102" s="326"/>
      <c r="T102" s="326"/>
      <c r="U102" s="326"/>
      <c r="V102" s="991"/>
      <c r="X102" s="9"/>
      <c r="Y102" s="65"/>
    </row>
    <row r="103" spans="1:25" s="8" customFormat="1" ht="17.25" customHeight="1" x14ac:dyDescent="0.25">
      <c r="A103" s="1326" t="s">
        <v>106</v>
      </c>
      <c r="B103" s="1326"/>
      <c r="C103" s="1326"/>
      <c r="D103" s="1326"/>
      <c r="E103" s="1326"/>
      <c r="F103" s="1326"/>
      <c r="G103" s="1326"/>
      <c r="H103" s="1326"/>
      <c r="I103" s="1326"/>
      <c r="J103" s="1326"/>
      <c r="K103" s="1326"/>
      <c r="L103" s="1326"/>
      <c r="M103" s="1326"/>
      <c r="N103" s="1326"/>
      <c r="O103" s="1326"/>
      <c r="P103" s="1326"/>
      <c r="Q103" s="10"/>
      <c r="R103" s="10"/>
      <c r="S103" s="10"/>
      <c r="T103" s="10"/>
      <c r="X103" s="9"/>
      <c r="Y103" s="65"/>
    </row>
    <row r="104" spans="1:25" s="8" customFormat="1" ht="17.25" customHeight="1" x14ac:dyDescent="0.25">
      <c r="A104" s="1326" t="s">
        <v>192</v>
      </c>
      <c r="B104" s="1326"/>
      <c r="C104" s="1326"/>
      <c r="D104" s="1326"/>
      <c r="E104" s="1326"/>
      <c r="F104" s="1326"/>
      <c r="G104" s="1326"/>
      <c r="H104" s="1326"/>
      <c r="I104" s="1326"/>
      <c r="J104" s="1326"/>
      <c r="K104" s="1326"/>
      <c r="L104" s="1326"/>
      <c r="M104" s="1326"/>
      <c r="N104" s="1326"/>
      <c r="O104" s="1326"/>
      <c r="P104" s="1326"/>
      <c r="Q104" s="10"/>
      <c r="R104" s="10"/>
      <c r="S104" s="10"/>
      <c r="T104" s="10"/>
      <c r="X104" s="9"/>
      <c r="Y104" s="65"/>
    </row>
    <row r="105" spans="1:25" s="8" customFormat="1" ht="17.25" customHeight="1" x14ac:dyDescent="0.25">
      <c r="A105" s="1326" t="s">
        <v>252</v>
      </c>
      <c r="B105" s="1326"/>
      <c r="C105" s="1326"/>
      <c r="D105" s="1326"/>
      <c r="E105" s="1326"/>
      <c r="F105" s="1326"/>
      <c r="G105" s="1326"/>
      <c r="H105" s="1326"/>
      <c r="I105" s="1326"/>
      <c r="J105" s="1326"/>
      <c r="K105" s="1326"/>
      <c r="L105" s="1326"/>
      <c r="M105" s="1326"/>
      <c r="N105" s="1326"/>
      <c r="O105" s="1326"/>
      <c r="P105" s="1326"/>
      <c r="Q105" s="10"/>
      <c r="R105" s="10"/>
      <c r="S105" s="10"/>
      <c r="T105" s="10"/>
      <c r="V105" s="12"/>
      <c r="X105" s="9"/>
      <c r="Y105" s="65"/>
    </row>
    <row r="106" spans="1:25" s="8" customFormat="1" ht="17.25" customHeight="1" x14ac:dyDescent="0.25">
      <c r="A106" s="11" t="s">
        <v>108</v>
      </c>
      <c r="B106" s="11"/>
      <c r="C106" s="11"/>
      <c r="D106" s="946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0"/>
      <c r="R106" s="10"/>
      <c r="S106" s="10"/>
      <c r="T106" s="10"/>
      <c r="V106" s="12" t="s">
        <v>95</v>
      </c>
      <c r="X106" s="9"/>
      <c r="Y106" s="65"/>
    </row>
    <row r="107" spans="1:25" s="8" customFormat="1" ht="17.25" customHeight="1" thickBot="1" x14ac:dyDescent="0.3">
      <c r="A107" s="11" t="s">
        <v>109</v>
      </c>
      <c r="B107" s="11"/>
      <c r="C107" s="11"/>
      <c r="D107" s="946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0"/>
      <c r="R107" s="10"/>
      <c r="S107" s="10"/>
      <c r="T107" s="10"/>
      <c r="X107" s="9"/>
      <c r="Y107" s="65"/>
    </row>
    <row r="108" spans="1:25" s="8" customFormat="1" ht="17.25" customHeight="1" thickTop="1" x14ac:dyDescent="0.25">
      <c r="A108" s="980"/>
      <c r="B108" s="981"/>
      <c r="C108" s="981"/>
      <c r="D108" s="968"/>
      <c r="E108" s="982" t="s">
        <v>111</v>
      </c>
      <c r="F108" s="983"/>
      <c r="G108" s="984"/>
      <c r="H108" s="1327" t="s">
        <v>112</v>
      </c>
      <c r="I108" s="1329"/>
      <c r="J108" s="1329"/>
      <c r="K108" s="1329"/>
      <c r="L108" s="1329"/>
      <c r="M108" s="1329"/>
      <c r="N108" s="1329"/>
      <c r="O108" s="1329"/>
      <c r="P108" s="1329"/>
      <c r="Q108" s="1329"/>
      <c r="R108" s="1329"/>
      <c r="S108" s="1329"/>
      <c r="T108" s="1329"/>
      <c r="U108" s="1329"/>
      <c r="V108" s="985"/>
      <c r="X108" s="9"/>
      <c r="Y108" s="65"/>
    </row>
    <row r="109" spans="1:25" s="8" customFormat="1" ht="17.25" customHeight="1" x14ac:dyDescent="0.25">
      <c r="A109" s="18"/>
      <c r="B109" s="4"/>
      <c r="C109" s="4"/>
      <c r="D109" s="969"/>
      <c r="E109" s="22" t="s">
        <v>113</v>
      </c>
      <c r="F109" s="20"/>
      <c r="G109" s="20" t="s">
        <v>2</v>
      </c>
      <c r="H109" s="1330" t="s">
        <v>114</v>
      </c>
      <c r="I109" s="1331"/>
      <c r="J109" s="1331"/>
      <c r="K109" s="1331"/>
      <c r="L109" s="1331"/>
      <c r="M109" s="1331"/>
      <c r="N109" s="1331"/>
      <c r="O109" s="1331"/>
      <c r="P109" s="1331"/>
      <c r="Q109" s="1331"/>
      <c r="R109" s="1331"/>
      <c r="S109" s="1331"/>
      <c r="T109" s="1331"/>
      <c r="U109" s="1331"/>
      <c r="V109" s="21"/>
      <c r="X109" s="9"/>
      <c r="Y109" s="65"/>
    </row>
    <row r="110" spans="1:25" s="8" customFormat="1" ht="17.25" customHeight="1" x14ac:dyDescent="0.25">
      <c r="A110" s="1318" t="s">
        <v>0</v>
      </c>
      <c r="B110" s="1319"/>
      <c r="C110" s="1319"/>
      <c r="D110" s="1319"/>
      <c r="E110" s="1069" t="s">
        <v>117</v>
      </c>
      <c r="F110" s="20" t="s">
        <v>253</v>
      </c>
      <c r="G110" s="20" t="s">
        <v>118</v>
      </c>
      <c r="H110" s="20"/>
      <c r="I110" s="20"/>
      <c r="J110" s="22"/>
      <c r="K110" s="1364" t="s">
        <v>254</v>
      </c>
      <c r="L110" s="23"/>
      <c r="M110" s="23"/>
      <c r="N110" s="25"/>
      <c r="O110" s="24"/>
      <c r="P110" s="20"/>
      <c r="Q110" s="20"/>
      <c r="R110" s="20"/>
      <c r="S110" s="20" t="s">
        <v>119</v>
      </c>
      <c r="T110" s="308"/>
      <c r="U110" s="26"/>
      <c r="V110" s="29"/>
      <c r="X110" s="9"/>
      <c r="Y110" s="65"/>
    </row>
    <row r="111" spans="1:25" s="8" customFormat="1" ht="17.25" customHeight="1" x14ac:dyDescent="0.25">
      <c r="A111" s="30"/>
      <c r="D111" s="954"/>
      <c r="E111" s="22" t="s">
        <v>121</v>
      </c>
      <c r="F111" s="20"/>
      <c r="G111" s="20" t="s">
        <v>122</v>
      </c>
      <c r="H111" s="20" t="s">
        <v>123</v>
      </c>
      <c r="I111" s="20" t="s">
        <v>124</v>
      </c>
      <c r="J111" s="22" t="s">
        <v>125</v>
      </c>
      <c r="K111" s="1365"/>
      <c r="L111" s="25" t="s">
        <v>126</v>
      </c>
      <c r="M111" s="25" t="s">
        <v>127</v>
      </c>
      <c r="N111" s="406" t="s">
        <v>128</v>
      </c>
      <c r="O111" s="25" t="s">
        <v>274</v>
      </c>
      <c r="P111" s="25" t="s">
        <v>130</v>
      </c>
      <c r="Q111" s="25" t="s">
        <v>256</v>
      </c>
      <c r="R111" s="25" t="s">
        <v>132</v>
      </c>
      <c r="S111" s="25" t="s">
        <v>178</v>
      </c>
      <c r="T111" s="25" t="s">
        <v>133</v>
      </c>
      <c r="U111" s="25" t="s">
        <v>134</v>
      </c>
      <c r="V111" s="29" t="s">
        <v>135</v>
      </c>
      <c r="X111" s="9"/>
      <c r="Y111" s="65"/>
    </row>
    <row r="112" spans="1:25" s="8" customFormat="1" ht="14.4" thickBot="1" x14ac:dyDescent="0.3">
      <c r="A112" s="36"/>
      <c r="B112" s="37"/>
      <c r="C112" s="37"/>
      <c r="D112" s="963"/>
      <c r="E112" s="933" t="s">
        <v>136</v>
      </c>
      <c r="F112" s="39"/>
      <c r="G112" s="40"/>
      <c r="H112" s="40"/>
      <c r="I112" s="40"/>
      <c r="J112" s="42"/>
      <c r="K112" s="1366"/>
      <c r="L112" s="40"/>
      <c r="M112" s="40"/>
      <c r="N112" s="44"/>
      <c r="O112" s="43"/>
      <c r="P112" s="313"/>
      <c r="Q112" s="38"/>
      <c r="R112" s="407"/>
      <c r="S112" s="38"/>
      <c r="T112" s="314"/>
      <c r="U112" s="49"/>
      <c r="V112" s="50"/>
      <c r="X112" s="9"/>
      <c r="Y112" s="65"/>
    </row>
    <row r="113" spans="1:25" s="64" customFormat="1" ht="14.4" thickTop="1" x14ac:dyDescent="0.25">
      <c r="A113" s="319" t="s">
        <v>275</v>
      </c>
      <c r="B113" s="61"/>
      <c r="C113" s="61"/>
      <c r="D113" s="964"/>
      <c r="E113" s="66"/>
      <c r="F113" s="92" t="s">
        <v>263</v>
      </c>
      <c r="G113" s="359">
        <f>SUM(H113:U113)</f>
        <v>0</v>
      </c>
      <c r="H113" s="408"/>
      <c r="I113" s="408"/>
      <c r="J113" s="409"/>
      <c r="K113" s="410"/>
      <c r="L113" s="411"/>
      <c r="M113" s="412"/>
      <c r="N113" s="413"/>
      <c r="O113" s="414"/>
      <c r="P113" s="414"/>
      <c r="Q113" s="408"/>
      <c r="R113" s="408"/>
      <c r="S113" s="408"/>
      <c r="T113" s="408"/>
      <c r="U113" s="408"/>
      <c r="V113" s="95">
        <f t="shared" ref="V113:V114" si="30">E113-G113</f>
        <v>0</v>
      </c>
      <c r="X113" s="65"/>
      <c r="Y113" s="65"/>
    </row>
    <row r="114" spans="1:25" s="8" customFormat="1" ht="13.8" x14ac:dyDescent="0.25">
      <c r="A114" s="339"/>
      <c r="B114" s="71"/>
      <c r="C114" s="71"/>
      <c r="D114" s="965"/>
      <c r="E114" s="415"/>
      <c r="F114" s="416" t="s">
        <v>262</v>
      </c>
      <c r="G114" s="53">
        <f>SUM(H114:U114)</f>
        <v>0</v>
      </c>
      <c r="H114" s="90"/>
      <c r="I114" s="91"/>
      <c r="J114" s="91"/>
      <c r="L114" s="53"/>
      <c r="M114" s="91"/>
      <c r="N114" s="90"/>
      <c r="O114" s="90"/>
      <c r="P114" s="91"/>
      <c r="Q114" s="91"/>
      <c r="R114" s="90"/>
      <c r="S114" s="91"/>
      <c r="T114" s="90"/>
      <c r="U114" s="90"/>
      <c r="V114" s="111">
        <f t="shared" si="30"/>
        <v>0</v>
      </c>
      <c r="X114" s="9"/>
      <c r="Y114" s="65"/>
    </row>
    <row r="115" spans="1:25" s="8" customFormat="1" ht="13.8" x14ac:dyDescent="0.25">
      <c r="A115" s="339"/>
      <c r="B115" s="71"/>
      <c r="C115" s="71"/>
      <c r="D115" s="965"/>
      <c r="E115" s="934">
        <f>SUM(E113:E114)</f>
        <v>0</v>
      </c>
      <c r="F115" s="365">
        <f t="shared" ref="F115:U115" si="31">SUM(F113:F114)</f>
        <v>0</v>
      </c>
      <c r="G115" s="365">
        <f t="shared" si="31"/>
        <v>0</v>
      </c>
      <c r="H115" s="365">
        <f t="shared" si="31"/>
        <v>0</v>
      </c>
      <c r="I115" s="365">
        <f t="shared" si="31"/>
        <v>0</v>
      </c>
      <c r="J115" s="365">
        <f t="shared" si="31"/>
        <v>0</v>
      </c>
      <c r="K115" s="365">
        <f t="shared" si="31"/>
        <v>0</v>
      </c>
      <c r="L115" s="365">
        <f t="shared" si="31"/>
        <v>0</v>
      </c>
      <c r="M115" s="365">
        <f t="shared" si="31"/>
        <v>0</v>
      </c>
      <c r="N115" s="365">
        <f t="shared" si="31"/>
        <v>0</v>
      </c>
      <c r="O115" s="365">
        <f t="shared" si="31"/>
        <v>0</v>
      </c>
      <c r="P115" s="365">
        <f t="shared" si="31"/>
        <v>0</v>
      </c>
      <c r="Q115" s="365">
        <f t="shared" si="31"/>
        <v>0</v>
      </c>
      <c r="R115" s="365">
        <f t="shared" si="31"/>
        <v>0</v>
      </c>
      <c r="S115" s="365">
        <f t="shared" si="31"/>
        <v>0</v>
      </c>
      <c r="T115" s="365">
        <f t="shared" si="31"/>
        <v>0</v>
      </c>
      <c r="U115" s="365">
        <f t="shared" si="31"/>
        <v>0</v>
      </c>
      <c r="V115" s="404">
        <f>SUM(V113:V114)</f>
        <v>0</v>
      </c>
      <c r="X115" s="9"/>
      <c r="Y115" s="65"/>
    </row>
    <row r="116" spans="1:25" s="8" customFormat="1" ht="13.8" x14ac:dyDescent="0.25">
      <c r="A116" s="339"/>
      <c r="B116" s="71"/>
      <c r="C116" s="71"/>
      <c r="D116" s="965"/>
      <c r="E116" s="1089"/>
      <c r="F116" s="745"/>
      <c r="G116" s="1029"/>
      <c r="H116" s="1037"/>
      <c r="I116" s="1037"/>
      <c r="J116" s="1038"/>
      <c r="K116" s="1039"/>
      <c r="L116" s="1037"/>
      <c r="M116" s="1037"/>
      <c r="N116" s="1037"/>
      <c r="O116" s="1037"/>
      <c r="P116" s="1037"/>
      <c r="Q116" s="1037"/>
      <c r="R116" s="1037"/>
      <c r="S116" s="1037"/>
      <c r="T116" s="1037"/>
      <c r="U116" s="1037"/>
      <c r="V116" s="922"/>
      <c r="X116" s="420"/>
      <c r="Y116" s="420"/>
    </row>
    <row r="117" spans="1:25" s="8" customFormat="1" ht="13.8" x14ac:dyDescent="0.25">
      <c r="A117" s="339" t="s">
        <v>89</v>
      </c>
      <c r="B117" s="71"/>
      <c r="C117" s="71"/>
      <c r="D117" s="965"/>
      <c r="E117" s="1090">
        <v>50000</v>
      </c>
      <c r="F117" s="905" t="s">
        <v>276</v>
      </c>
      <c r="G117" s="179">
        <f>SUM(H117:U117)</f>
        <v>10000</v>
      </c>
      <c r="H117" s="362"/>
      <c r="I117" s="361"/>
      <c r="J117" s="362"/>
      <c r="K117" s="417">
        <v>10000</v>
      </c>
      <c r="L117" s="361"/>
      <c r="M117" s="361"/>
      <c r="N117" s="361"/>
      <c r="O117" s="363"/>
      <c r="P117" s="363"/>
      <c r="Q117" s="361"/>
      <c r="R117" s="361"/>
      <c r="S117" s="361"/>
      <c r="T117" s="361"/>
      <c r="U117" s="361"/>
      <c r="V117" s="214">
        <f t="shared" ref="V117:V120" si="32">E117-G117</f>
        <v>40000</v>
      </c>
      <c r="X117" s="9"/>
      <c r="Y117" s="65"/>
    </row>
    <row r="118" spans="1:25" s="64" customFormat="1" ht="13.8" x14ac:dyDescent="0.25">
      <c r="A118" s="319"/>
      <c r="B118" s="61"/>
      <c r="C118" s="61"/>
      <c r="D118" s="964"/>
      <c r="E118" s="1091"/>
      <c r="F118" s="376" t="s">
        <v>260</v>
      </c>
      <c r="G118" s="138">
        <f>SUM(H118:U118)</f>
        <v>0</v>
      </c>
      <c r="H118" s="66"/>
      <c r="I118" s="92"/>
      <c r="J118" s="92"/>
      <c r="K118" s="61"/>
      <c r="L118" s="67"/>
      <c r="M118" s="58"/>
      <c r="N118" s="58"/>
      <c r="O118" s="66"/>
      <c r="P118" s="66"/>
      <c r="Q118" s="92"/>
      <c r="R118" s="66"/>
      <c r="S118" s="66"/>
      <c r="T118" s="66"/>
      <c r="U118" s="66"/>
      <c r="V118" s="95">
        <f t="shared" si="32"/>
        <v>0</v>
      </c>
      <c r="X118" s="65"/>
      <c r="Y118" s="65"/>
    </row>
    <row r="119" spans="1:25" s="64" customFormat="1" ht="13.8" x14ac:dyDescent="0.25">
      <c r="A119" s="319"/>
      <c r="B119" s="61"/>
      <c r="C119" s="61"/>
      <c r="D119" s="964"/>
      <c r="E119" s="785">
        <v>50000</v>
      </c>
      <c r="F119" s="92" t="s">
        <v>261</v>
      </c>
      <c r="G119" s="227">
        <f>SUM(H119:U119)</f>
        <v>49900</v>
      </c>
      <c r="H119" s="66"/>
      <c r="I119" s="66"/>
      <c r="J119" s="66"/>
      <c r="K119" s="142">
        <v>49900</v>
      </c>
      <c r="L119" s="58"/>
      <c r="M119" s="66"/>
      <c r="N119" s="66"/>
      <c r="O119" s="92"/>
      <c r="P119" s="66"/>
      <c r="Q119" s="92"/>
      <c r="R119" s="66"/>
      <c r="S119" s="66"/>
      <c r="T119" s="66"/>
      <c r="U119" s="92"/>
      <c r="V119" s="95">
        <f t="shared" si="32"/>
        <v>100</v>
      </c>
      <c r="X119" s="65"/>
      <c r="Y119" s="326"/>
    </row>
    <row r="120" spans="1:25" s="8" customFormat="1" ht="13.8" x14ac:dyDescent="0.25">
      <c r="A120" s="339"/>
      <c r="B120" s="71"/>
      <c r="C120" s="71"/>
      <c r="D120" s="965"/>
      <c r="E120" s="786"/>
      <c r="F120" s="171" t="s">
        <v>262</v>
      </c>
      <c r="G120" s="219">
        <f>SUM(H120:U120)</f>
        <v>0</v>
      </c>
      <c r="H120" s="473"/>
      <c r="I120" s="415"/>
      <c r="J120" s="415"/>
      <c r="K120" s="789"/>
      <c r="L120" s="418"/>
      <c r="M120" s="391"/>
      <c r="N120" s="415"/>
      <c r="O120" s="391"/>
      <c r="P120" s="391"/>
      <c r="Q120" s="391"/>
      <c r="R120" s="415"/>
      <c r="S120" s="415"/>
      <c r="T120" s="391"/>
      <c r="U120" s="391"/>
      <c r="V120" s="111">
        <f t="shared" si="32"/>
        <v>0</v>
      </c>
      <c r="X120" s="9"/>
      <c r="Y120" s="419"/>
    </row>
    <row r="121" spans="1:25" s="4" customFormat="1" ht="13.8" x14ac:dyDescent="0.25">
      <c r="A121" s="772"/>
      <c r="B121" s="779"/>
      <c r="C121" s="779"/>
      <c r="D121" s="966"/>
      <c r="E121" s="935">
        <f>SUM(E117:E120)</f>
        <v>100000</v>
      </c>
      <c r="F121" s="481">
        <f t="shared" ref="F121:U121" si="33">SUM(F118:F120)</f>
        <v>0</v>
      </c>
      <c r="G121" s="775">
        <f>SUM(G117:G120)</f>
        <v>59900</v>
      </c>
      <c r="H121" s="481">
        <f t="shared" si="33"/>
        <v>0</v>
      </c>
      <c r="I121" s="481">
        <f t="shared" si="33"/>
        <v>0</v>
      </c>
      <c r="J121" s="481">
        <f t="shared" si="33"/>
        <v>0</v>
      </c>
      <c r="K121" s="465">
        <f>SUM(K117:K120)</f>
        <v>59900</v>
      </c>
      <c r="L121" s="481">
        <f t="shared" si="33"/>
        <v>0</v>
      </c>
      <c r="M121" s="481">
        <f t="shared" si="33"/>
        <v>0</v>
      </c>
      <c r="N121" s="481">
        <f t="shared" si="33"/>
        <v>0</v>
      </c>
      <c r="O121" s="481">
        <f t="shared" si="33"/>
        <v>0</v>
      </c>
      <c r="P121" s="481">
        <f t="shared" si="33"/>
        <v>0</v>
      </c>
      <c r="Q121" s="481">
        <f t="shared" si="33"/>
        <v>0</v>
      </c>
      <c r="R121" s="481">
        <f t="shared" si="33"/>
        <v>0</v>
      </c>
      <c r="S121" s="481">
        <f t="shared" si="33"/>
        <v>0</v>
      </c>
      <c r="T121" s="481">
        <f t="shared" si="33"/>
        <v>0</v>
      </c>
      <c r="U121" s="481">
        <f t="shared" si="33"/>
        <v>0</v>
      </c>
      <c r="V121" s="787">
        <f>SUM(V117:V120)</f>
        <v>40100</v>
      </c>
      <c r="X121" s="788"/>
      <c r="Y121" s="771"/>
    </row>
    <row r="122" spans="1:25" s="8" customFormat="1" ht="13.8" x14ac:dyDescent="0.25">
      <c r="A122" s="339"/>
      <c r="B122" s="71"/>
      <c r="C122" s="71"/>
      <c r="D122" s="965"/>
      <c r="E122" s="1034"/>
      <c r="F122" s="1033"/>
      <c r="G122" s="1033"/>
      <c r="H122" s="1033"/>
      <c r="I122" s="1033"/>
      <c r="J122" s="1034"/>
      <c r="K122" s="1035"/>
      <c r="L122" s="1033"/>
      <c r="M122" s="1036"/>
      <c r="N122" s="1036"/>
      <c r="O122" s="1033"/>
      <c r="P122" s="1033"/>
      <c r="Q122" s="1033"/>
      <c r="R122" s="1033"/>
      <c r="S122" s="1033"/>
      <c r="T122" s="1033"/>
      <c r="U122" s="1033"/>
      <c r="V122" s="922"/>
      <c r="X122" s="420"/>
      <c r="Y122" s="420"/>
    </row>
    <row r="123" spans="1:25" s="8" customFormat="1" ht="13.8" x14ac:dyDescent="0.25">
      <c r="A123" s="339"/>
      <c r="B123" s="71"/>
      <c r="C123" s="71"/>
      <c r="D123" s="965"/>
      <c r="E123" s="744"/>
      <c r="F123" s="744"/>
      <c r="G123" s="1030"/>
      <c r="H123" s="1030"/>
      <c r="I123" s="1030"/>
      <c r="J123" s="744"/>
      <c r="K123" s="1031"/>
      <c r="L123" s="1030"/>
      <c r="M123" s="1032"/>
      <c r="N123" s="1032"/>
      <c r="O123" s="1030"/>
      <c r="P123" s="1030"/>
      <c r="Q123" s="1030"/>
      <c r="R123" s="1030"/>
      <c r="S123" s="1030"/>
      <c r="T123" s="1030"/>
      <c r="U123" s="1030"/>
      <c r="V123" s="184"/>
      <c r="X123" s="420"/>
      <c r="Y123" s="420"/>
    </row>
    <row r="124" spans="1:25" s="8" customFormat="1" ht="13.8" x14ac:dyDescent="0.25">
      <c r="A124" s="339" t="s">
        <v>15</v>
      </c>
      <c r="B124" s="71"/>
      <c r="C124" s="71"/>
      <c r="D124" s="965"/>
      <c r="E124" s="888"/>
      <c r="F124" s="97" t="s">
        <v>263</v>
      </c>
      <c r="G124" s="887">
        <f>SUM(H124:U124)</f>
        <v>0</v>
      </c>
      <c r="H124" s="887"/>
      <c r="I124" s="880"/>
      <c r="J124" s="881"/>
      <c r="K124" s="882"/>
      <c r="L124" s="880"/>
      <c r="M124" s="900"/>
      <c r="N124" s="890"/>
      <c r="O124" s="901"/>
      <c r="P124" s="901"/>
      <c r="Q124" s="887"/>
      <c r="R124" s="887"/>
      <c r="S124" s="880"/>
      <c r="T124" s="880"/>
      <c r="U124" s="880"/>
      <c r="V124" s="111">
        <f>E124-G124</f>
        <v>0</v>
      </c>
      <c r="X124" s="420"/>
      <c r="Y124" s="420"/>
    </row>
    <row r="125" spans="1:25" s="8" customFormat="1" ht="13.8" x14ac:dyDescent="0.25">
      <c r="A125" s="339"/>
      <c r="B125" s="71"/>
      <c r="C125" s="71"/>
      <c r="D125" s="965"/>
      <c r="E125" s="893"/>
      <c r="F125" s="91" t="s">
        <v>262</v>
      </c>
      <c r="G125" s="403">
        <f t="shared" ref="G125" si="34">SUM(H125:U125)</f>
        <v>0</v>
      </c>
      <c r="H125" s="388"/>
      <c r="I125" s="388"/>
      <c r="J125" s="754"/>
      <c r="K125" s="755"/>
      <c r="L125" s="388"/>
      <c r="M125" s="756"/>
      <c r="N125" s="427"/>
      <c r="O125" s="757"/>
      <c r="P125" s="757"/>
      <c r="Q125" s="403"/>
      <c r="R125" s="403"/>
      <c r="S125" s="403"/>
      <c r="T125" s="388"/>
      <c r="U125" s="388"/>
      <c r="V125" s="214">
        <f t="shared" ref="V125" si="35">E125-G125</f>
        <v>0</v>
      </c>
      <c r="Y125" s="65"/>
    </row>
    <row r="126" spans="1:25" s="8" customFormat="1" ht="13.8" x14ac:dyDescent="0.25">
      <c r="A126" s="339"/>
      <c r="B126" s="71"/>
      <c r="C126" s="71"/>
      <c r="D126" s="965"/>
      <c r="E126" s="931">
        <f>SUM(E124:E125)</f>
        <v>0</v>
      </c>
      <c r="F126" s="358">
        <f t="shared" ref="F126:U126" ca="1" si="36">SUM(F124:F126)</f>
        <v>0</v>
      </c>
      <c r="G126" s="358">
        <f t="shared" ca="1" si="36"/>
        <v>0</v>
      </c>
      <c r="H126" s="358">
        <f t="shared" ca="1" si="36"/>
        <v>0</v>
      </c>
      <c r="I126" s="358">
        <f t="shared" ca="1" si="36"/>
        <v>0</v>
      </c>
      <c r="J126" s="358">
        <f t="shared" ca="1" si="36"/>
        <v>0</v>
      </c>
      <c r="K126" s="358">
        <f t="shared" ca="1" si="36"/>
        <v>0</v>
      </c>
      <c r="L126" s="358">
        <f t="shared" ca="1" si="36"/>
        <v>0</v>
      </c>
      <c r="M126" s="358">
        <f t="shared" ca="1" si="36"/>
        <v>0</v>
      </c>
      <c r="N126" s="358">
        <f t="shared" ca="1" si="36"/>
        <v>0</v>
      </c>
      <c r="O126" s="358">
        <f t="shared" ca="1" si="36"/>
        <v>0</v>
      </c>
      <c r="P126" s="358">
        <f t="shared" ca="1" si="36"/>
        <v>0</v>
      </c>
      <c r="Q126" s="358">
        <f t="shared" ca="1" si="36"/>
        <v>0</v>
      </c>
      <c r="R126" s="358">
        <f t="shared" ca="1" si="36"/>
        <v>0</v>
      </c>
      <c r="S126" s="358">
        <f t="shared" ca="1" si="36"/>
        <v>0</v>
      </c>
      <c r="T126" s="358">
        <f t="shared" ca="1" si="36"/>
        <v>0</v>
      </c>
      <c r="U126" s="358">
        <f t="shared" ca="1" si="36"/>
        <v>0</v>
      </c>
      <c r="V126" s="404">
        <f>SUM(V124:V125)</f>
        <v>0</v>
      </c>
      <c r="X126" s="420"/>
      <c r="Y126" s="420"/>
    </row>
    <row r="127" spans="1:25" s="8" customFormat="1" ht="13.8" x14ac:dyDescent="0.25">
      <c r="A127" s="339"/>
      <c r="B127" s="71"/>
      <c r="C127" s="71"/>
      <c r="D127" s="965"/>
      <c r="E127" s="747"/>
      <c r="F127" s="744"/>
      <c r="G127" s="746"/>
      <c r="H127" s="746"/>
      <c r="I127" s="746"/>
      <c r="J127" s="747"/>
      <c r="K127" s="899"/>
      <c r="L127" s="746"/>
      <c r="M127" s="874"/>
      <c r="N127" s="874"/>
      <c r="O127" s="746"/>
      <c r="P127" s="746"/>
      <c r="Q127" s="746"/>
      <c r="R127" s="746"/>
      <c r="S127" s="746"/>
      <c r="T127" s="746"/>
      <c r="U127" s="746"/>
      <c r="V127" s="483"/>
      <c r="X127" s="420"/>
      <c r="Y127" s="420"/>
    </row>
    <row r="128" spans="1:25" s="8" customFormat="1" ht="13.8" x14ac:dyDescent="0.25">
      <c r="A128" s="339" t="s">
        <v>16</v>
      </c>
      <c r="B128" s="71"/>
      <c r="C128" s="71"/>
      <c r="D128" s="965"/>
      <c r="E128" s="889"/>
      <c r="F128" s="343" t="s">
        <v>261</v>
      </c>
      <c r="G128" s="887">
        <f>SUM(H128:U128)</f>
        <v>0</v>
      </c>
      <c r="H128" s="887"/>
      <c r="I128" s="880"/>
      <c r="J128" s="881"/>
      <c r="K128" s="882"/>
      <c r="L128" s="880"/>
      <c r="M128" s="900"/>
      <c r="N128" s="890"/>
      <c r="O128" s="901"/>
      <c r="P128" s="901"/>
      <c r="Q128" s="887"/>
      <c r="R128" s="887"/>
      <c r="S128" s="880"/>
      <c r="T128" s="880"/>
      <c r="U128" s="880"/>
      <c r="V128" s="111">
        <f>E128-G128</f>
        <v>0</v>
      </c>
      <c r="X128" s="420"/>
      <c r="Y128" s="420"/>
    </row>
    <row r="129" spans="1:25" s="8" customFormat="1" ht="13.8" x14ac:dyDescent="0.25">
      <c r="A129" s="339"/>
      <c r="B129" s="71"/>
      <c r="C129" s="71"/>
      <c r="D129" s="965"/>
      <c r="E129" s="893"/>
      <c r="F129" s="91" t="s">
        <v>262</v>
      </c>
      <c r="G129" s="403">
        <f t="shared" ref="G129" si="37">SUM(H129:U129)</f>
        <v>0</v>
      </c>
      <c r="H129" s="388"/>
      <c r="I129" s="388"/>
      <c r="J129" s="754"/>
      <c r="K129" s="755"/>
      <c r="L129" s="388"/>
      <c r="M129" s="756"/>
      <c r="N129" s="427"/>
      <c r="O129" s="757"/>
      <c r="P129" s="757"/>
      <c r="Q129" s="403"/>
      <c r="R129" s="403"/>
      <c r="S129" s="403"/>
      <c r="T129" s="388"/>
      <c r="U129" s="388"/>
      <c r="V129" s="214">
        <f t="shared" ref="V129" si="38">E129-G129</f>
        <v>0</v>
      </c>
      <c r="Y129" s="65"/>
    </row>
    <row r="130" spans="1:25" s="8" customFormat="1" ht="13.8" x14ac:dyDescent="0.25">
      <c r="A130" s="339"/>
      <c r="B130" s="71"/>
      <c r="C130" s="71"/>
      <c r="D130" s="965"/>
      <c r="E130" s="931">
        <f>SUM(E128:E129)</f>
        <v>0</v>
      </c>
      <c r="F130" s="358">
        <f t="shared" ref="F130:U130" ca="1" si="39">SUM(F128:F130)</f>
        <v>0</v>
      </c>
      <c r="G130" s="358">
        <f t="shared" ca="1" si="39"/>
        <v>0</v>
      </c>
      <c r="H130" s="358">
        <f t="shared" ca="1" si="39"/>
        <v>0</v>
      </c>
      <c r="I130" s="358">
        <f t="shared" ca="1" si="39"/>
        <v>0</v>
      </c>
      <c r="J130" s="358">
        <f t="shared" ca="1" si="39"/>
        <v>0</v>
      </c>
      <c r="K130" s="358">
        <f t="shared" ca="1" si="39"/>
        <v>0</v>
      </c>
      <c r="L130" s="358">
        <f t="shared" ca="1" si="39"/>
        <v>0</v>
      </c>
      <c r="M130" s="358">
        <f t="shared" ca="1" si="39"/>
        <v>0</v>
      </c>
      <c r="N130" s="358">
        <f t="shared" ca="1" si="39"/>
        <v>0</v>
      </c>
      <c r="O130" s="358">
        <f t="shared" ca="1" si="39"/>
        <v>0</v>
      </c>
      <c r="P130" s="358">
        <f t="shared" ca="1" si="39"/>
        <v>0</v>
      </c>
      <c r="Q130" s="358">
        <f t="shared" ca="1" si="39"/>
        <v>0</v>
      </c>
      <c r="R130" s="358">
        <f t="shared" ca="1" si="39"/>
        <v>0</v>
      </c>
      <c r="S130" s="358">
        <f t="shared" ca="1" si="39"/>
        <v>0</v>
      </c>
      <c r="T130" s="358">
        <f t="shared" ca="1" si="39"/>
        <v>0</v>
      </c>
      <c r="U130" s="358">
        <f t="shared" ca="1" si="39"/>
        <v>0</v>
      </c>
      <c r="V130" s="404">
        <f>SUM(V128:V129)</f>
        <v>0</v>
      </c>
      <c r="X130" s="9"/>
      <c r="Y130" s="65"/>
    </row>
    <row r="131" spans="1:25" s="8" customFormat="1" ht="13.8" x14ac:dyDescent="0.25">
      <c r="A131" s="339"/>
      <c r="B131" s="71"/>
      <c r="C131" s="71"/>
      <c r="D131" s="965"/>
      <c r="E131" s="747"/>
      <c r="F131" s="746"/>
      <c r="G131" s="746"/>
      <c r="H131" s="746"/>
      <c r="I131" s="746"/>
      <c r="J131" s="747"/>
      <c r="K131" s="899"/>
      <c r="L131" s="746"/>
      <c r="M131" s="874"/>
      <c r="N131" s="874"/>
      <c r="O131" s="746"/>
      <c r="P131" s="746"/>
      <c r="Q131" s="746"/>
      <c r="R131" s="746"/>
      <c r="S131" s="746"/>
      <c r="T131" s="746"/>
      <c r="U131" s="746"/>
      <c r="V131" s="483"/>
      <c r="X131" s="420"/>
      <c r="Y131" s="420"/>
    </row>
    <row r="132" spans="1:25" s="64" customFormat="1" ht="13.8" x14ac:dyDescent="0.25">
      <c r="A132" s="319" t="s">
        <v>17</v>
      </c>
      <c r="B132" s="61"/>
      <c r="C132" s="61"/>
      <c r="D132" s="964"/>
      <c r="E132" s="66"/>
      <c r="F132" s="369" t="s">
        <v>263</v>
      </c>
      <c r="G132" s="58">
        <f>SUM(H132:U132)</f>
        <v>0</v>
      </c>
      <c r="H132" s="58"/>
      <c r="I132" s="329"/>
      <c r="J132" s="369"/>
      <c r="K132" s="371"/>
      <c r="L132" s="329"/>
      <c r="M132" s="382">
        <v>0</v>
      </c>
      <c r="N132" s="383"/>
      <c r="O132" s="62"/>
      <c r="P132" s="62"/>
      <c r="Q132" s="58"/>
      <c r="R132" s="58"/>
      <c r="S132" s="329"/>
      <c r="T132" s="329"/>
      <c r="U132" s="329"/>
      <c r="V132" s="95">
        <f>E132-G132</f>
        <v>0</v>
      </c>
      <c r="Y132" s="65"/>
    </row>
    <row r="133" spans="1:25" s="64" customFormat="1" ht="13.8" x14ac:dyDescent="0.25">
      <c r="A133" s="319"/>
      <c r="B133" s="61"/>
      <c r="C133" s="61"/>
      <c r="D133" s="964"/>
      <c r="E133" s="138">
        <v>200000</v>
      </c>
      <c r="F133" s="408" t="s">
        <v>270</v>
      </c>
      <c r="G133" s="765">
        <f t="shared" ref="G133:G134" si="40">SUM(H133:U133)</f>
        <v>200000</v>
      </c>
      <c r="H133" s="94"/>
      <c r="I133" s="408"/>
      <c r="J133" s="409"/>
      <c r="K133" s="410">
        <v>200000</v>
      </c>
      <c r="L133" s="408"/>
      <c r="M133" s="412"/>
      <c r="N133" s="413"/>
      <c r="O133" s="870"/>
      <c r="P133" s="870"/>
      <c r="Q133" s="94"/>
      <c r="R133" s="94"/>
      <c r="S133" s="408"/>
      <c r="T133" s="408"/>
      <c r="U133" s="408"/>
      <c r="V133" s="95">
        <f t="shared" ref="V133:V134" si="41">E133-G133</f>
        <v>0</v>
      </c>
      <c r="Y133" s="65"/>
    </row>
    <row r="134" spans="1:25" s="64" customFormat="1" ht="13.8" x14ac:dyDescent="0.25">
      <c r="A134" s="319"/>
      <c r="B134" s="61"/>
      <c r="C134" s="61"/>
      <c r="D134" s="964"/>
      <c r="E134" s="227">
        <v>600000</v>
      </c>
      <c r="F134" s="226" t="s">
        <v>266</v>
      </c>
      <c r="G134" s="322">
        <f t="shared" si="40"/>
        <v>0</v>
      </c>
      <c r="H134" s="322"/>
      <c r="I134" s="324"/>
      <c r="J134" s="376"/>
      <c r="K134" s="377"/>
      <c r="L134" s="324"/>
      <c r="M134" s="379"/>
      <c r="N134" s="384"/>
      <c r="O134" s="323"/>
      <c r="P134" s="323"/>
      <c r="Q134" s="322"/>
      <c r="R134" s="322"/>
      <c r="S134" s="324"/>
      <c r="T134" s="324"/>
      <c r="U134" s="435"/>
      <c r="V134" s="95">
        <f t="shared" si="41"/>
        <v>600000</v>
      </c>
      <c r="Y134" s="65"/>
    </row>
    <row r="135" spans="1:25" s="279" customFormat="1" ht="13.8" x14ac:dyDescent="0.25">
      <c r="A135" s="783"/>
      <c r="B135" s="784"/>
      <c r="C135" s="784"/>
      <c r="D135" s="967"/>
      <c r="E135" s="928">
        <f>E132+E133+E134</f>
        <v>800000</v>
      </c>
      <c r="F135" s="1042"/>
      <c r="G135" s="1043">
        <f>G132+G133+G134</f>
        <v>200000</v>
      </c>
      <c r="H135" s="1044">
        <f t="shared" ref="H135:V135" si="42">H132+H133+H134</f>
        <v>0</v>
      </c>
      <c r="I135" s="465">
        <f t="shared" si="42"/>
        <v>0</v>
      </c>
      <c r="J135" s="465">
        <f t="shared" si="42"/>
        <v>0</v>
      </c>
      <c r="K135" s="465">
        <f t="shared" si="42"/>
        <v>200000</v>
      </c>
      <c r="L135" s="1045">
        <f t="shared" si="42"/>
        <v>0</v>
      </c>
      <c r="M135" s="1046">
        <f t="shared" si="42"/>
        <v>0</v>
      </c>
      <c r="N135" s="1046">
        <f t="shared" si="42"/>
        <v>0</v>
      </c>
      <c r="O135" s="1046">
        <f t="shared" si="42"/>
        <v>0</v>
      </c>
      <c r="P135" s="1046">
        <f t="shared" si="42"/>
        <v>0</v>
      </c>
      <c r="Q135" s="1046">
        <f t="shared" si="42"/>
        <v>0</v>
      </c>
      <c r="R135" s="1046">
        <f t="shared" si="42"/>
        <v>0</v>
      </c>
      <c r="S135" s="1046">
        <f t="shared" si="42"/>
        <v>0</v>
      </c>
      <c r="T135" s="1046">
        <f t="shared" si="42"/>
        <v>0</v>
      </c>
      <c r="U135" s="1047">
        <f t="shared" si="42"/>
        <v>0</v>
      </c>
      <c r="V135" s="1092">
        <f t="shared" si="42"/>
        <v>600000</v>
      </c>
      <c r="Y135" s="771"/>
    </row>
    <row r="136" spans="1:25" s="64" customFormat="1" ht="13.8" x14ac:dyDescent="0.25">
      <c r="A136" s="319"/>
      <c r="B136" s="61"/>
      <c r="C136" s="61"/>
      <c r="D136" s="964"/>
      <c r="E136" s="356"/>
      <c r="F136" s="226"/>
      <c r="G136" s="322"/>
      <c r="H136" s="322"/>
      <c r="I136" s="324"/>
      <c r="J136" s="376"/>
      <c r="K136" s="377"/>
      <c r="L136" s="324"/>
      <c r="M136" s="379"/>
      <c r="N136" s="384"/>
      <c r="O136" s="323"/>
      <c r="P136" s="323"/>
      <c r="Q136" s="322"/>
      <c r="R136" s="322"/>
      <c r="S136" s="324"/>
      <c r="T136" s="324"/>
      <c r="U136" s="408"/>
      <c r="V136" s="903"/>
      <c r="Y136" s="65"/>
    </row>
    <row r="137" spans="1:25" s="64" customFormat="1" ht="13.8" x14ac:dyDescent="0.25">
      <c r="A137" s="319" t="s">
        <v>18</v>
      </c>
      <c r="B137" s="61"/>
      <c r="C137" s="61"/>
      <c r="D137" s="964"/>
      <c r="E137" s="138">
        <v>978597.04</v>
      </c>
      <c r="F137" s="136" t="s">
        <v>263</v>
      </c>
      <c r="G137" s="136">
        <f>SUM(H137:U137)</f>
        <v>200000</v>
      </c>
      <c r="H137" s="58"/>
      <c r="I137" s="329"/>
      <c r="J137" s="369"/>
      <c r="K137" s="371">
        <v>200000</v>
      </c>
      <c r="L137" s="329"/>
      <c r="M137" s="382"/>
      <c r="N137" s="383"/>
      <c r="O137" s="62"/>
      <c r="P137" s="62"/>
      <c r="Q137" s="58"/>
      <c r="R137" s="58"/>
      <c r="S137" s="58"/>
      <c r="T137" s="329"/>
      <c r="U137" s="329"/>
      <c r="V137" s="792">
        <f>E137-G137</f>
        <v>778597.04</v>
      </c>
      <c r="Y137" s="65"/>
    </row>
    <row r="138" spans="1:25" s="64" customFormat="1" ht="13.8" x14ac:dyDescent="0.25">
      <c r="A138" s="319"/>
      <c r="B138" s="61"/>
      <c r="C138" s="61"/>
      <c r="D138" s="964"/>
      <c r="E138" s="356"/>
      <c r="F138" s="324" t="s">
        <v>267</v>
      </c>
      <c r="G138" s="322">
        <f>SUM(H138:U138)</f>
        <v>0</v>
      </c>
      <c r="H138" s="324"/>
      <c r="I138" s="324"/>
      <c r="J138" s="376"/>
      <c r="K138" s="377"/>
      <c r="L138" s="324"/>
      <c r="M138" s="379"/>
      <c r="N138" s="384"/>
      <c r="O138" s="323"/>
      <c r="P138" s="323"/>
      <c r="Q138" s="322"/>
      <c r="R138" s="322"/>
      <c r="S138" s="322"/>
      <c r="T138" s="324"/>
      <c r="U138" s="324"/>
      <c r="V138" s="792">
        <f t="shared" ref="V138:V140" si="43">E138-G138</f>
        <v>0</v>
      </c>
      <c r="Y138" s="65"/>
    </row>
    <row r="139" spans="1:25" s="64" customFormat="1" ht="13.8" x14ac:dyDescent="0.25">
      <c r="A139" s="319"/>
      <c r="B139" s="61"/>
      <c r="C139" s="61"/>
      <c r="D139" s="964"/>
      <c r="E139" s="66"/>
      <c r="F139" s="329" t="s">
        <v>270</v>
      </c>
      <c r="G139" s="58">
        <f t="shared" ref="G139:G140" si="44">SUM(H139:U139)</f>
        <v>0</v>
      </c>
      <c r="H139" s="329"/>
      <c r="I139" s="329"/>
      <c r="J139" s="369"/>
      <c r="K139" s="371"/>
      <c r="L139" s="329"/>
      <c r="M139" s="382"/>
      <c r="N139" s="383"/>
      <c r="O139" s="62"/>
      <c r="P139" s="62"/>
      <c r="Q139" s="58"/>
      <c r="R139" s="58"/>
      <c r="S139" s="58"/>
      <c r="T139" s="329"/>
      <c r="U139" s="329"/>
      <c r="V139" s="792">
        <f t="shared" si="43"/>
        <v>0</v>
      </c>
      <c r="Y139" s="65"/>
    </row>
    <row r="140" spans="1:25" s="64" customFormat="1" ht="13.8" x14ac:dyDescent="0.25">
      <c r="A140" s="319"/>
      <c r="B140" s="61"/>
      <c r="C140" s="61"/>
      <c r="D140" s="964"/>
      <c r="E140" s="893"/>
      <c r="F140" s="388" t="s">
        <v>262</v>
      </c>
      <c r="G140" s="403">
        <f t="shared" si="44"/>
        <v>0</v>
      </c>
      <c r="H140" s="388"/>
      <c r="I140" s="388"/>
      <c r="J140" s="754"/>
      <c r="K140" s="755"/>
      <c r="L140" s="388"/>
      <c r="M140" s="756"/>
      <c r="N140" s="427"/>
      <c r="O140" s="757"/>
      <c r="P140" s="757"/>
      <c r="Q140" s="403"/>
      <c r="R140" s="403"/>
      <c r="S140" s="403"/>
      <c r="T140" s="388"/>
      <c r="U140" s="388"/>
      <c r="V140" s="792">
        <f t="shared" si="43"/>
        <v>0</v>
      </c>
      <c r="Y140" s="65"/>
    </row>
    <row r="141" spans="1:25" s="4" customFormat="1" ht="13.8" x14ac:dyDescent="0.25">
      <c r="A141" s="772"/>
      <c r="B141" s="779"/>
      <c r="C141" s="779"/>
      <c r="D141" s="966"/>
      <c r="E141" s="928">
        <f>SUM(E137:E140)</f>
        <v>978597.04</v>
      </c>
      <c r="F141" s="465">
        <f t="shared" ref="F141:U141" si="45">SUM(F137:F140)</f>
        <v>0</v>
      </c>
      <c r="G141" s="465">
        <f t="shared" si="45"/>
        <v>200000</v>
      </c>
      <c r="H141" s="481">
        <f t="shared" si="45"/>
        <v>0</v>
      </c>
      <c r="I141" s="481">
        <f t="shared" si="45"/>
        <v>0</v>
      </c>
      <c r="J141" s="481">
        <f t="shared" si="45"/>
        <v>0</v>
      </c>
      <c r="K141" s="481">
        <f t="shared" si="45"/>
        <v>200000</v>
      </c>
      <c r="L141" s="481">
        <f t="shared" si="45"/>
        <v>0</v>
      </c>
      <c r="M141" s="481">
        <f t="shared" si="45"/>
        <v>0</v>
      </c>
      <c r="N141" s="481">
        <f t="shared" si="45"/>
        <v>0</v>
      </c>
      <c r="O141" s="481">
        <f t="shared" si="45"/>
        <v>0</v>
      </c>
      <c r="P141" s="481">
        <f t="shared" si="45"/>
        <v>0</v>
      </c>
      <c r="Q141" s="481">
        <f t="shared" si="45"/>
        <v>0</v>
      </c>
      <c r="R141" s="481">
        <f t="shared" si="45"/>
        <v>0</v>
      </c>
      <c r="S141" s="481">
        <f t="shared" si="45"/>
        <v>0</v>
      </c>
      <c r="T141" s="481">
        <f t="shared" si="45"/>
        <v>0</v>
      </c>
      <c r="U141" s="481">
        <f t="shared" si="45"/>
        <v>0</v>
      </c>
      <c r="V141" s="1093">
        <f>SUM(V137:V140)</f>
        <v>778597.04</v>
      </c>
      <c r="Y141" s="771"/>
    </row>
    <row r="142" spans="1:25" s="8" customFormat="1" ht="13.8" x14ac:dyDescent="0.25">
      <c r="A142" s="339"/>
      <c r="B142" s="71"/>
      <c r="C142" s="71"/>
      <c r="D142" s="965"/>
      <c r="E142" s="747"/>
      <c r="F142" s="746"/>
      <c r="G142" s="746"/>
      <c r="H142" s="746"/>
      <c r="I142" s="746"/>
      <c r="J142" s="746"/>
      <c r="K142" s="874"/>
      <c r="L142" s="746"/>
      <c r="M142" s="746"/>
      <c r="N142" s="746"/>
      <c r="O142" s="746"/>
      <c r="P142" s="746"/>
      <c r="Q142" s="746"/>
      <c r="R142" s="746"/>
      <c r="S142" s="746"/>
      <c r="T142" s="746"/>
      <c r="U142" s="746"/>
      <c r="V142" s="1094"/>
      <c r="Y142" s="420"/>
    </row>
    <row r="143" spans="1:25" s="64" customFormat="1" ht="13.8" x14ac:dyDescent="0.25">
      <c r="A143" s="1349" t="s">
        <v>277</v>
      </c>
      <c r="B143" s="1350"/>
      <c r="C143" s="1350"/>
      <c r="D143" s="1351"/>
      <c r="E143" s="66"/>
      <c r="F143" s="329" t="s">
        <v>266</v>
      </c>
      <c r="G143" s="58">
        <f>SUM(H143:U143)</f>
        <v>0</v>
      </c>
      <c r="H143" s="58"/>
      <c r="I143" s="58"/>
      <c r="J143" s="58"/>
      <c r="K143" s="383"/>
      <c r="L143" s="58">
        <v>0</v>
      </c>
      <c r="M143" s="58"/>
      <c r="N143" s="58"/>
      <c r="O143" s="58"/>
      <c r="P143" s="58"/>
      <c r="Q143" s="58"/>
      <c r="R143" s="58"/>
      <c r="S143" s="58"/>
      <c r="T143" s="58"/>
      <c r="U143" s="58"/>
      <c r="V143" s="1095">
        <f>E143-G143</f>
        <v>0</v>
      </c>
      <c r="Y143" s="65"/>
    </row>
    <row r="144" spans="1:25" s="64" customFormat="1" ht="13.8" x14ac:dyDescent="0.25">
      <c r="A144" s="1349" t="s">
        <v>278</v>
      </c>
      <c r="B144" s="1350"/>
      <c r="C144" s="1350"/>
      <c r="D144" s="1350"/>
      <c r="E144" s="1040"/>
      <c r="F144" s="324" t="s">
        <v>270</v>
      </c>
      <c r="G144" s="322">
        <f>SUM(H144:U144)</f>
        <v>0</v>
      </c>
      <c r="H144" s="322"/>
      <c r="I144" s="322"/>
      <c r="J144" s="356"/>
      <c r="K144" s="326"/>
      <c r="L144" s="322"/>
      <c r="M144" s="384"/>
      <c r="N144" s="384"/>
      <c r="O144" s="322"/>
      <c r="P144" s="322"/>
      <c r="Q144" s="322"/>
      <c r="R144" s="322"/>
      <c r="S144" s="323"/>
      <c r="T144" s="322"/>
      <c r="U144" s="322"/>
      <c r="V144" s="1003">
        <f t="shared" ref="V144:V147" si="46">E144-G144</f>
        <v>0</v>
      </c>
      <c r="Y144" s="65"/>
    </row>
    <row r="145" spans="1:25" s="64" customFormat="1" ht="13.8" x14ac:dyDescent="0.25">
      <c r="A145" s="421"/>
      <c r="B145" s="422"/>
      <c r="C145" s="422"/>
      <c r="D145" s="960"/>
      <c r="E145" s="66"/>
      <c r="F145" s="329" t="s">
        <v>267</v>
      </c>
      <c r="G145" s="58">
        <f>SUM(H145:U145)</f>
        <v>0</v>
      </c>
      <c r="H145" s="58"/>
      <c r="I145" s="58"/>
      <c r="J145" s="66"/>
      <c r="K145" s="63"/>
      <c r="L145" s="58"/>
      <c r="M145" s="383"/>
      <c r="N145" s="383"/>
      <c r="O145" s="58"/>
      <c r="P145" s="58"/>
      <c r="Q145" s="58"/>
      <c r="R145" s="58"/>
      <c r="S145" s="62"/>
      <c r="T145" s="58"/>
      <c r="U145" s="58"/>
      <c r="V145" s="792">
        <f t="shared" si="46"/>
        <v>0</v>
      </c>
      <c r="Y145" s="65"/>
    </row>
    <row r="146" spans="1:25" s="64" customFormat="1" ht="13.8" x14ac:dyDescent="0.25">
      <c r="A146" s="421"/>
      <c r="B146" s="422"/>
      <c r="C146" s="422"/>
      <c r="D146" s="960"/>
      <c r="E146" s="896"/>
      <c r="F146" s="408" t="s">
        <v>263</v>
      </c>
      <c r="G146" s="94">
        <f>SUM(H146:U146)</f>
        <v>0</v>
      </c>
      <c r="H146" s="94"/>
      <c r="I146" s="94"/>
      <c r="J146" s="896"/>
      <c r="K146" s="897"/>
      <c r="L146" s="94"/>
      <c r="M146" s="413"/>
      <c r="N146" s="413"/>
      <c r="O146" s="94"/>
      <c r="P146" s="94"/>
      <c r="Q146" s="94"/>
      <c r="R146" s="94"/>
      <c r="S146" s="898"/>
      <c r="T146" s="94"/>
      <c r="U146" s="94"/>
      <c r="V146" s="792">
        <f t="shared" si="46"/>
        <v>0</v>
      </c>
      <c r="Y146" s="65"/>
    </row>
    <row r="147" spans="1:25" s="64" customFormat="1" ht="13.8" x14ac:dyDescent="0.25">
      <c r="A147" s="421"/>
      <c r="B147" s="422"/>
      <c r="C147" s="422"/>
      <c r="D147" s="960"/>
      <c r="E147" s="893"/>
      <c r="F147" s="388" t="s">
        <v>266</v>
      </c>
      <c r="G147" s="403">
        <f>SUM(H147:U147)</f>
        <v>0</v>
      </c>
      <c r="H147" s="403"/>
      <c r="I147" s="403"/>
      <c r="J147" s="893"/>
      <c r="K147" s="419"/>
      <c r="L147" s="403"/>
      <c r="M147" s="427"/>
      <c r="N147" s="427"/>
      <c r="O147" s="403"/>
      <c r="P147" s="403"/>
      <c r="Q147" s="403"/>
      <c r="R147" s="403"/>
      <c r="S147" s="757"/>
      <c r="T147" s="403"/>
      <c r="U147" s="403"/>
      <c r="V147" s="95">
        <f t="shared" si="46"/>
        <v>0</v>
      </c>
      <c r="Y147" s="65"/>
    </row>
    <row r="148" spans="1:25" s="4" customFormat="1" ht="13.8" x14ac:dyDescent="0.25">
      <c r="A148" s="776"/>
      <c r="B148" s="777"/>
      <c r="C148" s="777"/>
      <c r="D148" s="958"/>
      <c r="E148" s="1021">
        <f>SUM(E144:E147)</f>
        <v>0</v>
      </c>
      <c r="F148" s="481">
        <f t="shared" ref="F148:U148" si="47">SUM(F144:F147)</f>
        <v>0</v>
      </c>
      <c r="G148" s="481">
        <f t="shared" si="47"/>
        <v>0</v>
      </c>
      <c r="H148" s="481">
        <f t="shared" si="47"/>
        <v>0</v>
      </c>
      <c r="I148" s="481">
        <f t="shared" si="47"/>
        <v>0</v>
      </c>
      <c r="J148" s="481">
        <f t="shared" si="47"/>
        <v>0</v>
      </c>
      <c r="K148" s="481">
        <f t="shared" si="47"/>
        <v>0</v>
      </c>
      <c r="L148" s="481">
        <f t="shared" si="47"/>
        <v>0</v>
      </c>
      <c r="M148" s="481">
        <f t="shared" si="47"/>
        <v>0</v>
      </c>
      <c r="N148" s="481">
        <f t="shared" si="47"/>
        <v>0</v>
      </c>
      <c r="O148" s="481">
        <f t="shared" si="47"/>
        <v>0</v>
      </c>
      <c r="P148" s="481">
        <f t="shared" si="47"/>
        <v>0</v>
      </c>
      <c r="Q148" s="481">
        <f t="shared" si="47"/>
        <v>0</v>
      </c>
      <c r="R148" s="481">
        <f t="shared" si="47"/>
        <v>0</v>
      </c>
      <c r="S148" s="481">
        <f t="shared" si="47"/>
        <v>0</v>
      </c>
      <c r="T148" s="481">
        <f t="shared" si="47"/>
        <v>0</v>
      </c>
      <c r="U148" s="481">
        <f t="shared" si="47"/>
        <v>0</v>
      </c>
      <c r="V148" s="835">
        <f>SUM(V144:V147)</f>
        <v>0</v>
      </c>
      <c r="Y148" s="771"/>
    </row>
    <row r="149" spans="1:25" s="8" customFormat="1" ht="13.8" x14ac:dyDescent="0.25">
      <c r="A149" s="423"/>
      <c r="B149" s="424"/>
      <c r="C149" s="424"/>
      <c r="D149" s="959"/>
      <c r="E149" s="1048"/>
      <c r="F149" s="1049"/>
      <c r="G149" s="1049"/>
      <c r="H149" s="1049"/>
      <c r="I149" s="1049"/>
      <c r="J149" s="1048"/>
      <c r="K149" s="1050"/>
      <c r="L149" s="1049"/>
      <c r="M149" s="1051"/>
      <c r="N149" s="1051"/>
      <c r="O149" s="1049"/>
      <c r="P149" s="1049"/>
      <c r="Q149" s="1049"/>
      <c r="R149" s="1049"/>
      <c r="S149" s="1049"/>
      <c r="T149" s="1049"/>
      <c r="U149" s="1049"/>
      <c r="V149" s="1052"/>
      <c r="Y149" s="420"/>
    </row>
    <row r="150" spans="1:25" s="64" customFormat="1" ht="13.8" x14ac:dyDescent="0.25">
      <c r="A150" s="1352" t="s">
        <v>279</v>
      </c>
      <c r="B150" s="1353"/>
      <c r="C150" s="1353"/>
      <c r="D150" s="1354"/>
      <c r="E150" s="766">
        <v>300000</v>
      </c>
      <c r="F150" s="765" t="s">
        <v>266</v>
      </c>
      <c r="G150" s="765">
        <f>SUM(H150:U150)</f>
        <v>200000</v>
      </c>
      <c r="H150" s="765"/>
      <c r="I150" s="765"/>
      <c r="J150" s="766"/>
      <c r="K150" s="767">
        <v>200000</v>
      </c>
      <c r="L150" s="765"/>
      <c r="M150" s="413"/>
      <c r="N150" s="413"/>
      <c r="O150" s="94"/>
      <c r="P150" s="94"/>
      <c r="Q150" s="94"/>
      <c r="R150" s="94"/>
      <c r="S150" s="870"/>
      <c r="T150" s="94"/>
      <c r="U150" s="94"/>
      <c r="V150" s="95">
        <f t="shared" ref="V150:V152" si="48">E150-G150</f>
        <v>100000</v>
      </c>
      <c r="Y150" s="65"/>
    </row>
    <row r="151" spans="1:25" s="64" customFormat="1" ht="13.8" x14ac:dyDescent="0.25">
      <c r="A151" s="425"/>
      <c r="B151" s="426"/>
      <c r="C151" s="426"/>
      <c r="D151" s="962"/>
      <c r="E151" s="138">
        <v>1000000</v>
      </c>
      <c r="F151" s="136" t="s">
        <v>270</v>
      </c>
      <c r="G151" s="136">
        <f t="shared" ref="G151:G152" si="49">SUM(H151:U151)</f>
        <v>523172.14</v>
      </c>
      <c r="H151" s="136"/>
      <c r="I151" s="136"/>
      <c r="J151" s="138"/>
      <c r="K151" s="142">
        <f>100000+380925.63+30000</f>
        <v>510925.63</v>
      </c>
      <c r="L151" s="136"/>
      <c r="M151" s="383">
        <v>3294.38</v>
      </c>
      <c r="N151" s="383">
        <v>8952.1299999999992</v>
      </c>
      <c r="O151" s="58"/>
      <c r="P151" s="58"/>
      <c r="Q151" s="58"/>
      <c r="R151" s="58"/>
      <c r="S151" s="62"/>
      <c r="T151" s="58"/>
      <c r="U151" s="58"/>
      <c r="V151" s="95">
        <f t="shared" si="48"/>
        <v>476827.86</v>
      </c>
      <c r="Y151" s="65"/>
    </row>
    <row r="152" spans="1:25" s="64" customFormat="1" ht="13.8" x14ac:dyDescent="0.25">
      <c r="A152" s="425"/>
      <c r="B152" s="426"/>
      <c r="C152" s="426"/>
      <c r="D152" s="962"/>
      <c r="E152" s="884">
        <v>185328.12</v>
      </c>
      <c r="F152" s="778" t="s">
        <v>261</v>
      </c>
      <c r="G152" s="778">
        <f t="shared" si="49"/>
        <v>0</v>
      </c>
      <c r="H152" s="778"/>
      <c r="I152" s="778"/>
      <c r="J152" s="884"/>
      <c r="K152" s="885"/>
      <c r="L152" s="778"/>
      <c r="M152" s="427"/>
      <c r="N152" s="427"/>
      <c r="O152" s="403"/>
      <c r="P152" s="403"/>
      <c r="Q152" s="403"/>
      <c r="R152" s="403"/>
      <c r="S152" s="757"/>
      <c r="T152" s="403"/>
      <c r="U152" s="403"/>
      <c r="V152" s="95">
        <f t="shared" si="48"/>
        <v>185328.12</v>
      </c>
      <c r="Y152" s="65"/>
    </row>
    <row r="153" spans="1:25" s="64" customFormat="1" ht="13.8" x14ac:dyDescent="0.25">
      <c r="A153" s="425"/>
      <c r="B153" s="426"/>
      <c r="C153" s="426"/>
      <c r="D153" s="962"/>
      <c r="E153" s="928">
        <f>SUM(E150:E152)</f>
        <v>1485328.12</v>
      </c>
      <c r="F153" s="465"/>
      <c r="G153" s="465">
        <f>SUM(G150:G152)</f>
        <v>723172.14</v>
      </c>
      <c r="H153" s="465">
        <f t="shared" ref="H153:V153" si="50">SUM(H150:H152)</f>
        <v>0</v>
      </c>
      <c r="I153" s="465">
        <f t="shared" si="50"/>
        <v>0</v>
      </c>
      <c r="J153" s="465">
        <f t="shared" si="50"/>
        <v>0</v>
      </c>
      <c r="K153" s="465">
        <f t="shared" si="50"/>
        <v>710925.63</v>
      </c>
      <c r="L153" s="465">
        <f t="shared" si="50"/>
        <v>0</v>
      </c>
      <c r="M153" s="465">
        <f t="shared" si="50"/>
        <v>3294.38</v>
      </c>
      <c r="N153" s="465">
        <f t="shared" si="50"/>
        <v>8952.1299999999992</v>
      </c>
      <c r="O153" s="465">
        <f t="shared" si="50"/>
        <v>0</v>
      </c>
      <c r="P153" s="465">
        <f t="shared" si="50"/>
        <v>0</v>
      </c>
      <c r="Q153" s="465">
        <f t="shared" si="50"/>
        <v>0</v>
      </c>
      <c r="R153" s="465">
        <f t="shared" si="50"/>
        <v>0</v>
      </c>
      <c r="S153" s="465">
        <f t="shared" si="50"/>
        <v>0</v>
      </c>
      <c r="T153" s="465">
        <f t="shared" si="50"/>
        <v>0</v>
      </c>
      <c r="U153" s="465">
        <f t="shared" si="50"/>
        <v>0</v>
      </c>
      <c r="V153" s="480">
        <f t="shared" si="50"/>
        <v>762155.98</v>
      </c>
      <c r="W153" s="463"/>
      <c r="Y153" s="65"/>
    </row>
    <row r="154" spans="1:25" s="64" customFormat="1" ht="13.8" x14ac:dyDescent="0.25">
      <c r="A154" s="425"/>
      <c r="B154" s="426"/>
      <c r="C154" s="426"/>
      <c r="D154" s="962"/>
      <c r="E154" s="766"/>
      <c r="F154" s="765"/>
      <c r="G154" s="765"/>
      <c r="H154" s="765"/>
      <c r="I154" s="765"/>
      <c r="J154" s="766"/>
      <c r="K154" s="767"/>
      <c r="L154" s="765"/>
      <c r="M154" s="413"/>
      <c r="N154" s="413"/>
      <c r="O154" s="94"/>
      <c r="P154" s="94"/>
      <c r="Q154" s="94"/>
      <c r="R154" s="94"/>
      <c r="S154" s="870"/>
      <c r="T154" s="94"/>
      <c r="U154" s="94"/>
      <c r="V154" s="752"/>
      <c r="Y154" s="65"/>
    </row>
    <row r="155" spans="1:25" s="64" customFormat="1" ht="13.8" x14ac:dyDescent="0.25">
      <c r="A155" s="1349" t="s">
        <v>280</v>
      </c>
      <c r="B155" s="1350"/>
      <c r="C155" s="1350"/>
      <c r="D155" s="1351"/>
      <c r="E155" s="884">
        <v>50000</v>
      </c>
      <c r="F155" s="778" t="s">
        <v>263</v>
      </c>
      <c r="G155" s="778">
        <f>SUM(H155:U155)</f>
        <v>0</v>
      </c>
      <c r="H155" s="778"/>
      <c r="I155" s="778">
        <f>SUM(I140:I148)</f>
        <v>0</v>
      </c>
      <c r="J155" s="884"/>
      <c r="K155" s="885"/>
      <c r="L155" s="778"/>
      <c r="M155" s="403"/>
      <c r="N155" s="427"/>
      <c r="O155" s="403"/>
      <c r="P155" s="403"/>
      <c r="Q155" s="403"/>
      <c r="R155" s="403"/>
      <c r="S155" s="757"/>
      <c r="T155" s="403"/>
      <c r="U155" s="403"/>
      <c r="V155" s="758">
        <f>E155-G155</f>
        <v>50000</v>
      </c>
      <c r="Y155" s="65"/>
    </row>
    <row r="156" spans="1:25" s="279" customFormat="1" ht="13.8" x14ac:dyDescent="0.25">
      <c r="A156" s="780"/>
      <c r="B156" s="781"/>
      <c r="C156" s="781"/>
      <c r="D156" s="961"/>
      <c r="E156" s="930">
        <f>E155</f>
        <v>50000</v>
      </c>
      <c r="F156" s="465"/>
      <c r="G156" s="481">
        <f>G155</f>
        <v>0</v>
      </c>
      <c r="H156" s="481">
        <f t="shared" ref="H156:V156" si="51">H155</f>
        <v>0</v>
      </c>
      <c r="I156" s="481">
        <f t="shared" si="51"/>
        <v>0</v>
      </c>
      <c r="J156" s="481">
        <f t="shared" si="51"/>
        <v>0</v>
      </c>
      <c r="K156" s="481">
        <f t="shared" si="51"/>
        <v>0</v>
      </c>
      <c r="L156" s="481">
        <f t="shared" si="51"/>
        <v>0</v>
      </c>
      <c r="M156" s="481">
        <f t="shared" si="51"/>
        <v>0</v>
      </c>
      <c r="N156" s="481">
        <f t="shared" si="51"/>
        <v>0</v>
      </c>
      <c r="O156" s="481">
        <f t="shared" si="51"/>
        <v>0</v>
      </c>
      <c r="P156" s="481">
        <f t="shared" si="51"/>
        <v>0</v>
      </c>
      <c r="Q156" s="481">
        <f t="shared" si="51"/>
        <v>0</v>
      </c>
      <c r="R156" s="481">
        <f t="shared" si="51"/>
        <v>0</v>
      </c>
      <c r="S156" s="481">
        <f t="shared" si="51"/>
        <v>0</v>
      </c>
      <c r="T156" s="481">
        <f t="shared" si="51"/>
        <v>0</v>
      </c>
      <c r="U156" s="481">
        <f t="shared" si="51"/>
        <v>0</v>
      </c>
      <c r="V156" s="835">
        <f t="shared" si="51"/>
        <v>50000</v>
      </c>
      <c r="Y156" s="771"/>
    </row>
    <row r="157" spans="1:25" s="64" customFormat="1" ht="13.8" x14ac:dyDescent="0.25">
      <c r="A157" s="421"/>
      <c r="B157" s="422"/>
      <c r="C157" s="422"/>
      <c r="D157" s="960"/>
      <c r="E157" s="356"/>
      <c r="F157" s="392"/>
      <c r="G157" s="393">
        <f>SUM(H157:U157)</f>
        <v>0</v>
      </c>
      <c r="H157" s="393"/>
      <c r="I157" s="393"/>
      <c r="J157" s="891"/>
      <c r="K157" s="892"/>
      <c r="L157" s="393"/>
      <c r="M157" s="393"/>
      <c r="N157" s="782"/>
      <c r="O157" s="393"/>
      <c r="P157" s="393"/>
      <c r="Q157" s="393"/>
      <c r="R157" s="393"/>
      <c r="S157" s="395"/>
      <c r="T157" s="393"/>
      <c r="U157" s="393"/>
      <c r="V157" s="160"/>
      <c r="Y157" s="65"/>
    </row>
    <row r="158" spans="1:25" s="64" customFormat="1" ht="13.8" x14ac:dyDescent="0.25">
      <c r="A158" s="1349" t="s">
        <v>281</v>
      </c>
      <c r="B158" s="1350"/>
      <c r="C158" s="1350"/>
      <c r="D158" s="1350"/>
      <c r="E158" s="1040"/>
      <c r="F158" s="329" t="s">
        <v>262</v>
      </c>
      <c r="G158" s="58">
        <f>SUM(H158:U158)</f>
        <v>0</v>
      </c>
      <c r="H158" s="58"/>
      <c r="I158" s="58"/>
      <c r="J158" s="66"/>
      <c r="K158" s="63"/>
      <c r="L158" s="58"/>
      <c r="M158" s="58"/>
      <c r="N158" s="383"/>
      <c r="O158" s="58"/>
      <c r="P158" s="58"/>
      <c r="Q158" s="58"/>
      <c r="R158" s="58"/>
      <c r="S158" s="62"/>
      <c r="T158" s="58"/>
      <c r="U158" s="383"/>
      <c r="V158" s="95">
        <f t="shared" ref="V158:V159" si="52">E158-G158</f>
        <v>0</v>
      </c>
      <c r="Y158" s="65"/>
    </row>
    <row r="159" spans="1:25" s="64" customFormat="1" ht="13.8" x14ac:dyDescent="0.25">
      <c r="A159" s="421"/>
      <c r="B159" s="422"/>
      <c r="C159" s="422"/>
      <c r="D159" s="960"/>
      <c r="E159" s="356"/>
      <c r="F159" s="324" t="s">
        <v>266</v>
      </c>
      <c r="G159" s="322">
        <f>SUM(H159:U159)</f>
        <v>0</v>
      </c>
      <c r="H159" s="322"/>
      <c r="I159" s="322"/>
      <c r="J159" s="356"/>
      <c r="K159" s="326"/>
      <c r="L159" s="322"/>
      <c r="M159" s="322"/>
      <c r="N159" s="384"/>
      <c r="O159" s="322"/>
      <c r="P159" s="322"/>
      <c r="Q159" s="322"/>
      <c r="R159" s="322"/>
      <c r="S159" s="323"/>
      <c r="T159" s="322"/>
      <c r="U159" s="322"/>
      <c r="V159" s="239">
        <f t="shared" si="52"/>
        <v>0</v>
      </c>
      <c r="Y159" s="65"/>
    </row>
    <row r="160" spans="1:25" s="8" customFormat="1" ht="13.8" x14ac:dyDescent="0.25">
      <c r="A160" s="423"/>
      <c r="B160" s="424"/>
      <c r="C160" s="424"/>
      <c r="D160" s="959"/>
      <c r="E160" s="931">
        <f>SUM(E158:E159)</f>
        <v>0</v>
      </c>
      <c r="F160" s="358">
        <f t="shared" ref="F160:V160" si="53">SUM(F158:F159)</f>
        <v>0</v>
      </c>
      <c r="G160" s="358">
        <f t="shared" si="53"/>
        <v>0</v>
      </c>
      <c r="H160" s="358">
        <f t="shared" si="53"/>
        <v>0</v>
      </c>
      <c r="I160" s="358">
        <f t="shared" si="53"/>
        <v>0</v>
      </c>
      <c r="J160" s="358">
        <f t="shared" si="53"/>
        <v>0</v>
      </c>
      <c r="K160" s="358">
        <f t="shared" si="53"/>
        <v>0</v>
      </c>
      <c r="L160" s="358">
        <f t="shared" si="53"/>
        <v>0</v>
      </c>
      <c r="M160" s="358">
        <f t="shared" si="53"/>
        <v>0</v>
      </c>
      <c r="N160" s="358">
        <f t="shared" si="53"/>
        <v>0</v>
      </c>
      <c r="O160" s="358">
        <f t="shared" si="53"/>
        <v>0</v>
      </c>
      <c r="P160" s="358">
        <f t="shared" si="53"/>
        <v>0</v>
      </c>
      <c r="Q160" s="358">
        <f t="shared" si="53"/>
        <v>0</v>
      </c>
      <c r="R160" s="358">
        <f t="shared" si="53"/>
        <v>0</v>
      </c>
      <c r="S160" s="358">
        <f t="shared" si="53"/>
        <v>0</v>
      </c>
      <c r="T160" s="358">
        <f t="shared" si="53"/>
        <v>0</v>
      </c>
      <c r="U160" s="358">
        <f t="shared" si="53"/>
        <v>0</v>
      </c>
      <c r="V160" s="457">
        <f t="shared" si="53"/>
        <v>0</v>
      </c>
      <c r="Y160" s="65"/>
    </row>
    <row r="161" spans="1:25" s="8" customFormat="1" ht="13.8" x14ac:dyDescent="0.25">
      <c r="A161" s="423"/>
      <c r="B161" s="424"/>
      <c r="C161" s="424"/>
      <c r="D161" s="959"/>
      <c r="E161" s="1048"/>
      <c r="F161" s="1049"/>
      <c r="G161" s="1049"/>
      <c r="H161" s="1049"/>
      <c r="I161" s="1049"/>
      <c r="J161" s="1048"/>
      <c r="K161" s="1050"/>
      <c r="L161" s="1049"/>
      <c r="M161" s="1049"/>
      <c r="N161" s="1051"/>
      <c r="O161" s="1049"/>
      <c r="P161" s="1049"/>
      <c r="Q161" s="1049"/>
      <c r="R161" s="1049"/>
      <c r="S161" s="1049"/>
      <c r="T161" s="1049"/>
      <c r="U161" s="1049"/>
      <c r="V161" s="1053"/>
      <c r="Y161" s="420"/>
    </row>
    <row r="162" spans="1:25" s="8" customFormat="1" ht="13.8" x14ac:dyDescent="0.25">
      <c r="A162" s="1355" t="s">
        <v>282</v>
      </c>
      <c r="B162" s="1356"/>
      <c r="C162" s="1356"/>
      <c r="D162" s="1356"/>
      <c r="E162" s="1040"/>
      <c r="F162" s="324" t="s">
        <v>263</v>
      </c>
      <c r="G162" s="322">
        <f>SUM(H162:U162)</f>
        <v>0</v>
      </c>
      <c r="H162" s="324"/>
      <c r="I162" s="324"/>
      <c r="J162" s="376"/>
      <c r="K162" s="377"/>
      <c r="L162" s="324"/>
      <c r="M162" s="324"/>
      <c r="N162" s="379"/>
      <c r="O162" s="324"/>
      <c r="P162" s="278"/>
      <c r="Q162" s="324"/>
      <c r="R162" s="324"/>
      <c r="S162" s="324"/>
      <c r="T162" s="324"/>
      <c r="U162" s="324"/>
      <c r="V162" s="160">
        <f t="shared" ref="V162:V163" si="54">E162-G162</f>
        <v>0</v>
      </c>
      <c r="Y162" s="65"/>
    </row>
    <row r="163" spans="1:25" s="8" customFormat="1" ht="13.8" x14ac:dyDescent="0.25">
      <c r="A163" s="423"/>
      <c r="B163" s="424"/>
      <c r="C163" s="424"/>
      <c r="D163" s="959"/>
      <c r="E163" s="138">
        <v>150000</v>
      </c>
      <c r="F163" s="329" t="s">
        <v>270</v>
      </c>
      <c r="G163" s="136">
        <f>SUM(H163:U163)</f>
        <v>150000</v>
      </c>
      <c r="H163" s="136"/>
      <c r="I163" s="136"/>
      <c r="J163" s="138"/>
      <c r="K163" s="142">
        <v>150000</v>
      </c>
      <c r="L163" s="329"/>
      <c r="M163" s="382"/>
      <c r="N163" s="382"/>
      <c r="O163" s="329"/>
      <c r="P163" s="177"/>
      <c r="Q163" s="329"/>
      <c r="R163" s="329"/>
      <c r="S163" s="329"/>
      <c r="T163" s="329"/>
      <c r="U163" s="329"/>
      <c r="V163" s="239">
        <f t="shared" si="54"/>
        <v>0</v>
      </c>
      <c r="Y163" s="65"/>
    </row>
    <row r="164" spans="1:25" s="8" customFormat="1" ht="13.8" x14ac:dyDescent="0.25">
      <c r="A164" s="1355"/>
      <c r="B164" s="1356"/>
      <c r="C164" s="1356"/>
      <c r="D164" s="1357"/>
      <c r="E164" s="884"/>
      <c r="F164" s="388" t="s">
        <v>266</v>
      </c>
      <c r="G164" s="778">
        <f>SUM(H164:U164)</f>
        <v>0</v>
      </c>
      <c r="H164" s="778"/>
      <c r="I164" s="778"/>
      <c r="J164" s="884"/>
      <c r="K164" s="885"/>
      <c r="L164" s="388"/>
      <c r="M164" s="756"/>
      <c r="N164" s="756"/>
      <c r="O164" s="388"/>
      <c r="P164" s="886"/>
      <c r="Q164" s="388"/>
      <c r="R164" s="388"/>
      <c r="S164" s="388"/>
      <c r="T164" s="388"/>
      <c r="U164" s="388"/>
      <c r="V164" s="1016">
        <f t="shared" ref="V164:V214" si="55">E164-G164</f>
        <v>0</v>
      </c>
      <c r="Y164" s="65"/>
    </row>
    <row r="165" spans="1:25" s="4" customFormat="1" ht="13.8" x14ac:dyDescent="0.25">
      <c r="A165" s="776"/>
      <c r="B165" s="777"/>
      <c r="C165" s="777"/>
      <c r="D165" s="958"/>
      <c r="E165" s="928">
        <f>SUM(E162:E164)</f>
        <v>150000</v>
      </c>
      <c r="F165" s="481">
        <f t="shared" ref="F165:V165" si="56">SUM(F162:F164)</f>
        <v>0</v>
      </c>
      <c r="G165" s="465">
        <f t="shared" si="56"/>
        <v>150000</v>
      </c>
      <c r="H165" s="465">
        <f t="shared" si="56"/>
        <v>0</v>
      </c>
      <c r="I165" s="465">
        <f t="shared" si="56"/>
        <v>0</v>
      </c>
      <c r="J165" s="465">
        <f t="shared" si="56"/>
        <v>0</v>
      </c>
      <c r="K165" s="465">
        <f t="shared" si="56"/>
        <v>150000</v>
      </c>
      <c r="L165" s="481">
        <f t="shared" si="56"/>
        <v>0</v>
      </c>
      <c r="M165" s="481">
        <f t="shared" si="56"/>
        <v>0</v>
      </c>
      <c r="N165" s="481">
        <f t="shared" si="56"/>
        <v>0</v>
      </c>
      <c r="O165" s="481">
        <f t="shared" si="56"/>
        <v>0</v>
      </c>
      <c r="P165" s="481">
        <f t="shared" si="56"/>
        <v>0</v>
      </c>
      <c r="Q165" s="481">
        <f t="shared" si="56"/>
        <v>0</v>
      </c>
      <c r="R165" s="481">
        <f t="shared" si="56"/>
        <v>0</v>
      </c>
      <c r="S165" s="481">
        <f t="shared" si="56"/>
        <v>0</v>
      </c>
      <c r="T165" s="481">
        <f t="shared" si="56"/>
        <v>0</v>
      </c>
      <c r="U165" s="481">
        <f t="shared" si="56"/>
        <v>0</v>
      </c>
      <c r="V165" s="835">
        <f t="shared" si="56"/>
        <v>0</v>
      </c>
      <c r="Y165" s="771"/>
    </row>
    <row r="166" spans="1:25" s="8" customFormat="1" ht="13.8" x14ac:dyDescent="0.25">
      <c r="A166" s="423"/>
      <c r="B166" s="424"/>
      <c r="C166" s="424"/>
      <c r="D166" s="959"/>
      <c r="E166" s="896"/>
      <c r="F166" s="408"/>
      <c r="G166" s="94"/>
      <c r="H166" s="408"/>
      <c r="I166" s="408"/>
      <c r="J166" s="408"/>
      <c r="K166" s="408"/>
      <c r="L166" s="408"/>
      <c r="M166" s="412"/>
      <c r="N166" s="412"/>
      <c r="O166" s="408"/>
      <c r="P166" s="883"/>
      <c r="Q166" s="408"/>
      <c r="R166" s="408"/>
      <c r="S166" s="408"/>
      <c r="T166" s="408"/>
      <c r="U166" s="408"/>
      <c r="V166" s="752"/>
      <c r="Y166" s="65"/>
    </row>
    <row r="167" spans="1:25" s="64" customFormat="1" ht="13.8" x14ac:dyDescent="0.25">
      <c r="A167" s="1349" t="s">
        <v>283</v>
      </c>
      <c r="B167" s="1350"/>
      <c r="C167" s="1350"/>
      <c r="D167" s="1350"/>
      <c r="E167" s="1040"/>
      <c r="F167" s="408" t="s">
        <v>261</v>
      </c>
      <c r="G167" s="94">
        <f>SUM(H167:U167)</f>
        <v>0</v>
      </c>
      <c r="H167" s="408"/>
      <c r="I167" s="408"/>
      <c r="J167" s="409"/>
      <c r="K167" s="410"/>
      <c r="L167" s="408"/>
      <c r="M167" s="408"/>
      <c r="N167" s="408"/>
      <c r="O167" s="408"/>
      <c r="P167" s="883"/>
      <c r="Q167" s="408"/>
      <c r="R167" s="408"/>
      <c r="S167" s="94"/>
      <c r="T167" s="408"/>
      <c r="U167" s="408"/>
      <c r="V167" s="752">
        <f>E167-G167</f>
        <v>0</v>
      </c>
      <c r="Y167" s="65"/>
    </row>
    <row r="168" spans="1:25" s="64" customFormat="1" ht="13.8" x14ac:dyDescent="0.25">
      <c r="A168" s="421"/>
      <c r="B168" s="428"/>
      <c r="C168" s="428"/>
      <c r="D168" s="960"/>
      <c r="E168" s="893"/>
      <c r="F168" s="388" t="s">
        <v>263</v>
      </c>
      <c r="G168" s="403">
        <f>SUM(H168:U168)</f>
        <v>0</v>
      </c>
      <c r="H168" s="388"/>
      <c r="I168" s="388"/>
      <c r="J168" s="388"/>
      <c r="K168" s="388"/>
      <c r="L168" s="388"/>
      <c r="M168" s="388"/>
      <c r="N168" s="388"/>
      <c r="O168" s="388"/>
      <c r="P168" s="388"/>
      <c r="Q168" s="388"/>
      <c r="R168" s="388"/>
      <c r="S168" s="388"/>
      <c r="T168" s="388"/>
      <c r="U168" s="388"/>
      <c r="V168" s="758">
        <f t="shared" si="55"/>
        <v>0</v>
      </c>
      <c r="Y168" s="65"/>
    </row>
    <row r="169" spans="1:25" s="8" customFormat="1" ht="13.8" x14ac:dyDescent="0.25">
      <c r="A169" s="423"/>
      <c r="B169" s="429"/>
      <c r="C169" s="429"/>
      <c r="D169" s="952"/>
      <c r="E169" s="931">
        <f>SUM(E167:E168)</f>
        <v>0</v>
      </c>
      <c r="F169" s="358">
        <f t="shared" ref="F169" si="57">SUM(F167:F168)</f>
        <v>0</v>
      </c>
      <c r="G169" s="358">
        <f>SUM(G167:G168)</f>
        <v>0</v>
      </c>
      <c r="H169" s="358">
        <f t="shared" ref="H169:V169" si="58">SUM(H167:H168)</f>
        <v>0</v>
      </c>
      <c r="I169" s="358">
        <f t="shared" si="58"/>
        <v>0</v>
      </c>
      <c r="J169" s="358">
        <f t="shared" si="58"/>
        <v>0</v>
      </c>
      <c r="K169" s="358">
        <f t="shared" si="58"/>
        <v>0</v>
      </c>
      <c r="L169" s="358">
        <f t="shared" si="58"/>
        <v>0</v>
      </c>
      <c r="M169" s="358">
        <f t="shared" si="58"/>
        <v>0</v>
      </c>
      <c r="N169" s="358">
        <f t="shared" si="58"/>
        <v>0</v>
      </c>
      <c r="O169" s="358">
        <f t="shared" si="58"/>
        <v>0</v>
      </c>
      <c r="P169" s="931">
        <f t="shared" si="58"/>
        <v>0</v>
      </c>
      <c r="Q169" s="358">
        <f t="shared" si="58"/>
        <v>0</v>
      </c>
      <c r="R169" s="358">
        <f t="shared" si="58"/>
        <v>0</v>
      </c>
      <c r="S169" s="358">
        <f t="shared" si="58"/>
        <v>0</v>
      </c>
      <c r="T169" s="358">
        <f t="shared" si="58"/>
        <v>0</v>
      </c>
      <c r="U169" s="358">
        <f t="shared" si="58"/>
        <v>0</v>
      </c>
      <c r="V169" s="457">
        <f t="shared" si="58"/>
        <v>0</v>
      </c>
      <c r="Y169" s="65"/>
    </row>
    <row r="170" spans="1:25" s="8" customFormat="1" ht="13.8" x14ac:dyDescent="0.25">
      <c r="A170" s="423"/>
      <c r="B170" s="429"/>
      <c r="C170" s="429"/>
      <c r="D170" s="952"/>
      <c r="E170" s="747"/>
      <c r="F170" s="746"/>
      <c r="G170" s="746"/>
      <c r="H170" s="746"/>
      <c r="I170" s="746"/>
      <c r="J170" s="746"/>
      <c r="K170" s="1032"/>
      <c r="L170" s="1033"/>
      <c r="M170" s="1034"/>
      <c r="N170" s="1034"/>
      <c r="O170" s="1048"/>
      <c r="P170" s="1034"/>
      <c r="Q170" s="1034"/>
      <c r="R170" s="1034"/>
      <c r="S170" s="1034"/>
      <c r="T170" s="1034"/>
      <c r="U170" s="1034"/>
      <c r="V170" s="1096"/>
      <c r="Y170" s="420"/>
    </row>
    <row r="171" spans="1:25" s="8" customFormat="1" ht="13.8" x14ac:dyDescent="0.25">
      <c r="A171" s="339" t="s">
        <v>20</v>
      </c>
      <c r="B171" s="390"/>
      <c r="C171" s="390"/>
      <c r="D171" s="953"/>
      <c r="E171" s="369">
        <v>150000</v>
      </c>
      <c r="F171" s="329" t="s">
        <v>261</v>
      </c>
      <c r="G171" s="136">
        <f>SUM(H171:U171)</f>
        <v>150000</v>
      </c>
      <c r="H171" s="329"/>
      <c r="I171" s="329"/>
      <c r="J171" s="329"/>
      <c r="K171" s="329">
        <v>150000</v>
      </c>
      <c r="L171" s="905"/>
      <c r="M171" s="905"/>
      <c r="N171" s="905"/>
      <c r="O171" s="458"/>
      <c r="P171" s="1099"/>
      <c r="Q171" s="341"/>
      <c r="R171" s="341"/>
      <c r="S171" s="341"/>
      <c r="T171" s="341"/>
      <c r="U171" s="341"/>
      <c r="V171" s="1097">
        <f t="shared" si="55"/>
        <v>0</v>
      </c>
      <c r="Y171" s="65"/>
    </row>
    <row r="172" spans="1:25" s="8" customFormat="1" ht="13.8" x14ac:dyDescent="0.25">
      <c r="A172" s="357"/>
      <c r="D172" s="954"/>
      <c r="E172" s="376">
        <v>200000</v>
      </c>
      <c r="F172" s="324" t="s">
        <v>262</v>
      </c>
      <c r="G172" s="226">
        <f t="shared" ref="G172:G176" si="59">SUM(H172:U172)</f>
        <v>0</v>
      </c>
      <c r="H172" s="324"/>
      <c r="I172" s="324"/>
      <c r="J172" s="376"/>
      <c r="K172" s="324"/>
      <c r="L172" s="905"/>
      <c r="M172" s="905"/>
      <c r="N172" s="905"/>
      <c r="O172" s="458"/>
      <c r="P172" s="1099"/>
      <c r="Q172" s="341"/>
      <c r="R172" s="341"/>
      <c r="S172" s="341"/>
      <c r="T172" s="341"/>
      <c r="U172" s="341"/>
      <c r="V172" s="1097">
        <f t="shared" si="55"/>
        <v>200000</v>
      </c>
      <c r="Y172" s="65"/>
    </row>
    <row r="173" spans="1:25" s="8" customFormat="1" ht="13.8" x14ac:dyDescent="0.25">
      <c r="A173" s="357"/>
      <c r="D173" s="954"/>
      <c r="E173" s="369"/>
      <c r="F173" s="136" t="s">
        <v>295</v>
      </c>
      <c r="G173" s="136">
        <f t="shared" si="59"/>
        <v>0</v>
      </c>
      <c r="H173" s="329"/>
      <c r="I173" s="329"/>
      <c r="J173" s="329"/>
      <c r="K173" s="329"/>
      <c r="L173" s="905"/>
      <c r="M173" s="905"/>
      <c r="N173" s="905"/>
      <c r="O173" s="458"/>
      <c r="P173" s="1099"/>
      <c r="Q173" s="341"/>
      <c r="R173" s="341"/>
      <c r="S173" s="341"/>
      <c r="T173" s="341"/>
      <c r="U173" s="341"/>
      <c r="V173" s="1097"/>
      <c r="Y173" s="65"/>
    </row>
    <row r="174" spans="1:25" s="8" customFormat="1" ht="13.8" x14ac:dyDescent="0.25">
      <c r="A174" s="357"/>
      <c r="D174" s="954"/>
      <c r="E174" s="376">
        <v>150000</v>
      </c>
      <c r="F174" s="324" t="s">
        <v>267</v>
      </c>
      <c r="G174" s="226">
        <f t="shared" si="59"/>
        <v>0</v>
      </c>
      <c r="H174" s="324"/>
      <c r="I174" s="324"/>
      <c r="J174" s="324"/>
      <c r="K174" s="324"/>
      <c r="L174" s="1102"/>
      <c r="M174" s="1102"/>
      <c r="N174" s="1102"/>
      <c r="O174" s="458"/>
      <c r="P174" s="1099"/>
      <c r="Q174" s="341"/>
      <c r="R174" s="341"/>
      <c r="S174" s="341"/>
      <c r="T174" s="341"/>
      <c r="U174" s="341"/>
      <c r="V174" s="1097">
        <f t="shared" si="55"/>
        <v>150000</v>
      </c>
      <c r="Y174" s="65"/>
    </row>
    <row r="175" spans="1:25" s="8" customFormat="1" ht="13.8" x14ac:dyDescent="0.25">
      <c r="A175" s="357"/>
      <c r="D175" s="954"/>
      <c r="E175" s="369">
        <v>600000</v>
      </c>
      <c r="F175" s="329" t="s">
        <v>266</v>
      </c>
      <c r="G175" s="136">
        <f t="shared" si="59"/>
        <v>200000</v>
      </c>
      <c r="H175" s="329"/>
      <c r="I175" s="329"/>
      <c r="J175" s="369"/>
      <c r="K175" s="329">
        <v>200000</v>
      </c>
      <c r="L175" s="905"/>
      <c r="M175" s="905"/>
      <c r="N175" s="905"/>
      <c r="O175" s="458"/>
      <c r="P175" s="1099"/>
      <c r="Q175" s="341"/>
      <c r="R175" s="341"/>
      <c r="S175" s="341"/>
      <c r="T175" s="341"/>
      <c r="U175" s="341"/>
      <c r="V175" s="1097">
        <f t="shared" si="55"/>
        <v>400000</v>
      </c>
      <c r="Y175" s="65"/>
    </row>
    <row r="176" spans="1:25" s="8" customFormat="1" ht="13.8" x14ac:dyDescent="0.25">
      <c r="A176" s="434"/>
      <c r="D176" s="954"/>
      <c r="E176" s="754">
        <v>200000</v>
      </c>
      <c r="F176" s="388" t="s">
        <v>263</v>
      </c>
      <c r="G176" s="778">
        <f t="shared" si="59"/>
        <v>200000</v>
      </c>
      <c r="H176" s="388"/>
      <c r="I176" s="388"/>
      <c r="J176" s="388"/>
      <c r="K176" s="388">
        <v>200000</v>
      </c>
      <c r="L176" s="90"/>
      <c r="M176" s="904"/>
      <c r="N176" s="90"/>
      <c r="O176" s="1101"/>
      <c r="P176" s="1100"/>
      <c r="Q176" s="415"/>
      <c r="R176" s="415"/>
      <c r="S176" s="1098"/>
      <c r="T176" s="1098"/>
      <c r="U176" s="415"/>
      <c r="V176" s="915">
        <f t="shared" si="55"/>
        <v>0</v>
      </c>
      <c r="Y176" s="65"/>
    </row>
    <row r="177" spans="1:25" s="4" customFormat="1" ht="13.8" x14ac:dyDescent="0.25">
      <c r="A177" s="774"/>
      <c r="B177" s="267"/>
      <c r="C177" s="267"/>
      <c r="D177" s="955"/>
      <c r="E177" s="928">
        <f>SUM(E171:E176)</f>
        <v>1300000</v>
      </c>
      <c r="F177" s="465">
        <f t="shared" ref="F177:U177" si="60">SUM(F171:F176)</f>
        <v>0</v>
      </c>
      <c r="G177" s="465">
        <f t="shared" si="60"/>
        <v>550000</v>
      </c>
      <c r="H177" s="465">
        <f t="shared" si="60"/>
        <v>0</v>
      </c>
      <c r="I177" s="465">
        <f t="shared" si="60"/>
        <v>0</v>
      </c>
      <c r="J177" s="465">
        <f t="shared" si="60"/>
        <v>0</v>
      </c>
      <c r="K177" s="465">
        <f t="shared" si="60"/>
        <v>550000</v>
      </c>
      <c r="L177" s="465">
        <f t="shared" si="60"/>
        <v>0</v>
      </c>
      <c r="M177" s="928">
        <f t="shared" si="60"/>
        <v>0</v>
      </c>
      <c r="N177" s="465">
        <f t="shared" si="60"/>
        <v>0</v>
      </c>
      <c r="O177" s="928">
        <f t="shared" si="60"/>
        <v>0</v>
      </c>
      <c r="P177" s="928">
        <f t="shared" si="60"/>
        <v>0</v>
      </c>
      <c r="Q177" s="928">
        <f t="shared" si="60"/>
        <v>0</v>
      </c>
      <c r="R177" s="928">
        <f t="shared" si="60"/>
        <v>0</v>
      </c>
      <c r="S177" s="928">
        <f t="shared" si="60"/>
        <v>0</v>
      </c>
      <c r="T177" s="465">
        <f t="shared" si="60"/>
        <v>0</v>
      </c>
      <c r="U177" s="465">
        <f t="shared" si="60"/>
        <v>0</v>
      </c>
      <c r="V177" s="1042">
        <f>SUM(V171:V176)</f>
        <v>750000</v>
      </c>
      <c r="W177" s="18"/>
      <c r="Y177" s="771"/>
    </row>
    <row r="178" spans="1:25" s="8" customFormat="1" ht="13.8" x14ac:dyDescent="0.25">
      <c r="A178" s="759"/>
      <c r="B178" s="257"/>
      <c r="C178" s="257"/>
      <c r="D178" s="956"/>
      <c r="E178" s="749"/>
      <c r="F178" s="748"/>
      <c r="G178" s="748"/>
      <c r="H178" s="748"/>
      <c r="I178" s="748"/>
      <c r="J178" s="748"/>
      <c r="K178" s="748"/>
      <c r="L178" s="748"/>
      <c r="M178" s="748"/>
      <c r="N178" s="748"/>
      <c r="O178" s="748"/>
      <c r="P178" s="748"/>
      <c r="Q178" s="748"/>
      <c r="R178" s="748"/>
      <c r="S178" s="748"/>
      <c r="T178" s="748"/>
      <c r="U178" s="748"/>
      <c r="V178" s="877"/>
      <c r="Y178" s="420"/>
    </row>
    <row r="179" spans="1:25" s="8" customFormat="1" ht="13.8" x14ac:dyDescent="0.25">
      <c r="A179" s="759"/>
      <c r="B179" s="257"/>
      <c r="C179" s="257"/>
      <c r="D179" s="956"/>
      <c r="E179" s="881"/>
      <c r="F179" s="880"/>
      <c r="G179" s="880"/>
      <c r="H179" s="880"/>
      <c r="I179" s="880"/>
      <c r="J179" s="881"/>
      <c r="K179" s="882"/>
      <c r="L179" s="880"/>
      <c r="M179" s="880"/>
      <c r="N179" s="880"/>
      <c r="O179" s="880"/>
      <c r="P179" s="880"/>
      <c r="Q179" s="880"/>
      <c r="R179" s="880"/>
      <c r="S179" s="880"/>
      <c r="T179" s="880"/>
      <c r="U179" s="880"/>
      <c r="V179" s="927"/>
      <c r="Y179" s="420"/>
    </row>
    <row r="180" spans="1:25" s="8" customFormat="1" ht="13.8" x14ac:dyDescent="0.25">
      <c r="A180" s="339" t="s">
        <v>21</v>
      </c>
      <c r="B180" s="340"/>
      <c r="C180" s="340"/>
      <c r="D180" s="947"/>
      <c r="E180" s="376"/>
      <c r="F180" s="324" t="s">
        <v>261</v>
      </c>
      <c r="G180" s="322">
        <f>SUM(H180:U180)</f>
        <v>0</v>
      </c>
      <c r="H180" s="324"/>
      <c r="I180" s="324"/>
      <c r="J180" s="324"/>
      <c r="K180" s="324"/>
      <c r="L180" s="361"/>
      <c r="M180" s="361"/>
      <c r="N180" s="361"/>
      <c r="O180" s="363"/>
      <c r="P180" s="81"/>
      <c r="Q180" s="53"/>
      <c r="R180" s="53"/>
      <c r="S180" s="53"/>
      <c r="T180" s="53"/>
      <c r="U180" s="53"/>
      <c r="V180" s="184">
        <f t="shared" si="55"/>
        <v>0</v>
      </c>
      <c r="Y180" s="65"/>
    </row>
    <row r="181" spans="1:25" s="8" customFormat="1" ht="13.8" x14ac:dyDescent="0.25">
      <c r="A181" s="386"/>
      <c r="B181" s="389"/>
      <c r="C181" s="389"/>
      <c r="D181" s="950"/>
      <c r="E181" s="369"/>
      <c r="F181" s="329" t="s">
        <v>262</v>
      </c>
      <c r="G181" s="58">
        <f>SUM(H181:U181)</f>
        <v>0</v>
      </c>
      <c r="H181" s="58"/>
      <c r="I181" s="329"/>
      <c r="J181" s="329"/>
      <c r="K181" s="329"/>
      <c r="L181" s="430"/>
      <c r="M181" s="430"/>
      <c r="N181" s="430"/>
      <c r="O181" s="432"/>
      <c r="P181" s="76"/>
      <c r="Q181" s="74"/>
      <c r="R181" s="74"/>
      <c r="S181" s="74"/>
      <c r="T181" s="74"/>
      <c r="U181" s="74"/>
      <c r="V181" s="111">
        <f t="shared" si="55"/>
        <v>0</v>
      </c>
      <c r="Y181" s="65"/>
    </row>
    <row r="182" spans="1:25" s="8" customFormat="1" ht="13.8" x14ac:dyDescent="0.25">
      <c r="A182" s="386"/>
      <c r="B182" s="389"/>
      <c r="C182" s="389"/>
      <c r="D182" s="950"/>
      <c r="E182" s="376"/>
      <c r="F182" s="324" t="s">
        <v>263</v>
      </c>
      <c r="G182" s="322">
        <f>SUM(H182:U182)</f>
        <v>0</v>
      </c>
      <c r="H182" s="324"/>
      <c r="I182" s="324"/>
      <c r="J182" s="376"/>
      <c r="K182" s="377"/>
      <c r="L182" s="878"/>
      <c r="M182" s="878"/>
      <c r="N182" s="438"/>
      <c r="O182" s="495"/>
      <c r="P182" s="879"/>
      <c r="Q182" s="438"/>
      <c r="R182" s="438"/>
      <c r="S182" s="438"/>
      <c r="T182" s="438"/>
      <c r="U182" s="438"/>
      <c r="V182" s="496">
        <f t="shared" si="55"/>
        <v>0</v>
      </c>
      <c r="W182" s="304"/>
      <c r="X182" s="304"/>
      <c r="Y182" s="330"/>
    </row>
    <row r="183" spans="1:25" s="8" customFormat="1" ht="13.8" x14ac:dyDescent="0.25">
      <c r="A183" s="372"/>
      <c r="B183" s="373"/>
      <c r="C183" s="373"/>
      <c r="D183" s="957"/>
      <c r="E183" s="929">
        <f>SUM(E180:E182)</f>
        <v>0</v>
      </c>
      <c r="F183" s="374">
        <f t="shared" ref="F183:V183" si="61">SUM(F180:F182)</f>
        <v>0</v>
      </c>
      <c r="G183" s="374">
        <f t="shared" si="61"/>
        <v>0</v>
      </c>
      <c r="H183" s="374">
        <f t="shared" si="61"/>
        <v>0</v>
      </c>
      <c r="I183" s="374">
        <f t="shared" si="61"/>
        <v>0</v>
      </c>
      <c r="J183" s="374">
        <f t="shared" si="61"/>
        <v>0</v>
      </c>
      <c r="K183" s="374">
        <f t="shared" si="61"/>
        <v>0</v>
      </c>
      <c r="L183" s="374">
        <f t="shared" si="61"/>
        <v>0</v>
      </c>
      <c r="M183" s="374">
        <f t="shared" si="61"/>
        <v>0</v>
      </c>
      <c r="N183" s="374">
        <f t="shared" si="61"/>
        <v>0</v>
      </c>
      <c r="O183" s="374">
        <f t="shared" si="61"/>
        <v>0</v>
      </c>
      <c r="P183" s="374">
        <f t="shared" si="61"/>
        <v>0</v>
      </c>
      <c r="Q183" s="374">
        <f t="shared" si="61"/>
        <v>0</v>
      </c>
      <c r="R183" s="374">
        <f t="shared" si="61"/>
        <v>0</v>
      </c>
      <c r="S183" s="374">
        <f t="shared" si="61"/>
        <v>0</v>
      </c>
      <c r="T183" s="374">
        <f t="shared" si="61"/>
        <v>0</v>
      </c>
      <c r="U183" s="374">
        <f t="shared" si="61"/>
        <v>0</v>
      </c>
      <c r="V183" s="405">
        <f t="shared" si="61"/>
        <v>0</v>
      </c>
      <c r="Y183" s="65"/>
    </row>
    <row r="184" spans="1:25" s="8" customFormat="1" ht="13.8" x14ac:dyDescent="0.25">
      <c r="A184" s="372"/>
      <c r="B184" s="373"/>
      <c r="C184" s="373"/>
      <c r="D184" s="957"/>
      <c r="E184" s="749"/>
      <c r="F184" s="748"/>
      <c r="G184" s="748"/>
      <c r="H184" s="748"/>
      <c r="I184" s="748"/>
      <c r="J184" s="749"/>
      <c r="K184" s="750"/>
      <c r="L184" s="748"/>
      <c r="M184" s="748"/>
      <c r="N184" s="748"/>
      <c r="O184" s="748"/>
      <c r="P184" s="748"/>
      <c r="Q184" s="748"/>
      <c r="R184" s="748"/>
      <c r="S184" s="748"/>
      <c r="T184" s="748"/>
      <c r="U184" s="748"/>
      <c r="V184" s="1110"/>
      <c r="Y184" s="420"/>
    </row>
    <row r="185" spans="1:25" s="64" customFormat="1" ht="13.8" x14ac:dyDescent="0.25">
      <c r="A185" s="1358" t="s">
        <v>284</v>
      </c>
      <c r="B185" s="1359"/>
      <c r="C185" s="1359"/>
      <c r="D185" s="1360"/>
      <c r="E185" s="1088">
        <v>100000</v>
      </c>
      <c r="F185" s="435" t="s">
        <v>260</v>
      </c>
      <c r="G185" s="435">
        <f>SUM(H185+I185+J185+K185+L185+M185+N185+O185+P185+Q185+R185+S185+T185+U185)</f>
        <v>100000</v>
      </c>
      <c r="H185" s="435"/>
      <c r="I185" s="435"/>
      <c r="J185" s="396"/>
      <c r="K185" s="902">
        <v>100000</v>
      </c>
      <c r="L185" s="435"/>
      <c r="M185" s="435"/>
      <c r="N185" s="435"/>
      <c r="O185" s="435"/>
      <c r="P185" s="435"/>
      <c r="Q185" s="435"/>
      <c r="R185" s="435"/>
      <c r="S185" s="435"/>
      <c r="T185" s="435"/>
      <c r="U185" s="1058"/>
      <c r="V185" s="1055"/>
      <c r="W185" s="463"/>
      <c r="Y185" s="65"/>
    </row>
    <row r="186" spans="1:25" s="64" customFormat="1" ht="13.8" x14ac:dyDescent="0.25">
      <c r="A186" s="436"/>
      <c r="B186" s="437"/>
      <c r="C186" s="437"/>
      <c r="D186" s="951"/>
      <c r="E186" s="1054">
        <f>E185</f>
        <v>100000</v>
      </c>
      <c r="F186" s="465"/>
      <c r="G186" s="465">
        <f>G185</f>
        <v>100000</v>
      </c>
      <c r="H186" s="465">
        <f t="shared" ref="H186:V186" si="62">H185</f>
        <v>0</v>
      </c>
      <c r="I186" s="465">
        <f t="shared" si="62"/>
        <v>0</v>
      </c>
      <c r="J186" s="465">
        <f t="shared" si="62"/>
        <v>0</v>
      </c>
      <c r="K186" s="465">
        <f t="shared" si="62"/>
        <v>100000</v>
      </c>
      <c r="L186" s="465">
        <f t="shared" si="62"/>
        <v>0</v>
      </c>
      <c r="M186" s="465">
        <f t="shared" si="62"/>
        <v>0</v>
      </c>
      <c r="N186" s="465">
        <f t="shared" si="62"/>
        <v>0</v>
      </c>
      <c r="O186" s="465">
        <f t="shared" si="62"/>
        <v>0</v>
      </c>
      <c r="P186" s="465">
        <f t="shared" si="62"/>
        <v>0</v>
      </c>
      <c r="Q186" s="465">
        <f t="shared" si="62"/>
        <v>0</v>
      </c>
      <c r="R186" s="465">
        <f t="shared" si="62"/>
        <v>0</v>
      </c>
      <c r="S186" s="465">
        <f t="shared" si="62"/>
        <v>0</v>
      </c>
      <c r="T186" s="465">
        <f t="shared" si="62"/>
        <v>0</v>
      </c>
      <c r="U186" s="465">
        <f t="shared" si="62"/>
        <v>0</v>
      </c>
      <c r="V186" s="791">
        <f t="shared" si="62"/>
        <v>0</v>
      </c>
      <c r="Y186" s="65"/>
    </row>
    <row r="187" spans="1:25" s="64" customFormat="1" ht="13.8" x14ac:dyDescent="0.25">
      <c r="A187" s="436"/>
      <c r="B187" s="437"/>
      <c r="C187" s="437"/>
      <c r="D187" s="951"/>
      <c r="E187" s="875"/>
      <c r="F187" s="387"/>
      <c r="G187" s="387"/>
      <c r="H187" s="387"/>
      <c r="I187" s="387"/>
      <c r="J187" s="875"/>
      <c r="K187" s="860"/>
      <c r="L187" s="387"/>
      <c r="M187" s="387"/>
      <c r="N187" s="387"/>
      <c r="O187" s="387"/>
      <c r="P187" s="387"/>
      <c r="Q187" s="387"/>
      <c r="R187" s="387"/>
      <c r="S187" s="387"/>
      <c r="T187" s="387"/>
      <c r="U187" s="387"/>
      <c r="V187" s="876"/>
      <c r="Y187" s="65"/>
    </row>
    <row r="188" spans="1:25" s="64" customFormat="1" ht="13.8" x14ac:dyDescent="0.25">
      <c r="A188" s="1358" t="s">
        <v>285</v>
      </c>
      <c r="B188" s="1359"/>
      <c r="C188" s="1359"/>
      <c r="D188" s="1360"/>
      <c r="E188" s="754">
        <v>50000</v>
      </c>
      <c r="F188" s="388" t="s">
        <v>260</v>
      </c>
      <c r="G188" s="388">
        <f t="shared" ref="G188:G193" si="63">SUM(H188+I188+J188+K188+L188+M188+N188+O188+P188+Q188+R188+S188+T188+U188)</f>
        <v>0</v>
      </c>
      <c r="H188" s="388"/>
      <c r="I188" s="388"/>
      <c r="J188" s="754"/>
      <c r="K188" s="755"/>
      <c r="L188" s="388"/>
      <c r="M188" s="756"/>
      <c r="N188" s="756"/>
      <c r="O188" s="388"/>
      <c r="P188" s="388"/>
      <c r="Q188" s="388"/>
      <c r="R188" s="388"/>
      <c r="S188" s="388"/>
      <c r="T188" s="388"/>
      <c r="U188" s="388"/>
      <c r="V188" s="1055">
        <f>E188-G188</f>
        <v>50000</v>
      </c>
      <c r="Y188" s="65"/>
    </row>
    <row r="189" spans="1:25" s="64" customFormat="1" ht="13.8" x14ac:dyDescent="0.25">
      <c r="A189" s="436"/>
      <c r="B189" s="437"/>
      <c r="C189" s="437"/>
      <c r="D189" s="951"/>
      <c r="E189" s="929">
        <f>E188</f>
        <v>50000</v>
      </c>
      <c r="F189" s="374"/>
      <c r="G189" s="374">
        <f>G188</f>
        <v>0</v>
      </c>
      <c r="H189" s="374">
        <f t="shared" ref="H189:Q189" si="64">H188</f>
        <v>0</v>
      </c>
      <c r="I189" s="374">
        <f t="shared" si="64"/>
        <v>0</v>
      </c>
      <c r="J189" s="374">
        <f t="shared" si="64"/>
        <v>0</v>
      </c>
      <c r="K189" s="374">
        <f t="shared" si="64"/>
        <v>0</v>
      </c>
      <c r="L189" s="374">
        <f t="shared" si="64"/>
        <v>0</v>
      </c>
      <c r="M189" s="374">
        <f t="shared" si="64"/>
        <v>0</v>
      </c>
      <c r="N189" s="374">
        <f t="shared" si="64"/>
        <v>0</v>
      </c>
      <c r="O189" s="374">
        <f t="shared" si="64"/>
        <v>0</v>
      </c>
      <c r="P189" s="374">
        <f t="shared" si="64"/>
        <v>0</v>
      </c>
      <c r="Q189" s="374">
        <f t="shared" si="64"/>
        <v>0</v>
      </c>
      <c r="R189" s="374">
        <f t="shared" ref="R189" si="65">R188</f>
        <v>0</v>
      </c>
      <c r="S189" s="374">
        <f t="shared" ref="S189" si="66">S188</f>
        <v>0</v>
      </c>
      <c r="T189" s="374">
        <f t="shared" ref="T189" si="67">T188</f>
        <v>0</v>
      </c>
      <c r="U189" s="385">
        <f t="shared" ref="U189" si="68">U188</f>
        <v>0</v>
      </c>
      <c r="V189" s="1056">
        <f t="shared" ref="V189" si="69">V188</f>
        <v>50000</v>
      </c>
      <c r="Y189" s="65"/>
    </row>
    <row r="190" spans="1:25" s="64" customFormat="1" ht="13.8" x14ac:dyDescent="0.25">
      <c r="A190" s="436"/>
      <c r="B190" s="437"/>
      <c r="C190" s="437"/>
      <c r="D190" s="951"/>
      <c r="E190" s="394"/>
      <c r="F190" s="392"/>
      <c r="G190" s="392"/>
      <c r="H190" s="392"/>
      <c r="I190" s="392"/>
      <c r="J190" s="394"/>
      <c r="K190" s="381"/>
      <c r="L190" s="392"/>
      <c r="M190" s="378"/>
      <c r="N190" s="378"/>
      <c r="O190" s="392"/>
      <c r="P190" s="392"/>
      <c r="Q190" s="392"/>
      <c r="R190" s="392"/>
      <c r="S190" s="392"/>
      <c r="T190" s="392"/>
      <c r="U190" s="392"/>
      <c r="V190" s="837"/>
      <c r="Y190" s="65"/>
    </row>
    <row r="191" spans="1:25" s="8" customFormat="1" ht="13.8" x14ac:dyDescent="0.25">
      <c r="A191" s="339" t="s">
        <v>286</v>
      </c>
      <c r="B191" s="340"/>
      <c r="C191" s="340"/>
      <c r="D191" s="947"/>
      <c r="E191" s="369"/>
      <c r="F191" s="329" t="s">
        <v>261</v>
      </c>
      <c r="G191" s="329">
        <f t="shared" si="63"/>
        <v>0</v>
      </c>
      <c r="H191" s="329"/>
      <c r="I191" s="329"/>
      <c r="J191" s="369"/>
      <c r="K191" s="371"/>
      <c r="L191" s="329"/>
      <c r="M191" s="382"/>
      <c r="N191" s="382"/>
      <c r="O191" s="370"/>
      <c r="P191" s="62"/>
      <c r="Q191" s="58"/>
      <c r="R191" s="58"/>
      <c r="S191" s="58"/>
      <c r="T191" s="58"/>
      <c r="U191" s="58"/>
      <c r="V191" s="111">
        <f t="shared" ref="V191:V194" si="70">E191-G191</f>
        <v>0</v>
      </c>
      <c r="Y191" s="65"/>
    </row>
    <row r="192" spans="1:25" s="8" customFormat="1" ht="13.8" x14ac:dyDescent="0.25">
      <c r="A192" s="339"/>
      <c r="B192" s="340"/>
      <c r="C192" s="340"/>
      <c r="D192" s="947"/>
      <c r="E192" s="376"/>
      <c r="F192" s="324"/>
      <c r="G192" s="324"/>
      <c r="H192" s="324"/>
      <c r="I192" s="324"/>
      <c r="J192" s="376"/>
      <c r="K192" s="377"/>
      <c r="L192" s="324"/>
      <c r="M192" s="379"/>
      <c r="N192" s="329"/>
      <c r="O192" s="380"/>
      <c r="P192" s="323"/>
      <c r="Q192" s="322"/>
      <c r="R192" s="322"/>
      <c r="S192" s="322"/>
      <c r="T192" s="322"/>
      <c r="U192" s="322"/>
      <c r="V192" s="111">
        <f t="shared" si="70"/>
        <v>0</v>
      </c>
      <c r="Y192" s="65"/>
    </row>
    <row r="193" spans="1:25" s="8" customFormat="1" ht="13.8" x14ac:dyDescent="0.25">
      <c r="A193" s="1361" t="s">
        <v>287</v>
      </c>
      <c r="B193" s="1362"/>
      <c r="C193" s="1362"/>
      <c r="D193" s="1363"/>
      <c r="E193" s="369">
        <v>100000</v>
      </c>
      <c r="F193" s="329" t="s">
        <v>270</v>
      </c>
      <c r="G193" s="329">
        <f t="shared" si="63"/>
        <v>100000</v>
      </c>
      <c r="H193" s="329"/>
      <c r="I193" s="329"/>
      <c r="J193" s="369"/>
      <c r="K193" s="369">
        <v>100000</v>
      </c>
      <c r="L193" s="329"/>
      <c r="M193" s="382"/>
      <c r="N193" s="408"/>
      <c r="O193" s="370"/>
      <c r="P193" s="62"/>
      <c r="Q193" s="58"/>
      <c r="R193" s="58"/>
      <c r="S193" s="58"/>
      <c r="T193" s="58"/>
      <c r="U193" s="58"/>
      <c r="V193" s="111">
        <f t="shared" si="70"/>
        <v>0</v>
      </c>
      <c r="Y193" s="65"/>
    </row>
    <row r="194" spans="1:25" s="8" customFormat="1" ht="13.8" x14ac:dyDescent="0.25">
      <c r="A194" s="339"/>
      <c r="B194" s="340"/>
      <c r="C194" s="340"/>
      <c r="D194" s="947"/>
      <c r="E194" s="376"/>
      <c r="F194" s="324" t="s">
        <v>262</v>
      </c>
      <c r="G194" s="403">
        <f>SUM(H194:U194)</f>
        <v>0</v>
      </c>
      <c r="H194" s="324"/>
      <c r="I194" s="324"/>
      <c r="J194" s="376"/>
      <c r="K194" s="377"/>
      <c r="L194" s="324"/>
      <c r="M194" s="379"/>
      <c r="N194" s="379"/>
      <c r="O194" s="380"/>
      <c r="P194" s="323"/>
      <c r="Q194" s="322"/>
      <c r="R194" s="322"/>
      <c r="S194" s="322"/>
      <c r="T194" s="322"/>
      <c r="U194" s="322"/>
      <c r="V194" s="496">
        <f t="shared" si="70"/>
        <v>0</v>
      </c>
      <c r="Y194" s="65"/>
    </row>
    <row r="195" spans="1:25" s="4" customFormat="1" ht="13.8" x14ac:dyDescent="0.25">
      <c r="A195" s="772"/>
      <c r="B195" s="773"/>
      <c r="C195" s="773"/>
      <c r="D195" s="948"/>
      <c r="E195" s="928">
        <f t="shared" ref="E195:V195" si="71">SUM(E191:E194)</f>
        <v>100000</v>
      </c>
      <c r="F195" s="465">
        <f t="shared" si="71"/>
        <v>0</v>
      </c>
      <c r="G195" s="465">
        <f t="shared" si="71"/>
        <v>100000</v>
      </c>
      <c r="H195" s="465">
        <f t="shared" si="71"/>
        <v>0</v>
      </c>
      <c r="I195" s="465">
        <f t="shared" si="71"/>
        <v>0</v>
      </c>
      <c r="J195" s="465">
        <f t="shared" si="71"/>
        <v>0</v>
      </c>
      <c r="K195" s="465">
        <f t="shared" si="71"/>
        <v>100000</v>
      </c>
      <c r="L195" s="465">
        <f t="shared" si="71"/>
        <v>0</v>
      </c>
      <c r="M195" s="465">
        <f t="shared" si="71"/>
        <v>0</v>
      </c>
      <c r="N195" s="465">
        <f t="shared" si="71"/>
        <v>0</v>
      </c>
      <c r="O195" s="465">
        <f t="shared" si="71"/>
        <v>0</v>
      </c>
      <c r="P195" s="465">
        <f t="shared" si="71"/>
        <v>0</v>
      </c>
      <c r="Q195" s="465">
        <f t="shared" si="71"/>
        <v>0</v>
      </c>
      <c r="R195" s="465">
        <f t="shared" si="71"/>
        <v>0</v>
      </c>
      <c r="S195" s="465">
        <f t="shared" si="71"/>
        <v>0</v>
      </c>
      <c r="T195" s="465">
        <f t="shared" si="71"/>
        <v>0</v>
      </c>
      <c r="U195" s="465">
        <f t="shared" si="71"/>
        <v>0</v>
      </c>
      <c r="V195" s="791">
        <f t="shared" si="71"/>
        <v>0</v>
      </c>
      <c r="Y195" s="771"/>
    </row>
    <row r="196" spans="1:25" s="8" customFormat="1" ht="13.8" x14ac:dyDescent="0.25">
      <c r="A196" s="339"/>
      <c r="B196" s="340"/>
      <c r="C196" s="340"/>
      <c r="D196" s="947"/>
      <c r="E196" s="749"/>
      <c r="F196" s="748"/>
      <c r="G196" s="748"/>
      <c r="H196" s="748"/>
      <c r="I196" s="748"/>
      <c r="J196" s="749"/>
      <c r="K196" s="750"/>
      <c r="L196" s="748"/>
      <c r="M196" s="751"/>
      <c r="N196" s="751"/>
      <c r="O196" s="748"/>
      <c r="P196" s="748"/>
      <c r="Q196" s="748"/>
      <c r="R196" s="748"/>
      <c r="S196" s="748"/>
      <c r="T196" s="748"/>
      <c r="U196" s="748"/>
      <c r="V196" s="1103"/>
      <c r="Y196" s="420"/>
    </row>
    <row r="197" spans="1:25" s="64" customFormat="1" ht="13.8" x14ac:dyDescent="0.25">
      <c r="A197" s="319" t="s">
        <v>22</v>
      </c>
      <c r="B197" s="375"/>
      <c r="C197" s="375"/>
      <c r="D197" s="949"/>
      <c r="E197" s="369"/>
      <c r="F197" s="329" t="s">
        <v>261</v>
      </c>
      <c r="G197" s="58">
        <f>SUM(H197:U197)</f>
        <v>0</v>
      </c>
      <c r="H197" s="329"/>
      <c r="I197" s="329"/>
      <c r="J197" s="369"/>
      <c r="K197" s="371"/>
      <c r="L197" s="329"/>
      <c r="M197" s="382"/>
      <c r="N197" s="382"/>
      <c r="O197" s="370"/>
      <c r="P197" s="62"/>
      <c r="Q197" s="58"/>
      <c r="R197" s="58"/>
      <c r="S197" s="58"/>
      <c r="T197" s="58"/>
      <c r="U197" s="58"/>
      <c r="V197" s="792">
        <f t="shared" si="55"/>
        <v>0</v>
      </c>
      <c r="Y197" s="65"/>
    </row>
    <row r="198" spans="1:25" s="64" customFormat="1" ht="13.8" x14ac:dyDescent="0.25">
      <c r="A198" s="319"/>
      <c r="B198" s="375"/>
      <c r="C198" s="375"/>
      <c r="D198" s="949"/>
      <c r="E198" s="376"/>
      <c r="F198" s="324" t="s">
        <v>262</v>
      </c>
      <c r="G198" s="403">
        <f>SUM(H198:U198)</f>
        <v>0</v>
      </c>
      <c r="H198" s="324"/>
      <c r="I198" s="324"/>
      <c r="J198" s="376"/>
      <c r="K198" s="377"/>
      <c r="L198" s="324"/>
      <c r="M198" s="379"/>
      <c r="N198" s="379"/>
      <c r="O198" s="380"/>
      <c r="P198" s="323"/>
      <c r="Q198" s="322"/>
      <c r="R198" s="322"/>
      <c r="S198" s="322"/>
      <c r="T198" s="322"/>
      <c r="U198" s="322"/>
      <c r="V198" s="903">
        <f t="shared" si="55"/>
        <v>0</v>
      </c>
      <c r="Y198" s="65"/>
    </row>
    <row r="199" spans="1:25" s="8" customFormat="1" ht="13.8" x14ac:dyDescent="0.25">
      <c r="A199" s="339"/>
      <c r="B199" s="340"/>
      <c r="C199" s="340"/>
      <c r="D199" s="947"/>
      <c r="E199" s="929">
        <f>SUM(E197:E198)</f>
        <v>0</v>
      </c>
      <c r="F199" s="374">
        <f t="shared" ref="F199:V199" si="72">SUM(F197:F198)</f>
        <v>0</v>
      </c>
      <c r="G199" s="374">
        <f t="shared" si="72"/>
        <v>0</v>
      </c>
      <c r="H199" s="374">
        <f t="shared" si="72"/>
        <v>0</v>
      </c>
      <c r="I199" s="374">
        <f t="shared" si="72"/>
        <v>0</v>
      </c>
      <c r="J199" s="374">
        <f t="shared" si="72"/>
        <v>0</v>
      </c>
      <c r="K199" s="374">
        <f t="shared" si="72"/>
        <v>0</v>
      </c>
      <c r="L199" s="374">
        <f t="shared" si="72"/>
        <v>0</v>
      </c>
      <c r="M199" s="374">
        <f t="shared" si="72"/>
        <v>0</v>
      </c>
      <c r="N199" s="374">
        <f t="shared" si="72"/>
        <v>0</v>
      </c>
      <c r="O199" s="374">
        <f t="shared" si="72"/>
        <v>0</v>
      </c>
      <c r="P199" s="374">
        <f t="shared" si="72"/>
        <v>0</v>
      </c>
      <c r="Q199" s="374">
        <f t="shared" si="72"/>
        <v>0</v>
      </c>
      <c r="R199" s="374">
        <f t="shared" si="72"/>
        <v>0</v>
      </c>
      <c r="S199" s="374">
        <f t="shared" si="72"/>
        <v>0</v>
      </c>
      <c r="T199" s="374">
        <f t="shared" si="72"/>
        <v>0</v>
      </c>
      <c r="U199" s="374">
        <f t="shared" si="72"/>
        <v>0</v>
      </c>
      <c r="V199" s="1104">
        <f t="shared" si="72"/>
        <v>0</v>
      </c>
      <c r="Y199" s="65"/>
    </row>
    <row r="200" spans="1:25" s="8" customFormat="1" ht="13.8" x14ac:dyDescent="0.25">
      <c r="A200" s="339"/>
      <c r="B200" s="340"/>
      <c r="C200" s="340"/>
      <c r="D200" s="947"/>
      <c r="E200" s="919"/>
      <c r="F200" s="1107"/>
      <c r="G200" s="918"/>
      <c r="H200" s="1107"/>
      <c r="I200" s="918"/>
      <c r="J200" s="918"/>
      <c r="K200" s="918"/>
      <c r="L200" s="918"/>
      <c r="M200" s="918"/>
      <c r="N200" s="918"/>
      <c r="O200" s="748"/>
      <c r="P200" s="918"/>
      <c r="Q200" s="1057"/>
      <c r="R200" s="1106"/>
      <c r="S200" s="918"/>
      <c r="T200" s="1107"/>
      <c r="U200" s="918"/>
      <c r="V200" s="1105"/>
      <c r="Y200" s="65"/>
    </row>
    <row r="201" spans="1:25" s="8" customFormat="1" ht="13.8" x14ac:dyDescent="0.25">
      <c r="A201" s="339" t="s">
        <v>288</v>
      </c>
      <c r="B201" s="340"/>
      <c r="C201" s="340"/>
      <c r="D201" s="947"/>
      <c r="E201" s="376"/>
      <c r="F201" s="361" t="s">
        <v>261</v>
      </c>
      <c r="G201" s="438">
        <f>SUM(H201:U201)</f>
        <v>0</v>
      </c>
      <c r="H201" s="53"/>
      <c r="I201" s="361"/>
      <c r="J201" s="362"/>
      <c r="K201" s="417"/>
      <c r="L201" s="361"/>
      <c r="M201" s="433"/>
      <c r="N201" s="433"/>
      <c r="O201" s="478"/>
      <c r="P201" s="81"/>
      <c r="Q201" s="53"/>
      <c r="R201" s="53"/>
      <c r="S201" s="53"/>
      <c r="T201" s="53"/>
      <c r="U201" s="53"/>
      <c r="V201" s="214">
        <f t="shared" si="55"/>
        <v>0</v>
      </c>
      <c r="Y201" s="65"/>
    </row>
    <row r="202" spans="1:25" s="8" customFormat="1" ht="13.8" x14ac:dyDescent="0.25">
      <c r="A202" s="339"/>
      <c r="B202" s="340"/>
      <c r="C202" s="340"/>
      <c r="D202" s="947"/>
      <c r="E202" s="929">
        <f>SUM(E201)</f>
        <v>0</v>
      </c>
      <c r="F202" s="374"/>
      <c r="G202" s="358">
        <f>SUM(G201)</f>
        <v>0</v>
      </c>
      <c r="H202" s="358">
        <f t="shared" ref="H202:V202" si="73">SUM(H201)</f>
        <v>0</v>
      </c>
      <c r="I202" s="358">
        <f t="shared" si="73"/>
        <v>0</v>
      </c>
      <c r="J202" s="358">
        <f t="shared" si="73"/>
        <v>0</v>
      </c>
      <c r="K202" s="358">
        <f t="shared" si="73"/>
        <v>0</v>
      </c>
      <c r="L202" s="358">
        <f t="shared" si="73"/>
        <v>0</v>
      </c>
      <c r="M202" s="358">
        <f t="shared" si="73"/>
        <v>0</v>
      </c>
      <c r="N202" s="358">
        <f t="shared" si="73"/>
        <v>0</v>
      </c>
      <c r="O202" s="358">
        <f t="shared" si="73"/>
        <v>0</v>
      </c>
      <c r="P202" s="358">
        <f t="shared" si="73"/>
        <v>0</v>
      </c>
      <c r="Q202" s="358">
        <f t="shared" si="73"/>
        <v>0</v>
      </c>
      <c r="R202" s="358">
        <f t="shared" si="73"/>
        <v>0</v>
      </c>
      <c r="S202" s="358">
        <f t="shared" si="73"/>
        <v>0</v>
      </c>
      <c r="T202" s="358">
        <f t="shared" si="73"/>
        <v>0</v>
      </c>
      <c r="U202" s="358">
        <f t="shared" si="73"/>
        <v>0</v>
      </c>
      <c r="V202" s="457">
        <f t="shared" si="73"/>
        <v>0</v>
      </c>
      <c r="Y202" s="65"/>
    </row>
    <row r="203" spans="1:25" s="8" customFormat="1" ht="13.8" x14ac:dyDescent="0.25">
      <c r="A203" s="386"/>
      <c r="B203" s="389"/>
      <c r="C203" s="389"/>
      <c r="D203" s="947"/>
      <c r="E203" s="749"/>
      <c r="F203" s="748"/>
      <c r="G203" s="746"/>
      <c r="H203" s="746"/>
      <c r="I203" s="746"/>
      <c r="J203" s="746"/>
      <c r="K203" s="874"/>
      <c r="L203" s="746"/>
      <c r="M203" s="746"/>
      <c r="N203" s="746"/>
      <c r="O203" s="746"/>
      <c r="P203" s="746"/>
      <c r="Q203" s="746"/>
      <c r="R203" s="746"/>
      <c r="S203" s="746"/>
      <c r="T203" s="746"/>
      <c r="U203" s="746"/>
      <c r="V203" s="95">
        <f t="shared" si="55"/>
        <v>0</v>
      </c>
      <c r="Y203" s="420"/>
    </row>
    <row r="204" spans="1:25" s="8" customFormat="1" ht="13.8" x14ac:dyDescent="0.25">
      <c r="A204" s="1347" t="s">
        <v>289</v>
      </c>
      <c r="B204" s="1348"/>
      <c r="C204" s="1348"/>
      <c r="D204" s="1348"/>
      <c r="E204" s="1087">
        <v>15000</v>
      </c>
      <c r="F204" s="136" t="s">
        <v>263</v>
      </c>
      <c r="G204" s="58">
        <f t="shared" ref="G204:G214" si="74">SUM(H204:U204)</f>
        <v>0</v>
      </c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1302">
        <f t="shared" si="55"/>
        <v>15000</v>
      </c>
      <c r="Y204" s="65"/>
    </row>
    <row r="205" spans="1:25" s="8" customFormat="1" ht="13.8" x14ac:dyDescent="0.25">
      <c r="A205" s="339"/>
      <c r="B205" s="989"/>
      <c r="C205" s="989"/>
      <c r="D205" s="943"/>
      <c r="E205" s="376"/>
      <c r="F205" s="324"/>
      <c r="G205" s="322">
        <f t="shared" si="74"/>
        <v>0</v>
      </c>
      <c r="H205" s="322"/>
      <c r="I205" s="322"/>
      <c r="J205" s="322"/>
      <c r="K205" s="322"/>
      <c r="L205" s="322"/>
      <c r="M205" s="322"/>
      <c r="N205" s="322"/>
      <c r="O205" s="322"/>
      <c r="P205" s="322"/>
      <c r="Q205" s="322"/>
      <c r="R205" s="322"/>
      <c r="S205" s="322"/>
      <c r="T205" s="322"/>
      <c r="U205" s="322"/>
      <c r="V205" s="1302">
        <f t="shared" si="55"/>
        <v>0</v>
      </c>
      <c r="Y205" s="65"/>
    </row>
    <row r="206" spans="1:25" s="64" customFormat="1" ht="13.8" x14ac:dyDescent="0.25">
      <c r="A206" s="319" t="s">
        <v>233</v>
      </c>
      <c r="B206" s="871"/>
      <c r="C206" s="871"/>
      <c r="D206" s="944"/>
      <c r="E206" s="369">
        <v>103703.28</v>
      </c>
      <c r="F206" s="328" t="s">
        <v>260</v>
      </c>
      <c r="G206" s="136">
        <f t="shared" si="74"/>
        <v>68968.13</v>
      </c>
      <c r="H206" s="329"/>
      <c r="I206" s="329"/>
      <c r="J206" s="329"/>
      <c r="K206" s="329">
        <v>68968.13</v>
      </c>
      <c r="L206" s="329"/>
      <c r="M206" s="58"/>
      <c r="N206" s="58"/>
      <c r="O206" s="370"/>
      <c r="P206" s="62"/>
      <c r="Q206" s="58"/>
      <c r="R206" s="58"/>
      <c r="S206" s="58"/>
      <c r="T206" s="58"/>
      <c r="U206" s="58"/>
      <c r="V206" s="1302">
        <f t="shared" si="55"/>
        <v>34735.149999999994</v>
      </c>
      <c r="W206" s="325"/>
      <c r="X206" s="325"/>
      <c r="Y206" s="330"/>
    </row>
    <row r="207" spans="1:25" s="64" customFormat="1" ht="13.8" x14ac:dyDescent="0.25">
      <c r="A207" s="352"/>
      <c r="B207" s="871"/>
      <c r="C207" s="871"/>
      <c r="D207" s="944"/>
      <c r="E207" s="376">
        <v>600000</v>
      </c>
      <c r="F207" s="321" t="s">
        <v>290</v>
      </c>
      <c r="G207" s="226">
        <f t="shared" si="74"/>
        <v>200000</v>
      </c>
      <c r="H207" s="324"/>
      <c r="I207" s="324"/>
      <c r="J207" s="324"/>
      <c r="K207" s="324">
        <v>200000</v>
      </c>
      <c r="L207" s="324"/>
      <c r="M207" s="322"/>
      <c r="N207" s="322"/>
      <c r="O207" s="380"/>
      <c r="P207" s="323"/>
      <c r="Q207" s="322"/>
      <c r="R207" s="322"/>
      <c r="S207" s="322"/>
      <c r="T207" s="322"/>
      <c r="U207" s="322"/>
      <c r="V207" s="1302">
        <f t="shared" si="55"/>
        <v>400000</v>
      </c>
      <c r="W207" s="325"/>
      <c r="X207" s="325"/>
      <c r="Y207" s="330"/>
    </row>
    <row r="208" spans="1:25" s="345" customFormat="1" ht="13.8" x14ac:dyDescent="0.25">
      <c r="A208" s="344"/>
      <c r="B208" s="872"/>
      <c r="C208" s="872"/>
      <c r="D208" s="945"/>
      <c r="E208" s="138">
        <v>349702.77</v>
      </c>
      <c r="F208" s="328" t="s">
        <v>291</v>
      </c>
      <c r="G208" s="136">
        <f t="shared" si="74"/>
        <v>349702.77</v>
      </c>
      <c r="H208" s="136"/>
      <c r="I208" s="136"/>
      <c r="J208" s="136"/>
      <c r="K208" s="136">
        <v>349702.77</v>
      </c>
      <c r="L208" s="1305"/>
      <c r="M208" s="1305"/>
      <c r="N208" s="1305"/>
      <c r="O208" s="873"/>
      <c r="P208" s="348"/>
      <c r="Q208" s="346"/>
      <c r="R208" s="346"/>
      <c r="S208" s="346"/>
      <c r="T208" s="346"/>
      <c r="U208" s="346"/>
      <c r="V208" s="1302">
        <f t="shared" si="55"/>
        <v>0</v>
      </c>
      <c r="W208" s="350"/>
      <c r="X208" s="350"/>
      <c r="Y208" s="439"/>
    </row>
    <row r="209" spans="1:25" s="64" customFormat="1" ht="13.8" x14ac:dyDescent="0.25">
      <c r="A209" s="352"/>
      <c r="B209" s="871"/>
      <c r="C209" s="871"/>
      <c r="D209" s="944"/>
      <c r="E209" s="376">
        <v>50000</v>
      </c>
      <c r="F209" s="321" t="s">
        <v>270</v>
      </c>
      <c r="G209" s="226">
        <f t="shared" si="74"/>
        <v>60231</v>
      </c>
      <c r="H209" s="324"/>
      <c r="I209" s="324"/>
      <c r="J209" s="324"/>
      <c r="K209" s="324">
        <v>50000</v>
      </c>
      <c r="L209" s="1306"/>
      <c r="M209" s="1306"/>
      <c r="N209" s="1306">
        <v>10231</v>
      </c>
      <c r="O209" s="380"/>
      <c r="P209" s="323"/>
      <c r="Q209" s="322"/>
      <c r="R209" s="322"/>
      <c r="S209" s="322"/>
      <c r="T209" s="322"/>
      <c r="U209" s="322"/>
      <c r="V209" s="1302">
        <f t="shared" si="55"/>
        <v>-10231</v>
      </c>
      <c r="W209" s="325"/>
      <c r="X209" s="325"/>
      <c r="Y209" s="330"/>
    </row>
    <row r="210" spans="1:25" s="64" customFormat="1" ht="13.8" x14ac:dyDescent="0.25">
      <c r="A210" s="327"/>
      <c r="B210" s="871"/>
      <c r="C210" s="871"/>
      <c r="D210" s="944"/>
      <c r="E210" s="369">
        <v>678400</v>
      </c>
      <c r="F210" s="328" t="s">
        <v>261</v>
      </c>
      <c r="G210" s="136">
        <f>SUM(H210:U210)</f>
        <v>494246</v>
      </c>
      <c r="H210" s="329"/>
      <c r="I210" s="329"/>
      <c r="J210" s="329"/>
      <c r="K210" s="329">
        <f>84015+400000</f>
        <v>484015</v>
      </c>
      <c r="L210" s="1307"/>
      <c r="M210" s="1307"/>
      <c r="N210" s="1307">
        <v>10231</v>
      </c>
      <c r="O210" s="370"/>
      <c r="P210" s="62"/>
      <c r="Q210" s="58"/>
      <c r="R210" s="58"/>
      <c r="S210" s="58"/>
      <c r="T210" s="58"/>
      <c r="U210" s="58"/>
      <c r="V210" s="1302">
        <f t="shared" si="55"/>
        <v>184154</v>
      </c>
      <c r="Y210" s="65"/>
    </row>
    <row r="211" spans="1:25" s="64" customFormat="1" ht="13.8" x14ac:dyDescent="0.25">
      <c r="A211" s="327"/>
      <c r="B211" s="871"/>
      <c r="C211" s="871"/>
      <c r="D211" s="944"/>
      <c r="E211" s="409">
        <v>661002</v>
      </c>
      <c r="F211" s="869" t="s">
        <v>262</v>
      </c>
      <c r="G211" s="765">
        <f t="shared" si="74"/>
        <v>410231</v>
      </c>
      <c r="H211" s="408"/>
      <c r="I211" s="408"/>
      <c r="J211" s="408"/>
      <c r="K211" s="408">
        <v>400000</v>
      </c>
      <c r="L211" s="1308"/>
      <c r="M211" s="1308"/>
      <c r="N211" s="1308">
        <v>10231</v>
      </c>
      <c r="O211" s="414"/>
      <c r="P211" s="870"/>
      <c r="Q211" s="94"/>
      <c r="R211" s="94"/>
      <c r="S211" s="94"/>
      <c r="T211" s="94"/>
      <c r="U211" s="94"/>
      <c r="V211" s="1303">
        <f t="shared" si="55"/>
        <v>250771</v>
      </c>
      <c r="W211" s="325"/>
      <c r="X211" s="325"/>
      <c r="Y211" s="330"/>
    </row>
    <row r="212" spans="1:25" s="64" customFormat="1" ht="13.8" x14ac:dyDescent="0.25">
      <c r="A212" s="327"/>
      <c r="B212" s="871"/>
      <c r="C212" s="871"/>
      <c r="D212" s="944"/>
      <c r="E212" s="409">
        <v>253877.76000000001</v>
      </c>
      <c r="F212" s="869" t="s">
        <v>263</v>
      </c>
      <c r="G212" s="765">
        <f t="shared" si="74"/>
        <v>60231</v>
      </c>
      <c r="H212" s="408"/>
      <c r="I212" s="408"/>
      <c r="J212" s="408"/>
      <c r="K212" s="408">
        <v>50000</v>
      </c>
      <c r="L212" s="1308"/>
      <c r="M212" s="1308"/>
      <c r="N212" s="1308">
        <v>10231</v>
      </c>
      <c r="O212" s="414"/>
      <c r="P212" s="870"/>
      <c r="Q212" s="94"/>
      <c r="R212" s="94"/>
      <c r="S212" s="94"/>
      <c r="T212" s="94"/>
      <c r="U212" s="94"/>
      <c r="V212" s="1303">
        <f t="shared" si="55"/>
        <v>193646.76</v>
      </c>
      <c r="W212" s="325"/>
      <c r="X212" s="325"/>
      <c r="Y212" s="330"/>
    </row>
    <row r="213" spans="1:25" s="64" customFormat="1" ht="13.8" x14ac:dyDescent="0.25">
      <c r="A213" s="327"/>
      <c r="B213" s="871"/>
      <c r="C213" s="871"/>
      <c r="D213" s="944"/>
      <c r="E213" s="409">
        <v>200000</v>
      </c>
      <c r="F213" s="869" t="s">
        <v>266</v>
      </c>
      <c r="G213" s="765">
        <f t="shared" si="74"/>
        <v>200000</v>
      </c>
      <c r="H213" s="408"/>
      <c r="I213" s="408"/>
      <c r="J213" s="408"/>
      <c r="K213" s="408">
        <v>200000</v>
      </c>
      <c r="L213" s="1308"/>
      <c r="M213" s="1308"/>
      <c r="N213" s="1308"/>
      <c r="O213" s="414"/>
      <c r="P213" s="870"/>
      <c r="Q213" s="94"/>
      <c r="R213" s="94"/>
      <c r="S213" s="94"/>
      <c r="T213" s="94"/>
      <c r="U213" s="94"/>
      <c r="V213" s="1303">
        <f t="shared" si="55"/>
        <v>0</v>
      </c>
      <c r="W213" s="325"/>
      <c r="X213" s="325"/>
      <c r="Y213" s="330"/>
    </row>
    <row r="214" spans="1:25" s="64" customFormat="1" ht="13.8" x14ac:dyDescent="0.25">
      <c r="A214" s="327"/>
      <c r="B214" s="871"/>
      <c r="C214" s="871"/>
      <c r="D214" s="944"/>
      <c r="E214" s="376">
        <v>2938452</v>
      </c>
      <c r="F214" s="868" t="s">
        <v>292</v>
      </c>
      <c r="G214" s="226">
        <f t="shared" si="74"/>
        <v>1399767</v>
      </c>
      <c r="H214" s="324"/>
      <c r="I214" s="324"/>
      <c r="J214" s="324"/>
      <c r="K214" s="324">
        <v>1383915</v>
      </c>
      <c r="L214" s="1306">
        <v>1856</v>
      </c>
      <c r="M214" s="1306">
        <v>3765</v>
      </c>
      <c r="N214" s="1306">
        <v>10231</v>
      </c>
      <c r="O214" s="322"/>
      <c r="P214" s="323"/>
      <c r="Q214" s="322"/>
      <c r="R214" s="322"/>
      <c r="S214" s="322"/>
      <c r="T214" s="322"/>
      <c r="U214" s="322"/>
      <c r="V214" s="1304">
        <f t="shared" si="55"/>
        <v>1538685</v>
      </c>
      <c r="Y214" s="65"/>
    </row>
    <row r="215" spans="1:25" s="4" customFormat="1" ht="13.8" x14ac:dyDescent="0.25">
      <c r="A215" s="770"/>
      <c r="B215" s="11"/>
      <c r="C215" s="11"/>
      <c r="D215" s="946"/>
      <c r="E215" s="928">
        <f>SUM(E206:E214)</f>
        <v>5835137.8099999996</v>
      </c>
      <c r="F215" s="465"/>
      <c r="G215" s="465">
        <f t="shared" ref="G215:V215" si="75">SUM(G206:G214)</f>
        <v>3243376.9</v>
      </c>
      <c r="H215" s="465">
        <f t="shared" si="75"/>
        <v>0</v>
      </c>
      <c r="I215" s="465">
        <f t="shared" si="75"/>
        <v>0</v>
      </c>
      <c r="J215" s="465">
        <f t="shared" si="75"/>
        <v>0</v>
      </c>
      <c r="K215" s="465">
        <f t="shared" si="75"/>
        <v>3186600.9</v>
      </c>
      <c r="L215" s="465">
        <f t="shared" si="75"/>
        <v>1856</v>
      </c>
      <c r="M215" s="465">
        <f t="shared" si="75"/>
        <v>3765</v>
      </c>
      <c r="N215" s="465">
        <f t="shared" si="75"/>
        <v>51155</v>
      </c>
      <c r="O215" s="465">
        <f t="shared" si="75"/>
        <v>0</v>
      </c>
      <c r="P215" s="465">
        <f t="shared" si="75"/>
        <v>0</v>
      </c>
      <c r="Q215" s="465">
        <f t="shared" si="75"/>
        <v>0</v>
      </c>
      <c r="R215" s="465">
        <f t="shared" si="75"/>
        <v>0</v>
      </c>
      <c r="S215" s="465">
        <f t="shared" si="75"/>
        <v>0</v>
      </c>
      <c r="T215" s="465">
        <f t="shared" si="75"/>
        <v>0</v>
      </c>
      <c r="U215" s="465">
        <f t="shared" si="75"/>
        <v>0</v>
      </c>
      <c r="V215" s="791">
        <f t="shared" si="75"/>
        <v>2591760.91</v>
      </c>
      <c r="Y215" s="771"/>
    </row>
    <row r="216" spans="1:25" s="819" customFormat="1" ht="13.8" x14ac:dyDescent="0.25">
      <c r="A216" s="992"/>
      <c r="B216" s="993"/>
      <c r="C216" s="993" t="s">
        <v>237</v>
      </c>
      <c r="D216" s="994"/>
      <c r="E216" s="995">
        <f>E32+E38+E47+E51+E61+E67+E77+E84+E90+E98+E115+E121+E126+E130+E135+E141+E148+E153+E156+E160+E165+E169+E177+E183+E186+E189+E195+E199+E202+E215</f>
        <v>22593619.849999998</v>
      </c>
      <c r="F216" s="996"/>
      <c r="G216" s="997">
        <f>G32+G38+G47+G61+G67+G77+G84+G90+G98+G121+G135+G141+G153+G165+G177+G186+G195+G215</f>
        <v>10725957.539999999</v>
      </c>
      <c r="H216" s="997">
        <f ca="1">H32+H38+H47+H51+H61+H67+H77+H84+H90+H98+H115+H121+H126+H130+H135+H141+H148+H153+H156+H160+H165+H169+H177+H183+H186+H189+H195+H199+H202+H215</f>
        <v>0</v>
      </c>
      <c r="I216" s="997">
        <f t="shared" ref="I216:K216" ca="1" si="76">I32+I38+I47+I51+I61+I67+I77+I84+I90+I98+I115+I121+I126+I130+I135+I141+I148+I153+I156+I160+I165+I169+I177+I183+I186+I189+I195+I199+I202+I215</f>
        <v>0</v>
      </c>
      <c r="J216" s="997">
        <f t="shared" ca="1" si="76"/>
        <v>0</v>
      </c>
      <c r="K216" s="997">
        <f t="shared" ca="1" si="76"/>
        <v>10299171.529999999</v>
      </c>
      <c r="L216" s="996"/>
      <c r="M216" s="998"/>
      <c r="N216" s="998"/>
      <c r="O216" s="999"/>
      <c r="P216" s="999"/>
      <c r="Q216" s="996"/>
      <c r="R216" s="996"/>
      <c r="S216" s="996"/>
      <c r="T216" s="996"/>
      <c r="U216" s="996"/>
      <c r="V216" s="1000">
        <f>E216-G216</f>
        <v>11867662.309999999</v>
      </c>
      <c r="Y216" s="820"/>
    </row>
    <row r="217" spans="1:25" s="8" customFormat="1" ht="13.8" x14ac:dyDescent="0.25">
      <c r="D217" s="954"/>
      <c r="E217" s="417"/>
      <c r="F217" s="417"/>
      <c r="G217" s="417"/>
      <c r="H217" s="417"/>
      <c r="I217" s="417">
        <f ca="1">G32+G38+G47+G51+G61+G67+G77+G84+G90+G98+G115+G121+G126+G130+G135+G141+G148+G153+G156+G160+G165+G169+G177+G183+G186+G189+G195+G199+G202+G215</f>
        <v>0</v>
      </c>
      <c r="J217" s="417"/>
      <c r="K217" s="821"/>
      <c r="L217" s="417"/>
      <c r="M217" s="417"/>
      <c r="N217" s="417"/>
      <c r="O217" s="440"/>
      <c r="P217" s="440"/>
      <c r="Q217" s="417"/>
      <c r="R217" s="417"/>
      <c r="S217" s="417"/>
      <c r="T217" s="417"/>
      <c r="U217" s="417"/>
      <c r="V217" s="441"/>
      <c r="Y217" s="326"/>
    </row>
    <row r="218" spans="1:25" s="8" customFormat="1" ht="13.8" x14ac:dyDescent="0.25">
      <c r="D218" s="954"/>
      <c r="E218" s="417"/>
      <c r="F218" s="417"/>
      <c r="G218" s="417"/>
      <c r="H218" s="417"/>
      <c r="I218" s="417"/>
      <c r="J218" s="417"/>
      <c r="K218" s="821"/>
      <c r="L218" s="417"/>
      <c r="M218" s="417"/>
      <c r="N218" s="417"/>
      <c r="O218" s="440"/>
      <c r="P218" s="440"/>
      <c r="Q218" s="417"/>
      <c r="R218" s="417"/>
      <c r="S218" s="417"/>
      <c r="T218" s="417"/>
      <c r="U218" s="417"/>
      <c r="V218" s="441"/>
      <c r="Y218" s="326"/>
    </row>
    <row r="219" spans="1:25" s="8" customFormat="1" ht="13.8" x14ac:dyDescent="0.25">
      <c r="D219" s="954"/>
      <c r="E219" s="417"/>
      <c r="F219" s="417"/>
      <c r="G219" s="417"/>
      <c r="H219" s="417"/>
      <c r="I219" s="417"/>
      <c r="J219" s="417"/>
      <c r="K219" s="821"/>
      <c r="L219" s="417"/>
      <c r="M219" s="417"/>
      <c r="N219" s="417"/>
      <c r="O219" s="440"/>
      <c r="P219" s="440"/>
      <c r="Q219" s="417"/>
      <c r="R219" s="417"/>
      <c r="S219" s="417"/>
      <c r="T219" s="417"/>
      <c r="U219" s="417"/>
      <c r="V219" s="441"/>
      <c r="Y219" s="326"/>
    </row>
    <row r="220" spans="1:25" s="8" customFormat="1" ht="13.8" x14ac:dyDescent="0.25">
      <c r="D220" s="954"/>
      <c r="E220" s="417"/>
      <c r="F220" s="417"/>
      <c r="G220" s="417"/>
      <c r="H220" s="417"/>
      <c r="I220" s="417"/>
      <c r="J220" s="417"/>
      <c r="K220" s="417"/>
      <c r="L220" s="417"/>
      <c r="M220" s="417"/>
      <c r="N220" s="417"/>
      <c r="O220" s="440"/>
      <c r="P220" s="440"/>
      <c r="Q220" s="417"/>
      <c r="R220" s="417"/>
      <c r="S220" s="417"/>
      <c r="T220" s="417"/>
      <c r="U220" s="417"/>
      <c r="V220" s="441"/>
      <c r="Y220" s="326"/>
    </row>
    <row r="221" spans="1:25" s="8" customFormat="1" ht="13.8" x14ac:dyDescent="0.25">
      <c r="D221" s="954"/>
      <c r="E221" s="417"/>
      <c r="F221" s="417"/>
      <c r="G221" s="417"/>
      <c r="H221" s="417"/>
      <c r="I221" s="417"/>
      <c r="J221" s="417"/>
      <c r="K221" s="417"/>
      <c r="L221" s="417"/>
      <c r="M221" s="417"/>
      <c r="N221" s="417"/>
      <c r="O221" s="440"/>
      <c r="P221" s="440"/>
      <c r="Q221" s="417"/>
      <c r="R221" s="417"/>
      <c r="S221" s="417"/>
      <c r="T221" s="417"/>
      <c r="U221" s="417"/>
      <c r="V221" s="441"/>
      <c r="Y221" s="326"/>
    </row>
    <row r="222" spans="1:25" s="8" customFormat="1" ht="13.8" x14ac:dyDescent="0.25">
      <c r="D222" s="954"/>
      <c r="E222" s="417"/>
      <c r="F222" s="417"/>
      <c r="G222" s="417"/>
      <c r="H222" s="417"/>
      <c r="I222" s="417"/>
      <c r="J222" s="417"/>
      <c r="K222" s="417"/>
      <c r="L222" s="417"/>
      <c r="M222" s="417"/>
      <c r="N222" s="417"/>
      <c r="O222" s="440"/>
      <c r="P222" s="440"/>
      <c r="Q222" s="417"/>
      <c r="R222" s="417"/>
      <c r="S222" s="417"/>
      <c r="T222" s="417"/>
      <c r="U222" s="417"/>
      <c r="V222" s="441"/>
      <c r="Y222" s="326"/>
    </row>
    <row r="223" spans="1:25" s="8" customFormat="1" ht="13.8" x14ac:dyDescent="0.25">
      <c r="D223" s="954"/>
      <c r="E223" s="417"/>
      <c r="F223" s="417"/>
      <c r="G223" s="417"/>
      <c r="H223" s="417"/>
      <c r="I223" s="417"/>
      <c r="J223" s="417"/>
      <c r="K223" s="417"/>
      <c r="L223" s="417"/>
      <c r="M223" s="417"/>
      <c r="N223" s="417"/>
      <c r="O223" s="440"/>
      <c r="P223" s="440"/>
      <c r="Q223" s="417"/>
      <c r="R223" s="417"/>
      <c r="S223" s="417"/>
      <c r="T223" s="417"/>
      <c r="U223" s="417"/>
      <c r="V223" s="441"/>
      <c r="Y223" s="326"/>
    </row>
    <row r="224" spans="1:25" s="8" customFormat="1" ht="13.8" x14ac:dyDescent="0.25">
      <c r="D224" s="954"/>
      <c r="E224" s="417"/>
      <c r="F224" s="417"/>
      <c r="G224" s="417"/>
      <c r="H224" s="417"/>
      <c r="I224" s="417"/>
      <c r="J224" s="417"/>
      <c r="K224" s="417"/>
      <c r="L224" s="417"/>
      <c r="M224" s="417"/>
      <c r="N224" s="417"/>
      <c r="O224" s="440"/>
      <c r="P224" s="440"/>
      <c r="Q224" s="417"/>
      <c r="R224" s="417"/>
      <c r="S224" s="417"/>
      <c r="T224" s="417"/>
      <c r="U224" s="417"/>
      <c r="V224" s="441"/>
      <c r="Y224" s="326"/>
    </row>
    <row r="225" spans="1:25" s="8" customFormat="1" ht="13.8" x14ac:dyDescent="0.25">
      <c r="D225" s="954"/>
      <c r="E225" s="417"/>
      <c r="F225" s="417"/>
      <c r="G225" s="417"/>
      <c r="H225" s="417"/>
      <c r="I225" s="417"/>
      <c r="J225" s="417"/>
      <c r="K225" s="417"/>
      <c r="L225" s="417"/>
      <c r="M225" s="417"/>
      <c r="N225" s="417"/>
      <c r="O225" s="440"/>
      <c r="P225" s="440"/>
      <c r="Q225" s="417"/>
      <c r="R225" s="417"/>
      <c r="S225" s="417"/>
      <c r="T225" s="417"/>
      <c r="U225" s="417"/>
      <c r="V225" s="441"/>
      <c r="Y225" s="326"/>
    </row>
    <row r="226" spans="1:25" s="8" customFormat="1" ht="13.8" x14ac:dyDescent="0.25">
      <c r="D226" s="954"/>
      <c r="E226" s="417"/>
      <c r="F226" s="417"/>
      <c r="G226" s="417"/>
      <c r="H226" s="417"/>
      <c r="I226" s="417"/>
      <c r="J226" s="417"/>
      <c r="K226" s="417"/>
      <c r="L226" s="417"/>
      <c r="M226" s="417"/>
      <c r="N226" s="417"/>
      <c r="O226" s="440"/>
      <c r="P226" s="440"/>
      <c r="Q226" s="417"/>
      <c r="R226" s="417"/>
      <c r="S226" s="417"/>
      <c r="T226" s="417"/>
      <c r="U226" s="417"/>
      <c r="V226" s="441"/>
      <c r="Y226" s="326"/>
    </row>
    <row r="227" spans="1:25" s="8" customFormat="1" ht="13.8" x14ac:dyDescent="0.25">
      <c r="D227" s="954"/>
      <c r="E227" s="417"/>
      <c r="F227" s="417"/>
      <c r="G227" s="417"/>
      <c r="H227" s="417"/>
      <c r="I227" s="417"/>
      <c r="J227" s="417"/>
      <c r="K227" s="417"/>
      <c r="L227" s="417"/>
      <c r="M227" s="417"/>
      <c r="N227" s="417"/>
      <c r="O227" s="440"/>
      <c r="P227" s="440"/>
      <c r="Q227" s="417"/>
      <c r="R227" s="417"/>
      <c r="S227" s="417"/>
      <c r="T227" s="417"/>
      <c r="U227" s="417"/>
      <c r="V227" s="441"/>
      <c r="Y227" s="326"/>
    </row>
    <row r="228" spans="1:25" s="8" customFormat="1" ht="13.8" x14ac:dyDescent="0.25">
      <c r="D228" s="954"/>
      <c r="E228" s="417"/>
      <c r="F228" s="417"/>
      <c r="G228" s="417"/>
      <c r="H228" s="417"/>
      <c r="I228" s="417"/>
      <c r="J228" s="417"/>
      <c r="K228" s="417"/>
      <c r="L228" s="417"/>
      <c r="M228" s="417"/>
      <c r="N228" s="417"/>
      <c r="O228" s="440"/>
      <c r="P228" s="440"/>
      <c r="Q228" s="417"/>
      <c r="R228" s="417"/>
      <c r="S228" s="417"/>
      <c r="T228" s="417"/>
      <c r="U228" s="417"/>
      <c r="V228" s="441"/>
      <c r="Y228" s="326"/>
    </row>
    <row r="229" spans="1:25" s="8" customFormat="1" ht="13.8" x14ac:dyDescent="0.25">
      <c r="D229" s="954"/>
      <c r="E229" s="417"/>
      <c r="F229" s="417"/>
      <c r="G229" s="417"/>
      <c r="H229" s="417"/>
      <c r="I229" s="417"/>
      <c r="J229" s="417"/>
      <c r="K229" s="417"/>
      <c r="L229" s="417"/>
      <c r="M229" s="417"/>
      <c r="N229" s="417"/>
      <c r="O229" s="440"/>
      <c r="P229" s="440"/>
      <c r="Q229" s="417"/>
      <c r="R229" s="417"/>
      <c r="S229" s="417"/>
      <c r="T229" s="417"/>
      <c r="U229" s="417"/>
      <c r="V229" s="441"/>
      <c r="Y229" s="326"/>
    </row>
    <row r="230" spans="1:25" s="8" customFormat="1" ht="13.8" x14ac:dyDescent="0.25">
      <c r="D230" s="954"/>
      <c r="E230" s="1271"/>
      <c r="F230" s="417"/>
      <c r="G230" s="417"/>
      <c r="H230" s="417"/>
      <c r="I230" s="417"/>
      <c r="J230" s="417"/>
      <c r="K230" s="417"/>
      <c r="L230" s="417"/>
      <c r="M230" s="417"/>
      <c r="N230" s="417"/>
      <c r="O230" s="440"/>
      <c r="P230" s="440"/>
      <c r="Q230" s="417"/>
      <c r="R230" s="417"/>
      <c r="S230" s="417"/>
      <c r="T230" s="417"/>
      <c r="U230" s="417"/>
      <c r="V230" s="441"/>
      <c r="Y230" s="326"/>
    </row>
    <row r="231" spans="1:25" s="8" customFormat="1" ht="15.75" customHeight="1" x14ac:dyDescent="0.25">
      <c r="A231" s="1326" t="s">
        <v>106</v>
      </c>
      <c r="B231" s="1326"/>
      <c r="C231" s="1326"/>
      <c r="D231" s="1326"/>
      <c r="E231" s="1326"/>
      <c r="F231" s="1326"/>
      <c r="G231" s="1326"/>
      <c r="H231" s="1326"/>
      <c r="I231" s="1326"/>
      <c r="J231" s="1326"/>
      <c r="K231" s="1326"/>
      <c r="L231" s="1326"/>
      <c r="M231" s="1326"/>
      <c r="N231" s="1326"/>
      <c r="O231" s="1326"/>
      <c r="P231" s="1326"/>
      <c r="Q231" s="10"/>
      <c r="R231" s="10"/>
      <c r="S231" s="10"/>
      <c r="T231" s="10"/>
      <c r="Y231" s="65"/>
    </row>
    <row r="232" spans="1:25" s="8" customFormat="1" ht="15.75" customHeight="1" x14ac:dyDescent="0.25">
      <c r="A232" s="1326" t="s">
        <v>192</v>
      </c>
      <c r="B232" s="1326"/>
      <c r="C232" s="1326"/>
      <c r="D232" s="1326"/>
      <c r="E232" s="1326"/>
      <c r="F232" s="1326"/>
      <c r="G232" s="1326"/>
      <c r="H232" s="1326"/>
      <c r="I232" s="1326"/>
      <c r="J232" s="1326"/>
      <c r="K232" s="1326"/>
      <c r="L232" s="1326"/>
      <c r="M232" s="1326"/>
      <c r="N232" s="1326"/>
      <c r="O232" s="1326"/>
      <c r="P232" s="1326"/>
      <c r="Q232" s="10"/>
      <c r="R232" s="10"/>
      <c r="S232" s="10"/>
      <c r="T232" s="10"/>
      <c r="Y232" s="65"/>
    </row>
    <row r="233" spans="1:25" s="8" customFormat="1" ht="15.75" customHeight="1" x14ac:dyDescent="0.25">
      <c r="A233" s="1326" t="s">
        <v>252</v>
      </c>
      <c r="B233" s="1326"/>
      <c r="C233" s="1326"/>
      <c r="D233" s="1326"/>
      <c r="E233" s="1326"/>
      <c r="F233" s="1326"/>
      <c r="G233" s="1326"/>
      <c r="H233" s="1326"/>
      <c r="I233" s="1326"/>
      <c r="J233" s="1326"/>
      <c r="K233" s="1326"/>
      <c r="L233" s="1326"/>
      <c r="M233" s="1326"/>
      <c r="N233" s="1326"/>
      <c r="O233" s="1326"/>
      <c r="P233" s="1326"/>
      <c r="Q233" s="10"/>
      <c r="R233" s="10"/>
      <c r="S233" s="10"/>
      <c r="T233" s="10"/>
      <c r="V233" s="12"/>
      <c r="Y233" s="65"/>
    </row>
    <row r="234" spans="1:25" s="8" customFormat="1" ht="15.75" customHeight="1" x14ac:dyDescent="0.25">
      <c r="A234" s="11" t="s">
        <v>108</v>
      </c>
      <c r="B234" s="11"/>
      <c r="C234" s="11"/>
      <c r="D234" s="946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0"/>
      <c r="R234" s="10"/>
      <c r="S234" s="10"/>
      <c r="T234" s="10"/>
      <c r="V234" s="12" t="s">
        <v>77</v>
      </c>
      <c r="Y234" s="65"/>
    </row>
    <row r="235" spans="1:25" s="8" customFormat="1" ht="20.25" customHeight="1" thickBot="1" x14ac:dyDescent="0.3">
      <c r="A235" s="11" t="s">
        <v>177</v>
      </c>
      <c r="B235" s="11"/>
      <c r="C235" s="11"/>
      <c r="D235" s="946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0"/>
      <c r="R235" s="10"/>
      <c r="S235" s="10"/>
      <c r="T235" s="10"/>
      <c r="Y235" s="65"/>
    </row>
    <row r="236" spans="1:25" s="8" customFormat="1" ht="14.4" thickTop="1" x14ac:dyDescent="0.25">
      <c r="A236" s="128"/>
      <c r="B236" s="129"/>
      <c r="C236" s="129"/>
      <c r="D236" s="968"/>
      <c r="E236" s="982" t="s">
        <v>111</v>
      </c>
      <c r="F236" s="87"/>
      <c r="G236" s="130"/>
      <c r="H236" s="1327" t="s">
        <v>112</v>
      </c>
      <c r="I236" s="1328"/>
      <c r="J236" s="1328"/>
      <c r="K236" s="1328"/>
      <c r="L236" s="1328"/>
      <c r="M236" s="1328"/>
      <c r="N236" s="1328"/>
      <c r="O236" s="1328"/>
      <c r="P236" s="1328"/>
      <c r="Q236" s="1328"/>
      <c r="R236" s="1328"/>
      <c r="S236" s="1328"/>
      <c r="T236" s="1328"/>
      <c r="U236" s="1328"/>
      <c r="V236" s="88"/>
      <c r="Y236" s="65"/>
    </row>
    <row r="237" spans="1:25" s="8" customFormat="1" ht="13.8" x14ac:dyDescent="0.25">
      <c r="A237" s="18"/>
      <c r="B237" s="4"/>
      <c r="C237" s="4"/>
      <c r="D237" s="969"/>
      <c r="E237" s="22" t="s">
        <v>113</v>
      </c>
      <c r="F237" s="20"/>
      <c r="G237" s="20" t="s">
        <v>2</v>
      </c>
      <c r="H237" s="1330" t="s">
        <v>114</v>
      </c>
      <c r="I237" s="1331"/>
      <c r="J237" s="1331"/>
      <c r="K237" s="1331"/>
      <c r="L237" s="1331"/>
      <c r="M237" s="1331"/>
      <c r="N237" s="1331"/>
      <c r="O237" s="1331"/>
      <c r="P237" s="1331"/>
      <c r="Q237" s="1331"/>
      <c r="R237" s="1331"/>
      <c r="S237" s="1331"/>
      <c r="T237" s="1331"/>
      <c r="U237" s="1331"/>
      <c r="V237" s="21"/>
      <c r="Y237" s="65"/>
    </row>
    <row r="238" spans="1:25" s="8" customFormat="1" ht="13.8" x14ac:dyDescent="0.25">
      <c r="A238" s="1318" t="s">
        <v>0</v>
      </c>
      <c r="B238" s="1319"/>
      <c r="C238" s="1319"/>
      <c r="D238" s="1338"/>
      <c r="E238" s="22" t="s">
        <v>117</v>
      </c>
      <c r="F238" s="20" t="s">
        <v>253</v>
      </c>
      <c r="G238" s="20" t="s">
        <v>118</v>
      </c>
      <c r="H238" s="20"/>
      <c r="I238" s="20"/>
      <c r="J238" s="22"/>
      <c r="K238" s="22"/>
      <c r="L238" s="23"/>
      <c r="M238" s="23"/>
      <c r="N238" s="25"/>
      <c r="O238" s="24"/>
      <c r="P238" s="20"/>
      <c r="Q238" s="20"/>
      <c r="R238" s="20"/>
      <c r="S238" s="20" t="s">
        <v>119</v>
      </c>
      <c r="T238" s="442"/>
      <c r="U238" s="26"/>
      <c r="V238" s="29"/>
      <c r="X238" s="5"/>
      <c r="Y238" s="65"/>
    </row>
    <row r="239" spans="1:25" s="8" customFormat="1" ht="13.8" x14ac:dyDescent="0.25">
      <c r="A239" s="30"/>
      <c r="D239" s="954"/>
      <c r="E239" s="22" t="s">
        <v>121</v>
      </c>
      <c r="F239" s="20"/>
      <c r="G239" s="20" t="s">
        <v>122</v>
      </c>
      <c r="H239" s="20" t="s">
        <v>123</v>
      </c>
      <c r="I239" s="20" t="s">
        <v>124</v>
      </c>
      <c r="J239" s="22" t="s">
        <v>125</v>
      </c>
      <c r="K239" s="22"/>
      <c r="L239" s="25" t="s">
        <v>126</v>
      </c>
      <c r="M239" s="25" t="s">
        <v>127</v>
      </c>
      <c r="N239" s="406" t="s">
        <v>128</v>
      </c>
      <c r="O239" s="25" t="s">
        <v>129</v>
      </c>
      <c r="P239" s="25" t="s">
        <v>130</v>
      </c>
      <c r="Q239" s="25" t="s">
        <v>256</v>
      </c>
      <c r="R239" s="406" t="s">
        <v>132</v>
      </c>
      <c r="S239" s="25" t="s">
        <v>178</v>
      </c>
      <c r="T239" s="443"/>
      <c r="U239" s="25" t="s">
        <v>134</v>
      </c>
      <c r="V239" s="29" t="s">
        <v>135</v>
      </c>
      <c r="X239" s="444"/>
      <c r="Y239" s="65"/>
    </row>
    <row r="240" spans="1:25" s="8" customFormat="1" ht="14.4" thickBot="1" x14ac:dyDescent="0.3">
      <c r="A240" s="36"/>
      <c r="B240" s="37"/>
      <c r="C240" s="37"/>
      <c r="D240" s="963"/>
      <c r="E240" s="933" t="s">
        <v>136</v>
      </c>
      <c r="F240" s="39"/>
      <c r="G240" s="40"/>
      <c r="H240" s="40"/>
      <c r="I240" s="40"/>
      <c r="J240" s="42"/>
      <c r="K240" s="445"/>
      <c r="L240" s="40"/>
      <c r="M240" s="40"/>
      <c r="N240" s="44"/>
      <c r="O240" s="43"/>
      <c r="P240" s="313"/>
      <c r="Q240" s="38"/>
      <c r="R240" s="446"/>
      <c r="S240" s="38"/>
      <c r="T240" s="447"/>
      <c r="U240" s="49"/>
      <c r="V240" s="50"/>
      <c r="X240" s="448"/>
      <c r="Y240" s="65"/>
    </row>
    <row r="241" spans="1:26" s="316" customFormat="1" ht="14.4" thickTop="1" x14ac:dyDescent="0.25">
      <c r="A241" s="449" t="s">
        <v>293</v>
      </c>
      <c r="B241" s="450"/>
      <c r="C241" s="450"/>
      <c r="D241" s="1082"/>
      <c r="E241" s="1074">
        <f>E243+E246+E252+E260+E264+E268+E273+E274+E242</f>
        <v>421145.5</v>
      </c>
      <c r="F241" s="451"/>
      <c r="G241" s="451">
        <f t="shared" ref="G241:S241" si="77">G243+G246+G252+G260+G264+G268+G273+G274+G242</f>
        <v>0</v>
      </c>
      <c r="H241" s="451">
        <f t="shared" si="77"/>
        <v>0</v>
      </c>
      <c r="I241" s="451">
        <f t="shared" si="77"/>
        <v>0</v>
      </c>
      <c r="J241" s="451">
        <f t="shared" si="77"/>
        <v>0</v>
      </c>
      <c r="K241" s="451">
        <f t="shared" si="77"/>
        <v>0</v>
      </c>
      <c r="L241" s="451">
        <f t="shared" si="77"/>
        <v>0</v>
      </c>
      <c r="M241" s="451">
        <f t="shared" si="77"/>
        <v>0</v>
      </c>
      <c r="N241" s="451">
        <f t="shared" si="77"/>
        <v>0</v>
      </c>
      <c r="O241" s="451">
        <f t="shared" si="77"/>
        <v>0</v>
      </c>
      <c r="P241" s="451">
        <f t="shared" si="77"/>
        <v>0</v>
      </c>
      <c r="Q241" s="451">
        <f t="shared" si="77"/>
        <v>0</v>
      </c>
      <c r="R241" s="451">
        <f t="shared" si="77"/>
        <v>0</v>
      </c>
      <c r="S241" s="451">
        <f t="shared" si="77"/>
        <v>0</v>
      </c>
      <c r="T241" s="451">
        <f>T243+T246+T252+T264+T268+T273+T274+T242+T260</f>
        <v>0</v>
      </c>
      <c r="U241" s="451">
        <f>U243+U246+U252+U264+U268+U273+U274+U242</f>
        <v>0</v>
      </c>
      <c r="V241" s="452">
        <f>E241-G241</f>
        <v>421145.5</v>
      </c>
      <c r="Y241" s="318"/>
    </row>
    <row r="242" spans="1:26" s="454" customFormat="1" ht="13.8" x14ac:dyDescent="0.25">
      <c r="A242" s="319" t="s">
        <v>243</v>
      </c>
      <c r="B242" s="453"/>
      <c r="C242" s="453"/>
      <c r="D242" s="1083"/>
      <c r="E242" s="875">
        <v>271145.5</v>
      </c>
      <c r="F242" s="387" t="s">
        <v>270</v>
      </c>
      <c r="G242" s="859">
        <f>SUM(H242:U242)</f>
        <v>0</v>
      </c>
      <c r="H242" s="859"/>
      <c r="I242" s="859"/>
      <c r="J242" s="864"/>
      <c r="K242" s="865"/>
      <c r="L242" s="859"/>
      <c r="M242" s="866"/>
      <c r="N242" s="866"/>
      <c r="O242" s="859"/>
      <c r="P242" s="859"/>
      <c r="Q242" s="859"/>
      <c r="R242" s="859"/>
      <c r="S242" s="859"/>
      <c r="T242" s="865"/>
      <c r="U242" s="859"/>
      <c r="V242" s="867">
        <f>E242-G242</f>
        <v>271145.5</v>
      </c>
      <c r="Y242" s="318"/>
    </row>
    <row r="243" spans="1:26" s="64" customFormat="1" ht="13.8" x14ac:dyDescent="0.25">
      <c r="A243" s="319" t="s">
        <v>294</v>
      </c>
      <c r="B243" s="61"/>
      <c r="C243" s="61"/>
      <c r="D243" s="964"/>
      <c r="E243" s="409"/>
      <c r="F243" s="408" t="s">
        <v>266</v>
      </c>
      <c r="G243" s="861">
        <f>SUM(H243:U243)</f>
        <v>0</v>
      </c>
      <c r="H243" s="408"/>
      <c r="I243" s="408"/>
      <c r="J243" s="862"/>
      <c r="K243" s="863"/>
      <c r="L243" s="414"/>
      <c r="M243" s="412"/>
      <c r="N243" s="412"/>
      <c r="O243" s="414"/>
      <c r="P243" s="414"/>
      <c r="Q243" s="408"/>
      <c r="R243" s="408"/>
      <c r="S243" s="408"/>
      <c r="T243" s="410"/>
      <c r="U243" s="408"/>
      <c r="V243" s="752">
        <f>E243-G243</f>
        <v>0</v>
      </c>
      <c r="Y243" s="65"/>
    </row>
    <row r="244" spans="1:26" s="8" customFormat="1" ht="13.8" x14ac:dyDescent="0.25">
      <c r="A244" s="339" t="s">
        <v>12</v>
      </c>
      <c r="B244" s="71"/>
      <c r="C244" s="71"/>
      <c r="D244" s="965"/>
      <c r="E244" s="362"/>
      <c r="F244" s="363" t="s">
        <v>292</v>
      </c>
      <c r="G244" s="360">
        <f>SUM(H244:U244)</f>
        <v>0</v>
      </c>
      <c r="H244" s="430"/>
      <c r="I244" s="430"/>
      <c r="J244" s="458"/>
      <c r="K244" s="459"/>
      <c r="L244" s="432"/>
      <c r="M244" s="431"/>
      <c r="N244" s="431"/>
      <c r="O244" s="432"/>
      <c r="P244" s="432"/>
      <c r="Q244" s="430"/>
      <c r="R244" s="430"/>
      <c r="S244" s="430"/>
      <c r="T244" s="460"/>
      <c r="U244" s="430"/>
      <c r="V244" s="214">
        <f>E244-G244</f>
        <v>0</v>
      </c>
      <c r="W244" s="304"/>
      <c r="X244" s="304"/>
      <c r="Y244" s="330"/>
      <c r="Z244" s="304"/>
    </row>
    <row r="245" spans="1:26" s="8" customFormat="1" ht="13.8" x14ac:dyDescent="0.25">
      <c r="A245" s="339"/>
      <c r="B245" s="71"/>
      <c r="C245" s="71"/>
      <c r="D245" s="965"/>
      <c r="E245" s="362"/>
      <c r="F245" s="363" t="s">
        <v>270</v>
      </c>
      <c r="G245" s="360">
        <f>SUM(H245:U245)</f>
        <v>0</v>
      </c>
      <c r="H245" s="361"/>
      <c r="I245" s="361"/>
      <c r="J245" s="455"/>
      <c r="K245" s="440"/>
      <c r="L245" s="363"/>
      <c r="M245" s="433"/>
      <c r="N245" s="433"/>
      <c r="O245" s="363"/>
      <c r="P245" s="363"/>
      <c r="Q245" s="361"/>
      <c r="R245" s="361"/>
      <c r="S245" s="361"/>
      <c r="T245" s="417"/>
      <c r="U245" s="361"/>
      <c r="V245" s="184">
        <f>E245-G245</f>
        <v>0</v>
      </c>
      <c r="W245" s="304"/>
      <c r="X245" s="304"/>
      <c r="Y245" s="330"/>
      <c r="Z245" s="304"/>
    </row>
    <row r="246" spans="1:26" s="8" customFormat="1" ht="13.8" x14ac:dyDescent="0.25">
      <c r="A246" s="339"/>
      <c r="B246" s="71"/>
      <c r="C246" s="71"/>
      <c r="D246" s="965"/>
      <c r="E246" s="929">
        <f>SUM(E244:E245)</f>
        <v>0</v>
      </c>
      <c r="F246" s="456"/>
      <c r="G246" s="358">
        <f>SUM(G244:G244)</f>
        <v>0</v>
      </c>
      <c r="H246" s="358">
        <f>SUM(H244:H244)</f>
        <v>0</v>
      </c>
      <c r="I246" s="358">
        <f>SUM(I244:I245)</f>
        <v>0</v>
      </c>
      <c r="J246" s="358">
        <f>SUM(J244:J244)</f>
        <v>0</v>
      </c>
      <c r="K246" s="358">
        <f>SUM(K244:K244)</f>
        <v>0</v>
      </c>
      <c r="L246" s="358">
        <f>SUM(L244:L244)</f>
        <v>0</v>
      </c>
      <c r="M246" s="358">
        <f>SUM(M244:M244)</f>
        <v>0</v>
      </c>
      <c r="N246" s="358">
        <f>SUM(N244:N245)</f>
        <v>0</v>
      </c>
      <c r="O246" s="358">
        <f>SUM(O244)</f>
        <v>0</v>
      </c>
      <c r="P246" s="358">
        <f>SUM(P244:P244)</f>
        <v>0</v>
      </c>
      <c r="Q246" s="358">
        <f>SUM(Q244)</f>
        <v>0</v>
      </c>
      <c r="R246" s="358">
        <f>SUM(R244:R245)</f>
        <v>0</v>
      </c>
      <c r="S246" s="358">
        <f>SUM(S244:S244)</f>
        <v>0</v>
      </c>
      <c r="T246" s="358">
        <f>SUM(T244:T244)</f>
        <v>0</v>
      </c>
      <c r="U246" s="358">
        <f>SUM(U244:U244)</f>
        <v>0</v>
      </c>
      <c r="V246" s="457">
        <f>SUM(V244:V244)</f>
        <v>0</v>
      </c>
      <c r="Y246" s="65"/>
    </row>
    <row r="247" spans="1:26" s="8" customFormat="1" ht="13.8" x14ac:dyDescent="0.25">
      <c r="A247" s="339" t="s">
        <v>13</v>
      </c>
      <c r="B247" s="71"/>
      <c r="C247" s="71"/>
      <c r="D247" s="965"/>
      <c r="E247" s="905"/>
      <c r="F247" s="430" t="s">
        <v>266</v>
      </c>
      <c r="G247" s="74">
        <f>SUM(I247:U247)</f>
        <v>0</v>
      </c>
      <c r="I247" s="430"/>
      <c r="J247" s="458"/>
      <c r="K247" s="459"/>
      <c r="L247" s="432"/>
      <c r="M247" s="431"/>
      <c r="N247" s="431"/>
      <c r="O247" s="432"/>
      <c r="P247" s="432"/>
      <c r="Q247" s="430"/>
      <c r="R247" s="430"/>
      <c r="S247" s="430"/>
      <c r="T247" s="460"/>
      <c r="U247" s="430"/>
      <c r="V247" s="111">
        <f>E247-G247</f>
        <v>0</v>
      </c>
      <c r="W247" s="304"/>
      <c r="X247" s="304"/>
      <c r="Y247" s="330"/>
      <c r="Z247" s="304"/>
    </row>
    <row r="248" spans="1:26" s="8" customFormat="1" ht="13.8" x14ac:dyDescent="0.25">
      <c r="A248" s="461"/>
      <c r="B248" s="390"/>
      <c r="C248" s="390"/>
      <c r="D248" s="953"/>
      <c r="E248" s="905"/>
      <c r="F248" s="430" t="s">
        <v>262</v>
      </c>
      <c r="G248" s="74">
        <f t="shared" ref="G248:G250" si="78">SUM(I248:U248)</f>
        <v>0</v>
      </c>
      <c r="H248" s="430"/>
      <c r="I248" s="430"/>
      <c r="J248" s="458"/>
      <c r="K248" s="459"/>
      <c r="L248" s="432"/>
      <c r="M248" s="431"/>
      <c r="N248" s="462"/>
      <c r="O248" s="432"/>
      <c r="P248" s="432"/>
      <c r="Q248" s="430"/>
      <c r="R248" s="430"/>
      <c r="S248" s="430"/>
      <c r="T248" s="460"/>
      <c r="U248" s="430"/>
      <c r="V248" s="111">
        <f>E248-G248</f>
        <v>0</v>
      </c>
      <c r="Y248" s="65"/>
    </row>
    <row r="249" spans="1:26" s="64" customFormat="1" ht="13.8" x14ac:dyDescent="0.25">
      <c r="A249" s="463"/>
      <c r="D249" s="971"/>
      <c r="E249" s="369"/>
      <c r="F249" s="329" t="s">
        <v>261</v>
      </c>
      <c r="G249" s="58">
        <f t="shared" si="78"/>
        <v>0</v>
      </c>
      <c r="H249" s="329"/>
      <c r="I249" s="329"/>
      <c r="J249" s="401"/>
      <c r="K249" s="858"/>
      <c r="L249" s="370"/>
      <c r="M249" s="382"/>
      <c r="N249" s="383"/>
      <c r="O249" s="370"/>
      <c r="P249" s="370"/>
      <c r="Q249" s="329"/>
      <c r="R249" s="329"/>
      <c r="S249" s="329"/>
      <c r="T249" s="371"/>
      <c r="U249" s="329"/>
      <c r="V249" s="95">
        <f t="shared" ref="V249:V250" si="79">E249-G249</f>
        <v>0</v>
      </c>
      <c r="Y249" s="65"/>
    </row>
    <row r="250" spans="1:26" s="64" customFormat="1" ht="13.8" x14ac:dyDescent="0.25">
      <c r="A250" s="463"/>
      <c r="D250" s="971"/>
      <c r="E250" s="376"/>
      <c r="F250" s="324" t="s">
        <v>295</v>
      </c>
      <c r="G250" s="322">
        <f t="shared" si="78"/>
        <v>0</v>
      </c>
      <c r="H250" s="324"/>
      <c r="I250" s="324"/>
      <c r="J250" s="402"/>
      <c r="K250" s="464"/>
      <c r="L250" s="380"/>
      <c r="M250" s="379"/>
      <c r="N250" s="384"/>
      <c r="O250" s="380"/>
      <c r="P250" s="380"/>
      <c r="Q250" s="324"/>
      <c r="R250" s="324"/>
      <c r="S250" s="324"/>
      <c r="T250" s="377"/>
      <c r="U250" s="324"/>
      <c r="V250" s="239">
        <f t="shared" si="79"/>
        <v>0</v>
      </c>
      <c r="Y250" s="65"/>
    </row>
    <row r="251" spans="1:26" s="64" customFormat="1" ht="13.8" x14ac:dyDescent="0.25">
      <c r="A251" s="463"/>
      <c r="D251" s="971"/>
      <c r="E251" s="396"/>
      <c r="F251" s="435" t="s">
        <v>263</v>
      </c>
      <c r="G251" s="400">
        <f>SUM(H251:U251)</f>
        <v>0</v>
      </c>
      <c r="H251" s="435"/>
      <c r="I251" s="435"/>
      <c r="J251" s="396"/>
      <c r="K251" s="902"/>
      <c r="L251" s="435"/>
      <c r="M251" s="1058"/>
      <c r="N251" s="399"/>
      <c r="O251" s="1059"/>
      <c r="P251" s="1059"/>
      <c r="Q251" s="435"/>
      <c r="R251" s="435"/>
      <c r="S251" s="435"/>
      <c r="T251" s="902"/>
      <c r="U251" s="435"/>
      <c r="V251" s="239">
        <f>E251-G251</f>
        <v>0</v>
      </c>
      <c r="Y251" s="65"/>
    </row>
    <row r="252" spans="1:26" s="8" customFormat="1" ht="13.8" x14ac:dyDescent="0.25">
      <c r="A252" s="204"/>
      <c r="B252" s="257"/>
      <c r="C252" s="257"/>
      <c r="D252" s="956"/>
      <c r="E252" s="929">
        <f>SUM(E248:E251)</f>
        <v>0</v>
      </c>
      <c r="F252" s="374"/>
      <c r="G252" s="358">
        <f t="shared" ref="G252:V252" si="80">SUM(G247:G251)</f>
        <v>0</v>
      </c>
      <c r="H252" s="374">
        <f t="shared" si="80"/>
        <v>0</v>
      </c>
      <c r="I252" s="374">
        <f t="shared" si="80"/>
        <v>0</v>
      </c>
      <c r="J252" s="374">
        <f t="shared" si="80"/>
        <v>0</v>
      </c>
      <c r="K252" s="374">
        <f t="shared" si="80"/>
        <v>0</v>
      </c>
      <c r="L252" s="374">
        <f t="shared" si="80"/>
        <v>0</v>
      </c>
      <c r="M252" s="374">
        <f t="shared" si="80"/>
        <v>0</v>
      </c>
      <c r="N252" s="358">
        <f t="shared" si="80"/>
        <v>0</v>
      </c>
      <c r="O252" s="374">
        <f t="shared" si="80"/>
        <v>0</v>
      </c>
      <c r="P252" s="374">
        <f t="shared" si="80"/>
        <v>0</v>
      </c>
      <c r="Q252" s="374">
        <f t="shared" si="80"/>
        <v>0</v>
      </c>
      <c r="R252" s="465">
        <f t="shared" si="80"/>
        <v>0</v>
      </c>
      <c r="S252" s="374">
        <f t="shared" si="80"/>
        <v>0</v>
      </c>
      <c r="T252" s="374">
        <f t="shared" si="80"/>
        <v>0</v>
      </c>
      <c r="U252" s="374">
        <f t="shared" si="80"/>
        <v>0</v>
      </c>
      <c r="V252" s="405">
        <f t="shared" si="80"/>
        <v>0</v>
      </c>
      <c r="Y252" s="65"/>
    </row>
    <row r="253" spans="1:26" x14ac:dyDescent="0.25">
      <c r="A253" s="466"/>
      <c r="D253" s="1078"/>
      <c r="E253" s="1075"/>
      <c r="F253" s="467"/>
      <c r="G253" s="468"/>
      <c r="H253" s="468"/>
      <c r="I253" s="469"/>
      <c r="J253" s="469"/>
      <c r="K253" s="467"/>
      <c r="L253" s="469"/>
      <c r="M253" s="469"/>
      <c r="N253" s="469"/>
      <c r="O253" s="469"/>
      <c r="P253" s="469"/>
      <c r="Q253" s="469"/>
      <c r="R253" s="469"/>
      <c r="S253" s="469"/>
      <c r="T253" s="467"/>
      <c r="U253" s="467"/>
      <c r="V253" s="470"/>
      <c r="Y253" s="471"/>
    </row>
    <row r="254" spans="1:26" s="64" customFormat="1" ht="13.8" x14ac:dyDescent="0.25">
      <c r="A254" s="319" t="s">
        <v>244</v>
      </c>
      <c r="B254" s="61"/>
      <c r="C254" s="61"/>
      <c r="D254" s="964"/>
      <c r="E254" s="369"/>
      <c r="F254" s="329" t="s">
        <v>270</v>
      </c>
      <c r="G254" s="58">
        <f t="shared" ref="G254:G259" si="81">SUM(H254:U254)</f>
        <v>0</v>
      </c>
      <c r="H254" s="329"/>
      <c r="I254" s="329"/>
      <c r="J254" s="369"/>
      <c r="K254" s="371"/>
      <c r="L254" s="329"/>
      <c r="M254" s="382"/>
      <c r="N254" s="383"/>
      <c r="O254" s="370"/>
      <c r="P254" s="370"/>
      <c r="Q254" s="329"/>
      <c r="R254" s="329"/>
      <c r="S254" s="329"/>
      <c r="T254" s="371"/>
      <c r="U254" s="382"/>
      <c r="V254" s="95">
        <f t="shared" ref="V254:V259" si="82">E254-G254</f>
        <v>0</v>
      </c>
      <c r="Y254" s="65"/>
    </row>
    <row r="255" spans="1:26" s="64" customFormat="1" ht="13.8" x14ac:dyDescent="0.25">
      <c r="A255" s="366"/>
      <c r="B255" s="368"/>
      <c r="C255" s="368"/>
      <c r="D255" s="976"/>
      <c r="E255" s="369"/>
      <c r="F255" s="329" t="s">
        <v>296</v>
      </c>
      <c r="G255" s="58">
        <f t="shared" si="81"/>
        <v>0</v>
      </c>
      <c r="H255" s="329"/>
      <c r="I255" s="329"/>
      <c r="J255" s="369"/>
      <c r="K255" s="371"/>
      <c r="L255" s="329"/>
      <c r="M255" s="382"/>
      <c r="N255" s="383"/>
      <c r="O255" s="370"/>
      <c r="P255" s="370"/>
      <c r="Q255" s="329"/>
      <c r="R255" s="329"/>
      <c r="S255" s="329"/>
      <c r="T255" s="371"/>
      <c r="U255" s="382"/>
      <c r="V255" s="95">
        <f t="shared" si="82"/>
        <v>0</v>
      </c>
      <c r="Y255" s="65"/>
    </row>
    <row r="256" spans="1:26" s="64" customFormat="1" ht="13.8" x14ac:dyDescent="0.25">
      <c r="A256" s="366"/>
      <c r="B256" s="368"/>
      <c r="C256" s="368"/>
      <c r="D256" s="976"/>
      <c r="E256" s="369"/>
      <c r="F256" s="329" t="s">
        <v>261</v>
      </c>
      <c r="G256" s="58">
        <f t="shared" si="81"/>
        <v>0</v>
      </c>
      <c r="H256" s="329"/>
      <c r="I256" s="329"/>
      <c r="J256" s="369"/>
      <c r="K256" s="371"/>
      <c r="L256" s="329"/>
      <c r="M256" s="382"/>
      <c r="N256" s="383"/>
      <c r="O256" s="370"/>
      <c r="P256" s="370"/>
      <c r="Q256" s="329"/>
      <c r="R256" s="329"/>
      <c r="S256" s="329"/>
      <c r="T256" s="371"/>
      <c r="U256" s="382"/>
      <c r="V256" s="95">
        <f t="shared" si="82"/>
        <v>0</v>
      </c>
      <c r="Y256" s="65"/>
    </row>
    <row r="257" spans="1:25" s="64" customFormat="1" ht="13.8" x14ac:dyDescent="0.25">
      <c r="A257" s="352"/>
      <c r="D257" s="971"/>
      <c r="E257" s="369"/>
      <c r="F257" s="329" t="s">
        <v>262</v>
      </c>
      <c r="G257" s="58">
        <f t="shared" si="81"/>
        <v>0</v>
      </c>
      <c r="H257" s="329"/>
      <c r="I257" s="329"/>
      <c r="J257" s="369"/>
      <c r="K257" s="371"/>
      <c r="L257" s="329"/>
      <c r="M257" s="382"/>
      <c r="N257" s="383"/>
      <c r="O257" s="370"/>
      <c r="P257" s="370"/>
      <c r="Q257" s="329"/>
      <c r="R257" s="329"/>
      <c r="S257" s="329"/>
      <c r="T257" s="371"/>
      <c r="U257" s="382"/>
      <c r="V257" s="95">
        <f t="shared" si="82"/>
        <v>0</v>
      </c>
      <c r="Y257" s="65"/>
    </row>
    <row r="258" spans="1:25" s="64" customFormat="1" ht="13.8" x14ac:dyDescent="0.25">
      <c r="A258" s="352"/>
      <c r="D258" s="971"/>
      <c r="E258" s="376"/>
      <c r="F258" s="324" t="s">
        <v>263</v>
      </c>
      <c r="G258" s="58">
        <f t="shared" si="81"/>
        <v>0</v>
      </c>
      <c r="H258" s="324"/>
      <c r="I258" s="324"/>
      <c r="J258" s="376"/>
      <c r="K258" s="377"/>
      <c r="L258" s="324"/>
      <c r="M258" s="379"/>
      <c r="N258" s="384"/>
      <c r="O258" s="380"/>
      <c r="P258" s="380"/>
      <c r="Q258" s="324"/>
      <c r="R258" s="324"/>
      <c r="S258" s="324"/>
      <c r="T258" s="377"/>
      <c r="U258" s="379"/>
      <c r="V258" s="95">
        <f t="shared" si="82"/>
        <v>0</v>
      </c>
      <c r="Y258" s="65"/>
    </row>
    <row r="259" spans="1:25" s="8" customFormat="1" ht="13.8" x14ac:dyDescent="0.25">
      <c r="A259" s="357"/>
      <c r="D259" s="954"/>
      <c r="E259" s="474"/>
      <c r="F259" s="472" t="s">
        <v>266</v>
      </c>
      <c r="G259" s="473">
        <f t="shared" si="81"/>
        <v>0</v>
      </c>
      <c r="H259" s="472"/>
      <c r="I259" s="472"/>
      <c r="J259" s="474"/>
      <c r="K259" s="475"/>
      <c r="L259" s="472"/>
      <c r="M259" s="476"/>
      <c r="N259" s="477"/>
      <c r="O259" s="478"/>
      <c r="P259" s="478"/>
      <c r="Q259" s="472"/>
      <c r="R259" s="472"/>
      <c r="S259" s="472"/>
      <c r="T259" s="475"/>
      <c r="U259" s="476"/>
      <c r="V259" s="479">
        <f t="shared" si="82"/>
        <v>0</v>
      </c>
      <c r="Y259" s="65"/>
    </row>
    <row r="260" spans="1:25" s="8" customFormat="1" ht="13.8" x14ac:dyDescent="0.25">
      <c r="A260" s="372"/>
      <c r="B260" s="257"/>
      <c r="C260" s="257"/>
      <c r="D260" s="956"/>
      <c r="E260" s="928">
        <f>SUM(E254:E259)</f>
        <v>0</v>
      </c>
      <c r="F260" s="465"/>
      <c r="G260" s="465">
        <f t="shared" ref="G260:V260" si="83">SUM(G254:G259)</f>
        <v>0</v>
      </c>
      <c r="H260" s="465">
        <f t="shared" si="83"/>
        <v>0</v>
      </c>
      <c r="I260" s="465">
        <f t="shared" si="83"/>
        <v>0</v>
      </c>
      <c r="J260" s="465">
        <f t="shared" si="83"/>
        <v>0</v>
      </c>
      <c r="K260" s="465">
        <f t="shared" si="83"/>
        <v>0</v>
      </c>
      <c r="L260" s="465">
        <f t="shared" si="83"/>
        <v>0</v>
      </c>
      <c r="M260" s="465">
        <f t="shared" si="83"/>
        <v>0</v>
      </c>
      <c r="N260" s="481">
        <f t="shared" si="83"/>
        <v>0</v>
      </c>
      <c r="O260" s="465">
        <f t="shared" si="83"/>
        <v>0</v>
      </c>
      <c r="P260" s="465">
        <f t="shared" si="83"/>
        <v>0</v>
      </c>
      <c r="Q260" s="465">
        <f t="shared" si="83"/>
        <v>0</v>
      </c>
      <c r="R260" s="465">
        <f t="shared" si="83"/>
        <v>0</v>
      </c>
      <c r="S260" s="465">
        <f t="shared" si="83"/>
        <v>0</v>
      </c>
      <c r="T260" s="465">
        <f t="shared" si="83"/>
        <v>0</v>
      </c>
      <c r="U260" s="465">
        <f t="shared" si="83"/>
        <v>0</v>
      </c>
      <c r="V260" s="457">
        <f t="shared" si="83"/>
        <v>0</v>
      </c>
      <c r="Y260" s="65"/>
    </row>
    <row r="261" spans="1:25" ht="13.8" x14ac:dyDescent="0.25">
      <c r="A261" s="482" t="s">
        <v>105</v>
      </c>
      <c r="D261" s="1078"/>
      <c r="E261" s="489"/>
      <c r="F261" s="847" t="s">
        <v>270</v>
      </c>
      <c r="G261" s="848">
        <f>SUM(H261:U261)</f>
        <v>0</v>
      </c>
      <c r="H261" s="847"/>
      <c r="I261" s="847"/>
      <c r="J261" s="847"/>
      <c r="K261" s="847"/>
      <c r="L261" s="468"/>
      <c r="M261" s="847"/>
      <c r="N261" s="849"/>
      <c r="O261" s="847"/>
      <c r="P261" s="847"/>
      <c r="Q261" s="847"/>
      <c r="R261" s="847"/>
      <c r="S261" s="847"/>
      <c r="T261" s="847"/>
      <c r="U261" s="847"/>
      <c r="V261" s="483">
        <f>E261-G261</f>
        <v>0</v>
      </c>
      <c r="Y261" s="471"/>
    </row>
    <row r="262" spans="1:25" ht="13.8" x14ac:dyDescent="0.25">
      <c r="A262" s="482"/>
      <c r="D262" s="1078"/>
      <c r="E262" s="858"/>
      <c r="F262" s="491" t="s">
        <v>261</v>
      </c>
      <c r="G262" s="74"/>
      <c r="H262" s="491"/>
      <c r="I262" s="491"/>
      <c r="J262" s="491"/>
      <c r="K262" s="491"/>
      <c r="L262" s="432"/>
      <c r="M262" s="491"/>
      <c r="N262" s="851"/>
      <c r="O262" s="491"/>
      <c r="P262" s="491"/>
      <c r="Q262" s="491"/>
      <c r="R262" s="491"/>
      <c r="S262" s="491"/>
      <c r="T262" s="491"/>
      <c r="U262" s="491"/>
      <c r="V262" s="111"/>
      <c r="Y262" s="471"/>
    </row>
    <row r="263" spans="1:25" ht="13.8" x14ac:dyDescent="0.25">
      <c r="A263" s="482"/>
      <c r="D263" s="1078"/>
      <c r="E263" s="1076"/>
      <c r="F263" s="494" t="s">
        <v>262</v>
      </c>
      <c r="G263" s="438">
        <f>SUM(H263:U263)</f>
        <v>0</v>
      </c>
      <c r="H263" s="494"/>
      <c r="I263" s="494"/>
      <c r="J263" s="494"/>
      <c r="K263" s="478"/>
      <c r="L263" s="495"/>
      <c r="M263" s="494"/>
      <c r="N263" s="850"/>
      <c r="O263" s="494"/>
      <c r="P263" s="494"/>
      <c r="Q263" s="494"/>
      <c r="R263" s="494"/>
      <c r="S263" s="494"/>
      <c r="T263" s="494"/>
      <c r="U263" s="494"/>
      <c r="V263" s="184">
        <f>E263-G263</f>
        <v>0</v>
      </c>
      <c r="Y263" s="471"/>
    </row>
    <row r="264" spans="1:25" ht="13.8" x14ac:dyDescent="0.25">
      <c r="A264" s="482"/>
      <c r="B264" s="484"/>
      <c r="C264" s="484"/>
      <c r="D264" s="1081"/>
      <c r="E264" s="1065">
        <f>SUM(E261:E263)</f>
        <v>0</v>
      </c>
      <c r="F264" s="485"/>
      <c r="G264" s="486">
        <f t="shared" ref="G264:M264" si="84">SUM(G261:G263)</f>
        <v>0</v>
      </c>
      <c r="H264" s="486">
        <f t="shared" si="84"/>
        <v>0</v>
      </c>
      <c r="I264" s="486">
        <f t="shared" si="84"/>
        <v>0</v>
      </c>
      <c r="J264" s="486">
        <f t="shared" si="84"/>
        <v>0</v>
      </c>
      <c r="K264" s="486">
        <f t="shared" si="84"/>
        <v>0</v>
      </c>
      <c r="L264" s="487">
        <f t="shared" si="84"/>
        <v>0</v>
      </c>
      <c r="M264" s="486">
        <f t="shared" si="84"/>
        <v>0</v>
      </c>
      <c r="N264" s="486"/>
      <c r="O264" s="486">
        <f>SUM(O261:O263)</f>
        <v>0</v>
      </c>
      <c r="P264" s="486">
        <f>SUM(P261:P263)</f>
        <v>0</v>
      </c>
      <c r="Q264" s="486">
        <f>SUM(Q261:Q263)</f>
        <v>0</v>
      </c>
      <c r="R264" s="486">
        <f t="shared" ref="R264:T264" si="85">SUM(R261:R263)</f>
        <v>0</v>
      </c>
      <c r="S264" s="486">
        <f t="shared" si="85"/>
        <v>0</v>
      </c>
      <c r="T264" s="486">
        <f t="shared" si="85"/>
        <v>0</v>
      </c>
      <c r="U264" s="486">
        <f>SUM(U261:U263)</f>
        <v>0</v>
      </c>
      <c r="V264" s="404">
        <f>SUM(V261:V263)</f>
        <v>0</v>
      </c>
      <c r="Y264" s="471"/>
    </row>
    <row r="265" spans="1:25" s="488" customFormat="1" ht="13.8" x14ac:dyDescent="0.25">
      <c r="A265" s="1339" t="s">
        <v>297</v>
      </c>
      <c r="B265" s="1340"/>
      <c r="C265" s="1340"/>
      <c r="D265" s="1340"/>
      <c r="E265" s="1270">
        <v>180000</v>
      </c>
      <c r="F265" s="857" t="s">
        <v>261</v>
      </c>
      <c r="G265" s="359">
        <f>SUM(H265:U265)</f>
        <v>0</v>
      </c>
      <c r="H265" s="856"/>
      <c r="I265" s="852"/>
      <c r="J265" s="852"/>
      <c r="K265" s="852"/>
      <c r="L265" s="854"/>
      <c r="M265" s="852"/>
      <c r="N265" s="852"/>
      <c r="O265" s="852"/>
      <c r="P265" s="852"/>
      <c r="Q265" s="852"/>
      <c r="R265" s="854"/>
      <c r="S265" s="852"/>
      <c r="T265" s="852"/>
      <c r="U265" s="852"/>
      <c r="V265" s="1293">
        <f>E265-G265</f>
        <v>180000</v>
      </c>
      <c r="Y265" s="471"/>
    </row>
    <row r="266" spans="1:25" ht="13.8" x14ac:dyDescent="0.25">
      <c r="A266" s="482" t="s">
        <v>26</v>
      </c>
      <c r="B266" s="484"/>
      <c r="C266" s="484"/>
      <c r="D266" s="1081"/>
      <c r="E266" s="464"/>
      <c r="F266" s="490" t="s">
        <v>266</v>
      </c>
      <c r="G266" s="322">
        <f>SUM(H266:U266)</f>
        <v>0</v>
      </c>
      <c r="H266" s="464"/>
      <c r="I266" s="380"/>
      <c r="J266" s="380"/>
      <c r="K266" s="490"/>
      <c r="L266" s="380"/>
      <c r="M266" s="380"/>
      <c r="N266" s="380"/>
      <c r="O266" s="380"/>
      <c r="P266" s="323"/>
      <c r="Q266" s="380"/>
      <c r="R266" s="380"/>
      <c r="S266" s="380"/>
      <c r="T266" s="490"/>
      <c r="U266" s="490"/>
      <c r="V266" s="160">
        <f>E266-G266</f>
        <v>0</v>
      </c>
      <c r="Y266" s="471"/>
    </row>
    <row r="267" spans="1:25" ht="13.8" x14ac:dyDescent="0.25">
      <c r="A267" s="482"/>
      <c r="B267" s="484"/>
      <c r="C267" s="484"/>
      <c r="D267" s="1081"/>
      <c r="E267" s="1061"/>
      <c r="F267" s="1060" t="s">
        <v>270</v>
      </c>
      <c r="G267" s="400">
        <f>SUM(H267:U267)</f>
        <v>0</v>
      </c>
      <c r="H267" s="1061"/>
      <c r="I267" s="1059"/>
      <c r="J267" s="1059"/>
      <c r="K267" s="1060"/>
      <c r="L267" s="1059"/>
      <c r="M267" s="1059"/>
      <c r="N267" s="1059"/>
      <c r="O267" s="1059"/>
      <c r="P267" s="816"/>
      <c r="Q267" s="1059"/>
      <c r="R267" s="1059"/>
      <c r="S267" s="1059"/>
      <c r="T267" s="1060"/>
      <c r="U267" s="1060"/>
      <c r="V267" s="239"/>
      <c r="Y267" s="471"/>
    </row>
    <row r="268" spans="1:25" ht="13.8" x14ac:dyDescent="0.25">
      <c r="A268" s="482"/>
      <c r="B268" s="484"/>
      <c r="C268" s="484"/>
      <c r="D268" s="1081"/>
      <c r="E268" s="1065">
        <f>SUM(E266:E267)</f>
        <v>0</v>
      </c>
      <c r="F268" s="485"/>
      <c r="G268" s="358">
        <f>SUM(G266:G267)</f>
        <v>0</v>
      </c>
      <c r="H268" s="1065">
        <f>SUM(H266:H267)</f>
        <v>0</v>
      </c>
      <c r="I268" s="485">
        <f t="shared" ref="I268:V268" si="86">SUM(I266:I267)</f>
        <v>0</v>
      </c>
      <c r="J268" s="485">
        <f t="shared" si="86"/>
        <v>0</v>
      </c>
      <c r="K268" s="485">
        <f t="shared" si="86"/>
        <v>0</v>
      </c>
      <c r="L268" s="456">
        <f t="shared" si="86"/>
        <v>0</v>
      </c>
      <c r="M268" s="1065">
        <f t="shared" si="86"/>
        <v>0</v>
      </c>
      <c r="N268" s="485">
        <f t="shared" si="86"/>
        <v>0</v>
      </c>
      <c r="O268" s="485">
        <f t="shared" si="86"/>
        <v>0</v>
      </c>
      <c r="P268" s="485">
        <f t="shared" si="86"/>
        <v>0</v>
      </c>
      <c r="Q268" s="485">
        <f t="shared" si="86"/>
        <v>0</v>
      </c>
      <c r="R268" s="485">
        <f t="shared" si="86"/>
        <v>0</v>
      </c>
      <c r="S268" s="485">
        <f t="shared" si="86"/>
        <v>0</v>
      </c>
      <c r="T268" s="485">
        <f t="shared" si="86"/>
        <v>0</v>
      </c>
      <c r="U268" s="456">
        <f t="shared" si="86"/>
        <v>0</v>
      </c>
      <c r="V268" s="1065">
        <f t="shared" si="86"/>
        <v>0</v>
      </c>
      <c r="W268" s="466"/>
      <c r="Y268" s="1066"/>
    </row>
    <row r="269" spans="1:25" ht="13.8" x14ac:dyDescent="0.25">
      <c r="A269" s="482" t="s">
        <v>298</v>
      </c>
      <c r="B269" s="484"/>
      <c r="C269" s="484"/>
      <c r="D269" s="1081"/>
      <c r="E269" s="1072"/>
      <c r="F269" s="1062" t="s">
        <v>270</v>
      </c>
      <c r="G269" s="360">
        <f>SUM(H269:U269)</f>
        <v>0</v>
      </c>
      <c r="H269" s="1063"/>
      <c r="I269" s="1063"/>
      <c r="J269" s="1063"/>
      <c r="K269" s="1063"/>
      <c r="L269" s="1063"/>
      <c r="M269" s="1063"/>
      <c r="N269" s="1064"/>
      <c r="O269" s="1063"/>
      <c r="P269" s="1063"/>
      <c r="Q269" s="1063"/>
      <c r="R269" s="1063"/>
      <c r="S269" s="1063"/>
      <c r="T269" s="1063"/>
      <c r="U269" s="1063"/>
      <c r="V269" s="214">
        <f>E269-G269</f>
        <v>0</v>
      </c>
      <c r="Y269" s="471"/>
    </row>
    <row r="270" spans="1:25" ht="13.8" x14ac:dyDescent="0.25">
      <c r="A270" s="492"/>
      <c r="D270" s="1078"/>
      <c r="E270" s="459"/>
      <c r="F270" s="491" t="s">
        <v>263</v>
      </c>
      <c r="G270" s="74">
        <f>SUM(H270:U270)</f>
        <v>0</v>
      </c>
      <c r="H270" s="432"/>
      <c r="I270" s="432"/>
      <c r="J270" s="432"/>
      <c r="K270" s="432"/>
      <c r="L270" s="432"/>
      <c r="M270" s="432"/>
      <c r="N270" s="76"/>
      <c r="O270" s="432"/>
      <c r="P270" s="432"/>
      <c r="Q270" s="432"/>
      <c r="R270" s="432"/>
      <c r="S270" s="432"/>
      <c r="T270" s="432"/>
      <c r="U270" s="432"/>
      <c r="V270" s="111">
        <f>E270-G270</f>
        <v>0</v>
      </c>
      <c r="Y270" s="471"/>
    </row>
    <row r="271" spans="1:25" ht="13.8" x14ac:dyDescent="0.25">
      <c r="A271" s="492"/>
      <c r="D271" s="1078"/>
      <c r="E271" s="459"/>
      <c r="F271" s="491" t="s">
        <v>261</v>
      </c>
      <c r="G271" s="74">
        <f>SUM(H271:U271)</f>
        <v>0</v>
      </c>
      <c r="H271" s="432"/>
      <c r="I271" s="432"/>
      <c r="J271" s="432"/>
      <c r="K271" s="432"/>
      <c r="L271" s="432"/>
      <c r="M271" s="432"/>
      <c r="N271" s="76"/>
      <c r="O271" s="432"/>
      <c r="P271" s="432"/>
      <c r="Q271" s="432"/>
      <c r="R271" s="432"/>
      <c r="S271" s="432"/>
      <c r="T271" s="432"/>
      <c r="U271" s="432"/>
      <c r="V271" s="111">
        <f>E271-G271</f>
        <v>0</v>
      </c>
      <c r="Y271" s="471"/>
    </row>
    <row r="272" spans="1:25" ht="13.8" x14ac:dyDescent="0.25">
      <c r="A272" s="466"/>
      <c r="D272" s="1078"/>
      <c r="E272" s="1073"/>
      <c r="F272" s="494" t="s">
        <v>262</v>
      </c>
      <c r="G272" s="438">
        <f>SUM(H272:U272)</f>
        <v>0</v>
      </c>
      <c r="H272" s="495"/>
      <c r="I272" s="495"/>
      <c r="J272" s="495"/>
      <c r="K272" s="495"/>
      <c r="L272" s="495"/>
      <c r="M272" s="495"/>
      <c r="N272" s="495"/>
      <c r="O272" s="495"/>
      <c r="P272" s="495"/>
      <c r="Q272" s="495"/>
      <c r="R272" s="495"/>
      <c r="S272" s="495"/>
      <c r="T272" s="495"/>
      <c r="U272" s="495"/>
      <c r="V272" s="496">
        <f>E272-G272</f>
        <v>0</v>
      </c>
      <c r="Y272" s="471"/>
    </row>
    <row r="273" spans="1:26" ht="13.8" x14ac:dyDescent="0.25">
      <c r="A273" s="466"/>
      <c r="D273" s="1078"/>
      <c r="E273" s="1065">
        <f>SUM(E269:E272)</f>
        <v>0</v>
      </c>
      <c r="F273" s="485"/>
      <c r="G273" s="486">
        <f t="shared" ref="G273:N273" si="87">SUM(G269:G272)</f>
        <v>0</v>
      </c>
      <c r="H273" s="486">
        <f t="shared" si="87"/>
        <v>0</v>
      </c>
      <c r="I273" s="486">
        <f t="shared" si="87"/>
        <v>0</v>
      </c>
      <c r="J273" s="486">
        <f t="shared" si="87"/>
        <v>0</v>
      </c>
      <c r="K273" s="486">
        <f t="shared" si="87"/>
        <v>0</v>
      </c>
      <c r="L273" s="486">
        <f t="shared" si="87"/>
        <v>0</v>
      </c>
      <c r="M273" s="486">
        <f t="shared" si="87"/>
        <v>0</v>
      </c>
      <c r="N273" s="486">
        <f t="shared" si="87"/>
        <v>0</v>
      </c>
      <c r="O273" s="486">
        <f t="shared" ref="O273:V273" si="88">SUM(O269:O272)</f>
        <v>0</v>
      </c>
      <c r="P273" s="486">
        <f t="shared" si="88"/>
        <v>0</v>
      </c>
      <c r="Q273" s="486">
        <f t="shared" si="88"/>
        <v>0</v>
      </c>
      <c r="R273" s="486">
        <f t="shared" si="88"/>
        <v>0</v>
      </c>
      <c r="S273" s="486">
        <f t="shared" si="88"/>
        <v>0</v>
      </c>
      <c r="T273" s="486">
        <f t="shared" si="88"/>
        <v>0</v>
      </c>
      <c r="U273" s="486">
        <f t="shared" si="88"/>
        <v>0</v>
      </c>
      <c r="V273" s="497">
        <f t="shared" si="88"/>
        <v>0</v>
      </c>
      <c r="Y273" s="471"/>
    </row>
    <row r="274" spans="1:26" s="488" customFormat="1" ht="13.8" x14ac:dyDescent="0.25">
      <c r="A274" s="1341" t="s">
        <v>80</v>
      </c>
      <c r="B274" s="1342"/>
      <c r="C274" s="1342"/>
      <c r="D274" s="1343"/>
      <c r="E274" s="1269">
        <v>150000</v>
      </c>
      <c r="F274" s="855" t="s">
        <v>263</v>
      </c>
      <c r="G274" s="854">
        <f>SUM(H274:U274)</f>
        <v>0</v>
      </c>
      <c r="H274" s="856"/>
      <c r="I274" s="854"/>
      <c r="J274" s="852"/>
      <c r="K274" s="852"/>
      <c r="L274" s="852"/>
      <c r="M274" s="852"/>
      <c r="N274" s="852"/>
      <c r="O274" s="852"/>
      <c r="P274" s="852"/>
      <c r="Q274" s="852"/>
      <c r="R274" s="852"/>
      <c r="S274" s="852"/>
      <c r="T274" s="854"/>
      <c r="U274" s="852"/>
      <c r="V274" s="853">
        <f>E274-G274</f>
        <v>150000</v>
      </c>
      <c r="Y274" s="471"/>
    </row>
    <row r="275" spans="1:26" x14ac:dyDescent="0.25">
      <c r="A275" s="466"/>
      <c r="D275" s="1078"/>
      <c r="E275" s="440"/>
      <c r="F275" s="493"/>
      <c r="G275" s="363"/>
      <c r="H275" s="363"/>
      <c r="I275" s="363"/>
      <c r="J275" s="363"/>
      <c r="K275" s="363"/>
      <c r="L275" s="363"/>
      <c r="M275" s="363"/>
      <c r="N275" s="363"/>
      <c r="O275" s="363"/>
      <c r="P275" s="363"/>
      <c r="Q275" s="363"/>
      <c r="R275" s="363"/>
      <c r="S275" s="363"/>
      <c r="T275" s="363"/>
      <c r="U275" s="363"/>
      <c r="V275" s="498"/>
      <c r="Y275" s="471"/>
    </row>
    <row r="276" spans="1:26" x14ac:dyDescent="0.25">
      <c r="A276" s="466"/>
      <c r="D276" s="1078"/>
      <c r="E276" s="440"/>
      <c r="F276" s="493"/>
      <c r="G276" s="363"/>
      <c r="H276" s="363"/>
      <c r="I276" s="363"/>
      <c r="J276" s="363"/>
      <c r="K276" s="363"/>
      <c r="L276" s="363"/>
      <c r="M276" s="363"/>
      <c r="N276" s="363"/>
      <c r="O276" s="363"/>
      <c r="P276" s="363"/>
      <c r="Q276" s="363"/>
      <c r="R276" s="363"/>
      <c r="S276" s="363"/>
      <c r="T276" s="363"/>
      <c r="U276" s="363"/>
      <c r="V276" s="498"/>
      <c r="Y276" s="471"/>
    </row>
    <row r="277" spans="1:26" s="7" customFormat="1" x14ac:dyDescent="0.25">
      <c r="A277" s="499" t="s">
        <v>3</v>
      </c>
      <c r="D277" s="1079"/>
      <c r="E277" s="1070">
        <f>E12+E23+E241</f>
        <v>25965231.559999999</v>
      </c>
      <c r="F277" s="500"/>
      <c r="G277" s="500">
        <f>G21+G216</f>
        <v>14235633.419999998</v>
      </c>
      <c r="H277" s="500">
        <f ca="1">H12+H23+H241</f>
        <v>0</v>
      </c>
      <c r="I277" s="500">
        <f ca="1">I12+I23+I241</f>
        <v>0</v>
      </c>
      <c r="J277" s="500">
        <f ca="1">J12+J23+J241</f>
        <v>0</v>
      </c>
      <c r="K277" s="500">
        <f>K12+K23+K241</f>
        <v>0</v>
      </c>
      <c r="L277" s="500">
        <f t="shared" ref="L277:V277" ca="1" si="89">L12+L23+L241</f>
        <v>0</v>
      </c>
      <c r="M277" s="500">
        <f t="shared" ca="1" si="89"/>
        <v>0</v>
      </c>
      <c r="N277" s="500">
        <f t="shared" ca="1" si="89"/>
        <v>0</v>
      </c>
      <c r="O277" s="500">
        <f t="shared" ca="1" si="89"/>
        <v>0</v>
      </c>
      <c r="P277" s="500">
        <f t="shared" ca="1" si="89"/>
        <v>0</v>
      </c>
      <c r="Q277" s="500">
        <f t="shared" ca="1" si="89"/>
        <v>0</v>
      </c>
      <c r="R277" s="500">
        <f t="shared" ca="1" si="89"/>
        <v>0</v>
      </c>
      <c r="S277" s="500">
        <f t="shared" ca="1" si="89"/>
        <v>0</v>
      </c>
      <c r="T277" s="500">
        <f t="shared" ca="1" si="89"/>
        <v>0</v>
      </c>
      <c r="U277" s="500">
        <f t="shared" ca="1" si="89"/>
        <v>0</v>
      </c>
      <c r="V277" s="838">
        <f t="shared" ca="1" si="89"/>
        <v>39227384</v>
      </c>
      <c r="X277" s="501">
        <f>16675455.46+5238843.75+5238843.75+2245218.75</f>
        <v>29398361.710000001</v>
      </c>
      <c r="Y277" s="502"/>
    </row>
    <row r="278" spans="1:26" x14ac:dyDescent="0.25">
      <c r="A278" s="466"/>
      <c r="D278" s="1078"/>
      <c r="E278" s="440"/>
      <c r="F278" s="493"/>
      <c r="G278" s="363"/>
      <c r="I278" s="363"/>
      <c r="J278" s="363"/>
      <c r="K278" s="363"/>
      <c r="L278" s="363"/>
      <c r="M278" s="363"/>
      <c r="N278" s="363"/>
      <c r="O278" s="363"/>
      <c r="P278" s="363"/>
      <c r="Q278" s="363"/>
      <c r="R278" s="363"/>
      <c r="S278" s="363"/>
      <c r="T278" s="363"/>
      <c r="U278" s="363"/>
      <c r="V278" s="498"/>
      <c r="Y278" s="471"/>
    </row>
    <row r="279" spans="1:26" ht="13.8" thickBot="1" x14ac:dyDescent="0.3">
      <c r="A279" s="504"/>
      <c r="B279" s="505"/>
      <c r="C279" s="505"/>
      <c r="D279" s="1080"/>
      <c r="E279" s="1071"/>
      <c r="F279" s="506"/>
      <c r="G279" s="507"/>
      <c r="H279" s="507"/>
      <c r="I279" s="507"/>
      <c r="J279" s="507"/>
      <c r="K279" s="507"/>
      <c r="L279" s="507"/>
      <c r="M279" s="507"/>
      <c r="N279" s="507"/>
      <c r="O279" s="507"/>
      <c r="P279" s="507"/>
      <c r="Q279" s="507"/>
      <c r="R279" s="507"/>
      <c r="S279" s="507"/>
      <c r="T279" s="507"/>
      <c r="U279" s="507"/>
      <c r="V279" s="508"/>
      <c r="Y279" s="471"/>
    </row>
    <row r="280" spans="1:26" ht="15.6" thickTop="1" x14ac:dyDescent="0.25">
      <c r="D280" s="1344"/>
      <c r="E280" s="1344"/>
      <c r="F280" s="1344"/>
      <c r="G280" s="1344"/>
      <c r="H280" s="509"/>
      <c r="L280" s="510"/>
      <c r="N280" s="511"/>
      <c r="Q280" s="503"/>
      <c r="R280" s="503"/>
      <c r="S280" s="503"/>
      <c r="T280" s="503"/>
      <c r="U280" s="503"/>
      <c r="V280" s="839"/>
      <c r="W280" s="503"/>
      <c r="X280" s="503"/>
      <c r="Y280" s="509"/>
      <c r="Z280" s="503"/>
    </row>
    <row r="281" spans="1:26" ht="15" x14ac:dyDescent="0.25">
      <c r="D281" s="512"/>
      <c r="E281" s="512"/>
      <c r="F281" s="1345"/>
      <c r="G281" s="1345"/>
      <c r="H281"/>
      <c r="I281" s="509"/>
      <c r="L281" s="494"/>
      <c r="N281" s="511"/>
      <c r="Q281" s="503"/>
      <c r="R281" s="503"/>
      <c r="S281" s="503"/>
      <c r="T281" s="503"/>
      <c r="U281" s="503"/>
      <c r="V281" s="1067"/>
      <c r="W281" s="503"/>
      <c r="X281" s="503"/>
      <c r="Y281" s="509"/>
      <c r="Z281" s="503"/>
    </row>
    <row r="282" spans="1:26" s="7" customFormat="1" x14ac:dyDescent="0.25">
      <c r="A282" s="513" t="s">
        <v>299</v>
      </c>
      <c r="B282" s="513"/>
      <c r="C282" s="513"/>
      <c r="D282" s="513"/>
      <c r="E282" s="514">
        <f>E277+'[1]Fiduciary 2025'!E436</f>
        <v>39908650.549999997</v>
      </c>
      <c r="F282" s="1346">
        <f>G277+'[1]Fiduciary 2025'!F436</f>
        <v>22130410.439999998</v>
      </c>
      <c r="G282" s="1346"/>
      <c r="H282" s="514">
        <f ca="1">H277+'[1]Fiduciary 2025'!G436</f>
        <v>0</v>
      </c>
      <c r="I282" s="514">
        <f ca="1">I277+'[1]Fiduciary 2025'!H436</f>
        <v>0</v>
      </c>
      <c r="J282" s="514">
        <f ca="1">J277+'[1]Fiduciary 2025'!I436</f>
        <v>0</v>
      </c>
      <c r="K282" s="514">
        <f>K277+'[1]Fiduciary 2025'!J436</f>
        <v>0</v>
      </c>
      <c r="L282" s="514">
        <f ca="1">L277+'[1]Fiduciary 2025'!K436</f>
        <v>0</v>
      </c>
      <c r="M282" s="514">
        <f ca="1">M277+'[1]Fiduciary 2025'!L436</f>
        <v>0</v>
      </c>
      <c r="N282" s="514">
        <f ca="1">N277+'[1]Fiduciary 2025'!M436</f>
        <v>0</v>
      </c>
      <c r="O282" s="515">
        <f ca="1">O277+'[1]Fiduciary 2025'!N436</f>
        <v>0</v>
      </c>
      <c r="P282" s="515">
        <f ca="1">P277+'[1]Fiduciary 2025'!O436</f>
        <v>0</v>
      </c>
      <c r="Q282" s="515">
        <f ca="1">Q277+'[1]Fiduciary 2025'!P436</f>
        <v>0</v>
      </c>
      <c r="R282" s="515">
        <f ca="1">R277+'[1]Fiduciary 2025'!Q436</f>
        <v>0</v>
      </c>
      <c r="S282" s="515">
        <f ca="1">S277+'[1]Fiduciary 2025'!R436</f>
        <v>0</v>
      </c>
      <c r="T282" s="515">
        <f ca="1">T277+'[1]Fiduciary 2025'!S436</f>
        <v>0</v>
      </c>
      <c r="U282" s="515">
        <f ca="1">U277+'[1]Fiduciary 2025'!T436</f>
        <v>0</v>
      </c>
      <c r="V282" s="840">
        <f ca="1">SUM(H282:U282)</f>
        <v>0</v>
      </c>
      <c r="Y282" s="502"/>
    </row>
    <row r="283" spans="1:26" x14ac:dyDescent="0.25">
      <c r="F283" s="1337"/>
      <c r="G283" s="1337"/>
      <c r="I283" s="503" t="s">
        <v>100</v>
      </c>
      <c r="N283" s="511"/>
      <c r="O283" s="516"/>
      <c r="P283" s="516"/>
      <c r="Q283" s="517"/>
      <c r="R283" s="518"/>
      <c r="S283" s="518"/>
      <c r="T283" s="518"/>
      <c r="U283" s="518"/>
      <c r="V283" s="841">
        <f ca="1">U282+T282+R282+Q282+P282+O282+N282+M282+L282+J282+I282+H282+S282</f>
        <v>0</v>
      </c>
      <c r="Y283" s="471"/>
    </row>
    <row r="284" spans="1:26" x14ac:dyDescent="0.25">
      <c r="A284" s="519" t="s">
        <v>300</v>
      </c>
      <c r="O284" s="516"/>
      <c r="P284" s="516"/>
      <c r="Q284" s="518"/>
      <c r="R284" s="518"/>
      <c r="S284" s="518"/>
      <c r="T284" s="518"/>
      <c r="U284" s="518"/>
      <c r="V284" s="842"/>
    </row>
    <row r="285" spans="1:26" x14ac:dyDescent="0.25">
      <c r="A285" s="521" t="s">
        <v>263</v>
      </c>
      <c r="B285" s="522"/>
      <c r="C285" s="522"/>
      <c r="D285" s="522"/>
      <c r="E285" s="523"/>
      <c r="F285" s="523"/>
      <c r="G285" s="523"/>
      <c r="H285" s="523"/>
      <c r="I285" s="522"/>
      <c r="J285" s="523"/>
      <c r="K285" s="523"/>
      <c r="L285" s="523"/>
      <c r="M285" s="523"/>
      <c r="N285" s="524"/>
      <c r="O285" s="525"/>
      <c r="P285" s="525"/>
      <c r="Q285" s="526"/>
      <c r="R285" s="526"/>
      <c r="S285" s="526"/>
      <c r="T285" s="527"/>
      <c r="U285" s="527"/>
      <c r="V285" s="843"/>
    </row>
    <row r="286" spans="1:26" s="522" customFormat="1" x14ac:dyDescent="0.25">
      <c r="A286" s="521" t="s">
        <v>116</v>
      </c>
      <c r="E286" s="523"/>
      <c r="F286" s="523"/>
      <c r="G286" s="523"/>
      <c r="H286" s="523"/>
      <c r="I286" s="523"/>
      <c r="J286" s="523"/>
      <c r="K286" s="523"/>
      <c r="L286" s="523"/>
      <c r="M286" s="523"/>
      <c r="N286" s="523"/>
      <c r="O286" s="525"/>
      <c r="P286" s="525"/>
      <c r="Q286" s="528"/>
      <c r="R286" s="528"/>
      <c r="S286" s="526"/>
      <c r="T286" s="526"/>
      <c r="U286" s="527"/>
      <c r="V286" s="843"/>
      <c r="Y286" s="529"/>
    </row>
    <row r="287" spans="1:26" x14ac:dyDescent="0.25">
      <c r="O287" s="516"/>
      <c r="P287" s="516"/>
      <c r="Q287" s="518"/>
      <c r="R287" s="518"/>
      <c r="S287" s="518"/>
      <c r="T287" s="518"/>
      <c r="U287" s="530"/>
      <c r="V287" s="842"/>
    </row>
    <row r="288" spans="1:26" ht="13.8" thickBot="1" x14ac:dyDescent="0.3">
      <c r="A288" s="846" t="s">
        <v>301</v>
      </c>
      <c r="B288" s="846"/>
      <c r="C288" s="846"/>
      <c r="D288" s="846"/>
      <c r="E288" s="844"/>
      <c r="F288" s="844"/>
      <c r="G288" s="844"/>
      <c r="H288" s="844">
        <f ca="1">H282+H285+H286</f>
        <v>0</v>
      </c>
      <c r="I288" s="844">
        <f t="shared" ref="I288:U288" ca="1" si="90">I282+I285+I286</f>
        <v>0</v>
      </c>
      <c r="J288" s="844">
        <f ca="1">J282+J285+J286</f>
        <v>0</v>
      </c>
      <c r="K288" s="844"/>
      <c r="L288" s="844">
        <f t="shared" ca="1" si="90"/>
        <v>0</v>
      </c>
      <c r="M288" s="844">
        <f t="shared" ca="1" si="90"/>
        <v>0</v>
      </c>
      <c r="N288" s="844">
        <f t="shared" ca="1" si="90"/>
        <v>0</v>
      </c>
      <c r="O288" s="844">
        <f t="shared" ca="1" si="90"/>
        <v>0</v>
      </c>
      <c r="P288" s="844">
        <f t="shared" ca="1" si="90"/>
        <v>0</v>
      </c>
      <c r="Q288" s="844">
        <f t="shared" ca="1" si="90"/>
        <v>0</v>
      </c>
      <c r="R288" s="844">
        <f t="shared" ca="1" si="90"/>
        <v>0</v>
      </c>
      <c r="S288" s="844">
        <f t="shared" ca="1" si="90"/>
        <v>0</v>
      </c>
      <c r="T288" s="844">
        <f t="shared" ca="1" si="90"/>
        <v>0</v>
      </c>
      <c r="U288" s="844">
        <f t="shared" ca="1" si="90"/>
        <v>0</v>
      </c>
      <c r="V288" s="845">
        <f ca="1">SUM(H288:U288)</f>
        <v>0</v>
      </c>
    </row>
    <row r="289" spans="20:22" ht="13.8" thickTop="1" x14ac:dyDescent="0.25"/>
    <row r="291" spans="20:22" x14ac:dyDescent="0.25">
      <c r="T291" s="531"/>
      <c r="V291" s="531">
        <f ca="1">V283+V285</f>
        <v>0</v>
      </c>
    </row>
    <row r="331" spans="5:25" s="8" customFormat="1" ht="13.8" x14ac:dyDescent="0.25">
      <c r="E331" s="293"/>
      <c r="F331" s="293"/>
      <c r="G331" s="293"/>
      <c r="H331" s="293"/>
      <c r="I331" s="293"/>
      <c r="J331" s="293"/>
      <c r="K331" s="293"/>
      <c r="L331" s="293"/>
      <c r="M331" s="293"/>
      <c r="N331" s="293"/>
      <c r="O331" s="293"/>
      <c r="P331" s="293"/>
      <c r="Y331" s="9"/>
    </row>
    <row r="332" spans="5:25" s="8" customFormat="1" ht="13.8" x14ac:dyDescent="0.25">
      <c r="E332" s="293"/>
      <c r="F332" s="293"/>
      <c r="G332" s="293"/>
      <c r="H332" s="293"/>
      <c r="I332" s="293"/>
      <c r="J332" s="293"/>
      <c r="K332" s="293"/>
      <c r="L332" s="293"/>
      <c r="M332" s="293"/>
      <c r="N332" s="293"/>
      <c r="O332" s="293"/>
      <c r="P332" s="293"/>
      <c r="Y332" s="9"/>
    </row>
    <row r="333" spans="5:25" s="8" customFormat="1" ht="13.8" x14ac:dyDescent="0.25">
      <c r="E333" s="293"/>
      <c r="F333" s="293"/>
      <c r="G333" s="293"/>
      <c r="H333" s="293"/>
      <c r="I333" s="293"/>
      <c r="J333" s="293"/>
      <c r="K333" s="293"/>
      <c r="L333" s="293"/>
      <c r="M333" s="293"/>
      <c r="N333" s="293"/>
      <c r="O333" s="293"/>
      <c r="P333" s="293"/>
      <c r="Y333" s="9"/>
    </row>
    <row r="334" spans="5:25" s="8" customFormat="1" ht="13.8" x14ac:dyDescent="0.25">
      <c r="E334" s="293"/>
      <c r="F334" s="293"/>
      <c r="G334" s="293"/>
      <c r="H334" s="293"/>
      <c r="I334" s="293"/>
      <c r="J334" s="293"/>
      <c r="K334" s="293"/>
      <c r="L334" s="293"/>
      <c r="M334" s="293"/>
      <c r="N334" s="293"/>
      <c r="O334" s="293"/>
      <c r="P334" s="293"/>
      <c r="Y334" s="9"/>
    </row>
    <row r="335" spans="5:25" s="8" customFormat="1" ht="13.8" x14ac:dyDescent="0.25">
      <c r="E335" s="293"/>
      <c r="F335" s="293"/>
      <c r="G335" s="293"/>
      <c r="H335" s="293"/>
      <c r="I335" s="293"/>
      <c r="J335" s="293"/>
      <c r="K335" s="293"/>
      <c r="L335" s="293"/>
      <c r="M335" s="293"/>
      <c r="N335" s="293"/>
      <c r="O335" s="293"/>
      <c r="P335" s="293"/>
      <c r="Y335" s="9"/>
    </row>
    <row r="336" spans="5:25" s="8" customFormat="1" ht="13.8" x14ac:dyDescent="0.25">
      <c r="E336" s="293"/>
      <c r="F336" s="293"/>
      <c r="G336" s="293"/>
      <c r="H336" s="293"/>
      <c r="I336" s="293"/>
      <c r="J336" s="293"/>
      <c r="K336" s="293"/>
      <c r="L336" s="293"/>
      <c r="M336" s="293"/>
      <c r="N336" s="293"/>
      <c r="O336" s="293"/>
      <c r="P336" s="293"/>
      <c r="Y336" s="9"/>
    </row>
    <row r="337" spans="5:25" s="8" customFormat="1" ht="13.8" x14ac:dyDescent="0.25">
      <c r="E337" s="293"/>
      <c r="F337" s="293"/>
      <c r="G337" s="293"/>
      <c r="H337" s="293"/>
      <c r="I337" s="293"/>
      <c r="J337" s="293"/>
      <c r="K337" s="293"/>
      <c r="L337" s="293"/>
      <c r="M337" s="293"/>
      <c r="N337" s="293"/>
      <c r="O337" s="293"/>
      <c r="P337" s="293"/>
      <c r="Y337" s="9"/>
    </row>
    <row r="338" spans="5:25" s="8" customFormat="1" ht="13.8" x14ac:dyDescent="0.25">
      <c r="E338" s="293"/>
      <c r="F338" s="293"/>
      <c r="G338" s="293"/>
      <c r="H338" s="293"/>
      <c r="I338" s="293"/>
      <c r="J338" s="293"/>
      <c r="K338" s="293"/>
      <c r="L338" s="293"/>
      <c r="M338" s="293"/>
      <c r="N338" s="293"/>
      <c r="O338" s="293"/>
      <c r="P338" s="293"/>
      <c r="Y338" s="9"/>
    </row>
    <row r="339" spans="5:25" s="8" customFormat="1" ht="13.8" x14ac:dyDescent="0.25">
      <c r="E339" s="293"/>
      <c r="F339" s="293"/>
      <c r="G339" s="293"/>
      <c r="H339" s="293"/>
      <c r="I339" s="293"/>
      <c r="J339" s="293"/>
      <c r="K339" s="293"/>
      <c r="L339" s="293"/>
      <c r="M339" s="293"/>
      <c r="N339" s="293"/>
      <c r="O339" s="293"/>
      <c r="P339" s="293"/>
      <c r="Y339" s="9"/>
    </row>
    <row r="340" spans="5:25" s="8" customFormat="1" ht="13.8" x14ac:dyDescent="0.25">
      <c r="E340" s="293"/>
      <c r="F340" s="293"/>
      <c r="G340" s="293"/>
      <c r="H340" s="293"/>
      <c r="I340" s="293"/>
      <c r="J340" s="293"/>
      <c r="K340" s="293"/>
      <c r="L340" s="293"/>
      <c r="M340" s="293"/>
      <c r="N340" s="293"/>
      <c r="O340" s="293"/>
      <c r="P340" s="293"/>
      <c r="Y340" s="9"/>
    </row>
    <row r="341" spans="5:25" s="8" customFormat="1" ht="13.8" x14ac:dyDescent="0.25">
      <c r="E341" s="293"/>
      <c r="F341" s="293"/>
      <c r="G341" s="293"/>
      <c r="H341" s="293"/>
      <c r="I341" s="293"/>
      <c r="J341" s="293"/>
      <c r="K341" s="293"/>
      <c r="L341" s="293"/>
      <c r="M341" s="293"/>
      <c r="N341" s="293"/>
      <c r="O341" s="293"/>
      <c r="P341" s="293"/>
      <c r="Y341" s="9"/>
    </row>
    <row r="342" spans="5:25" s="8" customFormat="1" ht="13.8" x14ac:dyDescent="0.25">
      <c r="E342" s="293"/>
      <c r="F342" s="293"/>
      <c r="G342" s="293"/>
      <c r="H342" s="293"/>
      <c r="I342" s="293"/>
      <c r="J342" s="293"/>
      <c r="K342" s="293"/>
      <c r="L342" s="293"/>
      <c r="M342" s="293"/>
      <c r="N342" s="293"/>
      <c r="O342" s="293"/>
      <c r="P342" s="293"/>
      <c r="Y342" s="9"/>
    </row>
    <row r="343" spans="5:25" s="8" customFormat="1" ht="13.8" x14ac:dyDescent="0.25">
      <c r="E343" s="293"/>
      <c r="F343" s="293"/>
      <c r="G343" s="293"/>
      <c r="H343" s="293"/>
      <c r="I343" s="293"/>
      <c r="J343" s="293"/>
      <c r="K343" s="293"/>
      <c r="L343" s="293"/>
      <c r="M343" s="293"/>
      <c r="N343" s="293"/>
      <c r="O343" s="293"/>
      <c r="P343" s="293"/>
      <c r="Y343" s="9"/>
    </row>
    <row r="344" spans="5:25" s="8" customFormat="1" ht="13.8" x14ac:dyDescent="0.25">
      <c r="E344" s="293"/>
      <c r="F344" s="293"/>
      <c r="G344" s="293"/>
      <c r="H344" s="293"/>
      <c r="I344" s="293"/>
      <c r="J344" s="293"/>
      <c r="K344" s="293"/>
      <c r="L344" s="293"/>
      <c r="M344" s="293"/>
      <c r="N344" s="293"/>
      <c r="O344" s="293"/>
      <c r="P344" s="293"/>
      <c r="Y344" s="9"/>
    </row>
    <row r="345" spans="5:25" s="8" customFormat="1" ht="13.8" x14ac:dyDescent="0.25">
      <c r="E345" s="293"/>
      <c r="F345" s="293"/>
      <c r="G345" s="293"/>
      <c r="H345" s="293"/>
      <c r="I345" s="293"/>
      <c r="J345" s="293"/>
      <c r="K345" s="293"/>
      <c r="L345" s="293"/>
      <c r="M345" s="293"/>
      <c r="N345" s="293"/>
      <c r="O345" s="293"/>
      <c r="P345" s="293"/>
      <c r="Y345" s="9"/>
    </row>
    <row r="346" spans="5:25" s="8" customFormat="1" ht="13.8" x14ac:dyDescent="0.25">
      <c r="E346" s="293"/>
      <c r="F346" s="293"/>
      <c r="G346" s="293"/>
      <c r="H346" s="293"/>
      <c r="I346" s="293"/>
      <c r="J346" s="293"/>
      <c r="K346" s="293"/>
      <c r="L346" s="293"/>
      <c r="M346" s="293"/>
      <c r="N346" s="293"/>
      <c r="O346" s="293"/>
      <c r="P346" s="293"/>
      <c r="Y346" s="9"/>
    </row>
    <row r="347" spans="5:25" s="8" customFormat="1" ht="13.8" x14ac:dyDescent="0.25">
      <c r="E347" s="293"/>
      <c r="F347" s="293"/>
      <c r="G347" s="293"/>
      <c r="H347" s="293"/>
      <c r="I347" s="293"/>
      <c r="J347" s="293"/>
      <c r="K347" s="293"/>
      <c r="L347" s="293"/>
      <c r="M347" s="293"/>
      <c r="N347" s="293"/>
      <c r="O347" s="293"/>
      <c r="P347" s="293"/>
      <c r="Y347" s="9"/>
    </row>
    <row r="348" spans="5:25" s="8" customFormat="1" ht="13.8" x14ac:dyDescent="0.25">
      <c r="E348" s="293"/>
      <c r="F348" s="293"/>
      <c r="G348" s="293"/>
      <c r="H348" s="293"/>
      <c r="I348" s="293"/>
      <c r="J348" s="293"/>
      <c r="K348" s="293"/>
      <c r="L348" s="293"/>
      <c r="M348" s="293"/>
      <c r="N348" s="293"/>
      <c r="O348" s="293"/>
      <c r="P348" s="293"/>
      <c r="Y348" s="9"/>
    </row>
    <row r="349" spans="5:25" s="8" customFormat="1" ht="13.8" x14ac:dyDescent="0.25">
      <c r="E349" s="293"/>
      <c r="F349" s="293"/>
      <c r="G349" s="293"/>
      <c r="H349" s="293"/>
      <c r="I349" s="293"/>
      <c r="J349" s="293"/>
      <c r="K349" s="293"/>
      <c r="L349" s="293"/>
      <c r="M349" s="293"/>
      <c r="N349" s="293"/>
      <c r="O349" s="293"/>
      <c r="P349" s="293"/>
      <c r="Y349" s="9"/>
    </row>
    <row r="350" spans="5:25" s="8" customFormat="1" ht="13.8" x14ac:dyDescent="0.25">
      <c r="E350" s="293"/>
      <c r="F350" s="293"/>
      <c r="G350" s="293"/>
      <c r="H350" s="293"/>
      <c r="I350" s="293"/>
      <c r="J350" s="293"/>
      <c r="K350" s="293"/>
      <c r="L350" s="293"/>
      <c r="M350" s="293"/>
      <c r="N350" s="293"/>
      <c r="O350" s="293"/>
      <c r="P350" s="293"/>
      <c r="Y350" s="9"/>
    </row>
    <row r="351" spans="5:25" s="8" customFormat="1" ht="13.8" x14ac:dyDescent="0.25">
      <c r="E351" s="293"/>
      <c r="F351" s="293"/>
      <c r="G351" s="293"/>
      <c r="H351" s="293"/>
      <c r="I351" s="293"/>
      <c r="J351" s="293"/>
      <c r="K351" s="293"/>
      <c r="L351" s="293"/>
      <c r="M351" s="293"/>
      <c r="N351" s="293"/>
      <c r="O351" s="293"/>
      <c r="P351" s="293"/>
      <c r="Y351" s="9"/>
    </row>
    <row r="352" spans="5:25" s="8" customFormat="1" ht="13.8" x14ac:dyDescent="0.25">
      <c r="E352" s="293"/>
      <c r="F352" s="293"/>
      <c r="G352" s="293"/>
      <c r="H352" s="293"/>
      <c r="I352" s="293"/>
      <c r="J352" s="293"/>
      <c r="K352" s="293"/>
      <c r="L352" s="293"/>
      <c r="M352" s="293"/>
      <c r="N352" s="293"/>
      <c r="O352" s="293"/>
      <c r="P352" s="293"/>
      <c r="Y352" s="9"/>
    </row>
    <row r="353" spans="5:25" s="8" customFormat="1" ht="13.8" x14ac:dyDescent="0.25">
      <c r="E353" s="293"/>
      <c r="F353" s="293"/>
      <c r="G353" s="293"/>
      <c r="H353" s="293"/>
      <c r="I353" s="293"/>
      <c r="J353" s="293"/>
      <c r="K353" s="293"/>
      <c r="L353" s="293"/>
      <c r="M353" s="293"/>
      <c r="N353" s="293"/>
      <c r="O353" s="293"/>
      <c r="P353" s="293"/>
      <c r="Y353" s="9"/>
    </row>
    <row r="354" spans="5:25" s="8" customFormat="1" ht="13.8" x14ac:dyDescent="0.25">
      <c r="E354" s="293"/>
      <c r="F354" s="293"/>
      <c r="G354" s="293"/>
      <c r="H354" s="293"/>
      <c r="I354" s="293"/>
      <c r="J354" s="293"/>
      <c r="K354" s="293"/>
      <c r="L354" s="293"/>
      <c r="M354" s="293"/>
      <c r="N354" s="293"/>
      <c r="O354" s="293"/>
      <c r="P354" s="293"/>
      <c r="Y354" s="9"/>
    </row>
    <row r="355" spans="5:25" s="8" customFormat="1" ht="13.8" x14ac:dyDescent="0.25">
      <c r="E355" s="293"/>
      <c r="F355" s="293"/>
      <c r="G355" s="293"/>
      <c r="H355" s="293"/>
      <c r="I355" s="293"/>
      <c r="J355" s="293"/>
      <c r="K355" s="293"/>
      <c r="L355" s="293"/>
      <c r="M355" s="293"/>
      <c r="N355" s="293"/>
      <c r="O355" s="293"/>
      <c r="P355" s="293"/>
      <c r="Y355" s="9"/>
    </row>
    <row r="356" spans="5:25" s="8" customFormat="1" ht="13.8" x14ac:dyDescent="0.25">
      <c r="E356" s="293"/>
      <c r="F356" s="293"/>
      <c r="G356" s="293"/>
      <c r="H356" s="293"/>
      <c r="I356" s="293"/>
      <c r="J356" s="293"/>
      <c r="K356" s="293"/>
      <c r="L356" s="293"/>
      <c r="M356" s="293"/>
      <c r="N356" s="293"/>
      <c r="O356" s="293"/>
      <c r="P356" s="293"/>
      <c r="Y356" s="9"/>
    </row>
    <row r="357" spans="5:25" s="8" customFormat="1" ht="13.8" x14ac:dyDescent="0.25">
      <c r="E357" s="293"/>
      <c r="F357" s="293"/>
      <c r="G357" s="293"/>
      <c r="H357" s="293"/>
      <c r="I357" s="293"/>
      <c r="J357" s="293"/>
      <c r="K357" s="293"/>
      <c r="L357" s="293"/>
      <c r="M357" s="293"/>
      <c r="N357" s="293"/>
      <c r="O357" s="293"/>
      <c r="P357" s="293"/>
      <c r="Y357" s="9"/>
    </row>
    <row r="358" spans="5:25" s="8" customFormat="1" ht="13.8" x14ac:dyDescent="0.25">
      <c r="E358" s="293"/>
      <c r="F358" s="293"/>
      <c r="G358" s="293"/>
      <c r="H358" s="293"/>
      <c r="I358" s="293"/>
      <c r="J358" s="293"/>
      <c r="K358" s="293"/>
      <c r="L358" s="293"/>
      <c r="M358" s="293"/>
      <c r="N358" s="293"/>
      <c r="O358" s="293"/>
      <c r="P358" s="293"/>
      <c r="Y358" s="9"/>
    </row>
    <row r="359" spans="5:25" s="8" customFormat="1" ht="13.8" x14ac:dyDescent="0.25">
      <c r="E359" s="293"/>
      <c r="F359" s="293"/>
      <c r="G359" s="293"/>
      <c r="H359" s="293"/>
      <c r="I359" s="293"/>
      <c r="J359" s="293"/>
      <c r="K359" s="293"/>
      <c r="L359" s="293"/>
      <c r="M359" s="293"/>
      <c r="N359" s="293"/>
      <c r="O359" s="293"/>
      <c r="P359" s="293"/>
      <c r="Y359" s="9"/>
    </row>
    <row r="360" spans="5:25" s="8" customFormat="1" ht="13.8" x14ac:dyDescent="0.25">
      <c r="E360" s="293"/>
      <c r="F360" s="293"/>
      <c r="G360" s="293"/>
      <c r="H360" s="293"/>
      <c r="I360" s="293"/>
      <c r="J360" s="293"/>
      <c r="K360" s="293"/>
      <c r="L360" s="293"/>
      <c r="M360" s="293"/>
      <c r="N360" s="293"/>
      <c r="O360" s="293"/>
      <c r="P360" s="293"/>
      <c r="Y360" s="9"/>
    </row>
    <row r="361" spans="5:25" s="8" customFormat="1" ht="13.8" x14ac:dyDescent="0.25">
      <c r="E361" s="293"/>
      <c r="F361" s="293"/>
      <c r="G361" s="293"/>
      <c r="H361" s="293"/>
      <c r="I361" s="293"/>
      <c r="J361" s="293"/>
      <c r="K361" s="293"/>
      <c r="L361" s="293"/>
      <c r="M361" s="293"/>
      <c r="N361" s="293"/>
      <c r="O361" s="293"/>
      <c r="P361" s="293"/>
      <c r="Y361" s="9"/>
    </row>
    <row r="362" spans="5:25" s="8" customFormat="1" ht="13.8" x14ac:dyDescent="0.25">
      <c r="E362" s="293"/>
      <c r="F362" s="293"/>
      <c r="G362" s="293"/>
      <c r="H362" s="293"/>
      <c r="I362" s="293"/>
      <c r="J362" s="293"/>
      <c r="K362" s="293"/>
      <c r="L362" s="293"/>
      <c r="M362" s="293"/>
      <c r="N362" s="293"/>
      <c r="O362" s="293"/>
      <c r="P362" s="293"/>
      <c r="Y362" s="9"/>
    </row>
    <row r="363" spans="5:25" s="8" customFormat="1" ht="13.8" x14ac:dyDescent="0.25">
      <c r="E363" s="293"/>
      <c r="F363" s="293"/>
      <c r="G363" s="293"/>
      <c r="H363" s="293"/>
      <c r="I363" s="293"/>
      <c r="J363" s="293"/>
      <c r="K363" s="293"/>
      <c r="L363" s="293"/>
      <c r="M363" s="293"/>
      <c r="N363" s="293"/>
      <c r="O363" s="293"/>
      <c r="P363" s="293"/>
      <c r="Y363" s="9"/>
    </row>
    <row r="364" spans="5:25" s="8" customFormat="1" ht="13.8" x14ac:dyDescent="0.25">
      <c r="E364" s="293"/>
      <c r="F364" s="293"/>
      <c r="G364" s="293"/>
      <c r="H364" s="293"/>
      <c r="I364" s="293"/>
      <c r="J364" s="293"/>
      <c r="K364" s="293"/>
      <c r="L364" s="293"/>
      <c r="M364" s="293"/>
      <c r="N364" s="293"/>
      <c r="O364" s="293"/>
      <c r="P364" s="293"/>
      <c r="Y364" s="9"/>
    </row>
    <row r="365" spans="5:25" s="8" customFormat="1" ht="13.8" x14ac:dyDescent="0.25">
      <c r="E365" s="293"/>
      <c r="F365" s="293"/>
      <c r="G365" s="293"/>
      <c r="H365" s="293"/>
      <c r="I365" s="293"/>
      <c r="J365" s="293"/>
      <c r="K365" s="293"/>
      <c r="L365" s="293"/>
      <c r="M365" s="293"/>
      <c r="N365" s="293"/>
      <c r="O365" s="293"/>
      <c r="P365" s="293"/>
      <c r="Y365" s="9"/>
    </row>
    <row r="366" spans="5:25" s="8" customFormat="1" ht="13.8" x14ac:dyDescent="0.25">
      <c r="E366" s="293"/>
      <c r="F366" s="293"/>
      <c r="G366" s="293"/>
      <c r="H366" s="293"/>
      <c r="I366" s="293"/>
      <c r="J366" s="293"/>
      <c r="K366" s="293"/>
      <c r="L366" s="293"/>
      <c r="M366" s="293"/>
      <c r="N366" s="293"/>
      <c r="O366" s="293"/>
      <c r="P366" s="293"/>
      <c r="Y366" s="9"/>
    </row>
    <row r="367" spans="5:25" s="8" customFormat="1" ht="13.8" x14ac:dyDescent="0.25">
      <c r="E367" s="293"/>
      <c r="F367" s="293"/>
      <c r="G367" s="293"/>
      <c r="H367" s="293"/>
      <c r="I367" s="293"/>
      <c r="J367" s="293"/>
      <c r="K367" s="293"/>
      <c r="L367" s="293"/>
      <c r="M367" s="293"/>
      <c r="N367" s="293"/>
      <c r="O367" s="293"/>
      <c r="P367" s="293"/>
      <c r="Y367" s="9"/>
    </row>
    <row r="368" spans="5:25" s="8" customFormat="1" ht="13.8" x14ac:dyDescent="0.25">
      <c r="E368" s="293"/>
      <c r="F368" s="293"/>
      <c r="G368" s="293"/>
      <c r="H368" s="293"/>
      <c r="I368" s="293"/>
      <c r="J368" s="293"/>
      <c r="K368" s="293"/>
      <c r="L368" s="293"/>
      <c r="M368" s="293"/>
      <c r="N368" s="293"/>
      <c r="O368" s="293"/>
      <c r="P368" s="293"/>
      <c r="Y368" s="9"/>
    </row>
    <row r="369" spans="5:25" s="8" customFormat="1" ht="13.8" x14ac:dyDescent="0.25">
      <c r="E369" s="293"/>
      <c r="F369" s="293"/>
      <c r="G369" s="293"/>
      <c r="H369" s="293"/>
      <c r="I369" s="293"/>
      <c r="J369" s="293"/>
      <c r="K369" s="293"/>
      <c r="L369" s="293"/>
      <c r="M369" s="293"/>
      <c r="N369" s="293"/>
      <c r="O369" s="293"/>
      <c r="P369" s="293"/>
      <c r="Y369" s="9"/>
    </row>
    <row r="370" spans="5:25" s="8" customFormat="1" ht="13.8" x14ac:dyDescent="0.25">
      <c r="E370" s="293"/>
      <c r="F370" s="293"/>
      <c r="G370" s="293"/>
      <c r="H370" s="293"/>
      <c r="I370" s="293"/>
      <c r="J370" s="293"/>
      <c r="K370" s="293"/>
      <c r="L370" s="293"/>
      <c r="M370" s="293"/>
      <c r="N370" s="293"/>
      <c r="O370" s="293"/>
      <c r="P370" s="293"/>
      <c r="Y370" s="9"/>
    </row>
    <row r="371" spans="5:25" s="8" customFormat="1" ht="13.8" x14ac:dyDescent="0.25">
      <c r="E371" s="293"/>
      <c r="F371" s="293"/>
      <c r="G371" s="293"/>
      <c r="H371" s="293"/>
      <c r="I371" s="293"/>
      <c r="J371" s="293"/>
      <c r="K371" s="293"/>
      <c r="L371" s="293"/>
      <c r="M371" s="293"/>
      <c r="N371" s="293"/>
      <c r="O371" s="293"/>
      <c r="P371" s="293"/>
      <c r="Y371" s="9"/>
    </row>
    <row r="372" spans="5:25" s="8" customFormat="1" ht="13.8" x14ac:dyDescent="0.25">
      <c r="E372" s="293"/>
      <c r="F372" s="293"/>
      <c r="G372" s="293"/>
      <c r="H372" s="293"/>
      <c r="I372" s="293"/>
      <c r="J372" s="293"/>
      <c r="K372" s="293"/>
      <c r="L372" s="293"/>
      <c r="M372" s="293"/>
      <c r="N372" s="293"/>
      <c r="O372" s="293"/>
      <c r="P372" s="293"/>
      <c r="Y372" s="9"/>
    </row>
    <row r="373" spans="5:25" s="8" customFormat="1" ht="13.8" x14ac:dyDescent="0.25">
      <c r="E373" s="293"/>
      <c r="F373" s="293"/>
      <c r="G373" s="293"/>
      <c r="H373" s="293"/>
      <c r="I373" s="293"/>
      <c r="J373" s="293"/>
      <c r="K373" s="293"/>
      <c r="L373" s="293"/>
      <c r="M373" s="293"/>
      <c r="N373" s="293"/>
      <c r="O373" s="293"/>
      <c r="P373" s="293"/>
      <c r="Y373" s="9"/>
    </row>
    <row r="374" spans="5:25" s="8" customFormat="1" ht="13.8" x14ac:dyDescent="0.25">
      <c r="E374" s="293"/>
      <c r="F374" s="293"/>
      <c r="G374" s="293"/>
      <c r="H374" s="293"/>
      <c r="I374" s="293"/>
      <c r="J374" s="293"/>
      <c r="K374" s="293"/>
      <c r="L374" s="293"/>
      <c r="M374" s="293"/>
      <c r="N374" s="293"/>
      <c r="O374" s="293"/>
      <c r="P374" s="293"/>
      <c r="Y374" s="9"/>
    </row>
    <row r="375" spans="5:25" s="8" customFormat="1" ht="13.8" x14ac:dyDescent="0.25">
      <c r="E375" s="293"/>
      <c r="F375" s="293"/>
      <c r="G375" s="293"/>
      <c r="H375" s="293"/>
      <c r="I375" s="293"/>
      <c r="J375" s="293"/>
      <c r="K375" s="293"/>
      <c r="L375" s="293"/>
      <c r="M375" s="293"/>
      <c r="N375" s="293"/>
      <c r="O375" s="293"/>
      <c r="P375" s="293"/>
      <c r="Y375" s="9"/>
    </row>
    <row r="376" spans="5:25" s="8" customFormat="1" ht="13.8" x14ac:dyDescent="0.25">
      <c r="E376" s="293"/>
      <c r="F376" s="293"/>
      <c r="G376" s="293"/>
      <c r="H376" s="293"/>
      <c r="I376" s="293"/>
      <c r="J376" s="293"/>
      <c r="K376" s="293"/>
      <c r="L376" s="293"/>
      <c r="M376" s="293"/>
      <c r="N376" s="293"/>
      <c r="O376" s="293"/>
      <c r="P376" s="293"/>
      <c r="Y376" s="9"/>
    </row>
    <row r="377" spans="5:25" s="8" customFormat="1" ht="13.8" x14ac:dyDescent="0.25">
      <c r="E377" s="293"/>
      <c r="F377" s="293"/>
      <c r="G377" s="293"/>
      <c r="H377" s="293"/>
      <c r="I377" s="293"/>
      <c r="J377" s="293"/>
      <c r="K377" s="293"/>
      <c r="L377" s="293"/>
      <c r="M377" s="293"/>
      <c r="N377" s="293"/>
      <c r="O377" s="293"/>
      <c r="P377" s="293"/>
      <c r="Y377" s="9"/>
    </row>
    <row r="378" spans="5:25" s="8" customFormat="1" ht="13.8" x14ac:dyDescent="0.25">
      <c r="E378" s="293"/>
      <c r="F378" s="293"/>
      <c r="G378" s="293"/>
      <c r="H378" s="293"/>
      <c r="I378" s="293"/>
      <c r="J378" s="293"/>
      <c r="K378" s="293"/>
      <c r="L378" s="293"/>
      <c r="M378" s="293"/>
      <c r="N378" s="293"/>
      <c r="O378" s="293"/>
      <c r="P378" s="293"/>
      <c r="Y378" s="9"/>
    </row>
    <row r="379" spans="5:25" s="8" customFormat="1" ht="13.8" x14ac:dyDescent="0.25">
      <c r="E379" s="293"/>
      <c r="F379" s="293"/>
      <c r="G379" s="293"/>
      <c r="H379" s="293"/>
      <c r="I379" s="293"/>
      <c r="J379" s="293"/>
      <c r="K379" s="293"/>
      <c r="L379" s="293"/>
      <c r="M379" s="293"/>
      <c r="N379" s="293"/>
      <c r="O379" s="293"/>
      <c r="P379" s="293"/>
      <c r="Y379" s="9"/>
    </row>
    <row r="380" spans="5:25" s="8" customFormat="1" ht="13.8" x14ac:dyDescent="0.25">
      <c r="E380" s="293"/>
      <c r="F380" s="293"/>
      <c r="G380" s="293"/>
      <c r="H380" s="293"/>
      <c r="I380" s="293"/>
      <c r="J380" s="293"/>
      <c r="K380" s="293"/>
      <c r="L380" s="293"/>
      <c r="M380" s="293"/>
      <c r="N380" s="293"/>
      <c r="O380" s="293"/>
      <c r="P380" s="293"/>
      <c r="Y380" s="9"/>
    </row>
    <row r="381" spans="5:25" s="8" customFormat="1" ht="13.8" x14ac:dyDescent="0.25">
      <c r="E381" s="293"/>
      <c r="F381" s="293"/>
      <c r="G381" s="293"/>
      <c r="H381" s="293"/>
      <c r="I381" s="293"/>
      <c r="J381" s="293"/>
      <c r="K381" s="293"/>
      <c r="L381" s="293"/>
      <c r="M381" s="293"/>
      <c r="N381" s="293"/>
      <c r="O381" s="293"/>
      <c r="P381" s="293"/>
      <c r="Y381" s="9"/>
    </row>
    <row r="382" spans="5:25" s="8" customFormat="1" ht="13.8" x14ac:dyDescent="0.25">
      <c r="E382" s="293"/>
      <c r="F382" s="293"/>
      <c r="G382" s="293"/>
      <c r="H382" s="293"/>
      <c r="I382" s="293"/>
      <c r="J382" s="293"/>
      <c r="K382" s="293"/>
      <c r="L382" s="293"/>
      <c r="M382" s="293"/>
      <c r="N382" s="293"/>
      <c r="O382" s="293"/>
      <c r="P382" s="293"/>
      <c r="Y382" s="9"/>
    </row>
    <row r="383" spans="5:25" s="8" customFormat="1" ht="13.8" x14ac:dyDescent="0.25">
      <c r="E383" s="293"/>
      <c r="F383" s="293"/>
      <c r="G383" s="293"/>
      <c r="H383" s="293"/>
      <c r="I383" s="293"/>
      <c r="J383" s="293"/>
      <c r="K383" s="293"/>
      <c r="L383" s="293"/>
      <c r="M383" s="293"/>
      <c r="N383" s="293"/>
      <c r="O383" s="293"/>
      <c r="P383" s="293"/>
      <c r="Y383" s="9"/>
    </row>
    <row r="384" spans="5:25" s="8" customFormat="1" ht="13.8" x14ac:dyDescent="0.25">
      <c r="E384" s="293"/>
      <c r="F384" s="293"/>
      <c r="G384" s="293"/>
      <c r="H384" s="293"/>
      <c r="I384" s="293"/>
      <c r="J384" s="293"/>
      <c r="K384" s="293"/>
      <c r="L384" s="293"/>
      <c r="M384" s="293"/>
      <c r="N384" s="293"/>
      <c r="O384" s="293"/>
      <c r="P384" s="293"/>
      <c r="Y384" s="9"/>
    </row>
    <row r="385" spans="5:25" s="8" customFormat="1" ht="13.8" x14ac:dyDescent="0.25">
      <c r="E385" s="293"/>
      <c r="F385" s="293"/>
      <c r="G385" s="293"/>
      <c r="H385" s="293"/>
      <c r="I385" s="293"/>
      <c r="J385" s="293"/>
      <c r="K385" s="293"/>
      <c r="L385" s="293"/>
      <c r="M385" s="293"/>
      <c r="N385" s="293"/>
      <c r="O385" s="293"/>
      <c r="P385" s="293"/>
      <c r="Y385" s="9"/>
    </row>
    <row r="386" spans="5:25" s="8" customFormat="1" ht="13.8" x14ac:dyDescent="0.25">
      <c r="E386" s="293"/>
      <c r="F386" s="293"/>
      <c r="G386" s="293"/>
      <c r="H386" s="293"/>
      <c r="I386" s="293"/>
      <c r="J386" s="293"/>
      <c r="K386" s="293"/>
      <c r="L386" s="293"/>
      <c r="M386" s="293"/>
      <c r="N386" s="293"/>
      <c r="O386" s="293"/>
      <c r="P386" s="293"/>
      <c r="Y386" s="9"/>
    </row>
    <row r="387" spans="5:25" s="8" customFormat="1" ht="13.8" x14ac:dyDescent="0.25">
      <c r="E387" s="293"/>
      <c r="F387" s="293"/>
      <c r="G387" s="293"/>
      <c r="H387" s="293"/>
      <c r="I387" s="293"/>
      <c r="J387" s="293"/>
      <c r="K387" s="293"/>
      <c r="L387" s="293"/>
      <c r="M387" s="293"/>
      <c r="N387" s="293"/>
      <c r="O387" s="293"/>
      <c r="P387" s="293"/>
      <c r="Y387" s="9"/>
    </row>
    <row r="388" spans="5:25" s="8" customFormat="1" ht="13.8" x14ac:dyDescent="0.25">
      <c r="E388" s="293"/>
      <c r="F388" s="293"/>
      <c r="G388" s="293"/>
      <c r="H388" s="293"/>
      <c r="I388" s="293"/>
      <c r="J388" s="293"/>
      <c r="K388" s="293"/>
      <c r="L388" s="293"/>
      <c r="M388" s="293"/>
      <c r="N388" s="293"/>
      <c r="O388" s="293"/>
      <c r="P388" s="293"/>
      <c r="Y388" s="9"/>
    </row>
    <row r="389" spans="5:25" s="8" customFormat="1" ht="13.8" x14ac:dyDescent="0.25">
      <c r="E389" s="293"/>
      <c r="F389" s="293"/>
      <c r="G389" s="293"/>
      <c r="H389" s="293"/>
      <c r="I389" s="293"/>
      <c r="J389" s="293"/>
      <c r="K389" s="293"/>
      <c r="L389" s="293"/>
      <c r="M389" s="293"/>
      <c r="N389" s="293"/>
      <c r="O389" s="293"/>
      <c r="P389" s="293"/>
      <c r="Y389" s="9"/>
    </row>
    <row r="390" spans="5:25" s="8" customFormat="1" ht="13.8" x14ac:dyDescent="0.25">
      <c r="E390" s="293"/>
      <c r="F390" s="293"/>
      <c r="G390" s="293"/>
      <c r="H390" s="293"/>
      <c r="I390" s="293"/>
      <c r="J390" s="293"/>
      <c r="K390" s="293"/>
      <c r="L390" s="293"/>
      <c r="M390" s="293"/>
      <c r="N390" s="293"/>
      <c r="O390" s="293"/>
      <c r="P390" s="293"/>
      <c r="Y390" s="9"/>
    </row>
    <row r="391" spans="5:25" s="8" customFormat="1" ht="13.8" x14ac:dyDescent="0.25">
      <c r="E391" s="293"/>
      <c r="F391" s="293"/>
      <c r="G391" s="293"/>
      <c r="H391" s="293"/>
      <c r="I391" s="293"/>
      <c r="J391" s="293"/>
      <c r="K391" s="293"/>
      <c r="L391" s="293"/>
      <c r="M391" s="293"/>
      <c r="N391" s="293"/>
      <c r="O391" s="293"/>
      <c r="P391" s="293"/>
      <c r="Y391" s="9"/>
    </row>
    <row r="392" spans="5:25" s="8" customFormat="1" ht="13.8" x14ac:dyDescent="0.25">
      <c r="E392" s="293"/>
      <c r="F392" s="293"/>
      <c r="G392" s="293"/>
      <c r="H392" s="293"/>
      <c r="I392" s="293"/>
      <c r="J392" s="293"/>
      <c r="K392" s="293"/>
      <c r="L392" s="293"/>
      <c r="M392" s="293"/>
      <c r="N392" s="293"/>
      <c r="O392" s="293"/>
      <c r="P392" s="293"/>
      <c r="Y392" s="9"/>
    </row>
    <row r="393" spans="5:25" s="8" customFormat="1" ht="13.8" x14ac:dyDescent="0.25">
      <c r="E393" s="293"/>
      <c r="F393" s="293"/>
      <c r="G393" s="293"/>
      <c r="H393" s="293"/>
      <c r="I393" s="293"/>
      <c r="J393" s="293"/>
      <c r="K393" s="293"/>
      <c r="L393" s="293"/>
      <c r="M393" s="293"/>
      <c r="N393" s="293"/>
      <c r="O393" s="293"/>
      <c r="P393" s="293"/>
      <c r="Y393" s="9"/>
    </row>
    <row r="394" spans="5:25" s="8" customFormat="1" ht="13.8" x14ac:dyDescent="0.25">
      <c r="E394" s="293"/>
      <c r="F394" s="293"/>
      <c r="G394" s="293"/>
      <c r="H394" s="293"/>
      <c r="I394" s="293"/>
      <c r="J394" s="293"/>
      <c r="K394" s="293"/>
      <c r="L394" s="293"/>
      <c r="M394" s="293"/>
      <c r="N394" s="293"/>
      <c r="O394" s="293"/>
      <c r="P394" s="293"/>
      <c r="Y394" s="9"/>
    </row>
    <row r="395" spans="5:25" s="8" customFormat="1" ht="13.8" x14ac:dyDescent="0.25">
      <c r="E395" s="293"/>
      <c r="F395" s="293"/>
      <c r="G395" s="293"/>
      <c r="H395" s="293"/>
      <c r="I395" s="293"/>
      <c r="J395" s="293"/>
      <c r="K395" s="293"/>
      <c r="L395" s="293"/>
      <c r="M395" s="293"/>
      <c r="N395" s="293"/>
      <c r="O395" s="293"/>
      <c r="P395" s="293"/>
      <c r="Y395" s="9"/>
    </row>
    <row r="396" spans="5:25" s="8" customFormat="1" ht="13.8" x14ac:dyDescent="0.25">
      <c r="E396" s="293"/>
      <c r="F396" s="293"/>
      <c r="G396" s="293"/>
      <c r="H396" s="293"/>
      <c r="I396" s="293"/>
      <c r="J396" s="293"/>
      <c r="K396" s="293"/>
      <c r="L396" s="293"/>
      <c r="M396" s="293"/>
      <c r="N396" s="293"/>
      <c r="O396" s="293"/>
      <c r="P396" s="293"/>
      <c r="Y396" s="9"/>
    </row>
    <row r="397" spans="5:25" s="8" customFormat="1" ht="13.8" x14ac:dyDescent="0.25">
      <c r="E397" s="293"/>
      <c r="F397" s="293"/>
      <c r="G397" s="293"/>
      <c r="H397" s="293"/>
      <c r="I397" s="293"/>
      <c r="J397" s="293"/>
      <c r="K397" s="293"/>
      <c r="L397" s="293"/>
      <c r="M397" s="293"/>
      <c r="N397" s="293"/>
      <c r="O397" s="293"/>
      <c r="P397" s="293"/>
      <c r="Y397" s="9"/>
    </row>
    <row r="398" spans="5:25" s="8" customFormat="1" ht="13.8" x14ac:dyDescent="0.25">
      <c r="E398" s="293"/>
      <c r="F398" s="293"/>
      <c r="G398" s="293"/>
      <c r="H398" s="293"/>
      <c r="I398" s="293"/>
      <c r="J398" s="293"/>
      <c r="K398" s="293"/>
      <c r="L398" s="293"/>
      <c r="M398" s="293"/>
      <c r="N398" s="293"/>
      <c r="O398" s="293"/>
      <c r="P398" s="293"/>
      <c r="Y398" s="9"/>
    </row>
    <row r="399" spans="5:25" s="8" customFormat="1" ht="13.8" x14ac:dyDescent="0.25">
      <c r="E399" s="293"/>
      <c r="F399" s="293"/>
      <c r="G399" s="293"/>
      <c r="H399" s="293"/>
      <c r="I399" s="293"/>
      <c r="J399" s="293"/>
      <c r="K399" s="293"/>
      <c r="L399" s="293"/>
      <c r="M399" s="293"/>
      <c r="N399" s="293"/>
      <c r="O399" s="293"/>
      <c r="P399" s="293"/>
      <c r="Y399" s="9"/>
    </row>
    <row r="400" spans="5:25" s="8" customFormat="1" ht="13.8" x14ac:dyDescent="0.25">
      <c r="E400" s="293"/>
      <c r="F400" s="293"/>
      <c r="G400" s="293"/>
      <c r="H400" s="293"/>
      <c r="I400" s="293"/>
      <c r="J400" s="293"/>
      <c r="K400" s="293"/>
      <c r="L400" s="293"/>
      <c r="M400" s="293"/>
      <c r="N400" s="293"/>
      <c r="O400" s="293"/>
      <c r="P400" s="293"/>
      <c r="Y400" s="9"/>
    </row>
    <row r="401" spans="5:25" s="8" customFormat="1" ht="13.8" x14ac:dyDescent="0.25">
      <c r="E401" s="293"/>
      <c r="F401" s="293"/>
      <c r="G401" s="293"/>
      <c r="H401" s="293"/>
      <c r="I401" s="293"/>
      <c r="J401" s="293"/>
      <c r="K401" s="293"/>
      <c r="L401" s="293"/>
      <c r="M401" s="293"/>
      <c r="N401" s="293"/>
      <c r="O401" s="293"/>
      <c r="P401" s="293"/>
      <c r="Y401" s="9"/>
    </row>
    <row r="402" spans="5:25" s="8" customFormat="1" ht="13.8" x14ac:dyDescent="0.25">
      <c r="E402" s="293"/>
      <c r="F402" s="293"/>
      <c r="G402" s="293"/>
      <c r="H402" s="293"/>
      <c r="I402" s="293"/>
      <c r="J402" s="293"/>
      <c r="K402" s="293"/>
      <c r="L402" s="293"/>
      <c r="M402" s="293"/>
      <c r="N402" s="293"/>
      <c r="O402" s="293"/>
      <c r="P402" s="293"/>
      <c r="Y402" s="9"/>
    </row>
    <row r="403" spans="5:25" s="8" customFormat="1" ht="13.8" x14ac:dyDescent="0.25">
      <c r="E403" s="293"/>
      <c r="F403" s="293"/>
      <c r="G403" s="293"/>
      <c r="H403" s="293"/>
      <c r="I403" s="293"/>
      <c r="J403" s="293"/>
      <c r="K403" s="293"/>
      <c r="L403" s="293"/>
      <c r="M403" s="293"/>
      <c r="N403" s="293"/>
      <c r="O403" s="293"/>
      <c r="P403" s="293"/>
      <c r="Y403" s="9"/>
    </row>
    <row r="404" spans="5:25" s="8" customFormat="1" ht="13.8" x14ac:dyDescent="0.25">
      <c r="E404" s="293"/>
      <c r="F404" s="293"/>
      <c r="G404" s="293"/>
      <c r="H404" s="293"/>
      <c r="I404" s="293"/>
      <c r="J404" s="293"/>
      <c r="K404" s="293"/>
      <c r="L404" s="293"/>
      <c r="M404" s="293"/>
      <c r="N404" s="293"/>
      <c r="O404" s="293"/>
      <c r="P404" s="293"/>
      <c r="Y404" s="9"/>
    </row>
    <row r="405" spans="5:25" s="8" customFormat="1" ht="13.8" x14ac:dyDescent="0.25">
      <c r="E405" s="293"/>
      <c r="F405" s="293"/>
      <c r="G405" s="293"/>
      <c r="H405" s="293"/>
      <c r="I405" s="293"/>
      <c r="J405" s="293"/>
      <c r="K405" s="293"/>
      <c r="L405" s="293"/>
      <c r="M405" s="293"/>
      <c r="N405" s="293"/>
      <c r="O405" s="293"/>
      <c r="P405" s="293"/>
      <c r="Y405" s="9"/>
    </row>
    <row r="406" spans="5:25" s="8" customFormat="1" ht="13.8" x14ac:dyDescent="0.25">
      <c r="E406" s="293"/>
      <c r="F406" s="293"/>
      <c r="G406" s="293"/>
      <c r="H406" s="293"/>
      <c r="I406" s="293"/>
      <c r="J406" s="293"/>
      <c r="K406" s="293"/>
      <c r="L406" s="293"/>
      <c r="M406" s="293"/>
      <c r="N406" s="293"/>
      <c r="O406" s="293"/>
      <c r="P406" s="293"/>
      <c r="Y406" s="9"/>
    </row>
    <row r="407" spans="5:25" s="8" customFormat="1" ht="13.8" x14ac:dyDescent="0.25">
      <c r="E407" s="293"/>
      <c r="F407" s="293"/>
      <c r="G407" s="293"/>
      <c r="H407" s="293"/>
      <c r="I407" s="293"/>
      <c r="J407" s="293"/>
      <c r="K407" s="293"/>
      <c r="L407" s="293"/>
      <c r="M407" s="293"/>
      <c r="N407" s="293"/>
      <c r="O407" s="293"/>
      <c r="P407" s="293"/>
      <c r="Y407" s="9"/>
    </row>
    <row r="408" spans="5:25" s="8" customFormat="1" ht="13.8" x14ac:dyDescent="0.25">
      <c r="E408" s="293"/>
      <c r="F408" s="293"/>
      <c r="G408" s="293"/>
      <c r="H408" s="293"/>
      <c r="I408" s="293"/>
      <c r="J408" s="293"/>
      <c r="K408" s="293"/>
      <c r="L408" s="293"/>
      <c r="M408" s="293"/>
      <c r="N408" s="293"/>
      <c r="O408" s="293"/>
      <c r="P408" s="293"/>
      <c r="Y408" s="9"/>
    </row>
    <row r="409" spans="5:25" s="8" customFormat="1" ht="13.8" x14ac:dyDescent="0.25">
      <c r="E409" s="293"/>
      <c r="F409" s="293"/>
      <c r="G409" s="293"/>
      <c r="H409" s="293"/>
      <c r="I409" s="293"/>
      <c r="J409" s="293"/>
      <c r="K409" s="293"/>
      <c r="L409" s="293"/>
      <c r="M409" s="293"/>
      <c r="N409" s="293"/>
      <c r="O409" s="293"/>
      <c r="P409" s="293"/>
      <c r="Y409" s="9"/>
    </row>
    <row r="410" spans="5:25" s="8" customFormat="1" ht="13.8" x14ac:dyDescent="0.25">
      <c r="E410" s="293"/>
      <c r="F410" s="293"/>
      <c r="G410" s="293"/>
      <c r="H410" s="293"/>
      <c r="I410" s="293"/>
      <c r="J410" s="293"/>
      <c r="K410" s="293"/>
      <c r="L410" s="293"/>
      <c r="M410" s="293"/>
      <c r="N410" s="293"/>
      <c r="O410" s="293"/>
      <c r="P410" s="293"/>
      <c r="Y410" s="9"/>
    </row>
    <row r="411" spans="5:25" s="8" customFormat="1" ht="13.8" x14ac:dyDescent="0.25">
      <c r="E411" s="293"/>
      <c r="F411" s="293"/>
      <c r="G411" s="293"/>
      <c r="H411" s="293"/>
      <c r="I411" s="293"/>
      <c r="J411" s="293"/>
      <c r="K411" s="293"/>
      <c r="L411" s="293"/>
      <c r="M411" s="293"/>
      <c r="N411" s="293"/>
      <c r="O411" s="293"/>
      <c r="P411" s="293"/>
      <c r="Y411" s="9"/>
    </row>
    <row r="412" spans="5:25" s="8" customFormat="1" ht="13.8" x14ac:dyDescent="0.25">
      <c r="E412" s="293"/>
      <c r="F412" s="293"/>
      <c r="G412" s="293"/>
      <c r="H412" s="293"/>
      <c r="I412" s="293"/>
      <c r="J412" s="293"/>
      <c r="K412" s="293"/>
      <c r="L412" s="293"/>
      <c r="M412" s="293"/>
      <c r="N412" s="293"/>
      <c r="O412" s="293"/>
      <c r="P412" s="293"/>
      <c r="Y412" s="9"/>
    </row>
    <row r="413" spans="5:25" s="8" customFormat="1" ht="13.8" x14ac:dyDescent="0.25">
      <c r="E413" s="293"/>
      <c r="F413" s="293"/>
      <c r="G413" s="293"/>
      <c r="H413" s="293"/>
      <c r="I413" s="293"/>
      <c r="J413" s="293"/>
      <c r="K413" s="293"/>
      <c r="L413" s="293"/>
      <c r="M413" s="293"/>
      <c r="N413" s="293"/>
      <c r="O413" s="293"/>
      <c r="P413" s="293"/>
      <c r="Y413" s="9"/>
    </row>
    <row r="414" spans="5:25" s="8" customFormat="1" ht="13.8" x14ac:dyDescent="0.25">
      <c r="E414" s="293"/>
      <c r="F414" s="293"/>
      <c r="G414" s="293"/>
      <c r="H414" s="293"/>
      <c r="I414" s="293"/>
      <c r="J414" s="293"/>
      <c r="K414" s="293"/>
      <c r="L414" s="293"/>
      <c r="M414" s="293"/>
      <c r="N414" s="293"/>
      <c r="O414" s="293"/>
      <c r="P414" s="293"/>
      <c r="Y414" s="9"/>
    </row>
    <row r="415" spans="5:25" s="8" customFormat="1" ht="13.8" x14ac:dyDescent="0.25">
      <c r="E415" s="293"/>
      <c r="F415" s="293"/>
      <c r="G415" s="293"/>
      <c r="H415" s="293"/>
      <c r="I415" s="293"/>
      <c r="J415" s="293"/>
      <c r="K415" s="293"/>
      <c r="L415" s="293"/>
      <c r="M415" s="293"/>
      <c r="N415" s="293"/>
      <c r="O415" s="293"/>
      <c r="P415" s="293"/>
      <c r="Y415" s="9"/>
    </row>
    <row r="416" spans="5:25" s="8" customFormat="1" ht="13.8" x14ac:dyDescent="0.25">
      <c r="E416" s="293"/>
      <c r="F416" s="293"/>
      <c r="G416" s="293"/>
      <c r="H416" s="293"/>
      <c r="I416" s="293"/>
      <c r="J416" s="293"/>
      <c r="K416" s="293"/>
      <c r="L416" s="293"/>
      <c r="M416" s="293"/>
      <c r="N416" s="293"/>
      <c r="O416" s="293"/>
      <c r="P416" s="293"/>
      <c r="Y416" s="9"/>
    </row>
    <row r="417" spans="5:25" s="8" customFormat="1" ht="13.8" x14ac:dyDescent="0.25">
      <c r="E417" s="293"/>
      <c r="F417" s="293"/>
      <c r="G417" s="293"/>
      <c r="H417" s="293"/>
      <c r="I417" s="293"/>
      <c r="J417" s="293"/>
      <c r="K417" s="293"/>
      <c r="L417" s="293"/>
      <c r="M417" s="293"/>
      <c r="N417" s="293"/>
      <c r="O417" s="293"/>
      <c r="P417" s="293"/>
      <c r="Y417" s="9"/>
    </row>
    <row r="418" spans="5:25" s="8" customFormat="1" ht="13.8" x14ac:dyDescent="0.25">
      <c r="E418" s="293"/>
      <c r="F418" s="293"/>
      <c r="G418" s="293"/>
      <c r="H418" s="293"/>
      <c r="I418" s="293"/>
      <c r="J418" s="293"/>
      <c r="K418" s="293"/>
      <c r="L418" s="293"/>
      <c r="M418" s="293"/>
      <c r="N418" s="293"/>
      <c r="O418" s="293"/>
      <c r="P418" s="293"/>
      <c r="Y418" s="9"/>
    </row>
    <row r="419" spans="5:25" s="8" customFormat="1" ht="13.8" x14ac:dyDescent="0.25">
      <c r="E419" s="293"/>
      <c r="F419" s="293"/>
      <c r="G419" s="293"/>
      <c r="H419" s="293"/>
      <c r="I419" s="293"/>
      <c r="J419" s="293"/>
      <c r="K419" s="293"/>
      <c r="L419" s="293"/>
      <c r="M419" s="293"/>
      <c r="N419" s="293"/>
      <c r="O419" s="293"/>
      <c r="P419" s="293"/>
      <c r="Y419" s="9"/>
    </row>
    <row r="420" spans="5:25" s="8" customFormat="1" ht="13.8" x14ac:dyDescent="0.25">
      <c r="E420" s="293"/>
      <c r="F420" s="293"/>
      <c r="G420" s="293"/>
      <c r="H420" s="293"/>
      <c r="I420" s="293"/>
      <c r="J420" s="293"/>
      <c r="K420" s="293"/>
      <c r="L420" s="293"/>
      <c r="M420" s="293"/>
      <c r="N420" s="293"/>
      <c r="O420" s="293"/>
      <c r="P420" s="293"/>
      <c r="Y420" s="9"/>
    </row>
    <row r="421" spans="5:25" s="8" customFormat="1" ht="13.8" x14ac:dyDescent="0.25">
      <c r="E421" s="293"/>
      <c r="F421" s="293"/>
      <c r="G421" s="293"/>
      <c r="H421" s="293"/>
      <c r="I421" s="293"/>
      <c r="J421" s="293"/>
      <c r="K421" s="293"/>
      <c r="L421" s="293"/>
      <c r="M421" s="293"/>
      <c r="N421" s="293"/>
      <c r="O421" s="293"/>
      <c r="P421" s="293"/>
      <c r="Y421" s="9"/>
    </row>
    <row r="422" spans="5:25" s="8" customFormat="1" ht="13.8" x14ac:dyDescent="0.25">
      <c r="E422" s="293"/>
      <c r="F422" s="293"/>
      <c r="G422" s="293"/>
      <c r="H422" s="293"/>
      <c r="I422" s="293"/>
      <c r="J422" s="293"/>
      <c r="K422" s="293"/>
      <c r="L422" s="293"/>
      <c r="M422" s="293"/>
      <c r="N422" s="293"/>
      <c r="O422" s="293"/>
      <c r="P422" s="293"/>
      <c r="Y422" s="9"/>
    </row>
    <row r="423" spans="5:25" s="8" customFormat="1" ht="13.8" x14ac:dyDescent="0.25">
      <c r="E423" s="293"/>
      <c r="F423" s="293"/>
      <c r="G423" s="293"/>
      <c r="H423" s="293"/>
      <c r="I423" s="293"/>
      <c r="J423" s="293"/>
      <c r="K423" s="293"/>
      <c r="L423" s="293"/>
      <c r="M423" s="293"/>
      <c r="N423" s="293"/>
      <c r="O423" s="293"/>
      <c r="P423" s="293"/>
      <c r="Y423" s="9"/>
    </row>
    <row r="424" spans="5:25" s="8" customFormat="1" ht="13.8" x14ac:dyDescent="0.25">
      <c r="E424" s="293"/>
      <c r="F424" s="293"/>
      <c r="G424" s="293"/>
      <c r="H424" s="293"/>
      <c r="I424" s="293"/>
      <c r="J424" s="293"/>
      <c r="K424" s="293"/>
      <c r="L424" s="293"/>
      <c r="M424" s="293"/>
      <c r="N424" s="293"/>
      <c r="O424" s="293"/>
      <c r="P424" s="293"/>
      <c r="Y424" s="9"/>
    </row>
    <row r="425" spans="5:25" s="8" customFormat="1" ht="13.8" x14ac:dyDescent="0.25">
      <c r="E425" s="293"/>
      <c r="F425" s="293"/>
      <c r="G425" s="293"/>
      <c r="H425" s="293"/>
      <c r="I425" s="293"/>
      <c r="J425" s="293"/>
      <c r="K425" s="293"/>
      <c r="L425" s="293"/>
      <c r="M425" s="293"/>
      <c r="N425" s="293"/>
      <c r="O425" s="293"/>
      <c r="P425" s="293"/>
      <c r="Y425" s="9"/>
    </row>
    <row r="426" spans="5:25" s="8" customFormat="1" ht="13.8" x14ac:dyDescent="0.25">
      <c r="E426" s="293"/>
      <c r="F426" s="293"/>
      <c r="G426" s="293"/>
      <c r="H426" s="293"/>
      <c r="I426" s="293"/>
      <c r="J426" s="293"/>
      <c r="K426" s="293"/>
      <c r="L426" s="293"/>
      <c r="M426" s="293"/>
      <c r="N426" s="293"/>
      <c r="O426" s="293"/>
      <c r="P426" s="293"/>
      <c r="Y426" s="9"/>
    </row>
    <row r="427" spans="5:25" s="8" customFormat="1" ht="13.8" x14ac:dyDescent="0.25">
      <c r="E427" s="293"/>
      <c r="F427" s="293"/>
      <c r="G427" s="293"/>
      <c r="H427" s="293"/>
      <c r="I427" s="293"/>
      <c r="J427" s="293"/>
      <c r="K427" s="293"/>
      <c r="L427" s="293"/>
      <c r="M427" s="293"/>
      <c r="N427" s="293"/>
      <c r="O427" s="293"/>
      <c r="P427" s="293"/>
      <c r="Y427" s="9"/>
    </row>
    <row r="428" spans="5:25" s="8" customFormat="1" ht="13.8" x14ac:dyDescent="0.25">
      <c r="E428" s="293"/>
      <c r="F428" s="293"/>
      <c r="G428" s="293"/>
      <c r="H428" s="293"/>
      <c r="I428" s="293"/>
      <c r="J428" s="293"/>
      <c r="K428" s="293"/>
      <c r="L428" s="293"/>
      <c r="M428" s="293"/>
      <c r="N428" s="293"/>
      <c r="O428" s="293"/>
      <c r="P428" s="293"/>
      <c r="Y428" s="9"/>
    </row>
    <row r="429" spans="5:25" s="8" customFormat="1" ht="13.8" x14ac:dyDescent="0.25">
      <c r="E429" s="293"/>
      <c r="F429" s="293"/>
      <c r="G429" s="293"/>
      <c r="H429" s="293"/>
      <c r="I429" s="293"/>
      <c r="J429" s="293"/>
      <c r="K429" s="293"/>
      <c r="L429" s="293"/>
      <c r="M429" s="293"/>
      <c r="N429" s="293"/>
      <c r="O429" s="293"/>
      <c r="P429" s="293"/>
      <c r="Y429" s="9"/>
    </row>
    <row r="430" spans="5:25" s="8" customFormat="1" ht="13.8" x14ac:dyDescent="0.25">
      <c r="E430" s="293"/>
      <c r="F430" s="293"/>
      <c r="G430" s="293"/>
      <c r="H430" s="293"/>
      <c r="I430" s="293"/>
      <c r="J430" s="293"/>
      <c r="K430" s="293"/>
      <c r="L430" s="293"/>
      <c r="M430" s="293"/>
      <c r="N430" s="293"/>
      <c r="O430" s="293"/>
      <c r="P430" s="293"/>
      <c r="Y430" s="9"/>
    </row>
    <row r="431" spans="5:25" s="8" customFormat="1" ht="13.8" x14ac:dyDescent="0.25">
      <c r="E431" s="293"/>
      <c r="F431" s="293"/>
      <c r="G431" s="293"/>
      <c r="H431" s="293"/>
      <c r="I431" s="293"/>
      <c r="J431" s="293"/>
      <c r="K431" s="293"/>
      <c r="L431" s="293"/>
      <c r="M431" s="293"/>
      <c r="N431" s="293"/>
      <c r="O431" s="293"/>
      <c r="P431" s="293"/>
      <c r="Y431" s="9"/>
    </row>
    <row r="432" spans="5:25" s="8" customFormat="1" ht="13.8" x14ac:dyDescent="0.25">
      <c r="E432" s="293"/>
      <c r="F432" s="293"/>
      <c r="G432" s="293"/>
      <c r="H432" s="293"/>
      <c r="I432" s="293"/>
      <c r="J432" s="293"/>
      <c r="K432" s="293"/>
      <c r="L432" s="293"/>
      <c r="M432" s="293"/>
      <c r="N432" s="293"/>
      <c r="O432" s="293"/>
      <c r="P432" s="293"/>
      <c r="Y432" s="9"/>
    </row>
    <row r="433" spans="5:25" s="8" customFormat="1" ht="13.8" x14ac:dyDescent="0.25">
      <c r="E433" s="293"/>
      <c r="F433" s="293"/>
      <c r="G433" s="293"/>
      <c r="H433" s="293"/>
      <c r="I433" s="293"/>
      <c r="J433" s="293"/>
      <c r="K433" s="293"/>
      <c r="L433" s="293"/>
      <c r="M433" s="293"/>
      <c r="N433" s="293"/>
      <c r="O433" s="293"/>
      <c r="P433" s="293"/>
      <c r="Y433" s="9"/>
    </row>
    <row r="434" spans="5:25" s="8" customFormat="1" ht="13.8" x14ac:dyDescent="0.25">
      <c r="E434" s="293"/>
      <c r="F434" s="293"/>
      <c r="G434" s="293"/>
      <c r="H434" s="293"/>
      <c r="I434" s="293"/>
      <c r="J434" s="293"/>
      <c r="K434" s="293"/>
      <c r="L434" s="293"/>
      <c r="M434" s="293"/>
      <c r="N434" s="293"/>
      <c r="O434" s="293"/>
      <c r="P434" s="293"/>
      <c r="Y434" s="9"/>
    </row>
    <row r="435" spans="5:25" s="8" customFormat="1" ht="13.8" x14ac:dyDescent="0.25">
      <c r="E435" s="293"/>
      <c r="F435" s="293"/>
      <c r="G435" s="293"/>
      <c r="H435" s="293"/>
      <c r="I435" s="293"/>
      <c r="J435" s="293"/>
      <c r="K435" s="293"/>
      <c r="L435" s="293"/>
      <c r="M435" s="293"/>
      <c r="N435" s="293"/>
      <c r="O435" s="293"/>
      <c r="P435" s="293"/>
      <c r="Y435" s="9"/>
    </row>
    <row r="436" spans="5:25" s="8" customFormat="1" ht="13.8" x14ac:dyDescent="0.25">
      <c r="E436" s="293"/>
      <c r="F436" s="293"/>
      <c r="G436" s="293"/>
      <c r="H436" s="293"/>
      <c r="I436" s="293"/>
      <c r="J436" s="293"/>
      <c r="K436" s="293"/>
      <c r="L436" s="293"/>
      <c r="M436" s="293"/>
      <c r="N436" s="293"/>
      <c r="O436" s="293"/>
      <c r="P436" s="293"/>
      <c r="Y436" s="9"/>
    </row>
    <row r="437" spans="5:25" s="8" customFormat="1" ht="13.8" x14ac:dyDescent="0.25">
      <c r="E437" s="293"/>
      <c r="F437" s="293"/>
      <c r="G437" s="293"/>
      <c r="H437" s="293"/>
      <c r="I437" s="293"/>
      <c r="J437" s="293"/>
      <c r="K437" s="293"/>
      <c r="L437" s="293"/>
      <c r="M437" s="293"/>
      <c r="N437" s="293"/>
      <c r="O437" s="293"/>
      <c r="P437" s="293"/>
      <c r="Y437" s="9"/>
    </row>
    <row r="438" spans="5:25" s="8" customFormat="1" ht="13.8" x14ac:dyDescent="0.25">
      <c r="E438" s="293"/>
      <c r="F438" s="293"/>
      <c r="G438" s="293"/>
      <c r="H438" s="293"/>
      <c r="I438" s="293"/>
      <c r="J438" s="293"/>
      <c r="K438" s="293"/>
      <c r="L438" s="293"/>
      <c r="M438" s="293"/>
      <c r="N438" s="293"/>
      <c r="O438" s="293"/>
      <c r="P438" s="293"/>
      <c r="Y438" s="9"/>
    </row>
    <row r="439" spans="5:25" s="8" customFormat="1" ht="13.8" x14ac:dyDescent="0.25">
      <c r="E439" s="293"/>
      <c r="F439" s="293"/>
      <c r="G439" s="293"/>
      <c r="H439" s="293"/>
      <c r="I439" s="293"/>
      <c r="J439" s="293"/>
      <c r="K439" s="293"/>
      <c r="L439" s="293"/>
      <c r="M439" s="293"/>
      <c r="N439" s="293"/>
      <c r="O439" s="293"/>
      <c r="P439" s="293"/>
      <c r="Y439" s="9"/>
    </row>
    <row r="440" spans="5:25" s="8" customFormat="1" ht="13.8" x14ac:dyDescent="0.25">
      <c r="E440" s="293"/>
      <c r="F440" s="293"/>
      <c r="G440" s="293"/>
      <c r="H440" s="293"/>
      <c r="I440" s="293"/>
      <c r="J440" s="293"/>
      <c r="K440" s="293"/>
      <c r="L440" s="293"/>
      <c r="M440" s="293"/>
      <c r="N440" s="293"/>
      <c r="O440" s="293"/>
      <c r="P440" s="293"/>
      <c r="Y440" s="9"/>
    </row>
    <row r="441" spans="5:25" s="8" customFormat="1" ht="13.8" x14ac:dyDescent="0.25">
      <c r="E441" s="293"/>
      <c r="F441" s="293"/>
      <c r="G441" s="293"/>
      <c r="H441" s="293"/>
      <c r="I441" s="293"/>
      <c r="J441" s="293"/>
      <c r="K441" s="293"/>
      <c r="L441" s="293"/>
      <c r="M441" s="293"/>
      <c r="N441" s="293"/>
      <c r="O441" s="293"/>
      <c r="P441" s="293"/>
      <c r="Y441" s="9"/>
    </row>
    <row r="442" spans="5:25" s="8" customFormat="1" ht="13.8" x14ac:dyDescent="0.25">
      <c r="E442" s="293"/>
      <c r="F442" s="293"/>
      <c r="G442" s="293"/>
      <c r="H442" s="293"/>
      <c r="I442" s="293"/>
      <c r="J442" s="293"/>
      <c r="K442" s="293"/>
      <c r="L442" s="293"/>
      <c r="M442" s="293"/>
      <c r="N442" s="293"/>
      <c r="O442" s="293"/>
      <c r="P442" s="293"/>
      <c r="Y442" s="9"/>
    </row>
    <row r="443" spans="5:25" s="8" customFormat="1" ht="13.8" x14ac:dyDescent="0.25">
      <c r="E443" s="293"/>
      <c r="F443" s="293"/>
      <c r="G443" s="293"/>
      <c r="H443" s="293"/>
      <c r="I443" s="293"/>
      <c r="J443" s="293"/>
      <c r="K443" s="293"/>
      <c r="L443" s="293"/>
      <c r="M443" s="293"/>
      <c r="N443" s="293"/>
      <c r="O443" s="293"/>
      <c r="P443" s="293"/>
      <c r="Y443" s="9"/>
    </row>
    <row r="444" spans="5:25" s="8" customFormat="1" ht="13.8" x14ac:dyDescent="0.25">
      <c r="E444" s="293"/>
      <c r="F444" s="293"/>
      <c r="G444" s="293"/>
      <c r="H444" s="293"/>
      <c r="I444" s="293"/>
      <c r="J444" s="293"/>
      <c r="K444" s="293"/>
      <c r="L444" s="293"/>
      <c r="M444" s="293"/>
      <c r="N444" s="293"/>
      <c r="O444" s="293"/>
      <c r="P444" s="293"/>
      <c r="Y444" s="9"/>
    </row>
    <row r="445" spans="5:25" s="8" customFormat="1" ht="13.8" x14ac:dyDescent="0.25">
      <c r="E445" s="293"/>
      <c r="F445" s="293"/>
      <c r="G445" s="293"/>
      <c r="H445" s="293"/>
      <c r="I445" s="293"/>
      <c r="J445" s="293"/>
      <c r="K445" s="293"/>
      <c r="L445" s="293"/>
      <c r="M445" s="293"/>
      <c r="N445" s="293"/>
      <c r="O445" s="293"/>
      <c r="P445" s="293"/>
      <c r="Y445" s="9"/>
    </row>
    <row r="446" spans="5:25" s="8" customFormat="1" ht="13.8" x14ac:dyDescent="0.25">
      <c r="E446" s="293"/>
      <c r="F446" s="293"/>
      <c r="G446" s="293"/>
      <c r="H446" s="293"/>
      <c r="I446" s="293"/>
      <c r="J446" s="293"/>
      <c r="K446" s="293"/>
      <c r="L446" s="293"/>
      <c r="M446" s="293"/>
      <c r="N446" s="293"/>
      <c r="O446" s="293"/>
      <c r="P446" s="293"/>
      <c r="Y446" s="9"/>
    </row>
    <row r="447" spans="5:25" s="8" customFormat="1" ht="13.8" x14ac:dyDescent="0.25">
      <c r="E447" s="293"/>
      <c r="F447" s="293"/>
      <c r="G447" s="293"/>
      <c r="H447" s="293"/>
      <c r="I447" s="293"/>
      <c r="J447" s="293"/>
      <c r="K447" s="293"/>
      <c r="L447" s="293"/>
      <c r="M447" s="293"/>
      <c r="N447" s="293"/>
      <c r="O447" s="293"/>
      <c r="P447" s="293"/>
      <c r="Y447" s="9"/>
    </row>
    <row r="448" spans="5:25" s="8" customFormat="1" ht="13.8" x14ac:dyDescent="0.25">
      <c r="E448" s="293"/>
      <c r="F448" s="293"/>
      <c r="G448" s="293"/>
      <c r="H448" s="293"/>
      <c r="I448" s="293"/>
      <c r="J448" s="293"/>
      <c r="K448" s="293"/>
      <c r="L448" s="293"/>
      <c r="M448" s="293"/>
      <c r="N448" s="293"/>
      <c r="O448" s="293"/>
      <c r="P448" s="293"/>
      <c r="Y448" s="9"/>
    </row>
    <row r="449" spans="5:25" s="8" customFormat="1" ht="13.8" x14ac:dyDescent="0.25">
      <c r="E449" s="293"/>
      <c r="F449" s="293"/>
      <c r="G449" s="293"/>
      <c r="H449" s="293"/>
      <c r="I449" s="293"/>
      <c r="J449" s="293"/>
      <c r="K449" s="293"/>
      <c r="L449" s="293"/>
      <c r="M449" s="293"/>
      <c r="N449" s="293"/>
      <c r="O449" s="293"/>
      <c r="P449" s="293"/>
      <c r="Y449" s="9"/>
    </row>
    <row r="450" spans="5:25" s="8" customFormat="1" ht="13.8" x14ac:dyDescent="0.25">
      <c r="E450" s="293"/>
      <c r="F450" s="293"/>
      <c r="G450" s="293"/>
      <c r="H450" s="293"/>
      <c r="I450" s="293"/>
      <c r="J450" s="293"/>
      <c r="K450" s="293"/>
      <c r="L450" s="293"/>
      <c r="M450" s="293"/>
      <c r="N450" s="293"/>
      <c r="O450" s="293"/>
      <c r="P450" s="293"/>
      <c r="Y450" s="9"/>
    </row>
    <row r="451" spans="5:25" s="8" customFormat="1" ht="13.8" x14ac:dyDescent="0.25">
      <c r="E451" s="293"/>
      <c r="F451" s="293"/>
      <c r="G451" s="293"/>
      <c r="H451" s="293"/>
      <c r="I451" s="293"/>
      <c r="J451" s="293"/>
      <c r="K451" s="293"/>
      <c r="L451" s="293"/>
      <c r="M451" s="293"/>
      <c r="N451" s="293"/>
      <c r="O451" s="293"/>
      <c r="P451" s="293"/>
      <c r="Y451" s="9"/>
    </row>
    <row r="452" spans="5:25" s="8" customFormat="1" ht="13.8" x14ac:dyDescent="0.25">
      <c r="E452" s="293"/>
      <c r="F452" s="293"/>
      <c r="G452" s="293"/>
      <c r="H452" s="293"/>
      <c r="I452" s="293"/>
      <c r="J452" s="293"/>
      <c r="K452" s="293"/>
      <c r="L452" s="293"/>
      <c r="M452" s="293"/>
      <c r="N452" s="293"/>
      <c r="O452" s="293"/>
      <c r="P452" s="293"/>
      <c r="Y452" s="9"/>
    </row>
    <row r="453" spans="5:25" s="8" customFormat="1" ht="13.8" x14ac:dyDescent="0.25">
      <c r="E453" s="293"/>
      <c r="F453" s="293"/>
      <c r="G453" s="293"/>
      <c r="H453" s="293"/>
      <c r="I453" s="293"/>
      <c r="J453" s="293"/>
      <c r="K453" s="293"/>
      <c r="L453" s="293"/>
      <c r="M453" s="293"/>
      <c r="N453" s="293"/>
      <c r="O453" s="293"/>
      <c r="P453" s="293"/>
      <c r="Y453" s="9"/>
    </row>
    <row r="454" spans="5:25" s="8" customFormat="1" ht="13.8" x14ac:dyDescent="0.25">
      <c r="E454" s="293"/>
      <c r="F454" s="293"/>
      <c r="G454" s="293"/>
      <c r="H454" s="293"/>
      <c r="I454" s="293"/>
      <c r="J454" s="293"/>
      <c r="K454" s="293"/>
      <c r="L454" s="293"/>
      <c r="M454" s="293"/>
      <c r="N454" s="293"/>
      <c r="O454" s="293"/>
      <c r="P454" s="293"/>
      <c r="Y454" s="9"/>
    </row>
    <row r="455" spans="5:25" s="8" customFormat="1" ht="13.8" x14ac:dyDescent="0.25">
      <c r="E455" s="293"/>
      <c r="F455" s="293"/>
      <c r="G455" s="293"/>
      <c r="H455" s="293"/>
      <c r="I455" s="293"/>
      <c r="J455" s="293"/>
      <c r="K455" s="293"/>
      <c r="L455" s="293"/>
      <c r="M455" s="293"/>
      <c r="N455" s="293"/>
      <c r="O455" s="293"/>
      <c r="P455" s="293"/>
      <c r="Y455" s="9"/>
    </row>
    <row r="456" spans="5:25" s="8" customFormat="1" ht="13.8" x14ac:dyDescent="0.25">
      <c r="E456" s="293"/>
      <c r="F456" s="293"/>
      <c r="G456" s="293"/>
      <c r="H456" s="293"/>
      <c r="I456" s="293"/>
      <c r="J456" s="293"/>
      <c r="K456" s="293"/>
      <c r="L456" s="293"/>
      <c r="M456" s="293"/>
      <c r="N456" s="293"/>
      <c r="O456" s="293"/>
      <c r="P456" s="293"/>
      <c r="Y456" s="9"/>
    </row>
    <row r="457" spans="5:25" s="8" customFormat="1" ht="13.8" x14ac:dyDescent="0.25">
      <c r="E457" s="293"/>
      <c r="F457" s="293"/>
      <c r="G457" s="293"/>
      <c r="H457" s="293"/>
      <c r="I457" s="293"/>
      <c r="J457" s="293"/>
      <c r="K457" s="293"/>
      <c r="L457" s="293"/>
      <c r="M457" s="293"/>
      <c r="N457" s="293"/>
      <c r="O457" s="293"/>
      <c r="P457" s="293"/>
      <c r="Y457" s="9"/>
    </row>
    <row r="458" spans="5:25" s="8" customFormat="1" ht="13.8" x14ac:dyDescent="0.25">
      <c r="E458" s="293"/>
      <c r="F458" s="293"/>
      <c r="G458" s="293"/>
      <c r="H458" s="293"/>
      <c r="I458" s="293"/>
      <c r="J458" s="293"/>
      <c r="K458" s="293"/>
      <c r="L458" s="293"/>
      <c r="M458" s="293"/>
      <c r="N458" s="293"/>
      <c r="O458" s="293"/>
      <c r="P458" s="293"/>
      <c r="Y458" s="9"/>
    </row>
    <row r="459" spans="5:25" s="8" customFormat="1" ht="13.8" x14ac:dyDescent="0.25">
      <c r="E459" s="293"/>
      <c r="F459" s="293"/>
      <c r="G459" s="293"/>
      <c r="H459" s="293"/>
      <c r="I459" s="293"/>
      <c r="J459" s="293"/>
      <c r="K459" s="293"/>
      <c r="L459" s="293"/>
      <c r="M459" s="293"/>
      <c r="N459" s="293"/>
      <c r="O459" s="293"/>
      <c r="P459" s="293"/>
      <c r="Y459" s="9"/>
    </row>
    <row r="460" spans="5:25" s="8" customFormat="1" ht="13.8" x14ac:dyDescent="0.25">
      <c r="E460" s="293"/>
      <c r="F460" s="293"/>
      <c r="G460" s="293"/>
      <c r="H460" s="293"/>
      <c r="I460" s="293"/>
      <c r="J460" s="293"/>
      <c r="K460" s="293"/>
      <c r="L460" s="293"/>
      <c r="M460" s="293"/>
      <c r="N460" s="293"/>
      <c r="O460" s="293"/>
      <c r="P460" s="293"/>
      <c r="Y460" s="9"/>
    </row>
    <row r="461" spans="5:25" s="8" customFormat="1" ht="13.8" x14ac:dyDescent="0.25">
      <c r="E461" s="293"/>
      <c r="F461" s="293"/>
      <c r="G461" s="293"/>
      <c r="H461" s="293"/>
      <c r="I461" s="293"/>
      <c r="J461" s="293"/>
      <c r="K461" s="293"/>
      <c r="L461" s="293"/>
      <c r="M461" s="293"/>
      <c r="N461" s="293"/>
      <c r="O461" s="293"/>
      <c r="P461" s="293"/>
      <c r="Y461" s="9"/>
    </row>
    <row r="462" spans="5:25" s="8" customFormat="1" ht="13.8" x14ac:dyDescent="0.25">
      <c r="E462" s="293"/>
      <c r="F462" s="293"/>
      <c r="G462" s="293"/>
      <c r="H462" s="293"/>
      <c r="I462" s="293"/>
      <c r="J462" s="293"/>
      <c r="K462" s="293"/>
      <c r="L462" s="293"/>
      <c r="M462" s="293"/>
      <c r="N462" s="293"/>
      <c r="O462" s="293"/>
      <c r="P462" s="293"/>
      <c r="Y462" s="9"/>
    </row>
    <row r="463" spans="5:25" s="8" customFormat="1" ht="13.8" x14ac:dyDescent="0.25">
      <c r="E463" s="293"/>
      <c r="F463" s="293"/>
      <c r="G463" s="293"/>
      <c r="H463" s="293"/>
      <c r="I463" s="293"/>
      <c r="J463" s="293"/>
      <c r="K463" s="293"/>
      <c r="L463" s="293"/>
      <c r="M463" s="293"/>
      <c r="N463" s="293"/>
      <c r="O463" s="293"/>
      <c r="P463" s="293"/>
      <c r="Y463" s="9"/>
    </row>
    <row r="464" spans="5:25" s="8" customFormat="1" ht="13.8" x14ac:dyDescent="0.25">
      <c r="E464" s="293"/>
      <c r="F464" s="293"/>
      <c r="G464" s="293"/>
      <c r="H464" s="293"/>
      <c r="I464" s="293"/>
      <c r="J464" s="293"/>
      <c r="K464" s="293"/>
      <c r="L464" s="293"/>
      <c r="M464" s="293"/>
      <c r="N464" s="293"/>
      <c r="O464" s="293"/>
      <c r="P464" s="293"/>
      <c r="Y464" s="9"/>
    </row>
    <row r="465" spans="5:25" s="8" customFormat="1" ht="13.8" x14ac:dyDescent="0.25">
      <c r="E465" s="293"/>
      <c r="F465" s="293"/>
      <c r="G465" s="293"/>
      <c r="H465" s="293"/>
      <c r="I465" s="293"/>
      <c r="J465" s="293"/>
      <c r="K465" s="293"/>
      <c r="L465" s="293"/>
      <c r="M465" s="293"/>
      <c r="N465" s="293"/>
      <c r="O465" s="293"/>
      <c r="P465" s="293"/>
      <c r="Y465" s="9"/>
    </row>
    <row r="466" spans="5:25" s="8" customFormat="1" ht="13.8" x14ac:dyDescent="0.25">
      <c r="E466" s="293"/>
      <c r="F466" s="293"/>
      <c r="G466" s="293"/>
      <c r="H466" s="293"/>
      <c r="I466" s="293"/>
      <c r="J466" s="293"/>
      <c r="K466" s="293"/>
      <c r="L466" s="293"/>
      <c r="M466" s="293"/>
      <c r="N466" s="293"/>
      <c r="O466" s="293"/>
      <c r="P466" s="293"/>
      <c r="Y466" s="9"/>
    </row>
    <row r="467" spans="5:25" s="8" customFormat="1" ht="13.8" x14ac:dyDescent="0.25">
      <c r="E467" s="293"/>
      <c r="F467" s="293"/>
      <c r="G467" s="293"/>
      <c r="H467" s="293"/>
      <c r="I467" s="293"/>
      <c r="J467" s="293"/>
      <c r="K467" s="293"/>
      <c r="L467" s="293"/>
      <c r="M467" s="293"/>
      <c r="N467" s="293"/>
      <c r="O467" s="293"/>
      <c r="P467" s="293"/>
      <c r="Y467" s="9"/>
    </row>
    <row r="468" spans="5:25" s="8" customFormat="1" ht="13.8" x14ac:dyDescent="0.25">
      <c r="E468" s="293"/>
      <c r="F468" s="293"/>
      <c r="G468" s="293"/>
      <c r="H468" s="293"/>
      <c r="I468" s="293"/>
      <c r="J468" s="293"/>
      <c r="K468" s="293"/>
      <c r="L468" s="293"/>
      <c r="M468" s="293"/>
      <c r="N468" s="293"/>
      <c r="O468" s="293"/>
      <c r="P468" s="293"/>
      <c r="Y468" s="9"/>
    </row>
    <row r="469" spans="5:25" s="8" customFormat="1" ht="13.8" x14ac:dyDescent="0.25">
      <c r="E469" s="293"/>
      <c r="F469" s="293"/>
      <c r="G469" s="293"/>
      <c r="H469" s="293"/>
      <c r="I469" s="293"/>
      <c r="J469" s="293"/>
      <c r="K469" s="293"/>
      <c r="L469" s="293"/>
      <c r="M469" s="293"/>
      <c r="N469" s="293"/>
      <c r="O469" s="293"/>
      <c r="P469" s="293"/>
      <c r="Y469" s="9"/>
    </row>
    <row r="470" spans="5:25" s="8" customFormat="1" ht="13.8" x14ac:dyDescent="0.25">
      <c r="E470" s="293"/>
      <c r="F470" s="293"/>
      <c r="G470" s="293"/>
      <c r="H470" s="293"/>
      <c r="I470" s="293"/>
      <c r="J470" s="293"/>
      <c r="K470" s="293"/>
      <c r="L470" s="293"/>
      <c r="M470" s="293"/>
      <c r="N470" s="293"/>
      <c r="O470" s="293"/>
      <c r="P470" s="293"/>
      <c r="Y470" s="9"/>
    </row>
    <row r="471" spans="5:25" s="8" customFormat="1" ht="13.8" x14ac:dyDescent="0.25">
      <c r="E471" s="293"/>
      <c r="F471" s="293"/>
      <c r="G471" s="293"/>
      <c r="H471" s="293"/>
      <c r="I471" s="293"/>
      <c r="J471" s="293"/>
      <c r="K471" s="293"/>
      <c r="L471" s="293"/>
      <c r="M471" s="293"/>
      <c r="N471" s="293"/>
      <c r="O471" s="293"/>
      <c r="P471" s="293"/>
      <c r="Y471" s="9"/>
    </row>
    <row r="472" spans="5:25" s="8" customFormat="1" ht="13.8" x14ac:dyDescent="0.25">
      <c r="E472" s="293"/>
      <c r="F472" s="293"/>
      <c r="G472" s="293"/>
      <c r="H472" s="293"/>
      <c r="I472" s="293"/>
      <c r="J472" s="293"/>
      <c r="K472" s="293"/>
      <c r="L472" s="293"/>
      <c r="M472" s="293"/>
      <c r="N472" s="293"/>
      <c r="O472" s="293"/>
      <c r="P472" s="293"/>
      <c r="Y472" s="9"/>
    </row>
    <row r="473" spans="5:25" s="8" customFormat="1" ht="13.8" x14ac:dyDescent="0.25">
      <c r="E473" s="293"/>
      <c r="F473" s="293"/>
      <c r="G473" s="293"/>
      <c r="H473" s="293"/>
      <c r="I473" s="293"/>
      <c r="J473" s="293"/>
      <c r="K473" s="293"/>
      <c r="L473" s="293"/>
      <c r="M473" s="293"/>
      <c r="N473" s="293"/>
      <c r="O473" s="293"/>
      <c r="P473" s="293"/>
      <c r="Y473" s="9"/>
    </row>
    <row r="474" spans="5:25" s="8" customFormat="1" ht="13.8" x14ac:dyDescent="0.25">
      <c r="E474" s="293"/>
      <c r="F474" s="293"/>
      <c r="G474" s="293"/>
      <c r="H474" s="293"/>
      <c r="I474" s="293"/>
      <c r="J474" s="293"/>
      <c r="K474" s="293"/>
      <c r="L474" s="293"/>
      <c r="M474" s="293"/>
      <c r="N474" s="293"/>
      <c r="O474" s="293"/>
      <c r="P474" s="293"/>
      <c r="Y474" s="9"/>
    </row>
    <row r="475" spans="5:25" s="8" customFormat="1" ht="13.8" x14ac:dyDescent="0.25">
      <c r="E475" s="293"/>
      <c r="F475" s="293"/>
      <c r="G475" s="293"/>
      <c r="H475" s="293"/>
      <c r="I475" s="293"/>
      <c r="J475" s="293"/>
      <c r="K475" s="293"/>
      <c r="L475" s="293"/>
      <c r="M475" s="293"/>
      <c r="N475" s="293"/>
      <c r="O475" s="293"/>
      <c r="P475" s="293"/>
      <c r="Y475" s="9"/>
    </row>
    <row r="476" spans="5:25" s="8" customFormat="1" ht="13.8" x14ac:dyDescent="0.25">
      <c r="E476" s="293"/>
      <c r="F476" s="293"/>
      <c r="G476" s="293"/>
      <c r="H476" s="293"/>
      <c r="I476" s="293"/>
      <c r="J476" s="293"/>
      <c r="K476" s="293"/>
      <c r="L476" s="293"/>
      <c r="M476" s="293"/>
      <c r="N476" s="293"/>
      <c r="O476" s="293"/>
      <c r="P476" s="293"/>
      <c r="Y476" s="9"/>
    </row>
    <row r="477" spans="5:25" s="8" customFormat="1" ht="13.8" x14ac:dyDescent="0.25">
      <c r="E477" s="293"/>
      <c r="F477" s="293"/>
      <c r="G477" s="293"/>
      <c r="H477" s="293"/>
      <c r="I477" s="293"/>
      <c r="J477" s="293"/>
      <c r="K477" s="293"/>
      <c r="L477" s="293"/>
      <c r="M477" s="293"/>
      <c r="N477" s="293"/>
      <c r="O477" s="293"/>
      <c r="P477" s="293"/>
      <c r="Y477" s="9"/>
    </row>
    <row r="478" spans="5:25" s="8" customFormat="1" ht="13.8" x14ac:dyDescent="0.25">
      <c r="E478" s="293"/>
      <c r="F478" s="293"/>
      <c r="G478" s="293"/>
      <c r="H478" s="293"/>
      <c r="I478" s="293"/>
      <c r="J478" s="293"/>
      <c r="K478" s="293"/>
      <c r="L478" s="293"/>
      <c r="M478" s="293"/>
      <c r="N478" s="293"/>
      <c r="O478" s="293"/>
      <c r="P478" s="293"/>
      <c r="Y478" s="9"/>
    </row>
    <row r="479" spans="5:25" s="8" customFormat="1" ht="13.8" x14ac:dyDescent="0.25">
      <c r="E479" s="293"/>
      <c r="F479" s="293"/>
      <c r="G479" s="293"/>
      <c r="H479" s="293"/>
      <c r="I479" s="293"/>
      <c r="J479" s="293"/>
      <c r="K479" s="293"/>
      <c r="L479" s="293"/>
      <c r="M479" s="293"/>
      <c r="N479" s="293"/>
      <c r="O479" s="293"/>
      <c r="P479" s="293"/>
      <c r="Y479" s="9"/>
    </row>
    <row r="480" spans="5:25" s="8" customFormat="1" ht="13.8" x14ac:dyDescent="0.25">
      <c r="E480" s="293"/>
      <c r="F480" s="293"/>
      <c r="G480" s="293"/>
      <c r="H480" s="293"/>
      <c r="I480" s="293"/>
      <c r="J480" s="293"/>
      <c r="K480" s="293"/>
      <c r="L480" s="293"/>
      <c r="M480" s="293"/>
      <c r="N480" s="293"/>
      <c r="O480" s="293"/>
      <c r="P480" s="293"/>
      <c r="Y480" s="9"/>
    </row>
    <row r="481" spans="5:25" s="8" customFormat="1" ht="13.8" x14ac:dyDescent="0.25">
      <c r="E481" s="293"/>
      <c r="F481" s="293"/>
      <c r="G481" s="293"/>
      <c r="H481" s="293"/>
      <c r="I481" s="293"/>
      <c r="J481" s="293"/>
      <c r="K481" s="293"/>
      <c r="L481" s="293"/>
      <c r="M481" s="293"/>
      <c r="N481" s="293"/>
      <c r="O481" s="293"/>
      <c r="P481" s="293"/>
      <c r="Y481" s="9"/>
    </row>
    <row r="482" spans="5:25" s="8" customFormat="1" ht="13.8" x14ac:dyDescent="0.25">
      <c r="E482" s="293"/>
      <c r="F482" s="293"/>
      <c r="G482" s="293"/>
      <c r="H482" s="293"/>
      <c r="I482" s="293"/>
      <c r="J482" s="293"/>
      <c r="K482" s="293"/>
      <c r="L482" s="293"/>
      <c r="M482" s="293"/>
      <c r="N482" s="293"/>
      <c r="O482" s="293"/>
      <c r="P482" s="293"/>
      <c r="Y482" s="9"/>
    </row>
    <row r="483" spans="5:25" s="8" customFormat="1" ht="13.8" x14ac:dyDescent="0.25">
      <c r="E483" s="293"/>
      <c r="F483" s="293"/>
      <c r="G483" s="293"/>
      <c r="H483" s="293"/>
      <c r="I483" s="293"/>
      <c r="J483" s="293"/>
      <c r="K483" s="293"/>
      <c r="L483" s="293"/>
      <c r="M483" s="293"/>
      <c r="N483" s="293"/>
      <c r="O483" s="293"/>
      <c r="P483" s="293"/>
      <c r="Y483" s="9"/>
    </row>
    <row r="484" spans="5:25" s="8" customFormat="1" ht="13.8" x14ac:dyDescent="0.25">
      <c r="E484" s="293"/>
      <c r="F484" s="293"/>
      <c r="G484" s="293"/>
      <c r="H484" s="293"/>
      <c r="I484" s="293"/>
      <c r="J484" s="293"/>
      <c r="K484" s="293"/>
      <c r="L484" s="293"/>
      <c r="M484" s="293"/>
      <c r="N484" s="293"/>
      <c r="O484" s="293"/>
      <c r="P484" s="293"/>
      <c r="Y484" s="9"/>
    </row>
    <row r="485" spans="5:25" s="8" customFormat="1" ht="13.8" x14ac:dyDescent="0.25">
      <c r="E485" s="293"/>
      <c r="F485" s="293"/>
      <c r="G485" s="293"/>
      <c r="H485" s="293"/>
      <c r="I485" s="293"/>
      <c r="J485" s="293"/>
      <c r="K485" s="293"/>
      <c r="L485" s="293"/>
      <c r="M485" s="293"/>
      <c r="N485" s="293"/>
      <c r="O485" s="293"/>
      <c r="P485" s="293"/>
      <c r="Y485" s="9"/>
    </row>
    <row r="486" spans="5:25" s="8" customFormat="1" ht="13.8" x14ac:dyDescent="0.25">
      <c r="E486" s="293"/>
      <c r="F486" s="293"/>
      <c r="G486" s="293"/>
      <c r="H486" s="293"/>
      <c r="I486" s="293"/>
      <c r="J486" s="293"/>
      <c r="K486" s="293"/>
      <c r="L486" s="293"/>
      <c r="M486" s="293"/>
      <c r="N486" s="293"/>
      <c r="O486" s="293"/>
      <c r="P486" s="293"/>
      <c r="Y486" s="9"/>
    </row>
    <row r="487" spans="5:25" s="8" customFormat="1" ht="13.8" x14ac:dyDescent="0.25">
      <c r="E487" s="293"/>
      <c r="F487" s="293"/>
      <c r="G487" s="293"/>
      <c r="H487" s="293"/>
      <c r="I487" s="293"/>
      <c r="J487" s="293"/>
      <c r="K487" s="293"/>
      <c r="L487" s="293"/>
      <c r="M487" s="293"/>
      <c r="N487" s="293"/>
      <c r="O487" s="293"/>
      <c r="P487" s="293"/>
      <c r="Y487" s="9"/>
    </row>
    <row r="488" spans="5:25" s="8" customFormat="1" ht="13.8" x14ac:dyDescent="0.25">
      <c r="E488" s="293"/>
      <c r="F488" s="293"/>
      <c r="G488" s="293"/>
      <c r="H488" s="293"/>
      <c r="I488" s="293"/>
      <c r="J488" s="293"/>
      <c r="K488" s="293"/>
      <c r="L488" s="293"/>
      <c r="M488" s="293"/>
      <c r="N488" s="293"/>
      <c r="O488" s="293"/>
      <c r="P488" s="293"/>
      <c r="Y488" s="9"/>
    </row>
    <row r="489" spans="5:25" s="8" customFormat="1" ht="13.8" x14ac:dyDescent="0.25">
      <c r="E489" s="293"/>
      <c r="F489" s="293"/>
      <c r="G489" s="293"/>
      <c r="H489" s="293"/>
      <c r="I489" s="293"/>
      <c r="J489" s="293"/>
      <c r="K489" s="293"/>
      <c r="L489" s="293"/>
      <c r="M489" s="293"/>
      <c r="N489" s="293"/>
      <c r="O489" s="293"/>
      <c r="P489" s="293"/>
      <c r="Y489" s="9"/>
    </row>
    <row r="490" spans="5:25" s="8" customFormat="1" ht="13.8" x14ac:dyDescent="0.25">
      <c r="E490" s="293"/>
      <c r="F490" s="293"/>
      <c r="G490" s="293"/>
      <c r="H490" s="293"/>
      <c r="I490" s="293"/>
      <c r="J490" s="293"/>
      <c r="K490" s="293"/>
      <c r="L490" s="293"/>
      <c r="M490" s="293"/>
      <c r="N490" s="293"/>
      <c r="O490" s="293"/>
      <c r="P490" s="293"/>
      <c r="Y490" s="9"/>
    </row>
    <row r="491" spans="5:25" s="8" customFormat="1" ht="13.8" x14ac:dyDescent="0.25">
      <c r="E491" s="293"/>
      <c r="F491" s="293"/>
      <c r="G491" s="293"/>
      <c r="H491" s="293"/>
      <c r="I491" s="293"/>
      <c r="J491" s="293"/>
      <c r="K491" s="293"/>
      <c r="L491" s="293"/>
      <c r="M491" s="293"/>
      <c r="N491" s="293"/>
      <c r="O491" s="293"/>
      <c r="P491" s="293"/>
      <c r="Y491" s="9"/>
    </row>
    <row r="492" spans="5:25" s="8" customFormat="1" ht="13.8" x14ac:dyDescent="0.25">
      <c r="E492" s="293"/>
      <c r="F492" s="293"/>
      <c r="G492" s="293"/>
      <c r="H492" s="293"/>
      <c r="I492" s="293"/>
      <c r="J492" s="293"/>
      <c r="K492" s="293"/>
      <c r="L492" s="293"/>
      <c r="M492" s="293"/>
      <c r="N492" s="293"/>
      <c r="O492" s="293"/>
      <c r="P492" s="293"/>
      <c r="Y492" s="9"/>
    </row>
    <row r="493" spans="5:25" s="8" customFormat="1" ht="13.8" x14ac:dyDescent="0.25">
      <c r="E493" s="293"/>
      <c r="F493" s="293"/>
      <c r="G493" s="293"/>
      <c r="H493" s="293"/>
      <c r="I493" s="293"/>
      <c r="J493" s="293"/>
      <c r="K493" s="293"/>
      <c r="L493" s="293"/>
      <c r="M493" s="293"/>
      <c r="N493" s="293"/>
      <c r="O493" s="293"/>
      <c r="P493" s="293"/>
      <c r="Y493" s="9"/>
    </row>
    <row r="494" spans="5:25" s="8" customFormat="1" ht="13.8" x14ac:dyDescent="0.25">
      <c r="E494" s="293"/>
      <c r="F494" s="293"/>
      <c r="G494" s="293"/>
      <c r="H494" s="293"/>
      <c r="I494" s="293"/>
      <c r="J494" s="293"/>
      <c r="K494" s="293"/>
      <c r="L494" s="293"/>
      <c r="M494" s="293"/>
      <c r="N494" s="293"/>
      <c r="O494" s="293"/>
      <c r="P494" s="293"/>
      <c r="Y494" s="9"/>
    </row>
    <row r="495" spans="5:25" s="8" customFormat="1" ht="13.8" x14ac:dyDescent="0.25">
      <c r="E495" s="293"/>
      <c r="F495" s="293"/>
      <c r="G495" s="293"/>
      <c r="H495" s="293"/>
      <c r="I495" s="293"/>
      <c r="J495" s="293"/>
      <c r="K495" s="293"/>
      <c r="L495" s="293"/>
      <c r="M495" s="293"/>
      <c r="N495" s="293"/>
      <c r="O495" s="293"/>
      <c r="P495" s="293"/>
      <c r="Y495" s="9"/>
    </row>
    <row r="496" spans="5:25" s="8" customFormat="1" ht="13.8" x14ac:dyDescent="0.25">
      <c r="E496" s="293"/>
      <c r="F496" s="293"/>
      <c r="G496" s="293"/>
      <c r="H496" s="293"/>
      <c r="I496" s="293"/>
      <c r="J496" s="293"/>
      <c r="K496" s="293"/>
      <c r="L496" s="293"/>
      <c r="M496" s="293"/>
      <c r="N496" s="293"/>
      <c r="O496" s="293"/>
      <c r="P496" s="293"/>
      <c r="Y496" s="9"/>
    </row>
    <row r="497" spans="5:25" s="8" customFormat="1" ht="13.8" x14ac:dyDescent="0.25">
      <c r="E497" s="293"/>
      <c r="F497" s="293"/>
      <c r="G497" s="293"/>
      <c r="H497" s="293"/>
      <c r="I497" s="293"/>
      <c r="J497" s="293"/>
      <c r="K497" s="293"/>
      <c r="L497" s="293"/>
      <c r="M497" s="293"/>
      <c r="N497" s="293"/>
      <c r="O497" s="293"/>
      <c r="P497" s="293"/>
      <c r="Y497" s="9"/>
    </row>
    <row r="498" spans="5:25" s="8" customFormat="1" ht="13.8" x14ac:dyDescent="0.25">
      <c r="E498" s="293"/>
      <c r="F498" s="293"/>
      <c r="G498" s="293"/>
      <c r="H498" s="293"/>
      <c r="I498" s="293"/>
      <c r="J498" s="293"/>
      <c r="K498" s="293"/>
      <c r="L498" s="293"/>
      <c r="M498" s="293"/>
      <c r="N498" s="293"/>
      <c r="O498" s="293"/>
      <c r="P498" s="293"/>
      <c r="Y498" s="9"/>
    </row>
    <row r="499" spans="5:25" s="8" customFormat="1" ht="13.8" x14ac:dyDescent="0.25">
      <c r="E499" s="293"/>
      <c r="F499" s="293"/>
      <c r="G499" s="293"/>
      <c r="H499" s="293"/>
      <c r="I499" s="293"/>
      <c r="J499" s="293"/>
      <c r="K499" s="293"/>
      <c r="L499" s="293"/>
      <c r="M499" s="293"/>
      <c r="N499" s="293"/>
      <c r="O499" s="293"/>
      <c r="P499" s="293"/>
      <c r="Y499" s="9"/>
    </row>
    <row r="500" spans="5:25" s="8" customFormat="1" ht="13.8" x14ac:dyDescent="0.25">
      <c r="E500" s="293"/>
      <c r="F500" s="293"/>
      <c r="G500" s="293"/>
      <c r="H500" s="293"/>
      <c r="I500" s="293"/>
      <c r="J500" s="293"/>
      <c r="K500" s="293"/>
      <c r="L500" s="293"/>
      <c r="M500" s="293"/>
      <c r="N500" s="293"/>
      <c r="O500" s="293"/>
      <c r="P500" s="293"/>
      <c r="Y500" s="9"/>
    </row>
    <row r="501" spans="5:25" s="8" customFormat="1" ht="13.8" x14ac:dyDescent="0.25">
      <c r="E501" s="293"/>
      <c r="F501" s="293"/>
      <c r="G501" s="293"/>
      <c r="H501" s="293"/>
      <c r="I501" s="293"/>
      <c r="J501" s="293"/>
      <c r="K501" s="293"/>
      <c r="L501" s="293"/>
      <c r="M501" s="293"/>
      <c r="N501" s="293"/>
      <c r="O501" s="293"/>
      <c r="P501" s="293"/>
      <c r="Y501" s="9"/>
    </row>
    <row r="502" spans="5:25" s="8" customFormat="1" ht="13.8" x14ac:dyDescent="0.25">
      <c r="E502" s="293"/>
      <c r="F502" s="293"/>
      <c r="G502" s="293"/>
      <c r="H502" s="293"/>
      <c r="I502" s="293"/>
      <c r="J502" s="293"/>
      <c r="K502" s="293"/>
      <c r="L502" s="293"/>
      <c r="M502" s="293"/>
      <c r="N502" s="293"/>
      <c r="O502" s="293"/>
      <c r="P502" s="293"/>
      <c r="Y502" s="9"/>
    </row>
    <row r="503" spans="5:25" s="8" customFormat="1" ht="13.8" x14ac:dyDescent="0.25">
      <c r="E503" s="293"/>
      <c r="F503" s="293"/>
      <c r="G503" s="293"/>
      <c r="H503" s="293"/>
      <c r="I503" s="293"/>
      <c r="J503" s="293"/>
      <c r="K503" s="293"/>
      <c r="L503" s="293"/>
      <c r="M503" s="293"/>
      <c r="N503" s="293"/>
      <c r="O503" s="293"/>
      <c r="P503" s="293"/>
      <c r="Y503" s="9"/>
    </row>
    <row r="504" spans="5:25" s="8" customFormat="1" ht="13.8" x14ac:dyDescent="0.25">
      <c r="E504" s="293"/>
      <c r="F504" s="293"/>
      <c r="G504" s="293"/>
      <c r="H504" s="293"/>
      <c r="I504" s="293"/>
      <c r="J504" s="293"/>
      <c r="K504" s="293"/>
      <c r="L504" s="293"/>
      <c r="M504" s="293"/>
      <c r="N504" s="293"/>
      <c r="O504" s="293"/>
      <c r="P504" s="293"/>
      <c r="Y504" s="9"/>
    </row>
    <row r="505" spans="5:25" s="8" customFormat="1" ht="13.8" x14ac:dyDescent="0.25">
      <c r="E505" s="293"/>
      <c r="F505" s="293"/>
      <c r="G505" s="293"/>
      <c r="H505" s="293"/>
      <c r="I505" s="293"/>
      <c r="J505" s="293"/>
      <c r="K505" s="293"/>
      <c r="L505" s="293"/>
      <c r="M505" s="293"/>
      <c r="N505" s="293"/>
      <c r="O505" s="293"/>
      <c r="P505" s="293"/>
      <c r="Y505" s="9"/>
    </row>
    <row r="506" spans="5:25" s="8" customFormat="1" ht="13.8" x14ac:dyDescent="0.25">
      <c r="E506" s="293"/>
      <c r="F506" s="293"/>
      <c r="G506" s="293"/>
      <c r="H506" s="293"/>
      <c r="I506" s="293"/>
      <c r="J506" s="293"/>
      <c r="K506" s="293"/>
      <c r="L506" s="293"/>
      <c r="M506" s="293"/>
      <c r="N506" s="293"/>
      <c r="O506" s="293"/>
      <c r="P506" s="293"/>
      <c r="Y506" s="9"/>
    </row>
    <row r="507" spans="5:25" s="8" customFormat="1" ht="13.8" x14ac:dyDescent="0.25">
      <c r="E507" s="293"/>
      <c r="F507" s="293"/>
      <c r="G507" s="293"/>
      <c r="H507" s="293"/>
      <c r="I507" s="293"/>
      <c r="J507" s="293"/>
      <c r="K507" s="293"/>
      <c r="L507" s="293"/>
      <c r="M507" s="293"/>
      <c r="N507" s="293"/>
      <c r="O507" s="293"/>
      <c r="P507" s="293"/>
      <c r="Y507" s="9"/>
    </row>
    <row r="508" spans="5:25" s="8" customFormat="1" ht="13.8" x14ac:dyDescent="0.25">
      <c r="E508" s="293"/>
      <c r="F508" s="293"/>
      <c r="G508" s="293"/>
      <c r="H508" s="293"/>
      <c r="I508" s="293"/>
      <c r="J508" s="293"/>
      <c r="K508" s="293"/>
      <c r="L508" s="293"/>
      <c r="M508" s="293"/>
      <c r="N508" s="293"/>
      <c r="O508" s="293"/>
      <c r="P508" s="293"/>
      <c r="Y508" s="9"/>
    </row>
    <row r="509" spans="5:25" s="8" customFormat="1" ht="13.8" x14ac:dyDescent="0.25">
      <c r="E509" s="293"/>
      <c r="F509" s="293"/>
      <c r="G509" s="293"/>
      <c r="H509" s="293"/>
      <c r="I509" s="293"/>
      <c r="J509" s="293"/>
      <c r="K509" s="293"/>
      <c r="L509" s="293"/>
      <c r="M509" s="293"/>
      <c r="N509" s="293"/>
      <c r="O509" s="293"/>
      <c r="P509" s="293"/>
      <c r="Y509" s="9"/>
    </row>
    <row r="510" spans="5:25" s="8" customFormat="1" ht="13.8" x14ac:dyDescent="0.25">
      <c r="E510" s="293"/>
      <c r="F510" s="293"/>
      <c r="G510" s="293"/>
      <c r="H510" s="293"/>
      <c r="I510" s="293"/>
      <c r="J510" s="293"/>
      <c r="K510" s="293"/>
      <c r="L510" s="293"/>
      <c r="M510" s="293"/>
      <c r="N510" s="293"/>
      <c r="O510" s="293"/>
      <c r="P510" s="293"/>
      <c r="Y510" s="9"/>
    </row>
    <row r="511" spans="5:25" s="8" customFormat="1" ht="13.8" x14ac:dyDescent="0.25">
      <c r="E511" s="293"/>
      <c r="F511" s="293"/>
      <c r="G511" s="293"/>
      <c r="H511" s="293"/>
      <c r="I511" s="293"/>
      <c r="J511" s="293"/>
      <c r="K511" s="293"/>
      <c r="L511" s="293"/>
      <c r="M511" s="293"/>
      <c r="N511" s="293"/>
      <c r="O511" s="293"/>
      <c r="P511" s="293"/>
      <c r="Y511" s="9"/>
    </row>
    <row r="512" spans="5:25" s="8" customFormat="1" ht="13.8" x14ac:dyDescent="0.25">
      <c r="E512" s="293"/>
      <c r="F512" s="293"/>
      <c r="G512" s="293"/>
      <c r="H512" s="293"/>
      <c r="I512" s="293"/>
      <c r="J512" s="293"/>
      <c r="K512" s="293"/>
      <c r="L512" s="293"/>
      <c r="M512" s="293"/>
      <c r="N512" s="293"/>
      <c r="O512" s="293"/>
      <c r="P512" s="293"/>
      <c r="Y512" s="9"/>
    </row>
    <row r="513" spans="5:25" s="8" customFormat="1" ht="13.8" x14ac:dyDescent="0.25">
      <c r="E513" s="293"/>
      <c r="F513" s="293"/>
      <c r="G513" s="293"/>
      <c r="H513" s="293"/>
      <c r="I513" s="293"/>
      <c r="J513" s="293"/>
      <c r="K513" s="293"/>
      <c r="L513" s="293"/>
      <c r="M513" s="293"/>
      <c r="N513" s="293"/>
      <c r="O513" s="293"/>
      <c r="P513" s="293"/>
      <c r="Y513" s="9"/>
    </row>
    <row r="514" spans="5:25" s="8" customFormat="1" ht="13.8" x14ac:dyDescent="0.25">
      <c r="E514" s="293"/>
      <c r="F514" s="293"/>
      <c r="G514" s="293"/>
      <c r="H514" s="293"/>
      <c r="I514" s="293"/>
      <c r="J514" s="293"/>
      <c r="K514" s="293"/>
      <c r="L514" s="293"/>
      <c r="M514" s="293"/>
      <c r="N514" s="293"/>
      <c r="O514" s="293"/>
      <c r="P514" s="293"/>
      <c r="Y514" s="9"/>
    </row>
    <row r="515" spans="5:25" s="8" customFormat="1" ht="13.8" x14ac:dyDescent="0.25">
      <c r="E515" s="293"/>
      <c r="F515" s="293"/>
      <c r="G515" s="293"/>
      <c r="H515" s="293"/>
      <c r="I515" s="293"/>
      <c r="J515" s="293"/>
      <c r="K515" s="293"/>
      <c r="L515" s="293"/>
      <c r="M515" s="293"/>
      <c r="N515" s="293"/>
      <c r="O515" s="293"/>
      <c r="P515" s="293"/>
      <c r="Y515" s="9"/>
    </row>
    <row r="516" spans="5:25" s="8" customFormat="1" ht="13.8" x14ac:dyDescent="0.25">
      <c r="E516" s="293"/>
      <c r="F516" s="293"/>
      <c r="G516" s="293"/>
      <c r="H516" s="293"/>
      <c r="I516" s="293"/>
      <c r="J516" s="293"/>
      <c r="K516" s="293"/>
      <c r="L516" s="293"/>
      <c r="M516" s="293"/>
      <c r="N516" s="293"/>
      <c r="O516" s="293"/>
      <c r="P516" s="293"/>
      <c r="Y516" s="9"/>
    </row>
    <row r="517" spans="5:25" s="8" customFormat="1" ht="13.8" x14ac:dyDescent="0.25">
      <c r="E517" s="293"/>
      <c r="F517" s="293"/>
      <c r="G517" s="293"/>
      <c r="H517" s="293"/>
      <c r="I517" s="293"/>
      <c r="J517" s="293"/>
      <c r="K517" s="293"/>
      <c r="L517" s="293"/>
      <c r="M517" s="293"/>
      <c r="N517" s="293"/>
      <c r="O517" s="293"/>
      <c r="P517" s="293"/>
      <c r="Y517" s="9"/>
    </row>
    <row r="518" spans="5:25" s="8" customFormat="1" ht="13.8" x14ac:dyDescent="0.25">
      <c r="E518" s="293"/>
      <c r="F518" s="293"/>
      <c r="G518" s="293"/>
      <c r="H518" s="293"/>
      <c r="I518" s="293"/>
      <c r="J518" s="293"/>
      <c r="K518" s="293"/>
      <c r="L518" s="293"/>
      <c r="M518" s="293"/>
      <c r="N518" s="293"/>
      <c r="O518" s="293"/>
      <c r="P518" s="293"/>
      <c r="Y518" s="9"/>
    </row>
    <row r="519" spans="5:25" s="8" customFormat="1" ht="13.8" x14ac:dyDescent="0.25">
      <c r="E519" s="293"/>
      <c r="F519" s="293"/>
      <c r="G519" s="293"/>
      <c r="H519" s="293"/>
      <c r="I519" s="293"/>
      <c r="J519" s="293"/>
      <c r="K519" s="293"/>
      <c r="L519" s="293"/>
      <c r="M519" s="293"/>
      <c r="N519" s="293"/>
      <c r="O519" s="293"/>
      <c r="P519" s="293"/>
      <c r="Y519" s="9"/>
    </row>
    <row r="520" spans="5:25" s="8" customFormat="1" ht="13.8" x14ac:dyDescent="0.25">
      <c r="E520" s="293"/>
      <c r="F520" s="293"/>
      <c r="G520" s="293"/>
      <c r="H520" s="293"/>
      <c r="I520" s="293"/>
      <c r="J520" s="293"/>
      <c r="K520" s="293"/>
      <c r="L520" s="293"/>
      <c r="M520" s="293"/>
      <c r="N520" s="293"/>
      <c r="O520" s="293"/>
      <c r="P520" s="293"/>
      <c r="Y520" s="9"/>
    </row>
    <row r="521" spans="5:25" s="8" customFormat="1" ht="13.8" x14ac:dyDescent="0.25">
      <c r="E521" s="293"/>
      <c r="F521" s="293"/>
      <c r="G521" s="293"/>
      <c r="H521" s="293"/>
      <c r="I521" s="293"/>
      <c r="J521" s="293"/>
      <c r="K521" s="293"/>
      <c r="L521" s="293"/>
      <c r="M521" s="293"/>
      <c r="N521" s="293"/>
      <c r="O521" s="293"/>
      <c r="P521" s="293"/>
      <c r="Y521" s="9"/>
    </row>
    <row r="522" spans="5:25" s="8" customFormat="1" ht="13.8" x14ac:dyDescent="0.25">
      <c r="E522" s="293"/>
      <c r="F522" s="293"/>
      <c r="G522" s="293"/>
      <c r="H522" s="293"/>
      <c r="I522" s="293"/>
      <c r="J522" s="293"/>
      <c r="K522" s="293"/>
      <c r="L522" s="293"/>
      <c r="M522" s="293"/>
      <c r="N522" s="293"/>
      <c r="O522" s="293"/>
      <c r="P522" s="293"/>
      <c r="Y522" s="9"/>
    </row>
    <row r="523" spans="5:25" s="8" customFormat="1" ht="13.8" x14ac:dyDescent="0.25">
      <c r="E523" s="293"/>
      <c r="F523" s="293"/>
      <c r="G523" s="293"/>
      <c r="H523" s="293"/>
      <c r="I523" s="293"/>
      <c r="J523" s="293"/>
      <c r="K523" s="293"/>
      <c r="L523" s="293"/>
      <c r="M523" s="293"/>
      <c r="N523" s="293"/>
      <c r="O523" s="293"/>
      <c r="P523" s="293"/>
      <c r="Y523" s="9"/>
    </row>
    <row r="524" spans="5:25" s="8" customFormat="1" ht="13.8" x14ac:dyDescent="0.25">
      <c r="E524" s="293"/>
      <c r="F524" s="293"/>
      <c r="G524" s="293"/>
      <c r="H524" s="293"/>
      <c r="I524" s="293"/>
      <c r="J524" s="293"/>
      <c r="K524" s="293"/>
      <c r="L524" s="293"/>
      <c r="M524" s="293"/>
      <c r="N524" s="293"/>
      <c r="O524" s="293"/>
      <c r="P524" s="293"/>
      <c r="Y524" s="9"/>
    </row>
    <row r="525" spans="5:25" s="8" customFormat="1" ht="13.8" x14ac:dyDescent="0.25">
      <c r="E525" s="293"/>
      <c r="F525" s="293"/>
      <c r="G525" s="293"/>
      <c r="H525" s="293"/>
      <c r="I525" s="293"/>
      <c r="J525" s="293"/>
      <c r="K525" s="293"/>
      <c r="L525" s="293"/>
      <c r="M525" s="293"/>
      <c r="N525" s="293"/>
      <c r="O525" s="293"/>
      <c r="P525" s="293"/>
      <c r="Y525" s="9"/>
    </row>
    <row r="526" spans="5:25" s="8" customFormat="1" ht="13.8" x14ac:dyDescent="0.25">
      <c r="E526" s="293"/>
      <c r="F526" s="293"/>
      <c r="G526" s="293"/>
      <c r="H526" s="293"/>
      <c r="I526" s="293"/>
      <c r="J526" s="293"/>
      <c r="K526" s="293"/>
      <c r="L526" s="293"/>
      <c r="M526" s="293"/>
      <c r="N526" s="293"/>
      <c r="O526" s="293"/>
      <c r="P526" s="293"/>
      <c r="Y526" s="9"/>
    </row>
    <row r="527" spans="5:25" s="8" customFormat="1" ht="13.8" x14ac:dyDescent="0.25">
      <c r="E527" s="293"/>
      <c r="F527" s="293"/>
      <c r="G527" s="293"/>
      <c r="H527" s="293"/>
      <c r="I527" s="293"/>
      <c r="J527" s="293"/>
      <c r="K527" s="293"/>
      <c r="L527" s="293"/>
      <c r="M527" s="293"/>
      <c r="N527" s="293"/>
      <c r="O527" s="293"/>
      <c r="P527" s="293"/>
      <c r="Y527" s="9"/>
    </row>
    <row r="528" spans="5:25" s="8" customFormat="1" ht="13.8" x14ac:dyDescent="0.25">
      <c r="E528" s="293"/>
      <c r="F528" s="293"/>
      <c r="G528" s="293"/>
      <c r="H528" s="293"/>
      <c r="I528" s="293"/>
      <c r="J528" s="293"/>
      <c r="K528" s="293"/>
      <c r="L528" s="293"/>
      <c r="M528" s="293"/>
      <c r="N528" s="293"/>
      <c r="O528" s="293"/>
      <c r="P528" s="293"/>
      <c r="Y528" s="9"/>
    </row>
    <row r="529" spans="5:25" s="8" customFormat="1" ht="13.8" x14ac:dyDescent="0.25">
      <c r="E529" s="293"/>
      <c r="F529" s="293"/>
      <c r="G529" s="293"/>
      <c r="H529" s="293"/>
      <c r="I529" s="293"/>
      <c r="J529" s="293"/>
      <c r="K529" s="293"/>
      <c r="L529" s="293"/>
      <c r="M529" s="293"/>
      <c r="N529" s="293"/>
      <c r="O529" s="293"/>
      <c r="P529" s="293"/>
      <c r="Y529" s="9"/>
    </row>
    <row r="530" spans="5:25" s="8" customFormat="1" ht="13.8" x14ac:dyDescent="0.25">
      <c r="E530" s="293"/>
      <c r="F530" s="293"/>
      <c r="G530" s="293"/>
      <c r="H530" s="293"/>
      <c r="I530" s="293"/>
      <c r="J530" s="293"/>
      <c r="K530" s="293"/>
      <c r="L530" s="293"/>
      <c r="M530" s="293"/>
      <c r="N530" s="293"/>
      <c r="O530" s="293"/>
      <c r="P530" s="293"/>
      <c r="Y530" s="9"/>
    </row>
    <row r="531" spans="5:25" s="8" customFormat="1" ht="13.8" x14ac:dyDescent="0.25">
      <c r="E531" s="293"/>
      <c r="F531" s="293"/>
      <c r="G531" s="293"/>
      <c r="H531" s="293"/>
      <c r="I531" s="293"/>
      <c r="J531" s="293"/>
      <c r="K531" s="293"/>
      <c r="L531" s="293"/>
      <c r="M531" s="293"/>
      <c r="N531" s="293"/>
      <c r="O531" s="293"/>
      <c r="P531" s="293"/>
      <c r="Y531" s="9"/>
    </row>
    <row r="532" spans="5:25" s="8" customFormat="1" ht="13.8" x14ac:dyDescent="0.25">
      <c r="E532" s="293"/>
      <c r="F532" s="293"/>
      <c r="G532" s="293"/>
      <c r="H532" s="293"/>
      <c r="I532" s="293"/>
      <c r="J532" s="293"/>
      <c r="K532" s="293"/>
      <c r="L532" s="293"/>
      <c r="M532" s="293"/>
      <c r="N532" s="293"/>
      <c r="O532" s="293"/>
      <c r="P532" s="293"/>
      <c r="Y532" s="9"/>
    </row>
    <row r="533" spans="5:25" s="8" customFormat="1" ht="13.8" x14ac:dyDescent="0.25">
      <c r="E533" s="293"/>
      <c r="F533" s="293"/>
      <c r="G533" s="293"/>
      <c r="H533" s="293"/>
      <c r="I533" s="293"/>
      <c r="J533" s="293"/>
      <c r="K533" s="293"/>
      <c r="L533" s="293"/>
      <c r="M533" s="293"/>
      <c r="N533" s="293"/>
      <c r="O533" s="293"/>
      <c r="P533" s="293"/>
      <c r="Y533" s="9"/>
    </row>
    <row r="534" spans="5:25" s="8" customFormat="1" ht="13.8" x14ac:dyDescent="0.25">
      <c r="E534" s="293"/>
      <c r="F534" s="293"/>
      <c r="G534" s="293"/>
      <c r="H534" s="293"/>
      <c r="I534" s="293"/>
      <c r="J534" s="293"/>
      <c r="K534" s="293"/>
      <c r="L534" s="293"/>
      <c r="M534" s="293"/>
      <c r="N534" s="293"/>
      <c r="O534" s="293"/>
      <c r="P534" s="293"/>
      <c r="Y534" s="9"/>
    </row>
    <row r="535" spans="5:25" s="8" customFormat="1" ht="13.8" x14ac:dyDescent="0.25">
      <c r="E535" s="293"/>
      <c r="F535" s="293"/>
      <c r="G535" s="293"/>
      <c r="H535" s="293"/>
      <c r="I535" s="293"/>
      <c r="J535" s="293"/>
      <c r="K535" s="293"/>
      <c r="L535" s="293"/>
      <c r="M535" s="293"/>
      <c r="N535" s="293"/>
      <c r="O535" s="293"/>
      <c r="P535" s="293"/>
      <c r="Y535" s="9"/>
    </row>
    <row r="536" spans="5:25" s="8" customFormat="1" ht="13.8" x14ac:dyDescent="0.25">
      <c r="E536" s="293"/>
      <c r="F536" s="293"/>
      <c r="G536" s="293"/>
      <c r="H536" s="293"/>
      <c r="I536" s="293"/>
      <c r="J536" s="293"/>
      <c r="K536" s="293"/>
      <c r="L536" s="293"/>
      <c r="M536" s="293"/>
      <c r="N536" s="293"/>
      <c r="O536" s="293"/>
      <c r="P536" s="293"/>
      <c r="Y536" s="9"/>
    </row>
    <row r="537" spans="5:25" s="8" customFormat="1" ht="13.8" x14ac:dyDescent="0.25">
      <c r="E537" s="293"/>
      <c r="F537" s="293"/>
      <c r="G537" s="293"/>
      <c r="H537" s="293"/>
      <c r="I537" s="293"/>
      <c r="J537" s="293"/>
      <c r="K537" s="293"/>
      <c r="L537" s="293"/>
      <c r="M537" s="293"/>
      <c r="N537" s="293"/>
      <c r="O537" s="293"/>
      <c r="P537" s="293"/>
      <c r="Y537" s="9"/>
    </row>
    <row r="538" spans="5:25" s="8" customFormat="1" ht="13.8" x14ac:dyDescent="0.25">
      <c r="E538" s="293"/>
      <c r="F538" s="293"/>
      <c r="G538" s="293"/>
      <c r="H538" s="293"/>
      <c r="I538" s="293"/>
      <c r="J538" s="293"/>
      <c r="K538" s="293"/>
      <c r="L538" s="293"/>
      <c r="M538" s="293"/>
      <c r="N538" s="293"/>
      <c r="O538" s="293"/>
      <c r="P538" s="293"/>
      <c r="Y538" s="9"/>
    </row>
    <row r="539" spans="5:25" s="8" customFormat="1" ht="13.8" x14ac:dyDescent="0.25">
      <c r="E539" s="293"/>
      <c r="F539" s="293"/>
      <c r="G539" s="293"/>
      <c r="H539" s="293"/>
      <c r="I539" s="293"/>
      <c r="J539" s="293"/>
      <c r="K539" s="293"/>
      <c r="L539" s="293"/>
      <c r="M539" s="293"/>
      <c r="N539" s="293"/>
      <c r="O539" s="293"/>
      <c r="P539" s="293"/>
      <c r="Y539" s="9"/>
    </row>
    <row r="540" spans="5:25" s="8" customFormat="1" ht="13.8" x14ac:dyDescent="0.25">
      <c r="E540" s="293"/>
      <c r="F540" s="293"/>
      <c r="G540" s="293"/>
      <c r="H540" s="293"/>
      <c r="I540" s="293"/>
      <c r="J540" s="293"/>
      <c r="K540" s="293"/>
      <c r="L540" s="293"/>
      <c r="M540" s="293"/>
      <c r="N540" s="293"/>
      <c r="O540" s="293"/>
      <c r="P540" s="293"/>
      <c r="Y540" s="9"/>
    </row>
    <row r="541" spans="5:25" s="8" customFormat="1" ht="13.8" x14ac:dyDescent="0.25">
      <c r="E541" s="293"/>
      <c r="F541" s="293"/>
      <c r="G541" s="293"/>
      <c r="H541" s="293"/>
      <c r="I541" s="293"/>
      <c r="J541" s="293"/>
      <c r="K541" s="293"/>
      <c r="L541" s="293"/>
      <c r="M541" s="293"/>
      <c r="N541" s="293"/>
      <c r="O541" s="293"/>
      <c r="P541" s="293"/>
      <c r="Y541" s="9"/>
    </row>
    <row r="542" spans="5:25" s="8" customFormat="1" ht="13.8" x14ac:dyDescent="0.25">
      <c r="E542" s="293"/>
      <c r="F542" s="293"/>
      <c r="G542" s="293"/>
      <c r="H542" s="293"/>
      <c r="I542" s="293"/>
      <c r="J542" s="293"/>
      <c r="K542" s="293"/>
      <c r="L542" s="293"/>
      <c r="M542" s="293"/>
      <c r="N542" s="293"/>
      <c r="O542" s="293"/>
      <c r="P542" s="293"/>
      <c r="Y542" s="9"/>
    </row>
    <row r="543" spans="5:25" s="8" customFormat="1" ht="13.8" x14ac:dyDescent="0.25">
      <c r="E543" s="293"/>
      <c r="F543" s="293"/>
      <c r="G543" s="293"/>
      <c r="H543" s="293"/>
      <c r="I543" s="293"/>
      <c r="J543" s="293"/>
      <c r="K543" s="293"/>
      <c r="L543" s="293"/>
      <c r="M543" s="293"/>
      <c r="N543" s="293"/>
      <c r="O543" s="293"/>
      <c r="P543" s="293"/>
      <c r="Y543" s="9"/>
    </row>
    <row r="544" spans="5:25" s="8" customFormat="1" ht="13.8" x14ac:dyDescent="0.25">
      <c r="E544" s="293"/>
      <c r="F544" s="293"/>
      <c r="G544" s="293"/>
      <c r="H544" s="293"/>
      <c r="I544" s="293"/>
      <c r="J544" s="293"/>
      <c r="K544" s="293"/>
      <c r="L544" s="293"/>
      <c r="M544" s="293"/>
      <c r="N544" s="293"/>
      <c r="O544" s="293"/>
      <c r="P544" s="293"/>
      <c r="Y544" s="9"/>
    </row>
    <row r="545" spans="5:25" s="8" customFormat="1" ht="13.8" x14ac:dyDescent="0.25">
      <c r="E545" s="293"/>
      <c r="F545" s="293"/>
      <c r="G545" s="293"/>
      <c r="H545" s="293"/>
      <c r="I545" s="293"/>
      <c r="J545" s="293"/>
      <c r="K545" s="293"/>
      <c r="L545" s="293"/>
      <c r="M545" s="293"/>
      <c r="N545" s="293"/>
      <c r="O545" s="293"/>
      <c r="P545" s="293"/>
      <c r="Y545" s="9"/>
    </row>
    <row r="546" spans="5:25" s="8" customFormat="1" ht="13.8" x14ac:dyDescent="0.25">
      <c r="E546" s="293"/>
      <c r="F546" s="293"/>
      <c r="G546" s="293"/>
      <c r="H546" s="293"/>
      <c r="I546" s="293"/>
      <c r="J546" s="293"/>
      <c r="K546" s="293"/>
      <c r="L546" s="293"/>
      <c r="M546" s="293"/>
      <c r="N546" s="293"/>
      <c r="O546" s="293"/>
      <c r="P546" s="293"/>
      <c r="Y546" s="9"/>
    </row>
    <row r="547" spans="5:25" s="8" customFormat="1" ht="13.8" x14ac:dyDescent="0.25">
      <c r="E547" s="293"/>
      <c r="F547" s="293"/>
      <c r="G547" s="293"/>
      <c r="H547" s="293"/>
      <c r="I547" s="293"/>
      <c r="J547" s="293"/>
      <c r="K547" s="293"/>
      <c r="L547" s="293"/>
      <c r="M547" s="293"/>
      <c r="N547" s="293"/>
      <c r="O547" s="293"/>
      <c r="P547" s="293"/>
      <c r="Y547" s="9"/>
    </row>
    <row r="548" spans="5:25" s="8" customFormat="1" ht="13.8" x14ac:dyDescent="0.25">
      <c r="E548" s="293"/>
      <c r="F548" s="293"/>
      <c r="G548" s="293"/>
      <c r="H548" s="293"/>
      <c r="I548" s="293"/>
      <c r="J548" s="293"/>
      <c r="K548" s="293"/>
      <c r="L548" s="293"/>
      <c r="M548" s="293"/>
      <c r="N548" s="293"/>
      <c r="O548" s="293"/>
      <c r="P548" s="293"/>
      <c r="Y548" s="9"/>
    </row>
    <row r="549" spans="5:25" s="8" customFormat="1" ht="13.8" x14ac:dyDescent="0.25">
      <c r="E549" s="293"/>
      <c r="F549" s="293"/>
      <c r="G549" s="293"/>
      <c r="H549" s="293"/>
      <c r="I549" s="293"/>
      <c r="J549" s="293"/>
      <c r="K549" s="293"/>
      <c r="L549" s="293"/>
      <c r="M549" s="293"/>
      <c r="N549" s="293"/>
      <c r="O549" s="293"/>
      <c r="P549" s="293"/>
      <c r="Y549" s="9"/>
    </row>
    <row r="550" spans="5:25" s="8" customFormat="1" ht="13.8" x14ac:dyDescent="0.25">
      <c r="E550" s="293"/>
      <c r="F550" s="293"/>
      <c r="G550" s="293"/>
      <c r="H550" s="293"/>
      <c r="I550" s="293"/>
      <c r="J550" s="293"/>
      <c r="K550" s="293"/>
      <c r="L550" s="293"/>
      <c r="M550" s="293"/>
      <c r="N550" s="293"/>
      <c r="O550" s="293"/>
      <c r="P550" s="293"/>
      <c r="Y550" s="9"/>
    </row>
    <row r="551" spans="5:25" s="8" customFormat="1" ht="13.8" x14ac:dyDescent="0.25">
      <c r="E551" s="293"/>
      <c r="F551" s="293"/>
      <c r="G551" s="293"/>
      <c r="H551" s="293"/>
      <c r="I551" s="293"/>
      <c r="J551" s="293"/>
      <c r="K551" s="293"/>
      <c r="L551" s="293"/>
      <c r="M551" s="293"/>
      <c r="N551" s="293"/>
      <c r="O551" s="293"/>
      <c r="P551" s="293"/>
      <c r="Y551" s="9"/>
    </row>
    <row r="552" spans="5:25" s="8" customFormat="1" ht="13.8" x14ac:dyDescent="0.25">
      <c r="E552" s="293"/>
      <c r="F552" s="293"/>
      <c r="G552" s="293"/>
      <c r="H552" s="293"/>
      <c r="I552" s="293"/>
      <c r="J552" s="293"/>
      <c r="K552" s="293"/>
      <c r="L552" s="293"/>
      <c r="M552" s="293"/>
      <c r="N552" s="293"/>
      <c r="O552" s="293"/>
      <c r="P552" s="293"/>
      <c r="Y552" s="9"/>
    </row>
    <row r="553" spans="5:25" s="8" customFormat="1" ht="13.8" x14ac:dyDescent="0.25">
      <c r="E553" s="293"/>
      <c r="F553" s="293"/>
      <c r="G553" s="293"/>
      <c r="H553" s="293"/>
      <c r="I553" s="293"/>
      <c r="J553" s="293"/>
      <c r="K553" s="293"/>
      <c r="L553" s="293"/>
      <c r="M553" s="293"/>
      <c r="N553" s="293"/>
      <c r="O553" s="293"/>
      <c r="P553" s="293"/>
      <c r="Y553" s="9"/>
    </row>
    <row r="554" spans="5:25" s="8" customFormat="1" ht="13.8" x14ac:dyDescent="0.25">
      <c r="E554" s="293"/>
      <c r="F554" s="293"/>
      <c r="G554" s="293"/>
      <c r="H554" s="293"/>
      <c r="I554" s="293"/>
      <c r="J554" s="293"/>
      <c r="K554" s="293"/>
      <c r="L554" s="293"/>
      <c r="M554" s="293"/>
      <c r="N554" s="293"/>
      <c r="O554" s="293"/>
      <c r="P554" s="293"/>
      <c r="Y554" s="9"/>
    </row>
    <row r="555" spans="5:25" s="8" customFormat="1" ht="13.8" x14ac:dyDescent="0.25">
      <c r="E555" s="293"/>
      <c r="F555" s="293"/>
      <c r="G555" s="293"/>
      <c r="H555" s="293"/>
      <c r="I555" s="293"/>
      <c r="J555" s="293"/>
      <c r="K555" s="293"/>
      <c r="L555" s="293"/>
      <c r="M555" s="293"/>
      <c r="N555" s="293"/>
      <c r="O555" s="293"/>
      <c r="P555" s="293"/>
      <c r="Y555" s="9"/>
    </row>
    <row r="556" spans="5:25" s="8" customFormat="1" ht="13.8" x14ac:dyDescent="0.25">
      <c r="E556" s="293"/>
      <c r="F556" s="293"/>
      <c r="G556" s="293"/>
      <c r="H556" s="293"/>
      <c r="I556" s="293"/>
      <c r="J556" s="293"/>
      <c r="K556" s="293"/>
      <c r="L556" s="293"/>
      <c r="M556" s="293"/>
      <c r="N556" s="293"/>
      <c r="O556" s="293"/>
      <c r="P556" s="293"/>
      <c r="Y556" s="9"/>
    </row>
    <row r="557" spans="5:25" s="8" customFormat="1" ht="13.8" x14ac:dyDescent="0.25">
      <c r="E557" s="293"/>
      <c r="F557" s="293"/>
      <c r="G557" s="293"/>
      <c r="H557" s="293"/>
      <c r="I557" s="293"/>
      <c r="J557" s="293"/>
      <c r="K557" s="293"/>
      <c r="L557" s="293"/>
      <c r="M557" s="293"/>
      <c r="N557" s="293"/>
      <c r="O557" s="293"/>
      <c r="P557" s="293"/>
      <c r="Y557" s="9"/>
    </row>
    <row r="558" spans="5:25" s="8" customFormat="1" ht="13.8" x14ac:dyDescent="0.25">
      <c r="E558" s="293"/>
      <c r="F558" s="293"/>
      <c r="G558" s="293"/>
      <c r="H558" s="293"/>
      <c r="I558" s="293"/>
      <c r="J558" s="293"/>
      <c r="K558" s="293"/>
      <c r="L558" s="293"/>
      <c r="M558" s="293"/>
      <c r="N558" s="293"/>
      <c r="O558" s="293"/>
      <c r="P558" s="293"/>
      <c r="Y558" s="9"/>
    </row>
    <row r="559" spans="5:25" s="8" customFormat="1" ht="13.8" x14ac:dyDescent="0.25">
      <c r="E559" s="293"/>
      <c r="F559" s="293"/>
      <c r="G559" s="293"/>
      <c r="H559" s="293"/>
      <c r="I559" s="293"/>
      <c r="J559" s="293"/>
      <c r="K559" s="293"/>
      <c r="L559" s="293"/>
      <c r="M559" s="293"/>
      <c r="N559" s="293"/>
      <c r="O559" s="293"/>
      <c r="P559" s="293"/>
      <c r="Y559" s="9"/>
    </row>
    <row r="560" spans="5:25" s="8" customFormat="1" ht="13.8" x14ac:dyDescent="0.25">
      <c r="E560" s="293"/>
      <c r="F560" s="293"/>
      <c r="G560" s="293"/>
      <c r="H560" s="293"/>
      <c r="I560" s="293"/>
      <c r="J560" s="293"/>
      <c r="K560" s="293"/>
      <c r="L560" s="293"/>
      <c r="M560" s="293"/>
      <c r="N560" s="293"/>
      <c r="O560" s="293"/>
      <c r="P560" s="293"/>
      <c r="Y560" s="9"/>
    </row>
    <row r="561" spans="5:25" s="8" customFormat="1" ht="13.8" x14ac:dyDescent="0.25">
      <c r="E561" s="293"/>
      <c r="F561" s="293"/>
      <c r="G561" s="293"/>
      <c r="H561" s="293"/>
      <c r="I561" s="293"/>
      <c r="J561" s="293"/>
      <c r="K561" s="293"/>
      <c r="L561" s="293"/>
      <c r="M561" s="293"/>
      <c r="N561" s="293"/>
      <c r="O561" s="293"/>
      <c r="P561" s="293"/>
      <c r="Y561" s="9"/>
    </row>
    <row r="562" spans="5:25" s="8" customFormat="1" ht="13.8" x14ac:dyDescent="0.25">
      <c r="E562" s="293"/>
      <c r="F562" s="293"/>
      <c r="G562" s="293"/>
      <c r="H562" s="293"/>
      <c r="I562" s="293"/>
      <c r="J562" s="293"/>
      <c r="K562" s="293"/>
      <c r="L562" s="293"/>
      <c r="M562" s="293"/>
      <c r="N562" s="293"/>
      <c r="O562" s="293"/>
      <c r="P562" s="293"/>
      <c r="Y562" s="9"/>
    </row>
    <row r="563" spans="5:25" s="8" customFormat="1" ht="13.8" x14ac:dyDescent="0.25">
      <c r="E563" s="293"/>
      <c r="F563" s="293"/>
      <c r="G563" s="293"/>
      <c r="H563" s="293"/>
      <c r="I563" s="293"/>
      <c r="J563" s="293"/>
      <c r="K563" s="293"/>
      <c r="L563" s="293"/>
      <c r="M563" s="293"/>
      <c r="N563" s="293"/>
      <c r="O563" s="293"/>
      <c r="P563" s="293"/>
      <c r="Y563" s="9"/>
    </row>
    <row r="564" spans="5:25" s="8" customFormat="1" ht="13.8" x14ac:dyDescent="0.25">
      <c r="E564" s="293"/>
      <c r="F564" s="293"/>
      <c r="G564" s="293"/>
      <c r="H564" s="293"/>
      <c r="I564" s="293"/>
      <c r="J564" s="293"/>
      <c r="K564" s="293"/>
      <c r="L564" s="293"/>
      <c r="M564" s="293"/>
      <c r="N564" s="293"/>
      <c r="O564" s="293"/>
      <c r="P564" s="293"/>
      <c r="Y564" s="9"/>
    </row>
    <row r="565" spans="5:25" s="8" customFormat="1" ht="13.8" x14ac:dyDescent="0.25">
      <c r="E565" s="293"/>
      <c r="F565" s="293"/>
      <c r="G565" s="293"/>
      <c r="H565" s="293"/>
      <c r="I565" s="293"/>
      <c r="J565" s="293"/>
      <c r="K565" s="293"/>
      <c r="L565" s="293"/>
      <c r="M565" s="293"/>
      <c r="N565" s="293"/>
      <c r="O565" s="293"/>
      <c r="P565" s="293"/>
      <c r="Y565" s="9"/>
    </row>
    <row r="566" spans="5:25" s="8" customFormat="1" ht="13.8" x14ac:dyDescent="0.25">
      <c r="E566" s="293"/>
      <c r="F566" s="293"/>
      <c r="G566" s="293"/>
      <c r="H566" s="293"/>
      <c r="I566" s="293"/>
      <c r="J566" s="293"/>
      <c r="K566" s="293"/>
      <c r="L566" s="293"/>
      <c r="M566" s="293"/>
      <c r="N566" s="293"/>
      <c r="O566" s="293"/>
      <c r="P566" s="293"/>
      <c r="Y566" s="9"/>
    </row>
    <row r="567" spans="5:25" s="8" customFormat="1" ht="13.8" x14ac:dyDescent="0.25">
      <c r="E567" s="293"/>
      <c r="F567" s="293"/>
      <c r="G567" s="293"/>
      <c r="H567" s="293"/>
      <c r="I567" s="293"/>
      <c r="J567" s="293"/>
      <c r="K567" s="293"/>
      <c r="L567" s="293"/>
      <c r="M567" s="293"/>
      <c r="N567" s="293"/>
      <c r="O567" s="293"/>
      <c r="P567" s="293"/>
      <c r="Y567" s="9"/>
    </row>
    <row r="568" spans="5:25" s="8" customFormat="1" ht="13.8" x14ac:dyDescent="0.25">
      <c r="E568" s="293"/>
      <c r="F568" s="293"/>
      <c r="G568" s="293"/>
      <c r="H568" s="293"/>
      <c r="I568" s="293"/>
      <c r="J568" s="293"/>
      <c r="K568" s="293"/>
      <c r="L568" s="293"/>
      <c r="M568" s="293"/>
      <c r="N568" s="293"/>
      <c r="O568" s="293"/>
      <c r="P568" s="293"/>
      <c r="Y568" s="9"/>
    </row>
    <row r="569" spans="5:25" s="8" customFormat="1" ht="13.8" x14ac:dyDescent="0.25">
      <c r="E569" s="293"/>
      <c r="F569" s="293"/>
      <c r="G569" s="293"/>
      <c r="H569" s="293"/>
      <c r="I569" s="293"/>
      <c r="J569" s="293"/>
      <c r="K569" s="293"/>
      <c r="L569" s="293"/>
      <c r="M569" s="293"/>
      <c r="N569" s="293"/>
      <c r="O569" s="293"/>
      <c r="P569" s="293"/>
      <c r="Y569" s="9"/>
    </row>
    <row r="570" spans="5:25" s="8" customFormat="1" ht="13.8" x14ac:dyDescent="0.25">
      <c r="E570" s="293"/>
      <c r="F570" s="293"/>
      <c r="G570" s="293"/>
      <c r="H570" s="293"/>
      <c r="I570" s="293"/>
      <c r="J570" s="293"/>
      <c r="K570" s="293"/>
      <c r="L570" s="293"/>
      <c r="M570" s="293"/>
      <c r="N570" s="293"/>
      <c r="O570" s="293"/>
      <c r="P570" s="293"/>
      <c r="Y570" s="9"/>
    </row>
    <row r="571" spans="5:25" s="8" customFormat="1" ht="13.8" x14ac:dyDescent="0.25">
      <c r="E571" s="293"/>
      <c r="F571" s="293"/>
      <c r="G571" s="293"/>
      <c r="H571" s="293"/>
      <c r="I571" s="293"/>
      <c r="J571" s="293"/>
      <c r="K571" s="293"/>
      <c r="L571" s="293"/>
      <c r="M571" s="293"/>
      <c r="N571" s="293"/>
      <c r="O571" s="293"/>
      <c r="P571" s="293"/>
      <c r="Y571" s="9"/>
    </row>
    <row r="572" spans="5:25" s="8" customFormat="1" ht="13.8" x14ac:dyDescent="0.25">
      <c r="E572" s="293"/>
      <c r="F572" s="293"/>
      <c r="G572" s="293"/>
      <c r="H572" s="293"/>
      <c r="I572" s="293"/>
      <c r="J572" s="293"/>
      <c r="K572" s="293"/>
      <c r="L572" s="293"/>
      <c r="M572" s="293"/>
      <c r="N572" s="293"/>
      <c r="O572" s="293"/>
      <c r="P572" s="293"/>
      <c r="Y572" s="9"/>
    </row>
    <row r="573" spans="5:25" s="8" customFormat="1" ht="13.8" x14ac:dyDescent="0.25">
      <c r="E573" s="293"/>
      <c r="F573" s="293"/>
      <c r="G573" s="293"/>
      <c r="H573" s="293"/>
      <c r="I573" s="293"/>
      <c r="J573" s="293"/>
      <c r="K573" s="293"/>
      <c r="L573" s="293"/>
      <c r="M573" s="293"/>
      <c r="N573" s="293"/>
      <c r="O573" s="293"/>
      <c r="P573" s="293"/>
      <c r="Y573" s="9"/>
    </row>
    <row r="574" spans="5:25" s="8" customFormat="1" ht="13.8" x14ac:dyDescent="0.25">
      <c r="E574" s="293"/>
      <c r="F574" s="293"/>
      <c r="G574" s="293"/>
      <c r="H574" s="293"/>
      <c r="I574" s="293"/>
      <c r="J574" s="293"/>
      <c r="K574" s="293"/>
      <c r="L574" s="293"/>
      <c r="M574" s="293"/>
      <c r="N574" s="293"/>
      <c r="O574" s="293"/>
      <c r="P574" s="293"/>
      <c r="Y574" s="9"/>
    </row>
    <row r="575" spans="5:25" s="8" customFormat="1" ht="13.8" x14ac:dyDescent="0.25">
      <c r="E575" s="293"/>
      <c r="F575" s="293"/>
      <c r="G575" s="293"/>
      <c r="H575" s="293"/>
      <c r="I575" s="293"/>
      <c r="J575" s="293"/>
      <c r="K575" s="293"/>
      <c r="L575" s="293"/>
      <c r="M575" s="293"/>
      <c r="N575" s="293"/>
      <c r="O575" s="293"/>
      <c r="P575" s="293"/>
      <c r="Y575" s="9"/>
    </row>
    <row r="576" spans="5:25" s="8" customFormat="1" ht="13.8" x14ac:dyDescent="0.25">
      <c r="E576" s="293"/>
      <c r="F576" s="293"/>
      <c r="G576" s="293"/>
      <c r="H576" s="293"/>
      <c r="I576" s="293"/>
      <c r="J576" s="293"/>
      <c r="K576" s="293"/>
      <c r="L576" s="293"/>
      <c r="M576" s="293"/>
      <c r="N576" s="293"/>
      <c r="O576" s="293"/>
      <c r="P576" s="293"/>
      <c r="Y576" s="9"/>
    </row>
  </sheetData>
  <mergeCells count="38">
    <mergeCell ref="A110:D110"/>
    <mergeCell ref="K110:K112"/>
    <mergeCell ref="A2:P2"/>
    <mergeCell ref="A3:P3"/>
    <mergeCell ref="A4:P4"/>
    <mergeCell ref="H7:U7"/>
    <mergeCell ref="H8:U8"/>
    <mergeCell ref="A9:D9"/>
    <mergeCell ref="K9:K11"/>
    <mergeCell ref="A103:P103"/>
    <mergeCell ref="A104:P104"/>
    <mergeCell ref="A105:P105"/>
    <mergeCell ref="H108:U108"/>
    <mergeCell ref="H109:U109"/>
    <mergeCell ref="A204:D204"/>
    <mergeCell ref="A143:D143"/>
    <mergeCell ref="A144:D144"/>
    <mergeCell ref="A150:D150"/>
    <mergeCell ref="A155:D155"/>
    <mergeCell ref="A158:D158"/>
    <mergeCell ref="A162:D162"/>
    <mergeCell ref="A164:D164"/>
    <mergeCell ref="A167:D167"/>
    <mergeCell ref="A185:D185"/>
    <mergeCell ref="A188:D188"/>
    <mergeCell ref="A193:D193"/>
    <mergeCell ref="F283:G283"/>
    <mergeCell ref="A231:P231"/>
    <mergeCell ref="A232:P232"/>
    <mergeCell ref="A233:P233"/>
    <mergeCell ref="H236:U236"/>
    <mergeCell ref="H237:U237"/>
    <mergeCell ref="A238:D238"/>
    <mergeCell ref="A265:D265"/>
    <mergeCell ref="A274:D274"/>
    <mergeCell ref="D280:G280"/>
    <mergeCell ref="F281:G281"/>
    <mergeCell ref="F282:G28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B335B-A1E3-4DBE-8CB0-4EFBA3FA6A9C}">
  <dimension ref="A2:Z1222"/>
  <sheetViews>
    <sheetView tabSelected="1" topLeftCell="A52" zoomScaleNormal="100" workbookViewId="0">
      <selection activeCell="M363" sqref="M363"/>
    </sheetView>
  </sheetViews>
  <sheetFormatPr defaultColWidth="9.109375" defaultRowHeight="13.8" x14ac:dyDescent="0.25"/>
  <cols>
    <col min="1" max="1" width="28.88671875" style="532" customWidth="1"/>
    <col min="2" max="2" width="21.109375" style="532" bestFit="1" customWidth="1"/>
    <col min="3" max="3" width="11.44140625" style="532" customWidth="1"/>
    <col min="4" max="4" width="3.6640625" style="532" customWidth="1"/>
    <col min="5" max="6" width="14.5546875" style="533" customWidth="1"/>
    <col min="7" max="7" width="13.44140625" style="533" customWidth="1"/>
    <col min="8" max="9" width="16.44140625" style="533" customWidth="1"/>
    <col min="10" max="10" width="14.88671875" style="533" customWidth="1"/>
    <col min="11" max="11" width="13.109375" style="533" customWidth="1"/>
    <col min="12" max="12" width="13" style="533" customWidth="1"/>
    <col min="13" max="15" width="14.44140625" style="533" customWidth="1"/>
    <col min="16" max="16" width="13.5546875" style="533" customWidth="1"/>
    <col min="17" max="17" width="13.88671875" style="533" customWidth="1"/>
    <col min="18" max="18" width="10" style="533" customWidth="1"/>
    <col min="19" max="19" width="12" style="533" customWidth="1"/>
    <col min="20" max="20" width="20" style="533" customWidth="1"/>
    <col min="21" max="21" width="19.6640625" style="533" customWidth="1"/>
    <col min="22" max="22" width="19.33203125" style="533" customWidth="1"/>
    <col min="23" max="23" width="5.33203125" style="533" customWidth="1"/>
    <col min="24" max="24" width="12.44140625" style="533" bestFit="1" customWidth="1"/>
    <col min="25" max="26" width="9.109375" style="533"/>
    <col min="27" max="29" width="9.109375" style="532"/>
    <col min="30" max="30" width="9" style="532" customWidth="1"/>
    <col min="31" max="16384" width="9.109375" style="532"/>
  </cols>
  <sheetData>
    <row r="2" spans="1:26" ht="12.6" customHeight="1" x14ac:dyDescent="0.25">
      <c r="A2" s="532" t="s">
        <v>302</v>
      </c>
    </row>
    <row r="3" spans="1:26" ht="12.6" customHeight="1" x14ac:dyDescent="0.25">
      <c r="A3" s="532" t="s">
        <v>303</v>
      </c>
    </row>
    <row r="5" spans="1:26" ht="12.6" customHeight="1" thickBot="1" x14ac:dyDescent="0.3">
      <c r="A5" s="532" t="s">
        <v>304</v>
      </c>
      <c r="V5" s="534" t="s">
        <v>305</v>
      </c>
    </row>
    <row r="6" spans="1:26" s="543" customFormat="1" ht="12.6" customHeight="1" x14ac:dyDescent="0.25">
      <c r="A6" s="1367" t="s">
        <v>0</v>
      </c>
      <c r="B6" s="1368"/>
      <c r="C6" s="1368"/>
      <c r="D6" s="1368"/>
      <c r="E6" s="535" t="s">
        <v>306</v>
      </c>
      <c r="F6" s="535" t="s">
        <v>1</v>
      </c>
      <c r="G6" s="536" t="s">
        <v>171</v>
      </c>
      <c r="H6" s="537" t="s">
        <v>307</v>
      </c>
      <c r="I6" s="537" t="s">
        <v>307</v>
      </c>
      <c r="J6" s="537" t="s">
        <v>307</v>
      </c>
      <c r="K6" s="538" t="s">
        <v>309</v>
      </c>
      <c r="L6" s="539" t="s">
        <v>309</v>
      </c>
      <c r="M6" s="537" t="s">
        <v>309</v>
      </c>
      <c r="N6" s="537" t="s">
        <v>307</v>
      </c>
      <c r="O6" s="537" t="s">
        <v>307</v>
      </c>
      <c r="P6" s="537" t="s">
        <v>309</v>
      </c>
      <c r="Q6" s="537" t="s">
        <v>309</v>
      </c>
      <c r="R6" s="540" t="s">
        <v>309</v>
      </c>
      <c r="S6" s="540" t="s">
        <v>309</v>
      </c>
      <c r="T6" s="541"/>
      <c r="U6" s="542" t="s">
        <v>310</v>
      </c>
      <c r="V6" s="541" t="s">
        <v>311</v>
      </c>
    </row>
    <row r="7" spans="1:26" s="543" customFormat="1" ht="12.6" customHeight="1" x14ac:dyDescent="0.25">
      <c r="A7" s="1369"/>
      <c r="B7" s="1370"/>
      <c r="C7" s="1370"/>
      <c r="D7" s="1370"/>
      <c r="E7" s="545" t="s">
        <v>312</v>
      </c>
      <c r="F7" s="545" t="s">
        <v>313</v>
      </c>
      <c r="G7" s="546"/>
      <c r="H7" s="547" t="s">
        <v>470</v>
      </c>
      <c r="I7" s="548" t="s">
        <v>472</v>
      </c>
      <c r="J7" s="547"/>
      <c r="K7" s="549"/>
      <c r="L7" s="550"/>
      <c r="M7" s="547"/>
      <c r="N7" s="547"/>
      <c r="O7" s="547"/>
      <c r="P7" s="547"/>
      <c r="Q7" s="547"/>
      <c r="R7" s="547" t="s">
        <v>314</v>
      </c>
      <c r="S7" s="547" t="s">
        <v>314</v>
      </c>
      <c r="T7" s="551" t="s">
        <v>2</v>
      </c>
      <c r="U7" s="552" t="s">
        <v>315</v>
      </c>
      <c r="V7" s="551" t="s">
        <v>135</v>
      </c>
    </row>
    <row r="8" spans="1:26" s="543" customFormat="1" ht="12.6" customHeight="1" x14ac:dyDescent="0.25">
      <c r="A8" s="1369"/>
      <c r="B8" s="1370"/>
      <c r="C8" s="1370"/>
      <c r="D8" s="1370"/>
      <c r="E8" s="545" t="s">
        <v>316</v>
      </c>
      <c r="F8" s="545" t="s">
        <v>108</v>
      </c>
      <c r="G8" s="546"/>
      <c r="H8" s="553"/>
      <c r="I8" s="548"/>
      <c r="J8" s="553"/>
      <c r="K8" s="549"/>
      <c r="L8" s="550"/>
      <c r="M8" s="547"/>
      <c r="N8" s="553"/>
      <c r="O8" s="553"/>
      <c r="P8" s="547"/>
      <c r="Q8" s="547"/>
      <c r="R8" s="547" t="s">
        <v>317</v>
      </c>
      <c r="S8" s="547" t="s">
        <v>317</v>
      </c>
      <c r="T8" s="551" t="s">
        <v>118</v>
      </c>
      <c r="U8" s="552" t="s">
        <v>316</v>
      </c>
      <c r="V8" s="551" t="s">
        <v>316</v>
      </c>
    </row>
    <row r="9" spans="1:26" s="543" customFormat="1" ht="57" customHeight="1" thickBot="1" x14ac:dyDescent="0.3">
      <c r="A9" s="1371"/>
      <c r="B9" s="1372"/>
      <c r="C9" s="1372"/>
      <c r="D9" s="1372"/>
      <c r="E9" s="554" t="s">
        <v>318</v>
      </c>
      <c r="F9" s="555" t="s">
        <v>319</v>
      </c>
      <c r="G9" s="556"/>
      <c r="H9" s="1290" t="s">
        <v>471</v>
      </c>
      <c r="I9" s="1291" t="s">
        <v>473</v>
      </c>
      <c r="J9" s="557"/>
      <c r="K9" s="1292" t="s">
        <v>474</v>
      </c>
      <c r="L9" s="558"/>
      <c r="M9" s="559"/>
      <c r="N9" s="557"/>
      <c r="O9" s="557"/>
      <c r="P9" s="559"/>
      <c r="Q9" s="560"/>
      <c r="R9" s="557" t="s">
        <v>320</v>
      </c>
      <c r="S9" s="557" t="s">
        <v>320</v>
      </c>
      <c r="T9" s="561" t="s">
        <v>122</v>
      </c>
      <c r="U9" s="562" t="s">
        <v>321</v>
      </c>
      <c r="V9" s="563" t="str">
        <f>U9</f>
        <v>December 31, 2025</v>
      </c>
    </row>
    <row r="10" spans="1:26" s="544" customFormat="1" ht="12.6" customHeight="1" x14ac:dyDescent="0.25">
      <c r="A10" s="1373" t="s">
        <v>322</v>
      </c>
      <c r="B10" s="1370"/>
      <c r="C10" s="1370"/>
      <c r="D10" s="1370"/>
      <c r="E10" s="564" t="s">
        <v>323</v>
      </c>
      <c r="F10" s="564" t="s">
        <v>324</v>
      </c>
      <c r="G10" s="564" t="s">
        <v>325</v>
      </c>
      <c r="H10" s="564" t="s">
        <v>326</v>
      </c>
      <c r="I10" s="564" t="s">
        <v>327</v>
      </c>
      <c r="J10" s="564" t="s">
        <v>328</v>
      </c>
      <c r="K10" s="564" t="s">
        <v>329</v>
      </c>
      <c r="L10" s="564" t="s">
        <v>330</v>
      </c>
      <c r="M10" s="564" t="s">
        <v>331</v>
      </c>
      <c r="N10" s="564" t="s">
        <v>332</v>
      </c>
      <c r="O10" s="564" t="s">
        <v>329</v>
      </c>
      <c r="P10" s="564" t="s">
        <v>329</v>
      </c>
      <c r="Q10" s="564" t="s">
        <v>329</v>
      </c>
      <c r="R10" s="564" t="s">
        <v>329</v>
      </c>
      <c r="S10" s="564" t="s">
        <v>329</v>
      </c>
      <c r="T10" s="565" t="s">
        <v>333</v>
      </c>
      <c r="U10" s="566" t="s">
        <v>334</v>
      </c>
      <c r="V10" s="564" t="s">
        <v>335</v>
      </c>
      <c r="W10" s="567"/>
      <c r="X10" s="567"/>
      <c r="Y10" s="567"/>
      <c r="Z10" s="567"/>
    </row>
    <row r="11" spans="1:26" ht="12.6" customHeight="1" x14ac:dyDescent="0.25">
      <c r="A11" s="568" t="s">
        <v>140</v>
      </c>
      <c r="B11" s="569"/>
      <c r="C11" s="569"/>
      <c r="D11" s="569"/>
      <c r="E11" s="570"/>
      <c r="F11" s="571"/>
      <c r="G11" s="570"/>
      <c r="H11" s="570"/>
      <c r="I11" s="570"/>
      <c r="J11" s="570"/>
      <c r="K11" s="570"/>
      <c r="L11" s="570"/>
      <c r="M11" s="570"/>
      <c r="N11" s="570"/>
      <c r="O11" s="570"/>
      <c r="P11" s="570"/>
      <c r="Q11" s="570"/>
      <c r="R11" s="570"/>
      <c r="S11" s="570"/>
      <c r="T11" s="570"/>
      <c r="U11" s="572"/>
      <c r="V11" s="570"/>
      <c r="W11" s="532"/>
      <c r="X11" s="532"/>
      <c r="Y11" s="532"/>
      <c r="Z11" s="532"/>
    </row>
    <row r="12" spans="1:26" ht="12.6" customHeight="1" x14ac:dyDescent="0.25">
      <c r="A12" s="573" t="s">
        <v>88</v>
      </c>
      <c r="B12" s="569"/>
      <c r="C12" s="569"/>
      <c r="D12" s="569"/>
      <c r="E12" s="570"/>
      <c r="F12" s="570"/>
      <c r="G12" s="570"/>
      <c r="H12" s="570"/>
      <c r="I12" s="570"/>
      <c r="J12" s="570"/>
      <c r="K12" s="570"/>
      <c r="L12" s="570"/>
      <c r="M12" s="570"/>
      <c r="N12" s="570"/>
      <c r="O12" s="570"/>
      <c r="P12" s="570"/>
      <c r="Q12" s="570"/>
      <c r="R12" s="570"/>
      <c r="S12" s="570"/>
      <c r="T12" s="570">
        <f>SUM(E12:S12)</f>
        <v>0</v>
      </c>
      <c r="U12" s="574"/>
      <c r="V12" s="570">
        <f>T12-U12</f>
        <v>0</v>
      </c>
      <c r="W12" s="532"/>
      <c r="X12" s="532"/>
      <c r="Y12" s="532"/>
      <c r="Z12" s="532"/>
    </row>
    <row r="13" spans="1:26" ht="12.6" customHeight="1" x14ac:dyDescent="0.25">
      <c r="A13" s="575" t="s">
        <v>336</v>
      </c>
      <c r="B13" s="569" t="s">
        <v>337</v>
      </c>
      <c r="C13" s="569"/>
      <c r="D13" s="569"/>
      <c r="E13" s="570">
        <f>175642.08</f>
        <v>175642.08</v>
      </c>
      <c r="F13" s="570">
        <f>'CABAC Non-Fid 2025'!G13+'CABAC Non-Fid 2025'!G14</f>
        <v>3103732.25</v>
      </c>
      <c r="G13" s="570"/>
      <c r="H13" s="570"/>
      <c r="I13" s="570">
        <f>'CABAC Non-Fid 2025'!K13+'CABAC Non-Fid 2025'!K14</f>
        <v>3008026.25</v>
      </c>
      <c r="J13" s="570"/>
      <c r="K13" s="570"/>
      <c r="L13" s="570"/>
      <c r="M13" s="570"/>
      <c r="N13" s="570"/>
      <c r="O13" s="570"/>
      <c r="P13" s="570"/>
      <c r="Q13" s="570"/>
      <c r="R13" s="570"/>
      <c r="S13" s="570"/>
      <c r="T13" s="570">
        <f t="shared" ref="T13:T29" si="0">SUM(E13:S13)</f>
        <v>6287400.5800000001</v>
      </c>
      <c r="U13" s="574"/>
      <c r="V13" s="570">
        <f t="shared" ref="V13:V14" si="1">T13-U13</f>
        <v>6287400.5800000001</v>
      </c>
      <c r="W13" s="532"/>
      <c r="X13" s="532"/>
      <c r="Y13" s="532"/>
      <c r="Z13" s="532"/>
    </row>
    <row r="14" spans="1:26" ht="12.6" customHeight="1" x14ac:dyDescent="0.25">
      <c r="A14" s="576"/>
      <c r="B14" s="569" t="s">
        <v>338</v>
      </c>
      <c r="C14" s="569"/>
      <c r="D14" s="569"/>
      <c r="E14" s="570"/>
      <c r="F14" s="570"/>
      <c r="G14" s="570"/>
      <c r="H14" s="570"/>
      <c r="I14" s="570"/>
      <c r="J14" s="570"/>
      <c r="K14" s="570"/>
      <c r="L14" s="570"/>
      <c r="M14" s="570"/>
      <c r="N14" s="570"/>
      <c r="O14" s="570"/>
      <c r="P14" s="570"/>
      <c r="Q14" s="570"/>
      <c r="R14" s="570"/>
      <c r="S14" s="570"/>
      <c r="T14" s="570">
        <f t="shared" si="0"/>
        <v>0</v>
      </c>
      <c r="U14" s="574"/>
      <c r="V14" s="570">
        <f t="shared" si="1"/>
        <v>0</v>
      </c>
      <c r="W14" s="532"/>
      <c r="X14" s="532"/>
      <c r="Y14" s="532"/>
      <c r="Z14" s="532"/>
    </row>
    <row r="15" spans="1:26" ht="12.6" customHeight="1" x14ac:dyDescent="0.25">
      <c r="A15" s="577"/>
      <c r="B15" s="569" t="s">
        <v>261</v>
      </c>
      <c r="C15" s="569"/>
      <c r="D15" s="569"/>
      <c r="E15" s="570">
        <v>1975445.8</v>
      </c>
      <c r="F15" s="570">
        <f>'CABAC Non-Fid 2025'!G16</f>
        <v>200000</v>
      </c>
      <c r="G15" s="570"/>
      <c r="H15" s="570"/>
      <c r="I15" s="570">
        <f>'CABAC Non-Fid 2025'!K16</f>
        <v>200000</v>
      </c>
      <c r="J15" s="570"/>
      <c r="K15" s="570"/>
      <c r="L15" s="570"/>
      <c r="M15" s="570"/>
      <c r="N15" s="570"/>
      <c r="O15" s="570"/>
      <c r="P15" s="570"/>
      <c r="Q15" s="570"/>
      <c r="R15" s="570"/>
      <c r="S15" s="570"/>
      <c r="T15" s="570">
        <f t="shared" si="0"/>
        <v>2375445.7999999998</v>
      </c>
      <c r="U15" s="574"/>
      <c r="V15" s="570">
        <f>T15-U15</f>
        <v>2375445.7999999998</v>
      </c>
      <c r="W15" s="532"/>
      <c r="X15" s="532"/>
      <c r="Y15" s="532"/>
      <c r="Z15" s="532"/>
    </row>
    <row r="16" spans="1:26" ht="12.6" customHeight="1" x14ac:dyDescent="0.25">
      <c r="A16" s="577"/>
      <c r="B16" s="569" t="s">
        <v>262</v>
      </c>
      <c r="C16" s="569"/>
      <c r="D16" s="569"/>
      <c r="E16" s="570">
        <v>150000</v>
      </c>
      <c r="F16" s="570">
        <f>'CABAC Non-Fid 2025'!G17</f>
        <v>200000</v>
      </c>
      <c r="G16" s="570"/>
      <c r="H16" s="570"/>
      <c r="I16" s="570">
        <f>'CABAC Non-Fid 2025'!K17</f>
        <v>200000</v>
      </c>
      <c r="J16" s="570"/>
      <c r="K16" s="570"/>
      <c r="L16" s="570"/>
      <c r="M16" s="570"/>
      <c r="N16" s="570"/>
      <c r="O16" s="570"/>
      <c r="P16" s="570"/>
      <c r="Q16" s="570"/>
      <c r="R16" s="570"/>
      <c r="S16" s="570"/>
      <c r="T16" s="570">
        <f t="shared" si="0"/>
        <v>550000</v>
      </c>
      <c r="U16" s="574"/>
      <c r="V16" s="570">
        <f t="shared" ref="V16:V29" si="2">T16-U16</f>
        <v>550000</v>
      </c>
      <c r="W16" s="532"/>
      <c r="X16" s="532"/>
      <c r="Y16" s="532"/>
      <c r="Z16" s="532"/>
    </row>
    <row r="17" spans="1:26" ht="12.6" customHeight="1" x14ac:dyDescent="0.25">
      <c r="A17" s="577"/>
      <c r="B17" s="569" t="s">
        <v>339</v>
      </c>
      <c r="C17" s="569"/>
      <c r="D17" s="569"/>
      <c r="E17" s="570">
        <v>5000</v>
      </c>
      <c r="F17" s="570">
        <f>'CABAC Non-Fid 2025'!G15</f>
        <v>5943.63</v>
      </c>
      <c r="G17" s="570"/>
      <c r="H17" s="570"/>
      <c r="I17" s="570"/>
      <c r="J17" s="570"/>
      <c r="K17" s="570"/>
      <c r="L17" s="570"/>
      <c r="M17" s="570"/>
      <c r="N17" s="570"/>
      <c r="O17" s="570"/>
      <c r="P17" s="570"/>
      <c r="Q17" s="570"/>
      <c r="R17" s="570"/>
      <c r="S17" s="570"/>
      <c r="T17" s="570">
        <f t="shared" si="0"/>
        <v>10943.630000000001</v>
      </c>
      <c r="U17" s="574"/>
      <c r="V17" s="570">
        <f t="shared" si="2"/>
        <v>10943.630000000001</v>
      </c>
      <c r="W17" s="532"/>
      <c r="X17" s="532"/>
      <c r="Y17" s="532"/>
      <c r="Z17" s="532"/>
    </row>
    <row r="18" spans="1:26" ht="12.6" customHeight="1" x14ac:dyDescent="0.25">
      <c r="A18" s="577"/>
      <c r="B18" s="578" t="s">
        <v>147</v>
      </c>
      <c r="C18" s="579"/>
      <c r="D18" s="579"/>
      <c r="E18" s="570">
        <v>143029.20000000001</v>
      </c>
      <c r="F18" s="570">
        <f>'CABAC Fiduciary 2025'!F20</f>
        <v>99503.1</v>
      </c>
      <c r="G18" s="570"/>
      <c r="H18" s="570"/>
      <c r="I18" s="570">
        <f>'CABAC Fiduciary 2025'!J20</f>
        <v>98603.1</v>
      </c>
      <c r="J18" s="570"/>
      <c r="K18" s="570"/>
      <c r="L18" s="570"/>
      <c r="M18" s="570"/>
      <c r="N18" s="570"/>
      <c r="O18" s="570"/>
      <c r="P18" s="570"/>
      <c r="Q18" s="570"/>
      <c r="R18" s="570"/>
      <c r="S18" s="570"/>
      <c r="T18" s="570">
        <f t="shared" si="0"/>
        <v>341135.4</v>
      </c>
      <c r="U18" s="574"/>
      <c r="V18" s="570">
        <f t="shared" si="2"/>
        <v>341135.4</v>
      </c>
      <c r="W18" s="532"/>
      <c r="X18" s="532"/>
      <c r="Y18" s="532"/>
      <c r="Z18" s="532"/>
    </row>
    <row r="19" spans="1:26" ht="12.6" customHeight="1" x14ac:dyDescent="0.25">
      <c r="A19" s="577"/>
      <c r="B19" s="578" t="s">
        <v>145</v>
      </c>
      <c r="C19" s="579"/>
      <c r="D19" s="579"/>
      <c r="E19" s="570">
        <v>503376.06</v>
      </c>
      <c r="F19" s="570">
        <f>'CABAC Fiduciary 2025'!F17</f>
        <v>313585.15000000002</v>
      </c>
      <c r="G19" s="570"/>
      <c r="H19" s="570"/>
      <c r="I19" s="570">
        <f>'CABAC Fiduciary 2025'!J17</f>
        <v>313585.15000000002</v>
      </c>
      <c r="J19" s="570"/>
      <c r="K19" s="570"/>
      <c r="L19" s="570"/>
      <c r="M19" s="570"/>
      <c r="N19" s="570"/>
      <c r="O19" s="570"/>
      <c r="P19" s="570"/>
      <c r="Q19" s="570"/>
      <c r="R19" s="570"/>
      <c r="S19" s="570"/>
      <c r="T19" s="570">
        <f t="shared" si="0"/>
        <v>1130546.3599999999</v>
      </c>
      <c r="U19" s="574"/>
      <c r="V19" s="570">
        <f t="shared" si="2"/>
        <v>1130546.3599999999</v>
      </c>
      <c r="W19" s="532"/>
      <c r="X19" s="532"/>
      <c r="Y19" s="532"/>
      <c r="Z19" s="532"/>
    </row>
    <row r="20" spans="1:26" ht="12.6" customHeight="1" x14ac:dyDescent="0.25">
      <c r="A20" s="577"/>
      <c r="B20" s="569" t="s">
        <v>340</v>
      </c>
      <c r="C20" s="569"/>
      <c r="D20" s="580"/>
      <c r="E20" s="570"/>
      <c r="F20" s="570">
        <f>'CABAC Fiduciary 2025'!F13+'CABAC Fiduciary 2025'!F15</f>
        <v>3082650.9699999997</v>
      </c>
      <c r="G20" s="570"/>
      <c r="H20" s="570"/>
      <c r="I20" s="570">
        <f>'CABAC Fiduciary 2025'!J13+'CABAC Fiduciary 2025'!J15</f>
        <v>3082650.9699999997</v>
      </c>
      <c r="J20" s="570"/>
      <c r="K20" s="570"/>
      <c r="L20" s="570"/>
      <c r="M20" s="570"/>
      <c r="N20" s="570"/>
      <c r="O20" s="570"/>
      <c r="P20" s="570"/>
      <c r="Q20" s="570"/>
      <c r="R20" s="570"/>
      <c r="S20" s="570"/>
      <c r="T20" s="570">
        <f t="shared" si="0"/>
        <v>6165301.9399999995</v>
      </c>
      <c r="U20" s="574"/>
      <c r="V20" s="570">
        <f t="shared" si="2"/>
        <v>6165301.9399999995</v>
      </c>
      <c r="W20" s="532"/>
      <c r="X20" s="532"/>
      <c r="Y20" s="532"/>
      <c r="Z20" s="532"/>
    </row>
    <row r="21" spans="1:26" ht="12.6" customHeight="1" x14ac:dyDescent="0.25">
      <c r="A21" s="577"/>
      <c r="B21" s="569" t="s">
        <v>172</v>
      </c>
      <c r="C21" s="569"/>
      <c r="D21" s="569"/>
      <c r="E21" s="570">
        <v>50000</v>
      </c>
      <c r="F21" s="570"/>
      <c r="G21" s="570"/>
      <c r="H21" s="570"/>
      <c r="I21" s="570"/>
      <c r="J21" s="570"/>
      <c r="K21" s="570"/>
      <c r="L21" s="570"/>
      <c r="M21" s="570"/>
      <c r="N21" s="570"/>
      <c r="O21" s="570"/>
      <c r="P21" s="570"/>
      <c r="Q21" s="570"/>
      <c r="R21" s="570"/>
      <c r="S21" s="570"/>
      <c r="T21" s="570">
        <f t="shared" si="0"/>
        <v>50000</v>
      </c>
      <c r="U21" s="574"/>
      <c r="V21" s="570">
        <f t="shared" si="2"/>
        <v>50000</v>
      </c>
      <c r="W21" s="532"/>
      <c r="X21" s="532"/>
      <c r="Y21" s="532"/>
      <c r="Z21" s="532"/>
    </row>
    <row r="22" spans="1:26" ht="12.6" customHeight="1" x14ac:dyDescent="0.25">
      <c r="A22" s="577"/>
      <c r="B22" s="581" t="s">
        <v>148</v>
      </c>
      <c r="C22" s="569"/>
      <c r="D22" s="569"/>
      <c r="E22" s="570">
        <v>200000</v>
      </c>
      <c r="F22" s="570"/>
      <c r="G22" s="570"/>
      <c r="H22" s="570"/>
      <c r="I22" s="570"/>
      <c r="J22" s="570"/>
      <c r="K22" s="570"/>
      <c r="L22" s="570"/>
      <c r="M22" s="570"/>
      <c r="N22" s="570"/>
      <c r="O22" s="570"/>
      <c r="P22" s="570"/>
      <c r="Q22" s="570"/>
      <c r="R22" s="570"/>
      <c r="S22" s="570"/>
      <c r="T22" s="570">
        <f t="shared" si="0"/>
        <v>200000</v>
      </c>
      <c r="U22" s="574"/>
      <c r="V22" s="570">
        <f t="shared" si="2"/>
        <v>200000</v>
      </c>
      <c r="W22" s="532"/>
      <c r="X22" s="532"/>
      <c r="Y22" s="532"/>
      <c r="Z22" s="532"/>
    </row>
    <row r="23" spans="1:26" ht="12.6" customHeight="1" x14ac:dyDescent="0.25">
      <c r="A23" s="577"/>
      <c r="B23" s="569" t="s">
        <v>342</v>
      </c>
      <c r="C23" s="569"/>
      <c r="D23" s="580"/>
      <c r="E23" s="570">
        <v>5000</v>
      </c>
      <c r="F23" s="570"/>
      <c r="G23" s="570"/>
      <c r="H23" s="570"/>
      <c r="I23" s="570"/>
      <c r="J23" s="570"/>
      <c r="K23" s="570"/>
      <c r="L23" s="570"/>
      <c r="M23" s="570"/>
      <c r="N23" s="570"/>
      <c r="O23" s="570"/>
      <c r="P23" s="570"/>
      <c r="Q23" s="570"/>
      <c r="R23" s="570"/>
      <c r="S23" s="570"/>
      <c r="T23" s="570">
        <f t="shared" si="0"/>
        <v>5000</v>
      </c>
      <c r="U23" s="574"/>
      <c r="V23" s="570">
        <f t="shared" si="2"/>
        <v>5000</v>
      </c>
      <c r="W23" s="532"/>
      <c r="X23" s="532"/>
      <c r="Y23" s="532"/>
      <c r="Z23" s="532"/>
    </row>
    <row r="24" spans="1:26" ht="12.6" customHeight="1" x14ac:dyDescent="0.25">
      <c r="A24" s="577"/>
      <c r="B24" s="569" t="s">
        <v>343</v>
      </c>
      <c r="C24" s="569"/>
      <c r="D24" s="569"/>
      <c r="E24" s="570">
        <v>90000</v>
      </c>
      <c r="F24" s="570"/>
      <c r="G24" s="570"/>
      <c r="H24" s="570"/>
      <c r="I24" s="570"/>
      <c r="J24" s="570"/>
      <c r="K24" s="570"/>
      <c r="L24" s="570"/>
      <c r="M24" s="570"/>
      <c r="N24" s="570"/>
      <c r="O24" s="570"/>
      <c r="P24" s="570"/>
      <c r="Q24" s="570"/>
      <c r="R24" s="570"/>
      <c r="S24" s="570"/>
      <c r="T24" s="570">
        <f t="shared" si="0"/>
        <v>90000</v>
      </c>
      <c r="U24" s="574"/>
      <c r="V24" s="570">
        <f t="shared" si="2"/>
        <v>90000</v>
      </c>
      <c r="W24" s="532"/>
      <c r="X24" s="532"/>
      <c r="Y24" s="532"/>
      <c r="Z24" s="532"/>
    </row>
    <row r="25" spans="1:26" ht="12.6" customHeight="1" x14ac:dyDescent="0.25">
      <c r="A25" s="577"/>
      <c r="B25" s="569" t="s">
        <v>344</v>
      </c>
      <c r="C25" s="569"/>
      <c r="D25" s="569"/>
      <c r="E25" s="570">
        <v>172563.74</v>
      </c>
      <c r="F25" s="570">
        <f>'CABAC Fiduciary 2025'!F19</f>
        <v>196781.93</v>
      </c>
      <c r="G25" s="570"/>
      <c r="H25" s="570"/>
      <c r="I25" s="570">
        <f>'CABAC Fiduciary 2025'!J19</f>
        <v>196781.93</v>
      </c>
      <c r="J25" s="570"/>
      <c r="K25" s="570"/>
      <c r="L25" s="570"/>
      <c r="M25" s="570"/>
      <c r="N25" s="570"/>
      <c r="O25" s="570"/>
      <c r="P25" s="570"/>
      <c r="Q25" s="570"/>
      <c r="R25" s="570"/>
      <c r="S25" s="570"/>
      <c r="T25" s="570">
        <f t="shared" si="0"/>
        <v>566127.6</v>
      </c>
      <c r="U25" s="574"/>
      <c r="V25" s="570">
        <f t="shared" si="2"/>
        <v>566127.6</v>
      </c>
      <c r="W25" s="532"/>
      <c r="X25" s="532"/>
      <c r="Y25" s="532"/>
      <c r="Z25" s="532"/>
    </row>
    <row r="26" spans="1:26" ht="12.6" customHeight="1" x14ac:dyDescent="0.25">
      <c r="A26" s="577"/>
      <c r="B26" s="569" t="s">
        <v>169</v>
      </c>
      <c r="C26" s="569"/>
      <c r="D26" s="569"/>
      <c r="E26" s="570">
        <v>50000</v>
      </c>
      <c r="F26" s="570">
        <f>'CABAC Fiduciary 2025'!F32</f>
        <v>208500</v>
      </c>
      <c r="G26" s="570"/>
      <c r="H26" s="570"/>
      <c r="I26" s="570"/>
      <c r="J26" s="570"/>
      <c r="K26" s="570"/>
      <c r="L26" s="570"/>
      <c r="M26" s="570"/>
      <c r="N26" s="570"/>
      <c r="O26" s="570"/>
      <c r="P26" s="570"/>
      <c r="Q26" s="570"/>
      <c r="R26" s="570"/>
      <c r="S26" s="570"/>
      <c r="T26" s="570">
        <f t="shared" si="0"/>
        <v>258500</v>
      </c>
      <c r="U26" s="574"/>
      <c r="V26" s="570">
        <f t="shared" si="2"/>
        <v>258500</v>
      </c>
      <c r="W26" s="532"/>
      <c r="X26" s="532"/>
      <c r="Y26" s="532"/>
      <c r="Z26" s="532"/>
    </row>
    <row r="27" spans="1:26" ht="12.6" customHeight="1" x14ac:dyDescent="0.25">
      <c r="A27" s="577"/>
      <c r="B27" s="569" t="s">
        <v>168</v>
      </c>
      <c r="C27" s="569"/>
      <c r="D27" s="580"/>
      <c r="E27" s="570">
        <v>9778.91</v>
      </c>
      <c r="F27" s="570">
        <f>'CABAC Fiduciary 2025'!F31+'CABAC Non-Fid 2025'!G19</f>
        <v>186834</v>
      </c>
      <c r="G27" s="570"/>
      <c r="H27" s="570"/>
      <c r="I27" s="570"/>
      <c r="J27" s="570"/>
      <c r="K27" s="570"/>
      <c r="L27" s="570"/>
      <c r="M27" s="570"/>
      <c r="N27" s="570"/>
      <c r="O27" s="570"/>
      <c r="P27" s="570"/>
      <c r="Q27" s="570"/>
      <c r="R27" s="570"/>
      <c r="S27" s="570"/>
      <c r="T27" s="570">
        <f>SUM(E27:S27)</f>
        <v>196612.91</v>
      </c>
      <c r="U27" s="574"/>
      <c r="V27" s="570">
        <f t="shared" si="2"/>
        <v>196612.91</v>
      </c>
      <c r="W27" s="532"/>
      <c r="X27" s="532"/>
      <c r="Y27" s="532"/>
      <c r="Z27" s="532"/>
    </row>
    <row r="28" spans="1:26" ht="12.6" customHeight="1" x14ac:dyDescent="0.25">
      <c r="A28" s="577"/>
      <c r="B28" s="569" t="s">
        <v>154</v>
      </c>
      <c r="C28" s="569"/>
      <c r="D28" s="580"/>
      <c r="E28" s="570">
        <v>30000</v>
      </c>
      <c r="F28" s="570"/>
      <c r="G28" s="570"/>
      <c r="H28" s="570"/>
      <c r="I28" s="570"/>
      <c r="J28" s="570"/>
      <c r="K28" s="570"/>
      <c r="L28" s="570"/>
      <c r="M28" s="570"/>
      <c r="N28" s="570"/>
      <c r="O28" s="570"/>
      <c r="P28" s="570"/>
      <c r="Q28" s="570"/>
      <c r="R28" s="570"/>
      <c r="S28" s="570"/>
      <c r="T28" s="570">
        <f t="shared" si="0"/>
        <v>30000</v>
      </c>
      <c r="U28" s="574"/>
      <c r="V28" s="570">
        <f t="shared" si="2"/>
        <v>30000</v>
      </c>
      <c r="W28" s="532"/>
      <c r="X28" s="532"/>
      <c r="Y28" s="532"/>
      <c r="Z28" s="532"/>
    </row>
    <row r="29" spans="1:26" ht="12.6" customHeight="1" thickBot="1" x14ac:dyDescent="0.3">
      <c r="A29" s="577"/>
      <c r="B29" s="578" t="s">
        <v>452</v>
      </c>
      <c r="C29" s="579"/>
      <c r="D29" s="579"/>
      <c r="E29" s="570"/>
      <c r="F29" s="570">
        <f>'CABAC Fiduciary 2025'!F16</f>
        <v>2000000</v>
      </c>
      <c r="G29" s="570"/>
      <c r="H29" s="570"/>
      <c r="I29" s="570">
        <f>'CABAC Fiduciary 2025'!J16</f>
        <v>2000000</v>
      </c>
      <c r="J29" s="570"/>
      <c r="K29" s="570"/>
      <c r="L29" s="570"/>
      <c r="M29" s="570"/>
      <c r="N29" s="570"/>
      <c r="O29" s="570"/>
      <c r="P29" s="570"/>
      <c r="Q29" s="570"/>
      <c r="R29" s="570"/>
      <c r="S29" s="570"/>
      <c r="T29" s="570">
        <f t="shared" si="0"/>
        <v>4000000</v>
      </c>
      <c r="U29" s="574"/>
      <c r="V29" s="570">
        <f t="shared" si="2"/>
        <v>4000000</v>
      </c>
      <c r="W29" s="532"/>
      <c r="X29" s="532"/>
      <c r="Y29" s="532"/>
      <c r="Z29" s="532"/>
    </row>
    <row r="30" spans="1:26" ht="12.6" customHeight="1" thickBot="1" x14ac:dyDescent="0.3">
      <c r="A30" s="577"/>
      <c r="B30" s="581" t="s">
        <v>346</v>
      </c>
      <c r="C30" s="569"/>
      <c r="D30" s="580"/>
      <c r="E30" s="582">
        <f t="shared" ref="E30:V30" si="3">SUM(E12:E29)</f>
        <v>3559835.79</v>
      </c>
      <c r="F30" s="582">
        <f t="shared" si="3"/>
        <v>9597531.0299999993</v>
      </c>
      <c r="G30" s="582">
        <f t="shared" si="3"/>
        <v>0</v>
      </c>
      <c r="H30" s="582">
        <f t="shared" si="3"/>
        <v>0</v>
      </c>
      <c r="I30" s="582">
        <f t="shared" si="3"/>
        <v>9099647.3999999985</v>
      </c>
      <c r="J30" s="582">
        <f t="shared" si="3"/>
        <v>0</v>
      </c>
      <c r="K30" s="582">
        <f t="shared" si="3"/>
        <v>0</v>
      </c>
      <c r="L30" s="582">
        <f t="shared" si="3"/>
        <v>0</v>
      </c>
      <c r="M30" s="582">
        <f t="shared" si="3"/>
        <v>0</v>
      </c>
      <c r="N30" s="582">
        <f t="shared" si="3"/>
        <v>0</v>
      </c>
      <c r="O30" s="582">
        <f t="shared" si="3"/>
        <v>0</v>
      </c>
      <c r="P30" s="582">
        <f t="shared" si="3"/>
        <v>0</v>
      </c>
      <c r="Q30" s="582">
        <f t="shared" si="3"/>
        <v>0</v>
      </c>
      <c r="R30" s="582">
        <f t="shared" si="3"/>
        <v>0</v>
      </c>
      <c r="S30" s="582">
        <f t="shared" si="3"/>
        <v>0</v>
      </c>
      <c r="T30" s="582">
        <f t="shared" si="3"/>
        <v>22257014.220000003</v>
      </c>
      <c r="U30" s="582">
        <f t="shared" si="3"/>
        <v>0</v>
      </c>
      <c r="V30" s="582">
        <f t="shared" si="3"/>
        <v>22257014.220000003</v>
      </c>
      <c r="W30" s="532"/>
      <c r="X30" s="532"/>
      <c r="Y30" s="532"/>
      <c r="Z30" s="532"/>
    </row>
    <row r="31" spans="1:26" ht="12.6" customHeight="1" x14ac:dyDescent="0.25">
      <c r="A31" s="577"/>
      <c r="B31" s="581"/>
      <c r="C31" s="569"/>
      <c r="D31" s="583" t="s">
        <v>347</v>
      </c>
      <c r="E31" s="730">
        <f>E18+E19+E20+E21+E22+E23+E24+E25+E26+E27+E28+E29</f>
        <v>1253747.9099999999</v>
      </c>
      <c r="F31" s="730">
        <f t="shared" ref="F31:V31" si="4">SUM(F18:F29)</f>
        <v>6087855.1500000004</v>
      </c>
      <c r="G31" s="584">
        <f t="shared" si="4"/>
        <v>0</v>
      </c>
      <c r="H31" s="584">
        <f t="shared" si="4"/>
        <v>0</v>
      </c>
      <c r="I31" s="584">
        <f t="shared" si="4"/>
        <v>5691621.1500000004</v>
      </c>
      <c r="J31" s="584">
        <f t="shared" si="4"/>
        <v>0</v>
      </c>
      <c r="K31" s="584">
        <f t="shared" si="4"/>
        <v>0</v>
      </c>
      <c r="L31" s="584">
        <f t="shared" si="4"/>
        <v>0</v>
      </c>
      <c r="M31" s="584">
        <f t="shared" si="4"/>
        <v>0</v>
      </c>
      <c r="N31" s="584">
        <f t="shared" si="4"/>
        <v>0</v>
      </c>
      <c r="O31" s="584">
        <f t="shared" si="4"/>
        <v>0</v>
      </c>
      <c r="P31" s="584">
        <f t="shared" si="4"/>
        <v>0</v>
      </c>
      <c r="Q31" s="584">
        <f t="shared" si="4"/>
        <v>0</v>
      </c>
      <c r="R31" s="584">
        <f t="shared" si="4"/>
        <v>0</v>
      </c>
      <c r="S31" s="584">
        <f t="shared" si="4"/>
        <v>0</v>
      </c>
      <c r="T31" s="730">
        <f t="shared" si="4"/>
        <v>13033224.209999999</v>
      </c>
      <c r="U31" s="730">
        <f t="shared" si="4"/>
        <v>0</v>
      </c>
      <c r="V31" s="730">
        <f t="shared" si="4"/>
        <v>13033224.209999999</v>
      </c>
      <c r="W31" s="532"/>
      <c r="X31" s="532"/>
      <c r="Y31" s="532"/>
      <c r="Z31" s="532"/>
    </row>
    <row r="32" spans="1:26" ht="12.6" customHeight="1" x14ac:dyDescent="0.25">
      <c r="A32" s="577"/>
      <c r="B32" s="581"/>
      <c r="C32" s="585"/>
      <c r="D32" s="583" t="s">
        <v>348</v>
      </c>
      <c r="E32" s="730">
        <f>E13+E14+E15+E16+E17</f>
        <v>2306087.88</v>
      </c>
      <c r="F32" s="730">
        <f t="shared" ref="F32:V32" si="5">SUM(F12:F16)</f>
        <v>3503732.25</v>
      </c>
      <c r="G32" s="584">
        <f t="shared" si="5"/>
        <v>0</v>
      </c>
      <c r="H32" s="584">
        <f t="shared" si="5"/>
        <v>0</v>
      </c>
      <c r="I32" s="584">
        <f t="shared" si="5"/>
        <v>3408026.25</v>
      </c>
      <c r="J32" s="584">
        <f t="shared" si="5"/>
        <v>0</v>
      </c>
      <c r="K32" s="584">
        <f t="shared" si="5"/>
        <v>0</v>
      </c>
      <c r="L32" s="584">
        <f t="shared" si="5"/>
        <v>0</v>
      </c>
      <c r="M32" s="584">
        <f t="shared" si="5"/>
        <v>0</v>
      </c>
      <c r="N32" s="584">
        <f t="shared" si="5"/>
        <v>0</v>
      </c>
      <c r="O32" s="584">
        <f t="shared" si="5"/>
        <v>0</v>
      </c>
      <c r="P32" s="584">
        <f t="shared" si="5"/>
        <v>0</v>
      </c>
      <c r="Q32" s="584">
        <f t="shared" si="5"/>
        <v>0</v>
      </c>
      <c r="R32" s="584">
        <f t="shared" si="5"/>
        <v>0</v>
      </c>
      <c r="S32" s="584">
        <f t="shared" si="5"/>
        <v>0</v>
      </c>
      <c r="T32" s="730">
        <f t="shared" si="5"/>
        <v>9212846.379999999</v>
      </c>
      <c r="U32" s="730">
        <f t="shared" si="5"/>
        <v>0</v>
      </c>
      <c r="V32" s="730">
        <f t="shared" si="5"/>
        <v>9212846.379999999</v>
      </c>
      <c r="W32" s="532"/>
      <c r="X32" s="532"/>
      <c r="Y32" s="532"/>
      <c r="Z32" s="532"/>
    </row>
    <row r="33" spans="1:26" ht="12.6" customHeight="1" x14ac:dyDescent="0.25">
      <c r="A33" s="577"/>
      <c r="B33" s="581"/>
      <c r="C33" s="569"/>
      <c r="D33" s="580"/>
      <c r="E33" s="730">
        <f>SUM(E31:E32)</f>
        <v>3559835.79</v>
      </c>
      <c r="F33" s="730">
        <f t="shared" ref="F33:V33" si="6">SUM(F31:F32)</f>
        <v>9591587.4000000004</v>
      </c>
      <c r="G33" s="584">
        <f t="shared" si="6"/>
        <v>0</v>
      </c>
      <c r="H33" s="584">
        <f>SUM(H31:H32)</f>
        <v>0</v>
      </c>
      <c r="I33" s="584">
        <f t="shared" si="6"/>
        <v>9099647.4000000004</v>
      </c>
      <c r="J33" s="584">
        <f>SUM(J31:J32)</f>
        <v>0</v>
      </c>
      <c r="K33" s="584">
        <f t="shared" si="6"/>
        <v>0</v>
      </c>
      <c r="L33" s="584">
        <f t="shared" si="6"/>
        <v>0</v>
      </c>
      <c r="M33" s="584">
        <f t="shared" si="6"/>
        <v>0</v>
      </c>
      <c r="N33" s="584">
        <f t="shared" si="6"/>
        <v>0</v>
      </c>
      <c r="O33" s="584">
        <f t="shared" si="6"/>
        <v>0</v>
      </c>
      <c r="P33" s="584">
        <f t="shared" si="6"/>
        <v>0</v>
      </c>
      <c r="Q33" s="584">
        <f t="shared" si="6"/>
        <v>0</v>
      </c>
      <c r="R33" s="584">
        <f t="shared" si="6"/>
        <v>0</v>
      </c>
      <c r="S33" s="584">
        <f t="shared" si="6"/>
        <v>0</v>
      </c>
      <c r="T33" s="730">
        <f t="shared" si="6"/>
        <v>22246070.589999996</v>
      </c>
      <c r="U33" s="730">
        <f t="shared" si="6"/>
        <v>0</v>
      </c>
      <c r="V33" s="730">
        <f t="shared" si="6"/>
        <v>22246070.589999996</v>
      </c>
      <c r="W33" s="532"/>
      <c r="X33" s="532"/>
      <c r="Y33" s="532"/>
      <c r="Z33" s="532"/>
    </row>
    <row r="34" spans="1:26" ht="12.6" customHeight="1" thickBot="1" x14ac:dyDescent="0.3">
      <c r="A34" s="577"/>
      <c r="B34" s="569"/>
      <c r="C34" s="569"/>
      <c r="D34" s="580"/>
      <c r="E34" s="586">
        <f>E33-E30</f>
        <v>0</v>
      </c>
      <c r="F34" s="586">
        <f t="shared" ref="F34:V34" si="7">F33-F30</f>
        <v>-5943.6299999989569</v>
      </c>
      <c r="G34" s="586">
        <f t="shared" si="7"/>
        <v>0</v>
      </c>
      <c r="H34" s="586">
        <f>H33-H30</f>
        <v>0</v>
      </c>
      <c r="I34" s="586">
        <f t="shared" si="7"/>
        <v>0</v>
      </c>
      <c r="J34" s="586">
        <f>J33-J30</f>
        <v>0</v>
      </c>
      <c r="K34" s="586">
        <f t="shared" si="7"/>
        <v>0</v>
      </c>
      <c r="L34" s="586">
        <f t="shared" si="7"/>
        <v>0</v>
      </c>
      <c r="M34" s="586">
        <f t="shared" si="7"/>
        <v>0</v>
      </c>
      <c r="N34" s="586">
        <f t="shared" si="7"/>
        <v>0</v>
      </c>
      <c r="O34" s="586">
        <f t="shared" si="7"/>
        <v>0</v>
      </c>
      <c r="P34" s="586">
        <f t="shared" si="7"/>
        <v>0</v>
      </c>
      <c r="Q34" s="586">
        <f t="shared" si="7"/>
        <v>0</v>
      </c>
      <c r="R34" s="586">
        <f t="shared" si="7"/>
        <v>0</v>
      </c>
      <c r="S34" s="586">
        <f t="shared" si="7"/>
        <v>0</v>
      </c>
      <c r="T34" s="586">
        <f t="shared" si="7"/>
        <v>-10943.630000006407</v>
      </c>
      <c r="U34" s="586">
        <f t="shared" si="7"/>
        <v>0</v>
      </c>
      <c r="V34" s="586">
        <f t="shared" si="7"/>
        <v>-10943.630000006407</v>
      </c>
    </row>
    <row r="35" spans="1:26" s="591" customFormat="1" ht="12.6" customHeight="1" thickBot="1" x14ac:dyDescent="0.3">
      <c r="A35" s="587" t="s">
        <v>349</v>
      </c>
      <c r="B35" s="588"/>
      <c r="C35" s="588"/>
      <c r="D35" s="589"/>
      <c r="E35" s="590">
        <f>E30</f>
        <v>3559835.79</v>
      </c>
      <c r="F35" s="590">
        <f t="shared" ref="F35:V35" si="8">F30</f>
        <v>9597531.0299999993</v>
      </c>
      <c r="G35" s="590">
        <f t="shared" si="8"/>
        <v>0</v>
      </c>
      <c r="H35" s="590">
        <f>H30</f>
        <v>0</v>
      </c>
      <c r="I35" s="590">
        <f t="shared" si="8"/>
        <v>9099647.3999999985</v>
      </c>
      <c r="J35" s="590">
        <f>J30</f>
        <v>0</v>
      </c>
      <c r="K35" s="590">
        <f t="shared" si="8"/>
        <v>0</v>
      </c>
      <c r="L35" s="590">
        <f t="shared" si="8"/>
        <v>0</v>
      </c>
      <c r="M35" s="590">
        <f t="shared" si="8"/>
        <v>0</v>
      </c>
      <c r="N35" s="590">
        <f t="shared" si="8"/>
        <v>0</v>
      </c>
      <c r="O35" s="590">
        <f t="shared" si="8"/>
        <v>0</v>
      </c>
      <c r="P35" s="590">
        <f t="shared" si="8"/>
        <v>0</v>
      </c>
      <c r="Q35" s="590">
        <f t="shared" si="8"/>
        <v>0</v>
      </c>
      <c r="R35" s="590">
        <f t="shared" si="8"/>
        <v>0</v>
      </c>
      <c r="S35" s="590">
        <f t="shared" si="8"/>
        <v>0</v>
      </c>
      <c r="T35" s="590">
        <f t="shared" si="8"/>
        <v>22257014.220000003</v>
      </c>
      <c r="U35" s="590">
        <f t="shared" si="8"/>
        <v>0</v>
      </c>
      <c r="V35" s="590">
        <f t="shared" si="8"/>
        <v>22257014.220000003</v>
      </c>
    </row>
    <row r="36" spans="1:26" ht="12.6" customHeight="1" thickBot="1" x14ac:dyDescent="0.3">
      <c r="A36" s="592"/>
      <c r="B36" s="593"/>
      <c r="C36" s="593"/>
      <c r="D36" s="593"/>
      <c r="E36" s="594"/>
      <c r="F36" s="594"/>
      <c r="G36" s="594"/>
      <c r="H36" s="594"/>
      <c r="I36" s="594"/>
      <c r="J36" s="594"/>
      <c r="K36" s="594"/>
      <c r="L36" s="594"/>
      <c r="M36" s="594"/>
      <c r="N36" s="594"/>
      <c r="O36" s="594"/>
      <c r="P36" s="594"/>
      <c r="Q36" s="594"/>
      <c r="R36" s="594"/>
      <c r="S36" s="594"/>
      <c r="T36" s="594"/>
      <c r="U36" s="595"/>
      <c r="V36" s="594"/>
    </row>
    <row r="37" spans="1:26" ht="12.6" customHeight="1" thickBot="1" x14ac:dyDescent="0.3">
      <c r="A37" s="596"/>
      <c r="B37" s="596"/>
      <c r="C37" s="596"/>
      <c r="D37" s="596"/>
      <c r="E37" s="1250"/>
      <c r="F37" s="597"/>
      <c r="G37" s="1251"/>
      <c r="H37" s="1250"/>
      <c r="I37" s="1249"/>
      <c r="J37" s="1249"/>
      <c r="K37" s="1249"/>
      <c r="L37" s="1254"/>
      <c r="M37" s="1254"/>
      <c r="N37" s="1253"/>
      <c r="O37" s="1253"/>
      <c r="P37" s="1253"/>
      <c r="Q37" s="1254"/>
      <c r="R37" s="1253"/>
      <c r="S37" s="1254"/>
      <c r="T37" s="1247"/>
      <c r="U37" s="1254"/>
      <c r="V37" s="1247"/>
    </row>
    <row r="38" spans="1:26" ht="12.6" customHeight="1" x14ac:dyDescent="0.25">
      <c r="A38" s="568" t="s">
        <v>350</v>
      </c>
      <c r="B38" s="569"/>
      <c r="C38" s="569"/>
      <c r="D38" s="569"/>
      <c r="E38" s="570"/>
      <c r="F38" s="570"/>
      <c r="G38" s="570"/>
      <c r="H38" s="570"/>
      <c r="I38" s="570"/>
      <c r="J38" s="570"/>
      <c r="K38" s="570"/>
      <c r="L38" s="570"/>
      <c r="M38" s="570"/>
      <c r="N38" s="1252"/>
      <c r="O38" s="570"/>
      <c r="P38" s="570"/>
      <c r="Q38" s="570"/>
      <c r="R38" s="570"/>
      <c r="S38" s="570"/>
      <c r="T38" s="570"/>
      <c r="U38" s="570"/>
      <c r="V38" s="599"/>
      <c r="W38" s="532"/>
      <c r="X38" s="532"/>
      <c r="Y38" s="532"/>
      <c r="Z38" s="532"/>
    </row>
    <row r="39" spans="1:26" ht="12.6" customHeight="1" x14ac:dyDescent="0.25">
      <c r="A39" s="600"/>
      <c r="E39" s="601"/>
      <c r="F39" s="601"/>
      <c r="G39" s="601"/>
      <c r="H39" s="601"/>
      <c r="I39" s="601"/>
      <c r="J39" s="601"/>
      <c r="K39" s="601"/>
      <c r="L39" s="601"/>
      <c r="M39" s="601"/>
      <c r="N39" s="601"/>
      <c r="O39" s="601"/>
      <c r="P39" s="601"/>
      <c r="Q39" s="601"/>
      <c r="R39" s="601"/>
      <c r="S39" s="601"/>
      <c r="T39" s="601"/>
      <c r="U39" s="601"/>
      <c r="V39" s="601"/>
    </row>
    <row r="40" spans="1:26" ht="12.6" customHeight="1" x14ac:dyDescent="0.25">
      <c r="A40" s="573" t="s">
        <v>351</v>
      </c>
      <c r="B40" s="569" t="s">
        <v>308</v>
      </c>
      <c r="C40" s="569"/>
      <c r="D40" s="569"/>
      <c r="E40" s="602"/>
      <c r="F40" s="570"/>
      <c r="G40" s="570"/>
      <c r="H40" s="570"/>
      <c r="I40" s="570"/>
      <c r="J40" s="570"/>
      <c r="K40" s="570"/>
      <c r="L40" s="570"/>
      <c r="M40" s="570"/>
      <c r="N40" s="570"/>
      <c r="O40" s="570"/>
      <c r="P40" s="570"/>
      <c r="Q40" s="570"/>
      <c r="R40" s="570"/>
      <c r="S40" s="570"/>
      <c r="T40" s="570">
        <f t="shared" ref="T40:T61" si="9">SUM(E40:S40)</f>
        <v>0</v>
      </c>
      <c r="U40" s="603"/>
      <c r="V40" s="599">
        <f>T40-U40</f>
        <v>0</v>
      </c>
      <c r="W40" s="532"/>
      <c r="X40" s="532"/>
      <c r="Y40" s="532"/>
      <c r="Z40" s="532"/>
    </row>
    <row r="41" spans="1:26" ht="12.6" customHeight="1" x14ac:dyDescent="0.25">
      <c r="A41" s="573" t="s">
        <v>352</v>
      </c>
      <c r="B41" s="569" t="s">
        <v>266</v>
      </c>
      <c r="C41" s="569"/>
      <c r="D41" s="569"/>
      <c r="E41" s="602">
        <v>50000</v>
      </c>
      <c r="F41" s="570">
        <f>'CABAC Non-Fid 2025'!G30</f>
        <v>35000</v>
      </c>
      <c r="G41" s="570"/>
      <c r="H41" s="570"/>
      <c r="I41" s="570"/>
      <c r="J41" s="570"/>
      <c r="K41" s="570"/>
      <c r="L41" s="570"/>
      <c r="M41" s="570"/>
      <c r="N41" s="570"/>
      <c r="O41" s="570"/>
      <c r="P41" s="570"/>
      <c r="Q41" s="570"/>
      <c r="R41" s="570"/>
      <c r="S41" s="570"/>
      <c r="T41" s="570">
        <f t="shared" si="9"/>
        <v>85000</v>
      </c>
      <c r="U41" s="603"/>
      <c r="V41" s="599">
        <f t="shared" ref="V41:V61" si="10">T41-U41</f>
        <v>85000</v>
      </c>
      <c r="W41" s="532"/>
      <c r="X41" s="532"/>
      <c r="Y41" s="532"/>
      <c r="Z41" s="532"/>
    </row>
    <row r="42" spans="1:26" ht="12.6" customHeight="1" x14ac:dyDescent="0.25">
      <c r="A42" s="604" t="s">
        <v>37</v>
      </c>
      <c r="B42" s="569" t="s">
        <v>337</v>
      </c>
      <c r="C42" s="569"/>
      <c r="D42" s="569"/>
      <c r="E42" s="602">
        <f>300000+100000</f>
        <v>400000</v>
      </c>
      <c r="F42" s="570">
        <f>'CABAC Non-Fid 2025'!G25+'CABAC Non-Fid 2025'!G26</f>
        <v>300000</v>
      </c>
      <c r="G42" s="570"/>
      <c r="H42" s="570"/>
      <c r="I42" s="570"/>
      <c r="J42" s="570"/>
      <c r="K42" s="570"/>
      <c r="L42" s="570"/>
      <c r="M42" s="570"/>
      <c r="N42" s="570"/>
      <c r="O42" s="570"/>
      <c r="P42" s="570"/>
      <c r="Q42" s="570"/>
      <c r="R42" s="570"/>
      <c r="S42" s="570"/>
      <c r="T42" s="570">
        <f t="shared" si="9"/>
        <v>700000</v>
      </c>
      <c r="U42" s="603"/>
      <c r="V42" s="599">
        <f t="shared" si="10"/>
        <v>700000</v>
      </c>
      <c r="W42" s="532"/>
      <c r="X42" s="532"/>
      <c r="Y42" s="532"/>
      <c r="Z42" s="532"/>
    </row>
    <row r="43" spans="1:26" ht="12.6" customHeight="1" x14ac:dyDescent="0.25">
      <c r="A43" s="577"/>
      <c r="B43" s="569" t="s">
        <v>353</v>
      </c>
      <c r="C43" s="569"/>
      <c r="D43" s="569"/>
      <c r="E43" s="602">
        <v>200000</v>
      </c>
      <c r="F43" s="570">
        <f>'CABAC Non-Fid 2025'!G27</f>
        <v>100000</v>
      </c>
      <c r="G43" s="570"/>
      <c r="H43" s="570"/>
      <c r="I43" s="570"/>
      <c r="J43" s="570"/>
      <c r="K43" s="570"/>
      <c r="L43" s="570"/>
      <c r="M43" s="570"/>
      <c r="N43" s="570"/>
      <c r="O43" s="570"/>
      <c r="P43" s="570"/>
      <c r="Q43" s="570"/>
      <c r="R43" s="570"/>
      <c r="S43" s="570"/>
      <c r="T43" s="570">
        <f t="shared" si="9"/>
        <v>300000</v>
      </c>
      <c r="U43" s="603"/>
      <c r="V43" s="599">
        <f t="shared" si="10"/>
        <v>300000</v>
      </c>
      <c r="W43" s="532"/>
      <c r="X43" s="532"/>
      <c r="Y43" s="532"/>
      <c r="Z43" s="532"/>
    </row>
    <row r="44" spans="1:26" ht="12.6" customHeight="1" x14ac:dyDescent="0.25">
      <c r="A44" s="577"/>
      <c r="B44" s="569" t="s">
        <v>263</v>
      </c>
      <c r="C44" s="569"/>
      <c r="D44" s="569"/>
      <c r="E44" s="602">
        <v>334226.75</v>
      </c>
      <c r="F44" s="570">
        <f>'CABAC Non-Fid 2025'!G31</f>
        <v>155621</v>
      </c>
      <c r="G44" s="570"/>
      <c r="H44" s="570"/>
      <c r="I44" s="570"/>
      <c r="J44" s="570"/>
      <c r="K44" s="570"/>
      <c r="L44" s="570"/>
      <c r="M44" s="570"/>
      <c r="N44" s="570"/>
      <c r="O44" s="570"/>
      <c r="P44" s="570"/>
      <c r="Q44" s="570"/>
      <c r="R44" s="570"/>
      <c r="S44" s="570"/>
      <c r="T44" s="570">
        <f t="shared" si="9"/>
        <v>489847.75</v>
      </c>
      <c r="U44" s="603"/>
      <c r="V44" s="599">
        <f t="shared" si="10"/>
        <v>489847.75</v>
      </c>
      <c r="W44" s="532"/>
      <c r="X44" s="532"/>
      <c r="Y44" s="532"/>
      <c r="Z44" s="532"/>
    </row>
    <row r="45" spans="1:26" ht="12.6" customHeight="1" x14ac:dyDescent="0.25">
      <c r="A45" s="577"/>
      <c r="B45" s="569" t="s">
        <v>354</v>
      </c>
      <c r="C45" s="569"/>
      <c r="D45" s="569"/>
      <c r="E45" s="602">
        <v>150000</v>
      </c>
      <c r="F45" s="570">
        <f>'CABAC Non-Fid 2025'!G28</f>
        <v>200000</v>
      </c>
      <c r="G45" s="570"/>
      <c r="H45" s="570"/>
      <c r="I45" s="570"/>
      <c r="J45" s="570"/>
      <c r="K45" s="570"/>
      <c r="L45" s="570"/>
      <c r="M45" s="570"/>
      <c r="N45" s="570"/>
      <c r="O45" s="570"/>
      <c r="P45" s="570"/>
      <c r="Q45" s="570"/>
      <c r="R45" s="570"/>
      <c r="S45" s="570"/>
      <c r="T45" s="570">
        <f t="shared" si="9"/>
        <v>350000</v>
      </c>
      <c r="U45" s="603"/>
      <c r="V45" s="599">
        <f t="shared" si="10"/>
        <v>350000</v>
      </c>
      <c r="W45" s="532"/>
      <c r="X45" s="532"/>
      <c r="Y45" s="532"/>
      <c r="Z45" s="532"/>
    </row>
    <row r="46" spans="1:26" ht="12.6" customHeight="1" x14ac:dyDescent="0.25">
      <c r="A46" s="577"/>
      <c r="B46" s="569" t="s">
        <v>262</v>
      </c>
      <c r="C46" s="569"/>
      <c r="D46" s="569"/>
      <c r="E46" s="602">
        <v>365773.25</v>
      </c>
      <c r="F46" s="570">
        <f>'CABAC Non-Fid 2025'!G29</f>
        <v>200000</v>
      </c>
      <c r="G46" s="570"/>
      <c r="H46" s="570"/>
      <c r="I46" s="570"/>
      <c r="J46" s="570"/>
      <c r="K46" s="570"/>
      <c r="L46" s="570"/>
      <c r="M46" s="570"/>
      <c r="N46" s="570"/>
      <c r="O46" s="570"/>
      <c r="P46" s="570"/>
      <c r="Q46" s="570"/>
      <c r="R46" s="570"/>
      <c r="S46" s="570"/>
      <c r="T46" s="570">
        <f t="shared" si="9"/>
        <v>565773.25</v>
      </c>
      <c r="U46" s="603"/>
      <c r="V46" s="599">
        <f t="shared" si="10"/>
        <v>565773.25</v>
      </c>
      <c r="W46" s="532"/>
      <c r="X46" s="532"/>
      <c r="Y46" s="532"/>
      <c r="Z46" s="532"/>
    </row>
    <row r="47" spans="1:26" ht="12.6" customHeight="1" x14ac:dyDescent="0.25">
      <c r="A47" s="577"/>
      <c r="B47" s="569" t="s">
        <v>355</v>
      </c>
      <c r="C47" s="569"/>
      <c r="D47" s="569"/>
      <c r="E47" s="602">
        <v>82888.78</v>
      </c>
      <c r="F47" s="570">
        <f>'CABAC Fiduciary 2025'!F38</f>
        <v>364436.8</v>
      </c>
      <c r="G47" s="570"/>
      <c r="H47" s="570"/>
      <c r="I47" s="570">
        <f>'CABAC Fiduciary 2025'!J38</f>
        <v>364436.8</v>
      </c>
      <c r="J47" s="570"/>
      <c r="K47" s="570">
        <v>1000000</v>
      </c>
      <c r="L47" s="570"/>
      <c r="M47" s="570"/>
      <c r="N47" s="570"/>
      <c r="O47" s="570"/>
      <c r="P47" s="570"/>
      <c r="Q47" s="570"/>
      <c r="R47" s="570"/>
      <c r="S47" s="570"/>
      <c r="T47" s="570">
        <f t="shared" si="9"/>
        <v>1811762.38</v>
      </c>
      <c r="U47" s="603"/>
      <c r="V47" s="599">
        <f t="shared" si="10"/>
        <v>1811762.38</v>
      </c>
      <c r="W47" s="532"/>
      <c r="X47" s="532"/>
      <c r="Y47" s="532"/>
      <c r="Z47" s="532"/>
    </row>
    <row r="48" spans="1:26" ht="12.6" customHeight="1" x14ac:dyDescent="0.25">
      <c r="A48" s="577"/>
      <c r="B48" s="569" t="s">
        <v>145</v>
      </c>
      <c r="C48" s="569"/>
      <c r="D48" s="569"/>
      <c r="E48" s="602"/>
      <c r="F48" s="570">
        <f>'CABAC Fiduciary 2025'!F40</f>
        <v>194368.72</v>
      </c>
      <c r="G48" s="570"/>
      <c r="H48" s="570"/>
      <c r="I48" s="570">
        <f>'CABAC Fiduciary 2025'!J40</f>
        <v>194368.72</v>
      </c>
      <c r="J48" s="570"/>
      <c r="K48" s="570"/>
      <c r="L48" s="570"/>
      <c r="M48" s="570"/>
      <c r="N48" s="570"/>
      <c r="O48" s="570"/>
      <c r="P48" s="570"/>
      <c r="Q48" s="570"/>
      <c r="R48" s="570"/>
      <c r="S48" s="570"/>
      <c r="T48" s="570">
        <f t="shared" si="9"/>
        <v>388737.44</v>
      </c>
      <c r="U48" s="603"/>
      <c r="V48" s="599">
        <f t="shared" si="10"/>
        <v>388737.44</v>
      </c>
      <c r="W48" s="532"/>
      <c r="X48" s="532"/>
      <c r="Y48" s="532"/>
      <c r="Z48" s="532"/>
    </row>
    <row r="49" spans="1:26" ht="12.6" customHeight="1" x14ac:dyDescent="0.25">
      <c r="A49" s="577"/>
      <c r="B49" s="569" t="s">
        <v>179</v>
      </c>
      <c r="C49" s="569"/>
      <c r="D49" s="569"/>
      <c r="E49" s="602">
        <v>100000</v>
      </c>
      <c r="F49" s="570">
        <f>'CABAC Fiduciary 2025'!F41</f>
        <v>218314.54</v>
      </c>
      <c r="G49" s="570"/>
      <c r="H49" s="570"/>
      <c r="I49" s="570"/>
      <c r="J49" s="570"/>
      <c r="K49" s="570"/>
      <c r="L49" s="570"/>
      <c r="M49" s="570"/>
      <c r="N49" s="570"/>
      <c r="O49" s="570"/>
      <c r="P49" s="570"/>
      <c r="Q49" s="570"/>
      <c r="R49" s="570"/>
      <c r="S49" s="570"/>
      <c r="T49" s="570">
        <f t="shared" si="9"/>
        <v>318314.54000000004</v>
      </c>
      <c r="U49" s="603"/>
      <c r="V49" s="599">
        <f t="shared" si="10"/>
        <v>318314.54000000004</v>
      </c>
      <c r="W49" s="532"/>
      <c r="X49" s="532"/>
      <c r="Y49" s="532"/>
      <c r="Z49" s="532"/>
    </row>
    <row r="50" spans="1:26" ht="12.6" customHeight="1" x14ac:dyDescent="0.25">
      <c r="A50" s="577"/>
      <c r="B50" s="569" t="s">
        <v>165</v>
      </c>
      <c r="C50" s="569"/>
      <c r="D50" s="569"/>
      <c r="E50" s="602">
        <v>20000</v>
      </c>
      <c r="F50" s="570">
        <f>'CABAC Fiduciary 2025'!F39</f>
        <v>180876.64</v>
      </c>
      <c r="G50" s="570"/>
      <c r="H50" s="570"/>
      <c r="I50" s="570">
        <f>'CABAC Fiduciary 2025'!J39</f>
        <v>87996.64</v>
      </c>
      <c r="J50" s="570"/>
      <c r="K50" s="570"/>
      <c r="L50" s="570"/>
      <c r="M50" s="570"/>
      <c r="N50" s="570"/>
      <c r="O50" s="570"/>
      <c r="P50" s="570"/>
      <c r="Q50" s="570"/>
      <c r="R50" s="570"/>
      <c r="S50" s="570"/>
      <c r="T50" s="570">
        <f t="shared" si="9"/>
        <v>288873.28000000003</v>
      </c>
      <c r="U50" s="603"/>
      <c r="V50" s="599">
        <f t="shared" si="10"/>
        <v>288873.28000000003</v>
      </c>
      <c r="W50" s="532"/>
      <c r="X50" s="532"/>
      <c r="Y50" s="532"/>
      <c r="Z50" s="532"/>
    </row>
    <row r="51" spans="1:26" ht="12.6" customHeight="1" x14ac:dyDescent="0.25">
      <c r="A51" s="577"/>
      <c r="B51" s="569" t="s">
        <v>342</v>
      </c>
      <c r="C51" s="569"/>
      <c r="D51" s="569"/>
      <c r="E51" s="602">
        <v>26175.3</v>
      </c>
      <c r="F51" s="570">
        <f>'CABAC Fiduciary 2025'!F49</f>
        <v>5940</v>
      </c>
      <c r="G51" s="570"/>
      <c r="H51" s="570"/>
      <c r="I51" s="570"/>
      <c r="J51" s="570"/>
      <c r="K51" s="570"/>
      <c r="L51" s="570"/>
      <c r="M51" s="570"/>
      <c r="N51" s="570"/>
      <c r="O51" s="570"/>
      <c r="P51" s="570"/>
      <c r="Q51" s="570"/>
      <c r="R51" s="570"/>
      <c r="S51" s="570"/>
      <c r="T51" s="570">
        <f t="shared" si="9"/>
        <v>32115.3</v>
      </c>
      <c r="U51" s="603"/>
      <c r="V51" s="599">
        <f t="shared" si="10"/>
        <v>32115.3</v>
      </c>
      <c r="W51" s="532"/>
      <c r="X51" s="532"/>
      <c r="Y51" s="532"/>
      <c r="Z51" s="532"/>
    </row>
    <row r="52" spans="1:26" ht="12.6" customHeight="1" x14ac:dyDescent="0.25">
      <c r="A52" s="577"/>
      <c r="B52" s="569" t="s">
        <v>458</v>
      </c>
      <c r="C52" s="569"/>
      <c r="D52" s="569"/>
      <c r="E52" s="602">
        <v>30000</v>
      </c>
      <c r="F52" s="570"/>
      <c r="G52" s="570"/>
      <c r="H52" s="570"/>
      <c r="I52" s="570"/>
      <c r="J52" s="570"/>
      <c r="K52" s="570"/>
      <c r="L52" s="570"/>
      <c r="M52" s="570"/>
      <c r="N52" s="570"/>
      <c r="O52" s="570"/>
      <c r="P52" s="570"/>
      <c r="Q52" s="570"/>
      <c r="R52" s="570"/>
      <c r="S52" s="570"/>
      <c r="T52" s="570">
        <f t="shared" si="9"/>
        <v>30000</v>
      </c>
      <c r="U52" s="603"/>
      <c r="V52" s="599">
        <f t="shared" si="10"/>
        <v>30000</v>
      </c>
      <c r="W52" s="532"/>
      <c r="X52" s="532"/>
      <c r="Y52" s="532"/>
      <c r="Z52" s="532"/>
    </row>
    <row r="53" spans="1:26" ht="12.6" customHeight="1" x14ac:dyDescent="0.25">
      <c r="A53" s="576"/>
      <c r="B53" s="581" t="s">
        <v>340</v>
      </c>
      <c r="C53" s="569"/>
      <c r="D53" s="569"/>
      <c r="E53" s="602"/>
      <c r="F53" s="570"/>
      <c r="G53" s="570"/>
      <c r="H53" s="570"/>
      <c r="I53" s="570"/>
      <c r="J53" s="570"/>
      <c r="K53" s="570"/>
      <c r="L53" s="570"/>
      <c r="M53" s="570"/>
      <c r="N53" s="570"/>
      <c r="O53" s="570"/>
      <c r="P53" s="570"/>
      <c r="Q53" s="570"/>
      <c r="R53" s="570"/>
      <c r="S53" s="570"/>
      <c r="T53" s="570">
        <f t="shared" si="9"/>
        <v>0</v>
      </c>
      <c r="U53" s="603"/>
      <c r="V53" s="599">
        <f t="shared" si="10"/>
        <v>0</v>
      </c>
      <c r="W53" s="532"/>
      <c r="X53" s="532"/>
      <c r="Y53" s="532"/>
      <c r="Z53" s="532"/>
    </row>
    <row r="54" spans="1:26" ht="12.6" customHeight="1" x14ac:dyDescent="0.25">
      <c r="A54" s="577"/>
      <c r="B54" s="569" t="s">
        <v>358</v>
      </c>
      <c r="C54" s="569"/>
      <c r="D54" s="569"/>
      <c r="E54" s="602">
        <v>30000</v>
      </c>
      <c r="F54" s="570">
        <f>'CABAC Fiduciary 2025'!F51</f>
        <v>50900</v>
      </c>
      <c r="G54" s="570"/>
      <c r="H54" s="570"/>
      <c r="I54" s="570">
        <f>'CABAC Fiduciary 2025'!J51</f>
        <v>50000</v>
      </c>
      <c r="J54" s="570"/>
      <c r="K54" s="570"/>
      <c r="L54" s="570"/>
      <c r="M54" s="570"/>
      <c r="N54" s="570"/>
      <c r="O54" s="570"/>
      <c r="P54" s="570"/>
      <c r="Q54" s="570"/>
      <c r="R54" s="570"/>
      <c r="S54" s="570"/>
      <c r="T54" s="570">
        <f t="shared" si="9"/>
        <v>130900</v>
      </c>
      <c r="U54" s="603"/>
      <c r="V54" s="599">
        <f t="shared" si="10"/>
        <v>130900</v>
      </c>
      <c r="W54" s="532"/>
      <c r="X54" s="532"/>
      <c r="Y54" s="532"/>
      <c r="Z54" s="532"/>
    </row>
    <row r="55" spans="1:26" ht="12.6" customHeight="1" x14ac:dyDescent="0.25">
      <c r="A55" s="577"/>
      <c r="B55" s="569" t="s">
        <v>343</v>
      </c>
      <c r="C55" s="569"/>
      <c r="D55" s="569"/>
      <c r="E55" s="602">
        <v>30000</v>
      </c>
      <c r="F55" s="570">
        <f>'CABAC Fiduciary 2025'!F52</f>
        <v>50600</v>
      </c>
      <c r="G55" s="570"/>
      <c r="H55" s="570"/>
      <c r="I55" s="570">
        <f>'CABAC Fiduciary 2025'!J52</f>
        <v>50000</v>
      </c>
      <c r="J55" s="570"/>
      <c r="K55" s="570"/>
      <c r="L55" s="570"/>
      <c r="M55" s="570"/>
      <c r="N55" s="570"/>
      <c r="O55" s="570"/>
      <c r="P55" s="570"/>
      <c r="Q55" s="570"/>
      <c r="R55" s="570"/>
      <c r="S55" s="570"/>
      <c r="T55" s="570">
        <f t="shared" si="9"/>
        <v>130600</v>
      </c>
      <c r="U55" s="603"/>
      <c r="V55" s="599">
        <f t="shared" si="10"/>
        <v>130600</v>
      </c>
      <c r="W55" s="532"/>
      <c r="X55" s="532"/>
      <c r="Y55" s="532"/>
      <c r="Z55" s="532"/>
    </row>
    <row r="56" spans="1:26" ht="12.6" customHeight="1" x14ac:dyDescent="0.25">
      <c r="A56" s="577"/>
      <c r="B56" s="569" t="s">
        <v>344</v>
      </c>
      <c r="C56" s="569"/>
      <c r="D56" s="569"/>
      <c r="E56" s="602"/>
      <c r="F56" s="570">
        <f>'CABAC Fiduciary 2025'!F37</f>
        <v>59000</v>
      </c>
      <c r="G56" s="570"/>
      <c r="H56" s="570"/>
      <c r="I56" s="570">
        <f>'CABAC Fiduciary 2025'!J37</f>
        <v>59000</v>
      </c>
      <c r="J56" s="570"/>
      <c r="K56" s="570"/>
      <c r="L56" s="570"/>
      <c r="M56" s="570"/>
      <c r="N56" s="570"/>
      <c r="O56" s="570"/>
      <c r="P56" s="570"/>
      <c r="Q56" s="570"/>
      <c r="R56" s="570"/>
      <c r="S56" s="570"/>
      <c r="T56" s="570">
        <f t="shared" si="9"/>
        <v>118000</v>
      </c>
      <c r="U56" s="603"/>
      <c r="V56" s="599">
        <f t="shared" si="10"/>
        <v>118000</v>
      </c>
      <c r="W56" s="532"/>
      <c r="X56" s="532"/>
      <c r="Y56" s="532"/>
      <c r="Z56" s="532"/>
    </row>
    <row r="57" spans="1:26" ht="12.6" customHeight="1" x14ac:dyDescent="0.25">
      <c r="A57" s="577"/>
      <c r="B57" s="569" t="s">
        <v>188</v>
      </c>
      <c r="C57" s="569"/>
      <c r="D57" s="580"/>
      <c r="E57" s="605"/>
      <c r="F57" s="601"/>
      <c r="G57" s="601"/>
      <c r="H57" s="601"/>
      <c r="I57" s="601"/>
      <c r="J57" s="601"/>
      <c r="K57" s="601"/>
      <c r="L57" s="601"/>
      <c r="M57" s="601"/>
      <c r="N57" s="601"/>
      <c r="O57" s="601"/>
      <c r="P57" s="601"/>
      <c r="Q57" s="601"/>
      <c r="R57" s="601"/>
      <c r="S57" s="601"/>
      <c r="T57" s="570">
        <f t="shared" si="9"/>
        <v>0</v>
      </c>
      <c r="U57" s="606"/>
      <c r="V57" s="599">
        <f t="shared" si="10"/>
        <v>0</v>
      </c>
      <c r="W57" s="532"/>
      <c r="X57" s="532"/>
      <c r="Y57" s="532"/>
      <c r="Z57" s="532"/>
    </row>
    <row r="58" spans="1:26" ht="12.6" customHeight="1" x14ac:dyDescent="0.25">
      <c r="A58" s="577"/>
      <c r="B58" s="569" t="s">
        <v>154</v>
      </c>
      <c r="C58" s="569"/>
      <c r="D58" s="569"/>
      <c r="E58" s="602">
        <v>50000</v>
      </c>
      <c r="F58" s="570">
        <f>'CABAC Fiduciary 2025'!F48</f>
        <v>73600</v>
      </c>
      <c r="G58" s="570"/>
      <c r="H58" s="570"/>
      <c r="I58" s="570">
        <f>'CABAC Fiduciary 2025'!J48</f>
        <v>53800</v>
      </c>
      <c r="J58" s="570"/>
      <c r="K58" s="570"/>
      <c r="L58" s="570"/>
      <c r="M58" s="570"/>
      <c r="N58" s="570"/>
      <c r="O58" s="570"/>
      <c r="P58" s="570"/>
      <c r="Q58" s="570"/>
      <c r="R58" s="570"/>
      <c r="S58" s="570"/>
      <c r="T58" s="570">
        <f t="shared" si="9"/>
        <v>177400</v>
      </c>
      <c r="U58" s="603"/>
      <c r="V58" s="599">
        <f>T58-U58</f>
        <v>177400</v>
      </c>
      <c r="W58" s="532"/>
      <c r="X58" s="532"/>
      <c r="Y58" s="532"/>
      <c r="Z58" s="532"/>
    </row>
    <row r="59" spans="1:26" ht="12.6" customHeight="1" x14ac:dyDescent="0.25">
      <c r="A59" s="577"/>
      <c r="B59" s="569" t="s">
        <v>359</v>
      </c>
      <c r="C59" s="569"/>
      <c r="D59" s="569"/>
      <c r="E59" s="602">
        <v>30000</v>
      </c>
      <c r="F59" s="570">
        <f>'CABAC Fiduciary 2025'!F45</f>
        <v>22471</v>
      </c>
      <c r="G59" s="570"/>
      <c r="H59" s="570"/>
      <c r="I59" s="570">
        <f>'CABAC Fiduciary 2025'!J45</f>
        <v>22471</v>
      </c>
      <c r="J59" s="570"/>
      <c r="K59" s="570"/>
      <c r="L59" s="570"/>
      <c r="M59" s="570"/>
      <c r="N59" s="570"/>
      <c r="O59" s="570"/>
      <c r="P59" s="570"/>
      <c r="Q59" s="570"/>
      <c r="R59" s="570"/>
      <c r="S59" s="570"/>
      <c r="T59" s="570">
        <f t="shared" si="9"/>
        <v>74942</v>
      </c>
      <c r="U59" s="606"/>
      <c r="V59" s="599">
        <f t="shared" si="10"/>
        <v>74942</v>
      </c>
      <c r="W59" s="532"/>
      <c r="X59" s="532"/>
      <c r="Y59" s="532"/>
      <c r="Z59" s="532"/>
    </row>
    <row r="60" spans="1:26" ht="12.6" customHeight="1" x14ac:dyDescent="0.25">
      <c r="A60" s="577"/>
      <c r="B60" s="569" t="s">
        <v>360</v>
      </c>
      <c r="C60" s="569"/>
      <c r="D60" s="569"/>
      <c r="E60" s="602">
        <v>50000</v>
      </c>
      <c r="F60" s="570">
        <f>'CABAC Fiduciary 2025'!F46</f>
        <v>69900</v>
      </c>
      <c r="G60" s="570"/>
      <c r="H60" s="570"/>
      <c r="I60" s="570">
        <f>'CABAC Fiduciary 2025'!J46</f>
        <v>60000</v>
      </c>
      <c r="J60" s="570"/>
      <c r="K60" s="570"/>
      <c r="L60" s="570"/>
      <c r="M60" s="570"/>
      <c r="N60" s="570"/>
      <c r="O60" s="570"/>
      <c r="P60" s="570"/>
      <c r="Q60" s="570"/>
      <c r="R60" s="570"/>
      <c r="S60" s="570"/>
      <c r="T60" s="570">
        <f t="shared" si="9"/>
        <v>179900</v>
      </c>
      <c r="U60" s="603"/>
      <c r="V60" s="599">
        <f t="shared" si="10"/>
        <v>179900</v>
      </c>
      <c r="W60" s="532"/>
      <c r="X60" s="532"/>
      <c r="Y60" s="532"/>
      <c r="Z60" s="532"/>
    </row>
    <row r="61" spans="1:26" ht="12.6" customHeight="1" thickBot="1" x14ac:dyDescent="0.3">
      <c r="A61" s="577"/>
      <c r="B61" s="569" t="s">
        <v>144</v>
      </c>
      <c r="C61" s="569"/>
      <c r="D61" s="569"/>
      <c r="E61" s="602"/>
      <c r="F61" s="570">
        <f>'CABAC Fiduciary 2025'!F42</f>
        <v>3000</v>
      </c>
      <c r="G61" s="570"/>
      <c r="H61" s="570"/>
      <c r="I61" s="570"/>
      <c r="J61" s="570"/>
      <c r="K61" s="570"/>
      <c r="L61" s="570"/>
      <c r="M61" s="570"/>
      <c r="N61" s="570"/>
      <c r="O61" s="570"/>
      <c r="P61" s="570"/>
      <c r="Q61" s="570"/>
      <c r="R61" s="570"/>
      <c r="S61" s="570"/>
      <c r="T61" s="570">
        <f t="shared" si="9"/>
        <v>3000</v>
      </c>
      <c r="U61" s="603"/>
      <c r="V61" s="599">
        <f t="shared" si="10"/>
        <v>3000</v>
      </c>
      <c r="W61" s="532"/>
      <c r="X61" s="532"/>
      <c r="Y61" s="532"/>
      <c r="Z61" s="532"/>
    </row>
    <row r="62" spans="1:26" ht="12.6" customHeight="1" thickBot="1" x14ac:dyDescent="0.3">
      <c r="A62" s="577"/>
      <c r="B62" s="581" t="s">
        <v>346</v>
      </c>
      <c r="C62" s="569"/>
      <c r="D62" s="580"/>
      <c r="E62" s="582">
        <f t="shared" ref="E62:V62" si="11">SUM(E40:E61)</f>
        <v>1949064.08</v>
      </c>
      <c r="F62" s="582">
        <f t="shared" si="11"/>
        <v>2284028.7000000002</v>
      </c>
      <c r="G62" s="582">
        <f t="shared" si="11"/>
        <v>0</v>
      </c>
      <c r="H62" s="582">
        <f t="shared" si="11"/>
        <v>0</v>
      </c>
      <c r="I62" s="582">
        <f t="shared" si="11"/>
        <v>942073.16</v>
      </c>
      <c r="J62" s="582">
        <f t="shared" si="11"/>
        <v>0</v>
      </c>
      <c r="K62" s="582">
        <f t="shared" si="11"/>
        <v>1000000</v>
      </c>
      <c r="L62" s="582">
        <f t="shared" si="11"/>
        <v>0</v>
      </c>
      <c r="M62" s="582">
        <f t="shared" si="11"/>
        <v>0</v>
      </c>
      <c r="N62" s="582">
        <f t="shared" si="11"/>
        <v>0</v>
      </c>
      <c r="O62" s="582">
        <f t="shared" si="11"/>
        <v>0</v>
      </c>
      <c r="P62" s="582">
        <f t="shared" si="11"/>
        <v>0</v>
      </c>
      <c r="Q62" s="582">
        <f t="shared" si="11"/>
        <v>0</v>
      </c>
      <c r="R62" s="582">
        <f t="shared" si="11"/>
        <v>0</v>
      </c>
      <c r="S62" s="582">
        <f t="shared" si="11"/>
        <v>0</v>
      </c>
      <c r="T62" s="582">
        <f t="shared" si="11"/>
        <v>6175165.9400000004</v>
      </c>
      <c r="U62" s="582">
        <f t="shared" si="11"/>
        <v>0</v>
      </c>
      <c r="V62" s="582">
        <f t="shared" si="11"/>
        <v>6175165.9400000004</v>
      </c>
      <c r="W62" s="532"/>
      <c r="X62" s="532"/>
      <c r="Y62" s="532"/>
      <c r="Z62" s="532"/>
    </row>
    <row r="63" spans="1:26" ht="12.6" customHeight="1" x14ac:dyDescent="0.25">
      <c r="A63" s="577"/>
      <c r="B63" s="581"/>
      <c r="C63" s="569"/>
      <c r="D63" s="583" t="s">
        <v>347</v>
      </c>
      <c r="E63" s="730">
        <f t="shared" ref="E63:V63" si="12">SUM(E47:E61)</f>
        <v>449064.07999999996</v>
      </c>
      <c r="F63" s="730">
        <f t="shared" si="12"/>
        <v>1293407.7000000002</v>
      </c>
      <c r="G63" s="584">
        <f t="shared" si="12"/>
        <v>0</v>
      </c>
      <c r="H63" s="584">
        <f t="shared" si="12"/>
        <v>0</v>
      </c>
      <c r="I63" s="584">
        <f t="shared" si="12"/>
        <v>942073.16</v>
      </c>
      <c r="J63" s="584">
        <f t="shared" si="12"/>
        <v>0</v>
      </c>
      <c r="K63" s="584">
        <f t="shared" si="12"/>
        <v>1000000</v>
      </c>
      <c r="L63" s="584">
        <f t="shared" si="12"/>
        <v>0</v>
      </c>
      <c r="M63" s="584">
        <f t="shared" si="12"/>
        <v>0</v>
      </c>
      <c r="N63" s="584">
        <f t="shared" si="12"/>
        <v>0</v>
      </c>
      <c r="O63" s="584">
        <f t="shared" si="12"/>
        <v>0</v>
      </c>
      <c r="P63" s="584">
        <f t="shared" si="12"/>
        <v>0</v>
      </c>
      <c r="Q63" s="584">
        <f t="shared" si="12"/>
        <v>0</v>
      </c>
      <c r="R63" s="584">
        <f t="shared" si="12"/>
        <v>0</v>
      </c>
      <c r="S63" s="584">
        <f t="shared" si="12"/>
        <v>0</v>
      </c>
      <c r="T63" s="730">
        <f t="shared" si="12"/>
        <v>3684544.9399999995</v>
      </c>
      <c r="U63" s="730">
        <f t="shared" si="12"/>
        <v>0</v>
      </c>
      <c r="V63" s="730">
        <f t="shared" si="12"/>
        <v>3684544.9399999995</v>
      </c>
      <c r="W63" s="532"/>
      <c r="X63" s="532"/>
      <c r="Y63" s="532"/>
      <c r="Z63" s="532"/>
    </row>
    <row r="64" spans="1:26" ht="12.6" customHeight="1" x14ac:dyDescent="0.25">
      <c r="A64" s="577"/>
      <c r="B64" s="581"/>
      <c r="C64" s="569"/>
      <c r="D64" s="583" t="s">
        <v>348</v>
      </c>
      <c r="E64" s="730">
        <f t="shared" ref="E64:V64" si="13">SUM(E40:E46)</f>
        <v>1500000</v>
      </c>
      <c r="F64" s="730">
        <f t="shared" si="13"/>
        <v>990621</v>
      </c>
      <c r="G64" s="584">
        <f t="shared" si="13"/>
        <v>0</v>
      </c>
      <c r="H64" s="584">
        <f t="shared" si="13"/>
        <v>0</v>
      </c>
      <c r="I64" s="584">
        <f t="shared" si="13"/>
        <v>0</v>
      </c>
      <c r="J64" s="584">
        <f t="shared" si="13"/>
        <v>0</v>
      </c>
      <c r="K64" s="584">
        <f t="shared" si="13"/>
        <v>0</v>
      </c>
      <c r="L64" s="584">
        <f t="shared" si="13"/>
        <v>0</v>
      </c>
      <c r="M64" s="584">
        <f t="shared" si="13"/>
        <v>0</v>
      </c>
      <c r="N64" s="584">
        <f t="shared" si="13"/>
        <v>0</v>
      </c>
      <c r="O64" s="584">
        <f t="shared" si="13"/>
        <v>0</v>
      </c>
      <c r="P64" s="584">
        <f t="shared" si="13"/>
        <v>0</v>
      </c>
      <c r="Q64" s="584">
        <f t="shared" si="13"/>
        <v>0</v>
      </c>
      <c r="R64" s="584">
        <f t="shared" si="13"/>
        <v>0</v>
      </c>
      <c r="S64" s="584">
        <f t="shared" si="13"/>
        <v>0</v>
      </c>
      <c r="T64" s="730">
        <f t="shared" si="13"/>
        <v>2490621</v>
      </c>
      <c r="U64" s="730">
        <f t="shared" si="13"/>
        <v>0</v>
      </c>
      <c r="V64" s="730">
        <f t="shared" si="13"/>
        <v>2490621</v>
      </c>
      <c r="W64" s="532"/>
      <c r="X64" s="532"/>
      <c r="Y64" s="532"/>
      <c r="Z64" s="532"/>
    </row>
    <row r="65" spans="1:26" ht="12.6" customHeight="1" x14ac:dyDescent="0.25">
      <c r="A65" s="577"/>
      <c r="B65" s="581"/>
      <c r="C65" s="569"/>
      <c r="D65" s="580"/>
      <c r="E65" s="730">
        <f>SUM(E63:E64)</f>
        <v>1949064.08</v>
      </c>
      <c r="F65" s="730">
        <f t="shared" ref="F65:V65" si="14">SUM(F63:F64)</f>
        <v>2284028.7000000002</v>
      </c>
      <c r="G65" s="584">
        <f t="shared" si="14"/>
        <v>0</v>
      </c>
      <c r="H65" s="584">
        <f>SUM(H63:H64)</f>
        <v>0</v>
      </c>
      <c r="I65" s="584">
        <f t="shared" si="14"/>
        <v>942073.16</v>
      </c>
      <c r="J65" s="584">
        <f>SUM(J63:J64)</f>
        <v>0</v>
      </c>
      <c r="K65" s="584">
        <f t="shared" si="14"/>
        <v>1000000</v>
      </c>
      <c r="L65" s="584">
        <f t="shared" si="14"/>
        <v>0</v>
      </c>
      <c r="M65" s="584">
        <f t="shared" si="14"/>
        <v>0</v>
      </c>
      <c r="N65" s="584">
        <f t="shared" si="14"/>
        <v>0</v>
      </c>
      <c r="O65" s="584">
        <f t="shared" si="14"/>
        <v>0</v>
      </c>
      <c r="P65" s="584">
        <f t="shared" si="14"/>
        <v>0</v>
      </c>
      <c r="Q65" s="584">
        <f t="shared" si="14"/>
        <v>0</v>
      </c>
      <c r="R65" s="584">
        <f t="shared" si="14"/>
        <v>0</v>
      </c>
      <c r="S65" s="584">
        <f t="shared" si="14"/>
        <v>0</v>
      </c>
      <c r="T65" s="730">
        <f t="shared" si="14"/>
        <v>6175165.9399999995</v>
      </c>
      <c r="U65" s="730">
        <f t="shared" si="14"/>
        <v>0</v>
      </c>
      <c r="V65" s="730">
        <f t="shared" si="14"/>
        <v>6175165.9399999995</v>
      </c>
      <c r="W65" s="532"/>
      <c r="X65" s="532"/>
      <c r="Y65" s="532"/>
      <c r="Z65" s="532"/>
    </row>
    <row r="66" spans="1:26" ht="12.6" customHeight="1" x14ac:dyDescent="0.25">
      <c r="A66" s="577"/>
      <c r="B66" s="569"/>
      <c r="C66" s="569"/>
      <c r="D66" s="580"/>
      <c r="E66" s="586">
        <f>E65-E62</f>
        <v>0</v>
      </c>
      <c r="F66" s="586">
        <f t="shared" ref="F66:V66" si="15">F65-F62</f>
        <v>0</v>
      </c>
      <c r="G66" s="586">
        <f t="shared" si="15"/>
        <v>0</v>
      </c>
      <c r="H66" s="586">
        <f>H65-H62</f>
        <v>0</v>
      </c>
      <c r="I66" s="586">
        <f t="shared" si="15"/>
        <v>0</v>
      </c>
      <c r="J66" s="586">
        <f>J65-J62</f>
        <v>0</v>
      </c>
      <c r="K66" s="586">
        <f t="shared" si="15"/>
        <v>0</v>
      </c>
      <c r="L66" s="586">
        <f t="shared" si="15"/>
        <v>0</v>
      </c>
      <c r="M66" s="586">
        <f t="shared" si="15"/>
        <v>0</v>
      </c>
      <c r="N66" s="586">
        <f t="shared" si="15"/>
        <v>0</v>
      </c>
      <c r="O66" s="586">
        <f t="shared" si="15"/>
        <v>0</v>
      </c>
      <c r="P66" s="586">
        <f t="shared" si="15"/>
        <v>0</v>
      </c>
      <c r="Q66" s="586">
        <f t="shared" si="15"/>
        <v>0</v>
      </c>
      <c r="R66" s="586">
        <f t="shared" si="15"/>
        <v>0</v>
      </c>
      <c r="S66" s="586">
        <f t="shared" si="15"/>
        <v>0</v>
      </c>
      <c r="T66" s="586">
        <f t="shared" si="15"/>
        <v>0</v>
      </c>
      <c r="U66" s="586">
        <f t="shared" si="15"/>
        <v>0</v>
      </c>
      <c r="V66" s="586">
        <f t="shared" si="15"/>
        <v>0</v>
      </c>
    </row>
    <row r="67" spans="1:26" ht="12.6" customHeight="1" x14ac:dyDescent="0.25">
      <c r="A67" s="607"/>
      <c r="B67" s="608"/>
      <c r="C67" s="608"/>
      <c r="D67" s="661"/>
      <c r="E67" s="599"/>
      <c r="F67" s="570"/>
      <c r="G67" s="570"/>
      <c r="H67" s="570"/>
      <c r="I67" s="570"/>
      <c r="J67" s="570"/>
      <c r="K67" s="570"/>
      <c r="L67" s="570"/>
      <c r="M67" s="570"/>
      <c r="N67" s="570"/>
      <c r="O67" s="570"/>
      <c r="P67" s="570"/>
      <c r="Q67" s="570"/>
      <c r="R67" s="570"/>
      <c r="S67" s="570"/>
      <c r="T67" s="570"/>
      <c r="U67" s="570"/>
      <c r="V67" s="599"/>
      <c r="W67" s="532"/>
      <c r="X67" s="532"/>
      <c r="Y67" s="532"/>
      <c r="Z67" s="532"/>
    </row>
    <row r="68" spans="1:26" ht="12.6" customHeight="1" x14ac:dyDescent="0.25">
      <c r="A68" s="611" t="s">
        <v>351</v>
      </c>
      <c r="B68" s="612"/>
      <c r="C68" s="612"/>
      <c r="D68" s="617"/>
      <c r="E68" s="614"/>
      <c r="F68" s="613"/>
      <c r="G68" s="613"/>
      <c r="H68" s="613"/>
      <c r="I68" s="613"/>
      <c r="J68" s="613"/>
      <c r="K68" s="613"/>
      <c r="L68" s="613"/>
      <c r="M68" s="613"/>
      <c r="N68" s="613"/>
      <c r="O68" s="613"/>
      <c r="P68" s="613"/>
      <c r="Q68" s="613"/>
      <c r="R68" s="613"/>
      <c r="S68" s="613"/>
      <c r="T68" s="613"/>
      <c r="U68" s="613"/>
      <c r="V68" s="614"/>
      <c r="W68" s="532"/>
      <c r="X68" s="532"/>
      <c r="Y68" s="532"/>
      <c r="Z68" s="532"/>
    </row>
    <row r="69" spans="1:26" ht="12.6" customHeight="1" x14ac:dyDescent="0.25">
      <c r="A69" s="573" t="s">
        <v>363</v>
      </c>
      <c r="B69" s="569" t="s">
        <v>337</v>
      </c>
      <c r="C69" s="569"/>
      <c r="D69" s="580"/>
      <c r="E69" s="640"/>
      <c r="F69" s="570">
        <f>'CABAC Non-Fid 2025'!G34+'CABAC Non-Fid 2025'!G35</f>
        <v>0</v>
      </c>
      <c r="G69" s="570"/>
      <c r="H69" s="570"/>
      <c r="I69" s="570"/>
      <c r="J69" s="570"/>
      <c r="K69" s="570"/>
      <c r="L69" s="570"/>
      <c r="M69" s="570"/>
      <c r="N69" s="570"/>
      <c r="O69" s="570"/>
      <c r="P69" s="570"/>
      <c r="Q69" s="570"/>
      <c r="R69" s="570"/>
      <c r="S69" s="570"/>
      <c r="T69" s="570">
        <f t="shared" ref="T69:T74" si="16">SUM(E69:S69)</f>
        <v>0</v>
      </c>
      <c r="U69" s="603"/>
      <c r="V69" s="599">
        <f>T69-U69</f>
        <v>0</v>
      </c>
      <c r="W69" s="532"/>
      <c r="X69" s="532"/>
      <c r="Y69" s="532"/>
      <c r="Z69" s="532"/>
    </row>
    <row r="70" spans="1:26" ht="12.6" customHeight="1" x14ac:dyDescent="0.25">
      <c r="A70" s="604" t="s">
        <v>38</v>
      </c>
      <c r="B70" s="569" t="s">
        <v>354</v>
      </c>
      <c r="C70" s="569"/>
      <c r="D70" s="569"/>
      <c r="E70" s="602">
        <v>217488.71</v>
      </c>
      <c r="F70" s="570">
        <f>'CABAC Non-Fid 2025'!G36</f>
        <v>103765</v>
      </c>
      <c r="G70" s="570"/>
      <c r="H70" s="570"/>
      <c r="I70" s="570"/>
      <c r="J70" s="570"/>
      <c r="K70" s="570"/>
      <c r="L70" s="570"/>
      <c r="M70" s="570"/>
      <c r="N70" s="570"/>
      <c r="O70" s="570"/>
      <c r="P70" s="570"/>
      <c r="Q70" s="570"/>
      <c r="R70" s="570"/>
      <c r="S70" s="570"/>
      <c r="T70" s="570">
        <f t="shared" si="16"/>
        <v>321253.70999999996</v>
      </c>
      <c r="U70" s="603"/>
      <c r="V70" s="599">
        <f t="shared" ref="V70:V73" si="17">T70-U70</f>
        <v>321253.70999999996</v>
      </c>
      <c r="W70" s="532"/>
      <c r="X70" s="532"/>
      <c r="Y70" s="532"/>
      <c r="Z70" s="532"/>
    </row>
    <row r="71" spans="1:26" ht="12.6" customHeight="1" x14ac:dyDescent="0.25">
      <c r="A71" s="573"/>
      <c r="B71" s="569" t="s">
        <v>262</v>
      </c>
      <c r="C71" s="569"/>
      <c r="D71" s="569"/>
      <c r="E71" s="602"/>
      <c r="F71" s="570">
        <f>'CABAC Non-Fid 2025'!G37</f>
        <v>0</v>
      </c>
      <c r="G71" s="570"/>
      <c r="H71" s="570"/>
      <c r="I71" s="570"/>
      <c r="J71" s="570"/>
      <c r="K71" s="570"/>
      <c r="L71" s="570"/>
      <c r="M71" s="570"/>
      <c r="N71" s="570"/>
      <c r="O71" s="570"/>
      <c r="P71" s="570"/>
      <c r="Q71" s="570"/>
      <c r="R71" s="570"/>
      <c r="S71" s="570"/>
      <c r="T71" s="570">
        <f t="shared" si="16"/>
        <v>0</v>
      </c>
      <c r="U71" s="603"/>
      <c r="V71" s="599">
        <f t="shared" si="17"/>
        <v>0</v>
      </c>
      <c r="W71" s="532"/>
      <c r="X71" s="532"/>
      <c r="Y71" s="532"/>
      <c r="Z71" s="532"/>
    </row>
    <row r="72" spans="1:26" ht="12.6" customHeight="1" x14ac:dyDescent="0.25">
      <c r="A72" s="573"/>
      <c r="B72" s="569" t="s">
        <v>188</v>
      </c>
      <c r="C72" s="569"/>
      <c r="D72" s="580"/>
      <c r="E72" s="602"/>
      <c r="F72" s="570"/>
      <c r="G72" s="570"/>
      <c r="H72" s="570"/>
      <c r="I72" s="570"/>
      <c r="J72" s="570"/>
      <c r="K72" s="570"/>
      <c r="L72" s="570"/>
      <c r="M72" s="570"/>
      <c r="N72" s="570"/>
      <c r="O72" s="570"/>
      <c r="P72" s="570"/>
      <c r="Q72" s="570"/>
      <c r="R72" s="570"/>
      <c r="S72" s="570"/>
      <c r="T72" s="570">
        <f t="shared" si="16"/>
        <v>0</v>
      </c>
      <c r="U72" s="570"/>
      <c r="V72" s="599">
        <f>T72-U72</f>
        <v>0</v>
      </c>
      <c r="W72" s="532"/>
      <c r="X72" s="532"/>
      <c r="Y72" s="532"/>
      <c r="Z72" s="532"/>
    </row>
    <row r="73" spans="1:26" ht="12.6" customHeight="1" x14ac:dyDescent="0.25">
      <c r="A73" s="573"/>
      <c r="B73" s="569" t="s">
        <v>142</v>
      </c>
      <c r="C73" s="569"/>
      <c r="D73" s="569"/>
      <c r="E73" s="602"/>
      <c r="F73" s="570">
        <f>'CABAC Fiduciary 2025'!F58</f>
        <v>0</v>
      </c>
      <c r="G73" s="570"/>
      <c r="H73" s="570"/>
      <c r="I73" s="570"/>
      <c r="J73" s="570"/>
      <c r="K73" s="570"/>
      <c r="L73" s="570"/>
      <c r="M73" s="570"/>
      <c r="N73" s="570"/>
      <c r="O73" s="570"/>
      <c r="P73" s="570"/>
      <c r="Q73" s="570"/>
      <c r="R73" s="570"/>
      <c r="S73" s="570"/>
      <c r="T73" s="570">
        <f t="shared" si="16"/>
        <v>0</v>
      </c>
      <c r="U73" s="603"/>
      <c r="V73" s="599">
        <f t="shared" si="17"/>
        <v>0</v>
      </c>
      <c r="W73" s="532"/>
      <c r="X73" s="532"/>
      <c r="Y73" s="532"/>
      <c r="Z73" s="532"/>
    </row>
    <row r="74" spans="1:26" ht="16.5" customHeight="1" thickBot="1" x14ac:dyDescent="0.3">
      <c r="A74" s="604"/>
      <c r="B74" s="569" t="s">
        <v>144</v>
      </c>
      <c r="C74" s="569"/>
      <c r="D74" s="569"/>
      <c r="E74" s="605"/>
      <c r="F74" s="601">
        <f>'CABAC Fiduciary 2025'!F57</f>
        <v>0</v>
      </c>
      <c r="G74" s="601"/>
      <c r="H74" s="601"/>
      <c r="I74" s="601"/>
      <c r="J74" s="601"/>
      <c r="K74" s="601"/>
      <c r="L74" s="601"/>
      <c r="M74" s="601"/>
      <c r="N74" s="601"/>
      <c r="O74" s="601"/>
      <c r="P74" s="601"/>
      <c r="Q74" s="601"/>
      <c r="R74" s="601"/>
      <c r="S74" s="601"/>
      <c r="T74" s="613">
        <f t="shared" si="16"/>
        <v>0</v>
      </c>
      <c r="U74" s="606"/>
      <c r="V74" s="614">
        <f>T74-U74</f>
        <v>0</v>
      </c>
      <c r="W74" s="532"/>
      <c r="X74" s="532"/>
      <c r="Y74" s="532"/>
      <c r="Z74" s="532"/>
    </row>
    <row r="75" spans="1:26" ht="12.6" customHeight="1" thickBot="1" x14ac:dyDescent="0.3">
      <c r="A75" s="577"/>
      <c r="B75" s="581" t="s">
        <v>346</v>
      </c>
      <c r="C75" s="569"/>
      <c r="D75" s="580"/>
      <c r="E75" s="582">
        <f t="shared" ref="E75:V75" si="18">SUM(E69:E74)</f>
        <v>217488.71</v>
      </c>
      <c r="F75" s="582">
        <f t="shared" si="18"/>
        <v>103765</v>
      </c>
      <c r="G75" s="582">
        <f t="shared" si="18"/>
        <v>0</v>
      </c>
      <c r="H75" s="582">
        <f t="shared" si="18"/>
        <v>0</v>
      </c>
      <c r="I75" s="582">
        <f t="shared" si="18"/>
        <v>0</v>
      </c>
      <c r="J75" s="582">
        <f t="shared" si="18"/>
        <v>0</v>
      </c>
      <c r="K75" s="582">
        <f t="shared" si="18"/>
        <v>0</v>
      </c>
      <c r="L75" s="582">
        <f t="shared" si="18"/>
        <v>0</v>
      </c>
      <c r="M75" s="582">
        <f t="shared" si="18"/>
        <v>0</v>
      </c>
      <c r="N75" s="582">
        <f t="shared" si="18"/>
        <v>0</v>
      </c>
      <c r="O75" s="582">
        <f t="shared" si="18"/>
        <v>0</v>
      </c>
      <c r="P75" s="582">
        <f t="shared" si="18"/>
        <v>0</v>
      </c>
      <c r="Q75" s="582">
        <f t="shared" si="18"/>
        <v>0</v>
      </c>
      <c r="R75" s="582">
        <f t="shared" si="18"/>
        <v>0</v>
      </c>
      <c r="S75" s="582">
        <f t="shared" si="18"/>
        <v>0</v>
      </c>
      <c r="T75" s="582">
        <f t="shared" si="18"/>
        <v>321253.70999999996</v>
      </c>
      <c r="U75" s="582">
        <f t="shared" si="18"/>
        <v>0</v>
      </c>
      <c r="V75" s="582">
        <f t="shared" si="18"/>
        <v>321253.70999999996</v>
      </c>
      <c r="W75" s="532"/>
      <c r="X75" s="532"/>
      <c r="Y75" s="532"/>
      <c r="Z75" s="532"/>
    </row>
    <row r="76" spans="1:26" ht="12.6" customHeight="1" x14ac:dyDescent="0.25">
      <c r="A76" s="577"/>
      <c r="B76" s="581"/>
      <c r="C76" s="569"/>
      <c r="D76" s="583" t="s">
        <v>347</v>
      </c>
      <c r="E76" s="730">
        <f>SUM(E72:E74)</f>
        <v>0</v>
      </c>
      <c r="F76" s="730">
        <f t="shared" ref="F76:V76" si="19">SUM(F72:F74)</f>
        <v>0</v>
      </c>
      <c r="G76" s="584">
        <f t="shared" si="19"/>
        <v>0</v>
      </c>
      <c r="H76" s="584">
        <f>SUM(H72:H74)</f>
        <v>0</v>
      </c>
      <c r="I76" s="584">
        <f t="shared" si="19"/>
        <v>0</v>
      </c>
      <c r="J76" s="584">
        <f>SUM(J72:J74)</f>
        <v>0</v>
      </c>
      <c r="K76" s="584">
        <f t="shared" si="19"/>
        <v>0</v>
      </c>
      <c r="L76" s="584">
        <f t="shared" si="19"/>
        <v>0</v>
      </c>
      <c r="M76" s="584">
        <f t="shared" si="19"/>
        <v>0</v>
      </c>
      <c r="N76" s="584">
        <f t="shared" si="19"/>
        <v>0</v>
      </c>
      <c r="O76" s="584">
        <f t="shared" si="19"/>
        <v>0</v>
      </c>
      <c r="P76" s="584">
        <f t="shared" si="19"/>
        <v>0</v>
      </c>
      <c r="Q76" s="584">
        <f t="shared" si="19"/>
        <v>0</v>
      </c>
      <c r="R76" s="584">
        <f t="shared" si="19"/>
        <v>0</v>
      </c>
      <c r="S76" s="584">
        <f t="shared" si="19"/>
        <v>0</v>
      </c>
      <c r="T76" s="730">
        <f t="shared" si="19"/>
        <v>0</v>
      </c>
      <c r="U76" s="730">
        <f t="shared" si="19"/>
        <v>0</v>
      </c>
      <c r="V76" s="730">
        <f t="shared" si="19"/>
        <v>0</v>
      </c>
      <c r="W76" s="532"/>
      <c r="X76" s="532"/>
      <c r="Y76" s="532"/>
      <c r="Z76" s="532"/>
    </row>
    <row r="77" spans="1:26" ht="12.6" customHeight="1" x14ac:dyDescent="0.25">
      <c r="A77" s="577"/>
      <c r="B77" s="581"/>
      <c r="C77" s="569"/>
      <c r="D77" s="583" t="s">
        <v>348</v>
      </c>
      <c r="E77" s="730">
        <f t="shared" ref="E77:V77" si="20">SUM(E69:E71)</f>
        <v>217488.71</v>
      </c>
      <c r="F77" s="730">
        <f t="shared" si="20"/>
        <v>103765</v>
      </c>
      <c r="G77" s="584">
        <f t="shared" si="20"/>
        <v>0</v>
      </c>
      <c r="H77" s="584">
        <f t="shared" si="20"/>
        <v>0</v>
      </c>
      <c r="I77" s="584">
        <f t="shared" si="20"/>
        <v>0</v>
      </c>
      <c r="J77" s="584">
        <f t="shared" si="20"/>
        <v>0</v>
      </c>
      <c r="K77" s="584">
        <f t="shared" si="20"/>
        <v>0</v>
      </c>
      <c r="L77" s="584">
        <f t="shared" si="20"/>
        <v>0</v>
      </c>
      <c r="M77" s="584">
        <f t="shared" si="20"/>
        <v>0</v>
      </c>
      <c r="N77" s="584">
        <f t="shared" si="20"/>
        <v>0</v>
      </c>
      <c r="O77" s="584">
        <f t="shared" si="20"/>
        <v>0</v>
      </c>
      <c r="P77" s="584">
        <f t="shared" si="20"/>
        <v>0</v>
      </c>
      <c r="Q77" s="584">
        <f t="shared" si="20"/>
        <v>0</v>
      </c>
      <c r="R77" s="584">
        <f t="shared" si="20"/>
        <v>0</v>
      </c>
      <c r="S77" s="584">
        <f t="shared" si="20"/>
        <v>0</v>
      </c>
      <c r="T77" s="730">
        <f t="shared" si="20"/>
        <v>321253.70999999996</v>
      </c>
      <c r="U77" s="730">
        <f t="shared" si="20"/>
        <v>0</v>
      </c>
      <c r="V77" s="730">
        <f t="shared" si="20"/>
        <v>321253.70999999996</v>
      </c>
      <c r="W77" s="532"/>
      <c r="X77" s="532"/>
      <c r="Y77" s="532"/>
      <c r="Z77" s="532"/>
    </row>
    <row r="78" spans="1:26" ht="12.6" customHeight="1" x14ac:dyDescent="0.25">
      <c r="A78" s="577"/>
      <c r="B78" s="581"/>
      <c r="C78" s="569"/>
      <c r="D78" s="580"/>
      <c r="E78" s="730">
        <f>SUM(E76:E77)</f>
        <v>217488.71</v>
      </c>
      <c r="F78" s="730">
        <f t="shared" ref="F78:V78" si="21">SUM(F76:F77)</f>
        <v>103765</v>
      </c>
      <c r="G78" s="584">
        <f t="shared" si="21"/>
        <v>0</v>
      </c>
      <c r="H78" s="584">
        <f>SUM(H76:H77)</f>
        <v>0</v>
      </c>
      <c r="I78" s="584">
        <f t="shared" si="21"/>
        <v>0</v>
      </c>
      <c r="J78" s="584">
        <f>SUM(J76:J77)</f>
        <v>0</v>
      </c>
      <c r="K78" s="584">
        <f t="shared" si="21"/>
        <v>0</v>
      </c>
      <c r="L78" s="584">
        <f t="shared" si="21"/>
        <v>0</v>
      </c>
      <c r="M78" s="584">
        <f t="shared" si="21"/>
        <v>0</v>
      </c>
      <c r="N78" s="584">
        <f t="shared" si="21"/>
        <v>0</v>
      </c>
      <c r="O78" s="584">
        <f t="shared" si="21"/>
        <v>0</v>
      </c>
      <c r="P78" s="584">
        <f t="shared" si="21"/>
        <v>0</v>
      </c>
      <c r="Q78" s="584">
        <f t="shared" si="21"/>
        <v>0</v>
      </c>
      <c r="R78" s="584">
        <f t="shared" si="21"/>
        <v>0</v>
      </c>
      <c r="S78" s="584">
        <f t="shared" si="21"/>
        <v>0</v>
      </c>
      <c r="T78" s="730">
        <f t="shared" si="21"/>
        <v>321253.70999999996</v>
      </c>
      <c r="U78" s="730">
        <f t="shared" si="21"/>
        <v>0</v>
      </c>
      <c r="V78" s="730">
        <f t="shared" si="21"/>
        <v>321253.70999999996</v>
      </c>
      <c r="W78" s="532"/>
      <c r="X78" s="532"/>
      <c r="Y78" s="532"/>
      <c r="Z78" s="532"/>
    </row>
    <row r="79" spans="1:26" ht="12.6" customHeight="1" x14ac:dyDescent="0.25">
      <c r="A79" s="577"/>
      <c r="B79" s="569"/>
      <c r="C79" s="569"/>
      <c r="D79" s="580"/>
      <c r="E79" s="586">
        <f>E78-E75</f>
        <v>0</v>
      </c>
      <c r="F79" s="586">
        <f t="shared" ref="F79:V79" si="22">F78-F75</f>
        <v>0</v>
      </c>
      <c r="G79" s="586">
        <f t="shared" si="22"/>
        <v>0</v>
      </c>
      <c r="H79" s="586">
        <f>H78-H75</f>
        <v>0</v>
      </c>
      <c r="I79" s="586">
        <f t="shared" si="22"/>
        <v>0</v>
      </c>
      <c r="J79" s="586">
        <f>J78-J75</f>
        <v>0</v>
      </c>
      <c r="K79" s="586">
        <f t="shared" si="22"/>
        <v>0</v>
      </c>
      <c r="L79" s="586">
        <f t="shared" si="22"/>
        <v>0</v>
      </c>
      <c r="M79" s="586">
        <f t="shared" si="22"/>
        <v>0</v>
      </c>
      <c r="N79" s="586">
        <f t="shared" si="22"/>
        <v>0</v>
      </c>
      <c r="O79" s="586">
        <f t="shared" si="22"/>
        <v>0</v>
      </c>
      <c r="P79" s="586">
        <f t="shared" si="22"/>
        <v>0</v>
      </c>
      <c r="Q79" s="586">
        <f t="shared" si="22"/>
        <v>0</v>
      </c>
      <c r="R79" s="586">
        <f t="shared" si="22"/>
        <v>0</v>
      </c>
      <c r="S79" s="586">
        <f t="shared" si="22"/>
        <v>0</v>
      </c>
      <c r="T79" s="586">
        <f t="shared" si="22"/>
        <v>0</v>
      </c>
      <c r="U79" s="586">
        <f t="shared" si="22"/>
        <v>0</v>
      </c>
      <c r="V79" s="586">
        <f t="shared" si="22"/>
        <v>0</v>
      </c>
    </row>
    <row r="80" spans="1:26" ht="12.6" customHeight="1" x14ac:dyDescent="0.25">
      <c r="A80" s="577"/>
      <c r="B80" s="569"/>
      <c r="C80" s="569"/>
      <c r="D80" s="580"/>
      <c r="E80" s="601"/>
      <c r="F80" s="601"/>
      <c r="G80" s="601"/>
      <c r="H80" s="601"/>
      <c r="I80" s="601"/>
      <c r="J80" s="601"/>
      <c r="K80" s="601"/>
      <c r="L80" s="601"/>
      <c r="M80" s="601"/>
      <c r="N80" s="601"/>
      <c r="O80" s="601"/>
      <c r="P80" s="601"/>
      <c r="Q80" s="601"/>
      <c r="R80" s="601"/>
      <c r="S80" s="601"/>
      <c r="T80" s="601"/>
      <c r="U80" s="601"/>
      <c r="V80" s="615"/>
    </row>
    <row r="81" spans="1:26" ht="12.6" customHeight="1" x14ac:dyDescent="0.25">
      <c r="A81" s="573" t="s">
        <v>7</v>
      </c>
      <c r="B81" s="569" t="s">
        <v>263</v>
      </c>
      <c r="C81" s="569"/>
      <c r="D81" s="580"/>
      <c r="E81" s="602">
        <v>237381.65</v>
      </c>
      <c r="F81" s="570">
        <f>'CABAC Non-Fid 2025'!G46</f>
        <v>50000</v>
      </c>
      <c r="G81" s="570"/>
      <c r="H81" s="570"/>
      <c r="I81" s="570"/>
      <c r="J81" s="570"/>
      <c r="K81" s="570"/>
      <c r="L81" s="570"/>
      <c r="M81" s="570"/>
      <c r="N81" s="570"/>
      <c r="O81" s="570"/>
      <c r="P81" s="570"/>
      <c r="Q81" s="570"/>
      <c r="R81" s="570"/>
      <c r="S81" s="570"/>
      <c r="T81" s="570">
        <f>SUM(E81:S81)</f>
        <v>287381.65000000002</v>
      </c>
      <c r="U81" s="603"/>
      <c r="V81" s="599">
        <f t="shared" ref="V81:V101" si="23">T81-U81</f>
        <v>287381.65000000002</v>
      </c>
      <c r="W81" s="532"/>
      <c r="X81" s="532"/>
      <c r="Y81" s="532"/>
      <c r="Z81" s="532"/>
    </row>
    <row r="82" spans="1:26" ht="12.6" customHeight="1" x14ac:dyDescent="0.25">
      <c r="A82" s="575" t="s">
        <v>39</v>
      </c>
      <c r="B82" s="569" t="s">
        <v>266</v>
      </c>
      <c r="C82" s="569"/>
      <c r="D82" s="580"/>
      <c r="E82" s="602"/>
      <c r="F82" s="570">
        <f>'CABAC Non-Fid 2025'!G45</f>
        <v>0</v>
      </c>
      <c r="G82" s="570"/>
      <c r="H82" s="570"/>
      <c r="I82" s="570"/>
      <c r="J82" s="570"/>
      <c r="K82" s="570"/>
      <c r="L82" s="570"/>
      <c r="M82" s="570"/>
      <c r="N82" s="570"/>
      <c r="O82" s="570"/>
      <c r="P82" s="570"/>
      <c r="Q82" s="570"/>
      <c r="R82" s="570"/>
      <c r="S82" s="570"/>
      <c r="T82" s="570">
        <f t="shared" ref="T82:T101" si="24">SUM(E82:S82)</f>
        <v>0</v>
      </c>
      <c r="U82" s="603"/>
      <c r="V82" s="599">
        <f t="shared" si="23"/>
        <v>0</v>
      </c>
      <c r="W82" s="532"/>
      <c r="X82" s="532"/>
      <c r="Y82" s="532"/>
      <c r="Z82" s="532"/>
    </row>
    <row r="83" spans="1:26" ht="12.6" customHeight="1" x14ac:dyDescent="0.25">
      <c r="A83" s="577"/>
      <c r="B83" s="569" t="s">
        <v>337</v>
      </c>
      <c r="C83" s="569"/>
      <c r="D83" s="580"/>
      <c r="E83" s="602">
        <f>100000+100000</f>
        <v>200000</v>
      </c>
      <c r="F83" s="570">
        <f>'CABAC Non-Fid 2025'!G40+'CABAC Non-Fid 2025'!G42</f>
        <v>200000</v>
      </c>
      <c r="G83" s="570"/>
      <c r="H83" s="570"/>
      <c r="I83" s="570"/>
      <c r="J83" s="570"/>
      <c r="K83" s="570"/>
      <c r="L83" s="570"/>
      <c r="M83" s="570"/>
      <c r="N83" s="570"/>
      <c r="O83" s="570"/>
      <c r="P83" s="570"/>
      <c r="Q83" s="570"/>
      <c r="R83" s="570"/>
      <c r="S83" s="570"/>
      <c r="T83" s="570">
        <f t="shared" si="24"/>
        <v>400000</v>
      </c>
      <c r="U83" s="603"/>
      <c r="V83" s="599">
        <f t="shared" si="23"/>
        <v>400000</v>
      </c>
      <c r="W83" s="532"/>
      <c r="X83" s="532"/>
      <c r="Y83" s="532"/>
      <c r="Z83" s="532"/>
    </row>
    <row r="84" spans="1:26" ht="12.6" customHeight="1" x14ac:dyDescent="0.25">
      <c r="A84" s="577"/>
      <c r="B84" s="569" t="s">
        <v>353</v>
      </c>
      <c r="C84" s="569"/>
      <c r="D84" s="580"/>
      <c r="E84" s="602">
        <v>100000</v>
      </c>
      <c r="F84" s="570">
        <f>'CABAC Non-Fid 2025'!G41</f>
        <v>50000</v>
      </c>
      <c r="G84" s="570"/>
      <c r="H84" s="570"/>
      <c r="I84" s="570"/>
      <c r="J84" s="570"/>
      <c r="K84" s="570"/>
      <c r="L84" s="570"/>
      <c r="M84" s="570"/>
      <c r="N84" s="570"/>
      <c r="O84" s="570"/>
      <c r="P84" s="570"/>
      <c r="Q84" s="570"/>
      <c r="R84" s="570"/>
      <c r="S84" s="570"/>
      <c r="T84" s="570">
        <f t="shared" si="24"/>
        <v>150000</v>
      </c>
      <c r="U84" s="603"/>
      <c r="V84" s="599">
        <f t="shared" si="23"/>
        <v>150000</v>
      </c>
      <c r="W84" s="532"/>
      <c r="X84" s="532"/>
      <c r="Y84" s="532"/>
      <c r="Z84" s="532"/>
    </row>
    <row r="85" spans="1:26" ht="12.6" customHeight="1" x14ac:dyDescent="0.25">
      <c r="A85" s="577"/>
      <c r="B85" s="569" t="s">
        <v>261</v>
      </c>
      <c r="C85" s="569"/>
      <c r="D85" s="580"/>
      <c r="E85" s="602">
        <v>244159.2</v>
      </c>
      <c r="F85" s="570">
        <f>'CABAC Non-Fid 2025'!G43</f>
        <v>300000</v>
      </c>
      <c r="G85" s="570"/>
      <c r="H85" s="570"/>
      <c r="I85" s="570"/>
      <c r="J85" s="570"/>
      <c r="K85" s="570"/>
      <c r="L85" s="570"/>
      <c r="M85" s="570"/>
      <c r="N85" s="570"/>
      <c r="O85" s="570"/>
      <c r="P85" s="570"/>
      <c r="Q85" s="570"/>
      <c r="R85" s="570"/>
      <c r="S85" s="570"/>
      <c r="T85" s="570">
        <f t="shared" si="24"/>
        <v>544159.19999999995</v>
      </c>
      <c r="U85" s="603"/>
      <c r="V85" s="599">
        <f t="shared" si="23"/>
        <v>544159.19999999995</v>
      </c>
      <c r="W85" s="532"/>
      <c r="X85" s="532"/>
      <c r="Y85" s="532"/>
      <c r="Z85" s="532"/>
    </row>
    <row r="86" spans="1:26" ht="12.6" customHeight="1" x14ac:dyDescent="0.25">
      <c r="A86" s="577"/>
      <c r="B86" s="569" t="s">
        <v>262</v>
      </c>
      <c r="C86" s="569"/>
      <c r="D86" s="580"/>
      <c r="E86" s="602">
        <v>106000</v>
      </c>
      <c r="F86" s="570">
        <f>'CABAC Non-Fid 2025'!G44</f>
        <v>100000</v>
      </c>
      <c r="G86" s="570"/>
      <c r="H86" s="570"/>
      <c r="I86" s="570"/>
      <c r="J86" s="570"/>
      <c r="K86" s="570"/>
      <c r="L86" s="570"/>
      <c r="M86" s="570"/>
      <c r="N86" s="570"/>
      <c r="O86" s="570"/>
      <c r="P86" s="570"/>
      <c r="Q86" s="570"/>
      <c r="R86" s="570"/>
      <c r="S86" s="570"/>
      <c r="T86" s="570">
        <f t="shared" si="24"/>
        <v>206000</v>
      </c>
      <c r="U86" s="603"/>
      <c r="V86" s="599">
        <f t="shared" si="23"/>
        <v>206000</v>
      </c>
      <c r="W86" s="532"/>
      <c r="X86" s="532"/>
      <c r="Y86" s="532"/>
      <c r="Z86" s="532"/>
    </row>
    <row r="87" spans="1:26" ht="12.6" customHeight="1" x14ac:dyDescent="0.25">
      <c r="A87" s="577"/>
      <c r="B87" s="569" t="s">
        <v>355</v>
      </c>
      <c r="C87" s="569"/>
      <c r="D87" s="580"/>
      <c r="E87" s="602">
        <v>200000</v>
      </c>
      <c r="F87" s="570">
        <f>'CABAC Fiduciary 2025'!F73</f>
        <v>0</v>
      </c>
      <c r="G87" s="570"/>
      <c r="H87" s="570"/>
      <c r="I87" s="570"/>
      <c r="J87" s="570"/>
      <c r="K87" s="570"/>
      <c r="L87" s="570"/>
      <c r="M87" s="570"/>
      <c r="N87" s="570"/>
      <c r="O87" s="570"/>
      <c r="P87" s="570"/>
      <c r="Q87" s="570"/>
      <c r="R87" s="570"/>
      <c r="S87" s="570"/>
      <c r="T87" s="570">
        <f t="shared" si="24"/>
        <v>200000</v>
      </c>
      <c r="U87" s="603"/>
      <c r="V87" s="599">
        <f t="shared" si="23"/>
        <v>200000</v>
      </c>
      <c r="W87" s="532"/>
      <c r="X87" s="532"/>
      <c r="Y87" s="532"/>
      <c r="Z87" s="532"/>
    </row>
    <row r="88" spans="1:26" ht="12.6" customHeight="1" x14ac:dyDescent="0.25">
      <c r="A88" s="577"/>
      <c r="B88" s="569" t="s">
        <v>145</v>
      </c>
      <c r="C88" s="569"/>
      <c r="D88" s="580"/>
      <c r="E88" s="602">
        <v>70000</v>
      </c>
      <c r="F88" s="570">
        <f>'CABAC Fiduciary 2025'!F74</f>
        <v>0</v>
      </c>
      <c r="G88" s="570"/>
      <c r="H88" s="570"/>
      <c r="I88" s="570"/>
      <c r="J88" s="570"/>
      <c r="K88" s="570"/>
      <c r="L88" s="570"/>
      <c r="M88" s="570"/>
      <c r="N88" s="570"/>
      <c r="O88" s="570"/>
      <c r="P88" s="570"/>
      <c r="Q88" s="570"/>
      <c r="R88" s="570"/>
      <c r="S88" s="570"/>
      <c r="T88" s="570">
        <f t="shared" si="24"/>
        <v>70000</v>
      </c>
      <c r="U88" s="603"/>
      <c r="V88" s="599">
        <f t="shared" si="23"/>
        <v>70000</v>
      </c>
      <c r="W88" s="532"/>
      <c r="X88" s="532"/>
      <c r="Y88" s="532"/>
      <c r="Z88" s="532"/>
    </row>
    <row r="89" spans="1:26" ht="12.6" customHeight="1" x14ac:dyDescent="0.25">
      <c r="A89" s="577"/>
      <c r="B89" s="569" t="s">
        <v>179</v>
      </c>
      <c r="C89" s="569"/>
      <c r="D89" s="580"/>
      <c r="E89" s="602">
        <v>100000</v>
      </c>
      <c r="F89" s="570">
        <f>'CABAC Fiduciary 2025'!F75</f>
        <v>0</v>
      </c>
      <c r="G89" s="570"/>
      <c r="H89" s="570"/>
      <c r="I89" s="570"/>
      <c r="J89" s="570"/>
      <c r="K89" s="570"/>
      <c r="L89" s="570"/>
      <c r="M89" s="570"/>
      <c r="N89" s="570"/>
      <c r="O89" s="570"/>
      <c r="P89" s="570"/>
      <c r="Q89" s="570"/>
      <c r="R89" s="570"/>
      <c r="S89" s="570"/>
      <c r="T89" s="570">
        <f t="shared" si="24"/>
        <v>100000</v>
      </c>
      <c r="U89" s="603"/>
      <c r="V89" s="599">
        <f t="shared" si="23"/>
        <v>100000</v>
      </c>
      <c r="W89" s="532"/>
      <c r="X89" s="532"/>
      <c r="Y89" s="532"/>
      <c r="Z89" s="532"/>
    </row>
    <row r="90" spans="1:26" ht="12.6" customHeight="1" x14ac:dyDescent="0.25">
      <c r="A90" s="577"/>
      <c r="B90" s="569" t="s">
        <v>356</v>
      </c>
      <c r="C90" s="569"/>
      <c r="D90" s="580"/>
      <c r="E90" s="602"/>
      <c r="F90" s="570">
        <f>'CABAC Fiduciary 2025'!F88</f>
        <v>0</v>
      </c>
      <c r="G90" s="570"/>
      <c r="H90" s="570"/>
      <c r="I90" s="570"/>
      <c r="J90" s="570"/>
      <c r="K90" s="570"/>
      <c r="L90" s="570"/>
      <c r="M90" s="570"/>
      <c r="N90" s="570"/>
      <c r="O90" s="570"/>
      <c r="P90" s="570"/>
      <c r="Q90" s="570"/>
      <c r="R90" s="570"/>
      <c r="S90" s="570"/>
      <c r="T90" s="570">
        <f t="shared" si="24"/>
        <v>0</v>
      </c>
      <c r="U90" s="603"/>
      <c r="V90" s="599">
        <f t="shared" si="23"/>
        <v>0</v>
      </c>
      <c r="W90" s="532"/>
      <c r="X90" s="532"/>
      <c r="Y90" s="532"/>
      <c r="Z90" s="532"/>
    </row>
    <row r="91" spans="1:26" ht="12.6" customHeight="1" x14ac:dyDescent="0.25">
      <c r="A91" s="577"/>
      <c r="B91" s="569" t="s">
        <v>342</v>
      </c>
      <c r="C91" s="569"/>
      <c r="D91" s="580"/>
      <c r="E91" s="602">
        <v>70000</v>
      </c>
      <c r="F91" s="570">
        <f>'CABAC Fiduciary 2025'!F82</f>
        <v>0</v>
      </c>
      <c r="G91" s="570"/>
      <c r="H91" s="570"/>
      <c r="I91" s="570"/>
      <c r="J91" s="570"/>
      <c r="K91" s="570"/>
      <c r="L91" s="570"/>
      <c r="M91" s="570"/>
      <c r="N91" s="570"/>
      <c r="O91" s="570"/>
      <c r="P91" s="570"/>
      <c r="Q91" s="570"/>
      <c r="R91" s="570"/>
      <c r="S91" s="570"/>
      <c r="T91" s="570">
        <f t="shared" si="24"/>
        <v>70000</v>
      </c>
      <c r="U91" s="603"/>
      <c r="V91" s="599">
        <f t="shared" si="23"/>
        <v>70000</v>
      </c>
      <c r="W91" s="532"/>
      <c r="X91" s="532"/>
      <c r="Y91" s="532"/>
      <c r="Z91" s="532"/>
    </row>
    <row r="92" spans="1:26" ht="12.6" customHeight="1" x14ac:dyDescent="0.25">
      <c r="A92" s="577"/>
      <c r="B92" s="569" t="s">
        <v>458</v>
      </c>
      <c r="C92" s="569"/>
      <c r="D92" s="569"/>
      <c r="E92" s="602">
        <v>70000</v>
      </c>
      <c r="F92" s="570">
        <f>'CABAC Fiduciary 2025'!F84</f>
        <v>0</v>
      </c>
      <c r="G92" s="570"/>
      <c r="H92" s="570"/>
      <c r="I92" s="570"/>
      <c r="J92" s="570"/>
      <c r="K92" s="570"/>
      <c r="L92" s="570"/>
      <c r="M92" s="570"/>
      <c r="N92" s="570"/>
      <c r="O92" s="570"/>
      <c r="P92" s="570"/>
      <c r="Q92" s="570"/>
      <c r="R92" s="570"/>
      <c r="S92" s="570"/>
      <c r="T92" s="570">
        <f t="shared" si="24"/>
        <v>70000</v>
      </c>
      <c r="U92" s="603"/>
      <c r="V92" s="599">
        <f t="shared" si="23"/>
        <v>70000</v>
      </c>
      <c r="W92" s="532"/>
      <c r="X92" s="532"/>
      <c r="Y92" s="532"/>
      <c r="Z92" s="532"/>
    </row>
    <row r="93" spans="1:26" ht="12.6" customHeight="1" x14ac:dyDescent="0.25">
      <c r="A93" s="577"/>
      <c r="B93" s="569" t="s">
        <v>142</v>
      </c>
      <c r="C93" s="569"/>
      <c r="D93" s="569"/>
      <c r="E93" s="605"/>
      <c r="F93" s="601">
        <f>'CABAC Fiduciary 2025'!F86</f>
        <v>0</v>
      </c>
      <c r="G93" s="601"/>
      <c r="H93" s="601"/>
      <c r="I93" s="601"/>
      <c r="J93" s="601"/>
      <c r="K93" s="601"/>
      <c r="L93" s="601"/>
      <c r="M93" s="601"/>
      <c r="N93" s="601"/>
      <c r="O93" s="601"/>
      <c r="P93" s="601"/>
      <c r="Q93" s="601"/>
      <c r="R93" s="601"/>
      <c r="S93" s="601"/>
      <c r="T93" s="570">
        <f t="shared" si="24"/>
        <v>0</v>
      </c>
      <c r="U93" s="606"/>
      <c r="V93" s="599">
        <f t="shared" si="23"/>
        <v>0</v>
      </c>
      <c r="W93" s="532"/>
      <c r="X93" s="532"/>
      <c r="Y93" s="532"/>
      <c r="Z93" s="532"/>
    </row>
    <row r="94" spans="1:26" ht="12.6" customHeight="1" x14ac:dyDescent="0.25">
      <c r="A94" s="577"/>
      <c r="B94" s="569" t="s">
        <v>358</v>
      </c>
      <c r="C94" s="569"/>
      <c r="D94" s="580"/>
      <c r="E94" s="602">
        <v>70000</v>
      </c>
      <c r="F94" s="570">
        <f>'CABAC Fiduciary 2025'!F85</f>
        <v>20000</v>
      </c>
      <c r="G94" s="570"/>
      <c r="H94" s="570"/>
      <c r="I94" s="570"/>
      <c r="J94" s="570"/>
      <c r="K94" s="570"/>
      <c r="L94" s="570"/>
      <c r="M94" s="570"/>
      <c r="N94" s="570"/>
      <c r="O94" s="570"/>
      <c r="P94" s="570"/>
      <c r="Q94" s="570"/>
      <c r="R94" s="570"/>
      <c r="S94" s="570"/>
      <c r="T94" s="570">
        <f t="shared" si="24"/>
        <v>90000</v>
      </c>
      <c r="U94" s="603"/>
      <c r="V94" s="599">
        <f t="shared" si="23"/>
        <v>90000</v>
      </c>
      <c r="W94" s="532"/>
      <c r="X94" s="532"/>
      <c r="Y94" s="532"/>
      <c r="Z94" s="532"/>
    </row>
    <row r="95" spans="1:26" ht="13.5" customHeight="1" x14ac:dyDescent="0.25">
      <c r="A95" s="577"/>
      <c r="B95" s="569" t="s">
        <v>343</v>
      </c>
      <c r="C95" s="569"/>
      <c r="D95" s="580"/>
      <c r="E95" s="602">
        <v>70000</v>
      </c>
      <c r="F95" s="570">
        <f>'CABAC Fiduciary 2025'!F87</f>
        <v>30000</v>
      </c>
      <c r="G95" s="570"/>
      <c r="H95" s="570"/>
      <c r="I95" s="570"/>
      <c r="J95" s="570"/>
      <c r="K95" s="570"/>
      <c r="L95" s="570"/>
      <c r="M95" s="570"/>
      <c r="N95" s="570"/>
      <c r="O95" s="570"/>
      <c r="P95" s="570"/>
      <c r="Q95" s="570"/>
      <c r="R95" s="570"/>
      <c r="S95" s="570"/>
      <c r="T95" s="570">
        <f t="shared" si="24"/>
        <v>100000</v>
      </c>
      <c r="U95" s="603"/>
      <c r="V95" s="599">
        <f>T95-U95</f>
        <v>100000</v>
      </c>
      <c r="W95" s="532"/>
      <c r="X95" s="532"/>
      <c r="Y95" s="532"/>
      <c r="Z95" s="532"/>
    </row>
    <row r="96" spans="1:26" ht="12.6" customHeight="1" x14ac:dyDescent="0.25">
      <c r="A96" s="577"/>
      <c r="B96" s="569" t="s">
        <v>344</v>
      </c>
      <c r="C96" s="569"/>
      <c r="D96" s="580"/>
      <c r="E96" s="602">
        <v>70000</v>
      </c>
      <c r="F96" s="570">
        <f>'CABAC Fiduciary 2025'!F72</f>
        <v>20000</v>
      </c>
      <c r="G96" s="570"/>
      <c r="H96" s="570"/>
      <c r="I96" s="570"/>
      <c r="J96" s="570"/>
      <c r="K96" s="570"/>
      <c r="L96" s="570"/>
      <c r="M96" s="570"/>
      <c r="N96" s="570"/>
      <c r="O96" s="570"/>
      <c r="P96" s="570"/>
      <c r="Q96" s="570"/>
      <c r="R96" s="570"/>
      <c r="S96" s="570"/>
      <c r="T96" s="570">
        <f t="shared" si="24"/>
        <v>90000</v>
      </c>
      <c r="U96" s="603"/>
      <c r="V96" s="599">
        <f t="shared" si="23"/>
        <v>90000</v>
      </c>
      <c r="W96" s="532"/>
      <c r="X96" s="532"/>
      <c r="Y96" s="532"/>
      <c r="Z96" s="532"/>
    </row>
    <row r="97" spans="1:26" ht="12.6" customHeight="1" x14ac:dyDescent="0.25">
      <c r="A97" s="577"/>
      <c r="B97" s="569" t="s">
        <v>188</v>
      </c>
      <c r="C97" s="569"/>
      <c r="D97" s="580"/>
      <c r="E97" s="605"/>
      <c r="F97" s="601"/>
      <c r="G97" s="601"/>
      <c r="H97" s="601"/>
      <c r="I97" s="601"/>
      <c r="J97" s="601"/>
      <c r="K97" s="601"/>
      <c r="L97" s="601"/>
      <c r="M97" s="601"/>
      <c r="N97" s="601"/>
      <c r="O97" s="601"/>
      <c r="P97" s="601"/>
      <c r="Q97" s="601"/>
      <c r="R97" s="601"/>
      <c r="S97" s="601"/>
      <c r="T97" s="570">
        <f t="shared" si="24"/>
        <v>0</v>
      </c>
      <c r="U97" s="606"/>
      <c r="V97" s="599">
        <f>T97-U97</f>
        <v>0</v>
      </c>
      <c r="W97" s="532"/>
      <c r="X97" s="532"/>
      <c r="Y97" s="532"/>
      <c r="Z97" s="532"/>
    </row>
    <row r="98" spans="1:26" ht="12.6" customHeight="1" x14ac:dyDescent="0.25">
      <c r="A98" s="577"/>
      <c r="B98" s="569" t="s">
        <v>154</v>
      </c>
      <c r="C98" s="569"/>
      <c r="D98" s="580"/>
      <c r="E98" s="602">
        <v>70000</v>
      </c>
      <c r="F98" s="570">
        <f>'CABAC Fiduciary 2025'!F83</f>
        <v>145243.01999999999</v>
      </c>
      <c r="G98" s="570"/>
      <c r="H98" s="570"/>
      <c r="I98" s="570"/>
      <c r="J98" s="570"/>
      <c r="K98" s="570"/>
      <c r="L98" s="570"/>
      <c r="M98" s="570"/>
      <c r="N98" s="570"/>
      <c r="O98" s="570"/>
      <c r="P98" s="570"/>
      <c r="Q98" s="570"/>
      <c r="R98" s="570"/>
      <c r="S98" s="570"/>
      <c r="T98" s="570">
        <f t="shared" si="24"/>
        <v>215243.02</v>
      </c>
      <c r="U98" s="603"/>
      <c r="V98" s="599">
        <f>T98-U98</f>
        <v>215243.02</v>
      </c>
      <c r="W98" s="532"/>
      <c r="X98" s="532"/>
      <c r="Y98" s="532"/>
      <c r="Z98" s="532"/>
    </row>
    <row r="99" spans="1:26" ht="12.6" customHeight="1" x14ac:dyDescent="0.25">
      <c r="A99" s="577"/>
      <c r="B99" s="569" t="s">
        <v>359</v>
      </c>
      <c r="C99" s="569"/>
      <c r="D99" s="580"/>
      <c r="E99" s="602">
        <v>70000</v>
      </c>
      <c r="F99" s="570">
        <f>'CABAC Fiduciary 2025'!F80</f>
        <v>45910</v>
      </c>
      <c r="G99" s="570"/>
      <c r="H99" s="570"/>
      <c r="I99" s="570"/>
      <c r="J99" s="570"/>
      <c r="K99" s="570"/>
      <c r="L99" s="570"/>
      <c r="M99" s="570"/>
      <c r="N99" s="570"/>
      <c r="O99" s="570"/>
      <c r="P99" s="570"/>
      <c r="Q99" s="570"/>
      <c r="R99" s="570"/>
      <c r="S99" s="570"/>
      <c r="T99" s="570">
        <f t="shared" si="24"/>
        <v>115910</v>
      </c>
      <c r="U99" s="603"/>
      <c r="V99" s="599">
        <f>T99-U99</f>
        <v>115910</v>
      </c>
      <c r="W99" s="532"/>
      <c r="X99" s="532"/>
      <c r="Y99" s="532"/>
      <c r="Z99" s="532"/>
    </row>
    <row r="100" spans="1:26" ht="12.6" customHeight="1" x14ac:dyDescent="0.25">
      <c r="A100" s="577"/>
      <c r="B100" s="569" t="s">
        <v>360</v>
      </c>
      <c r="C100" s="569"/>
      <c r="D100" s="580"/>
      <c r="E100" s="602">
        <v>70000</v>
      </c>
      <c r="F100" s="570">
        <f>'CABAC Fiduciary 2025'!F81</f>
        <v>50000</v>
      </c>
      <c r="G100" s="570"/>
      <c r="H100" s="570"/>
      <c r="I100" s="570"/>
      <c r="J100" s="570"/>
      <c r="K100" s="570"/>
      <c r="L100" s="570"/>
      <c r="M100" s="570"/>
      <c r="N100" s="570"/>
      <c r="O100" s="570"/>
      <c r="P100" s="570"/>
      <c r="Q100" s="570"/>
      <c r="R100" s="570"/>
      <c r="S100" s="570"/>
      <c r="T100" s="570">
        <f t="shared" si="24"/>
        <v>120000</v>
      </c>
      <c r="U100" s="603"/>
      <c r="V100" s="599">
        <f>T100-U100</f>
        <v>120000</v>
      </c>
      <c r="W100" s="532"/>
      <c r="X100" s="532"/>
      <c r="Y100" s="532"/>
      <c r="Z100" s="532"/>
    </row>
    <row r="101" spans="1:26" ht="16.5" customHeight="1" thickBot="1" x14ac:dyDescent="0.3">
      <c r="A101" s="577"/>
      <c r="B101" s="569" t="s">
        <v>144</v>
      </c>
      <c r="C101" s="569"/>
      <c r="D101" s="580"/>
      <c r="E101" s="602">
        <v>70000</v>
      </c>
      <c r="F101" s="570">
        <f>'CABAC Fiduciary 2025'!F76</f>
        <v>0</v>
      </c>
      <c r="G101" s="570"/>
      <c r="H101" s="570"/>
      <c r="I101" s="570"/>
      <c r="J101" s="570"/>
      <c r="K101" s="570"/>
      <c r="L101" s="570"/>
      <c r="M101" s="570"/>
      <c r="N101" s="570"/>
      <c r="O101" s="570"/>
      <c r="P101" s="570"/>
      <c r="Q101" s="570"/>
      <c r="R101" s="570"/>
      <c r="S101" s="570"/>
      <c r="T101" s="570">
        <f t="shared" si="24"/>
        <v>70000</v>
      </c>
      <c r="U101" s="603"/>
      <c r="V101" s="599">
        <f t="shared" si="23"/>
        <v>70000</v>
      </c>
      <c r="W101" s="532"/>
      <c r="X101" s="532"/>
      <c r="Y101" s="532"/>
      <c r="Z101" s="532"/>
    </row>
    <row r="102" spans="1:26" ht="12.6" customHeight="1" thickBot="1" x14ac:dyDescent="0.3">
      <c r="A102" s="577"/>
      <c r="B102" s="581" t="s">
        <v>346</v>
      </c>
      <c r="C102" s="569"/>
      <c r="D102" s="580"/>
      <c r="E102" s="582">
        <f t="shared" ref="E102:V102" si="25">SUM(E81:E101)</f>
        <v>1887540.85</v>
      </c>
      <c r="F102" s="582">
        <f t="shared" si="25"/>
        <v>1011153.02</v>
      </c>
      <c r="G102" s="582">
        <f t="shared" si="25"/>
        <v>0</v>
      </c>
      <c r="H102" s="582">
        <f t="shared" si="25"/>
        <v>0</v>
      </c>
      <c r="I102" s="582">
        <f t="shared" si="25"/>
        <v>0</v>
      </c>
      <c r="J102" s="582">
        <f t="shared" si="25"/>
        <v>0</v>
      </c>
      <c r="K102" s="582">
        <f t="shared" si="25"/>
        <v>0</v>
      </c>
      <c r="L102" s="582">
        <f t="shared" si="25"/>
        <v>0</v>
      </c>
      <c r="M102" s="582">
        <f t="shared" si="25"/>
        <v>0</v>
      </c>
      <c r="N102" s="582">
        <f t="shared" si="25"/>
        <v>0</v>
      </c>
      <c r="O102" s="582">
        <f t="shared" si="25"/>
        <v>0</v>
      </c>
      <c r="P102" s="582">
        <f t="shared" si="25"/>
        <v>0</v>
      </c>
      <c r="Q102" s="582">
        <f t="shared" si="25"/>
        <v>0</v>
      </c>
      <c r="R102" s="582">
        <f t="shared" si="25"/>
        <v>0</v>
      </c>
      <c r="S102" s="582">
        <f t="shared" si="25"/>
        <v>0</v>
      </c>
      <c r="T102" s="582">
        <f t="shared" si="25"/>
        <v>2898693.87</v>
      </c>
      <c r="U102" s="582">
        <f t="shared" si="25"/>
        <v>0</v>
      </c>
      <c r="V102" s="616">
        <f t="shared" si="25"/>
        <v>2898693.87</v>
      </c>
      <c r="W102" s="532"/>
      <c r="X102" s="532"/>
      <c r="Y102" s="532"/>
      <c r="Z102" s="532"/>
    </row>
    <row r="103" spans="1:26" ht="12.6" customHeight="1" x14ac:dyDescent="0.25">
      <c r="A103" s="577"/>
      <c r="B103" s="581"/>
      <c r="C103" s="569"/>
      <c r="D103" s="583" t="s">
        <v>347</v>
      </c>
      <c r="E103" s="730">
        <f t="shared" ref="E103:V103" si="26">SUM(E87:E101)</f>
        <v>1000000</v>
      </c>
      <c r="F103" s="730">
        <f t="shared" si="26"/>
        <v>311153.02</v>
      </c>
      <c r="G103" s="584">
        <f t="shared" si="26"/>
        <v>0</v>
      </c>
      <c r="H103" s="584">
        <f t="shared" si="26"/>
        <v>0</v>
      </c>
      <c r="I103" s="584">
        <f t="shared" si="26"/>
        <v>0</v>
      </c>
      <c r="J103" s="584">
        <f t="shared" si="26"/>
        <v>0</v>
      </c>
      <c r="K103" s="584">
        <f t="shared" si="26"/>
        <v>0</v>
      </c>
      <c r="L103" s="584">
        <f t="shared" si="26"/>
        <v>0</v>
      </c>
      <c r="M103" s="584">
        <f t="shared" si="26"/>
        <v>0</v>
      </c>
      <c r="N103" s="584">
        <f t="shared" si="26"/>
        <v>0</v>
      </c>
      <c r="O103" s="584">
        <f t="shared" si="26"/>
        <v>0</v>
      </c>
      <c r="P103" s="584">
        <f t="shared" si="26"/>
        <v>0</v>
      </c>
      <c r="Q103" s="584">
        <f t="shared" si="26"/>
        <v>0</v>
      </c>
      <c r="R103" s="584">
        <f t="shared" si="26"/>
        <v>0</v>
      </c>
      <c r="S103" s="584">
        <f t="shared" si="26"/>
        <v>0</v>
      </c>
      <c r="T103" s="730">
        <f t="shared" si="26"/>
        <v>1311153.02</v>
      </c>
      <c r="U103" s="730">
        <f t="shared" si="26"/>
        <v>0</v>
      </c>
      <c r="V103" s="730">
        <f t="shared" si="26"/>
        <v>1311153.02</v>
      </c>
      <c r="W103" s="532"/>
      <c r="X103" s="532"/>
      <c r="Y103" s="532"/>
      <c r="Z103" s="532"/>
    </row>
    <row r="104" spans="1:26" ht="12.6" customHeight="1" x14ac:dyDescent="0.25">
      <c r="A104" s="577"/>
      <c r="B104" s="581"/>
      <c r="C104" s="569"/>
      <c r="D104" s="583" t="s">
        <v>348</v>
      </c>
      <c r="E104" s="730">
        <f t="shared" ref="E104:V104" si="27">SUM(E81:E86)</f>
        <v>887540.85000000009</v>
      </c>
      <c r="F104" s="730">
        <f t="shared" si="27"/>
        <v>700000</v>
      </c>
      <c r="G104" s="584">
        <f t="shared" si="27"/>
        <v>0</v>
      </c>
      <c r="H104" s="584">
        <f t="shared" si="27"/>
        <v>0</v>
      </c>
      <c r="I104" s="584">
        <f t="shared" si="27"/>
        <v>0</v>
      </c>
      <c r="J104" s="584">
        <f t="shared" si="27"/>
        <v>0</v>
      </c>
      <c r="K104" s="584">
        <f t="shared" si="27"/>
        <v>0</v>
      </c>
      <c r="L104" s="584">
        <f t="shared" si="27"/>
        <v>0</v>
      </c>
      <c r="M104" s="584">
        <f t="shared" si="27"/>
        <v>0</v>
      </c>
      <c r="N104" s="584">
        <f t="shared" si="27"/>
        <v>0</v>
      </c>
      <c r="O104" s="584">
        <f t="shared" si="27"/>
        <v>0</v>
      </c>
      <c r="P104" s="584">
        <f t="shared" si="27"/>
        <v>0</v>
      </c>
      <c r="Q104" s="584">
        <f t="shared" si="27"/>
        <v>0</v>
      </c>
      <c r="R104" s="584">
        <f t="shared" si="27"/>
        <v>0</v>
      </c>
      <c r="S104" s="584">
        <f t="shared" si="27"/>
        <v>0</v>
      </c>
      <c r="T104" s="730">
        <f t="shared" si="27"/>
        <v>1587540.85</v>
      </c>
      <c r="U104" s="730">
        <f t="shared" si="27"/>
        <v>0</v>
      </c>
      <c r="V104" s="730">
        <f t="shared" si="27"/>
        <v>1587540.85</v>
      </c>
      <c r="W104" s="532"/>
      <c r="X104" s="532"/>
      <c r="Y104" s="532"/>
      <c r="Z104" s="532"/>
    </row>
    <row r="105" spans="1:26" ht="12.6" customHeight="1" x14ac:dyDescent="0.25">
      <c r="A105" s="577"/>
      <c r="B105" s="581"/>
      <c r="C105" s="569"/>
      <c r="D105" s="580"/>
      <c r="E105" s="730">
        <f>SUM(E103:E104)</f>
        <v>1887540.85</v>
      </c>
      <c r="F105" s="730">
        <f t="shared" ref="F105:V105" si="28">SUM(F103:F104)</f>
        <v>1011153.02</v>
      </c>
      <c r="G105" s="584">
        <f t="shared" si="28"/>
        <v>0</v>
      </c>
      <c r="H105" s="584">
        <f>SUM(H103:H104)</f>
        <v>0</v>
      </c>
      <c r="I105" s="584">
        <f t="shared" si="28"/>
        <v>0</v>
      </c>
      <c r="J105" s="584">
        <f>SUM(J103:J104)</f>
        <v>0</v>
      </c>
      <c r="K105" s="584">
        <f t="shared" si="28"/>
        <v>0</v>
      </c>
      <c r="L105" s="584">
        <f t="shared" si="28"/>
        <v>0</v>
      </c>
      <c r="M105" s="584">
        <f t="shared" si="28"/>
        <v>0</v>
      </c>
      <c r="N105" s="584">
        <f t="shared" si="28"/>
        <v>0</v>
      </c>
      <c r="O105" s="584">
        <f t="shared" si="28"/>
        <v>0</v>
      </c>
      <c r="P105" s="584">
        <f t="shared" si="28"/>
        <v>0</v>
      </c>
      <c r="Q105" s="584">
        <f t="shared" si="28"/>
        <v>0</v>
      </c>
      <c r="R105" s="584">
        <f t="shared" si="28"/>
        <v>0</v>
      </c>
      <c r="S105" s="584">
        <f t="shared" si="28"/>
        <v>0</v>
      </c>
      <c r="T105" s="730">
        <f t="shared" si="28"/>
        <v>2898693.87</v>
      </c>
      <c r="U105" s="730">
        <f t="shared" si="28"/>
        <v>0</v>
      </c>
      <c r="V105" s="730">
        <f t="shared" si="28"/>
        <v>2898693.87</v>
      </c>
      <c r="W105" s="532"/>
      <c r="X105" s="532"/>
      <c r="Y105" s="532"/>
      <c r="Z105" s="532"/>
    </row>
    <row r="106" spans="1:26" ht="12.6" customHeight="1" x14ac:dyDescent="0.25">
      <c r="A106" s="577"/>
      <c r="B106" s="569"/>
      <c r="C106" s="569"/>
      <c r="D106" s="580"/>
      <c r="E106" s="586">
        <f>E105-E102</f>
        <v>0</v>
      </c>
      <c r="F106" s="586">
        <f t="shared" ref="F106:V106" si="29">F105-F102</f>
        <v>0</v>
      </c>
      <c r="G106" s="586">
        <f t="shared" si="29"/>
        <v>0</v>
      </c>
      <c r="H106" s="586">
        <f>H105-H102</f>
        <v>0</v>
      </c>
      <c r="I106" s="586">
        <f t="shared" si="29"/>
        <v>0</v>
      </c>
      <c r="J106" s="586">
        <f>J105-J102</f>
        <v>0</v>
      </c>
      <c r="K106" s="586">
        <f t="shared" si="29"/>
        <v>0</v>
      </c>
      <c r="L106" s="586">
        <f t="shared" si="29"/>
        <v>0</v>
      </c>
      <c r="M106" s="586">
        <f t="shared" si="29"/>
        <v>0</v>
      </c>
      <c r="N106" s="586">
        <f t="shared" si="29"/>
        <v>0</v>
      </c>
      <c r="O106" s="586">
        <f t="shared" si="29"/>
        <v>0</v>
      </c>
      <c r="P106" s="586">
        <f t="shared" si="29"/>
        <v>0</v>
      </c>
      <c r="Q106" s="586">
        <f t="shared" si="29"/>
        <v>0</v>
      </c>
      <c r="R106" s="586">
        <f t="shared" si="29"/>
        <v>0</v>
      </c>
      <c r="S106" s="586">
        <f t="shared" si="29"/>
        <v>0</v>
      </c>
      <c r="T106" s="586">
        <f t="shared" si="29"/>
        <v>0</v>
      </c>
      <c r="U106" s="586">
        <f t="shared" si="29"/>
        <v>0</v>
      </c>
      <c r="V106" s="586">
        <f t="shared" si="29"/>
        <v>0</v>
      </c>
    </row>
    <row r="107" spans="1:26" ht="12.6" customHeight="1" x14ac:dyDescent="0.25">
      <c r="A107" s="607"/>
      <c r="B107" s="608"/>
      <c r="C107" s="608"/>
      <c r="D107" s="608"/>
      <c r="E107" s="570"/>
      <c r="F107" s="570"/>
      <c r="G107" s="570"/>
      <c r="H107" s="570"/>
      <c r="I107" s="570"/>
      <c r="J107" s="570"/>
      <c r="K107" s="570"/>
      <c r="L107" s="570"/>
      <c r="M107" s="570"/>
      <c r="N107" s="570"/>
      <c r="O107" s="570"/>
      <c r="P107" s="570"/>
      <c r="Q107" s="570"/>
      <c r="R107" s="570"/>
      <c r="S107" s="570"/>
      <c r="T107" s="570"/>
      <c r="U107" s="570"/>
      <c r="V107" s="599"/>
    </row>
    <row r="108" spans="1:26" ht="12.6" customHeight="1" x14ac:dyDescent="0.25">
      <c r="A108" s="611" t="s">
        <v>14</v>
      </c>
      <c r="B108" s="612" t="s">
        <v>365</v>
      </c>
      <c r="C108" s="612"/>
      <c r="D108" s="617"/>
      <c r="E108" s="618"/>
      <c r="F108" s="613"/>
      <c r="G108" s="613"/>
      <c r="H108" s="613"/>
      <c r="I108" s="613"/>
      <c r="J108" s="613"/>
      <c r="K108" s="613"/>
      <c r="L108" s="613"/>
      <c r="M108" s="613"/>
      <c r="N108" s="613"/>
      <c r="O108" s="613"/>
      <c r="P108" s="613"/>
      <c r="Q108" s="613"/>
      <c r="R108" s="613"/>
      <c r="S108" s="613"/>
      <c r="T108" s="613">
        <f>SUM(E108:S108)</f>
        <v>0</v>
      </c>
      <c r="U108" s="619"/>
      <c r="V108" s="614">
        <f>T108-U108</f>
        <v>0</v>
      </c>
      <c r="W108" s="532"/>
      <c r="X108" s="532"/>
      <c r="Y108" s="532"/>
      <c r="Z108" s="532"/>
    </row>
    <row r="109" spans="1:26" ht="12.6" customHeight="1" thickBot="1" x14ac:dyDescent="0.3">
      <c r="A109" s="575" t="s">
        <v>40</v>
      </c>
      <c r="B109" s="569" t="s">
        <v>337</v>
      </c>
      <c r="C109" s="569"/>
      <c r="D109" s="580"/>
      <c r="E109" s="620">
        <v>297102.5</v>
      </c>
      <c r="F109" s="621">
        <f>'CABAC Non-Fid 2025'!G50</f>
        <v>0</v>
      </c>
      <c r="G109" s="621"/>
      <c r="H109" s="621"/>
      <c r="I109" s="621"/>
      <c r="J109" s="621"/>
      <c r="K109" s="621"/>
      <c r="L109" s="621"/>
      <c r="M109" s="621"/>
      <c r="N109" s="621"/>
      <c r="O109" s="621"/>
      <c r="P109" s="621"/>
      <c r="Q109" s="621"/>
      <c r="R109" s="621"/>
      <c r="S109" s="621"/>
      <c r="T109" s="613">
        <f>SUM(E109:S109)</f>
        <v>297102.5</v>
      </c>
      <c r="U109" s="622"/>
      <c r="V109" s="623">
        <f>T109-U109</f>
        <v>297102.5</v>
      </c>
      <c r="W109" s="532"/>
      <c r="X109" s="532"/>
      <c r="Y109" s="532"/>
      <c r="Z109" s="532"/>
    </row>
    <row r="110" spans="1:26" ht="12.6" customHeight="1" thickBot="1" x14ac:dyDescent="0.3">
      <c r="A110" s="577"/>
      <c r="B110" s="581" t="s">
        <v>346</v>
      </c>
      <c r="C110" s="569"/>
      <c r="D110" s="580"/>
      <c r="E110" s="582">
        <f>SUM(E108:E109)</f>
        <v>297102.5</v>
      </c>
      <c r="F110" s="582">
        <f t="shared" ref="F110:V110" si="30">SUM(F108:F109)</f>
        <v>0</v>
      </c>
      <c r="G110" s="582">
        <f t="shared" si="30"/>
        <v>0</v>
      </c>
      <c r="H110" s="582">
        <f>SUM(H108:H109)</f>
        <v>0</v>
      </c>
      <c r="I110" s="582">
        <f t="shared" si="30"/>
        <v>0</v>
      </c>
      <c r="J110" s="582">
        <f>SUM(J108:J109)</f>
        <v>0</v>
      </c>
      <c r="K110" s="582">
        <f t="shared" si="30"/>
        <v>0</v>
      </c>
      <c r="L110" s="582">
        <f t="shared" si="30"/>
        <v>0</v>
      </c>
      <c r="M110" s="582">
        <f t="shared" si="30"/>
        <v>0</v>
      </c>
      <c r="N110" s="582">
        <f t="shared" si="30"/>
        <v>0</v>
      </c>
      <c r="O110" s="582">
        <f t="shared" si="30"/>
        <v>0</v>
      </c>
      <c r="P110" s="582">
        <f t="shared" si="30"/>
        <v>0</v>
      </c>
      <c r="Q110" s="582">
        <f t="shared" si="30"/>
        <v>0</v>
      </c>
      <c r="R110" s="582">
        <f t="shared" si="30"/>
        <v>0</v>
      </c>
      <c r="S110" s="582">
        <f t="shared" si="30"/>
        <v>0</v>
      </c>
      <c r="T110" s="582">
        <f t="shared" si="30"/>
        <v>297102.5</v>
      </c>
      <c r="U110" s="582">
        <f t="shared" si="30"/>
        <v>0</v>
      </c>
      <c r="V110" s="616">
        <f t="shared" si="30"/>
        <v>297102.5</v>
      </c>
      <c r="W110" s="532"/>
      <c r="X110" s="532"/>
      <c r="Y110" s="532"/>
      <c r="Z110" s="532"/>
    </row>
    <row r="111" spans="1:26" ht="12.6" customHeight="1" x14ac:dyDescent="0.25">
      <c r="A111" s="577"/>
      <c r="B111" s="581"/>
      <c r="C111" s="569"/>
      <c r="D111" s="583" t="s">
        <v>347</v>
      </c>
      <c r="E111" s="730"/>
      <c r="F111" s="730"/>
      <c r="G111" s="584"/>
      <c r="H111" s="584"/>
      <c r="I111" s="584"/>
      <c r="J111" s="584"/>
      <c r="K111" s="584"/>
      <c r="L111" s="584"/>
      <c r="M111" s="584"/>
      <c r="N111" s="584"/>
      <c r="O111" s="584"/>
      <c r="P111" s="584"/>
      <c r="Q111" s="584"/>
      <c r="R111" s="584"/>
      <c r="S111" s="584"/>
      <c r="T111" s="584"/>
      <c r="U111" s="624"/>
      <c r="V111" s="625"/>
      <c r="W111" s="532"/>
      <c r="X111" s="532"/>
      <c r="Y111" s="532"/>
      <c r="Z111" s="532"/>
    </row>
    <row r="112" spans="1:26" ht="12.6" customHeight="1" x14ac:dyDescent="0.25">
      <c r="A112" s="577"/>
      <c r="B112" s="581"/>
      <c r="C112" s="569"/>
      <c r="D112" s="583" t="s">
        <v>348</v>
      </c>
      <c r="E112" s="730">
        <f>SUM(E108:E109)</f>
        <v>297102.5</v>
      </c>
      <c r="F112" s="730">
        <f t="shared" ref="F112:V112" si="31">SUM(F108:F109)</f>
        <v>0</v>
      </c>
      <c r="G112" s="584">
        <f t="shared" si="31"/>
        <v>0</v>
      </c>
      <c r="H112" s="584">
        <f>SUM(H108:H109)</f>
        <v>0</v>
      </c>
      <c r="I112" s="584">
        <f t="shared" si="31"/>
        <v>0</v>
      </c>
      <c r="J112" s="584">
        <f>SUM(J108:J109)</f>
        <v>0</v>
      </c>
      <c r="K112" s="584">
        <f t="shared" si="31"/>
        <v>0</v>
      </c>
      <c r="L112" s="584">
        <f t="shared" si="31"/>
        <v>0</v>
      </c>
      <c r="M112" s="584">
        <f t="shared" si="31"/>
        <v>0</v>
      </c>
      <c r="N112" s="584">
        <f t="shared" si="31"/>
        <v>0</v>
      </c>
      <c r="O112" s="584">
        <f t="shared" si="31"/>
        <v>0</v>
      </c>
      <c r="P112" s="584">
        <f t="shared" si="31"/>
        <v>0</v>
      </c>
      <c r="Q112" s="584">
        <f t="shared" si="31"/>
        <v>0</v>
      </c>
      <c r="R112" s="584">
        <f t="shared" si="31"/>
        <v>0</v>
      </c>
      <c r="S112" s="584">
        <f t="shared" si="31"/>
        <v>0</v>
      </c>
      <c r="T112" s="730">
        <f t="shared" si="31"/>
        <v>297102.5</v>
      </c>
      <c r="U112" s="827">
        <f t="shared" si="31"/>
        <v>0</v>
      </c>
      <c r="V112" s="730">
        <f t="shared" si="31"/>
        <v>297102.5</v>
      </c>
      <c r="W112" s="532"/>
      <c r="X112" s="532"/>
      <c r="Y112" s="532"/>
      <c r="Z112" s="532"/>
    </row>
    <row r="113" spans="1:26" ht="12.6" customHeight="1" x14ac:dyDescent="0.25">
      <c r="A113" s="577"/>
      <c r="B113" s="581"/>
      <c r="C113" s="569"/>
      <c r="D113" s="580"/>
      <c r="E113" s="730">
        <f>SUM(E111:E112)</f>
        <v>297102.5</v>
      </c>
      <c r="F113" s="730">
        <f t="shared" ref="F113:V113" si="32">SUM(F111:F112)</f>
        <v>0</v>
      </c>
      <c r="G113" s="584">
        <f t="shared" si="32"/>
        <v>0</v>
      </c>
      <c r="H113" s="584">
        <f>SUM(H111:H112)</f>
        <v>0</v>
      </c>
      <c r="I113" s="584">
        <f t="shared" si="32"/>
        <v>0</v>
      </c>
      <c r="J113" s="584">
        <f>SUM(J111:J112)</f>
        <v>0</v>
      </c>
      <c r="K113" s="584">
        <f t="shared" si="32"/>
        <v>0</v>
      </c>
      <c r="L113" s="584">
        <f t="shared" si="32"/>
        <v>0</v>
      </c>
      <c r="M113" s="584">
        <f t="shared" si="32"/>
        <v>0</v>
      </c>
      <c r="N113" s="584">
        <f t="shared" si="32"/>
        <v>0</v>
      </c>
      <c r="O113" s="584">
        <f t="shared" si="32"/>
        <v>0</v>
      </c>
      <c r="P113" s="584">
        <f t="shared" si="32"/>
        <v>0</v>
      </c>
      <c r="Q113" s="584">
        <f t="shared" si="32"/>
        <v>0</v>
      </c>
      <c r="R113" s="584">
        <f t="shared" si="32"/>
        <v>0</v>
      </c>
      <c r="S113" s="584">
        <f t="shared" si="32"/>
        <v>0</v>
      </c>
      <c r="T113" s="730">
        <f t="shared" si="32"/>
        <v>297102.5</v>
      </c>
      <c r="U113" s="827">
        <f t="shared" si="32"/>
        <v>0</v>
      </c>
      <c r="V113" s="730">
        <f t="shared" si="32"/>
        <v>297102.5</v>
      </c>
      <c r="W113" s="532"/>
      <c r="X113" s="532"/>
      <c r="Y113" s="532"/>
      <c r="Z113" s="532"/>
    </row>
    <row r="114" spans="1:26" ht="12.6" customHeight="1" x14ac:dyDescent="0.25">
      <c r="A114" s="577"/>
      <c r="B114" s="569"/>
      <c r="C114" s="569"/>
      <c r="D114" s="580"/>
      <c r="E114" s="1232">
        <f>E113-E110</f>
        <v>0</v>
      </c>
      <c r="F114" s="1232">
        <f t="shared" ref="F114:V114" si="33">F113-F110</f>
        <v>0</v>
      </c>
      <c r="G114" s="1232">
        <f t="shared" si="33"/>
        <v>0</v>
      </c>
      <c r="H114" s="1232">
        <f>H113-H110</f>
        <v>0</v>
      </c>
      <c r="I114" s="1232">
        <f t="shared" si="33"/>
        <v>0</v>
      </c>
      <c r="J114" s="1232">
        <f>J113-J110</f>
        <v>0</v>
      </c>
      <c r="K114" s="1232">
        <f t="shared" si="33"/>
        <v>0</v>
      </c>
      <c r="L114" s="1232">
        <f t="shared" si="33"/>
        <v>0</v>
      </c>
      <c r="M114" s="1232">
        <f t="shared" si="33"/>
        <v>0</v>
      </c>
      <c r="N114" s="1232">
        <f t="shared" si="33"/>
        <v>0</v>
      </c>
      <c r="O114" s="1232">
        <f t="shared" si="33"/>
        <v>0</v>
      </c>
      <c r="P114" s="1232">
        <f t="shared" si="33"/>
        <v>0</v>
      </c>
      <c r="Q114" s="1232">
        <f t="shared" si="33"/>
        <v>0</v>
      </c>
      <c r="R114" s="1232">
        <f t="shared" si="33"/>
        <v>0</v>
      </c>
      <c r="S114" s="1232">
        <f t="shared" si="33"/>
        <v>0</v>
      </c>
      <c r="T114" s="1232">
        <f t="shared" si="33"/>
        <v>0</v>
      </c>
      <c r="U114" s="1233">
        <f t="shared" si="33"/>
        <v>0</v>
      </c>
      <c r="V114" s="1232">
        <f t="shared" si="33"/>
        <v>0</v>
      </c>
    </row>
    <row r="115" spans="1:26" ht="12.6" customHeight="1" x14ac:dyDescent="0.25">
      <c r="A115" s="577"/>
      <c r="B115" s="569"/>
      <c r="C115" s="569"/>
      <c r="D115" s="580"/>
      <c r="E115" s="613"/>
      <c r="F115" s="613"/>
      <c r="G115" s="613"/>
      <c r="H115" s="613"/>
      <c r="I115" s="613"/>
      <c r="J115" s="613"/>
      <c r="K115" s="613"/>
      <c r="L115" s="613"/>
      <c r="M115" s="613"/>
      <c r="N115" s="613"/>
      <c r="O115" s="613"/>
      <c r="P115" s="613"/>
      <c r="Q115" s="613"/>
      <c r="R115" s="613"/>
      <c r="S115" s="613"/>
      <c r="T115" s="613"/>
      <c r="U115" s="627"/>
      <c r="V115" s="613"/>
    </row>
    <row r="116" spans="1:26" ht="12.6" customHeight="1" x14ac:dyDescent="0.25">
      <c r="A116" s="573" t="s">
        <v>8</v>
      </c>
      <c r="B116" s="569" t="s">
        <v>263</v>
      </c>
      <c r="C116" s="569"/>
      <c r="D116" s="580"/>
      <c r="E116" s="602">
        <v>228890.5</v>
      </c>
      <c r="F116" s="570">
        <f>'CABAC Non-Fid 2025'!G60</f>
        <v>209230</v>
      </c>
      <c r="G116" s="570"/>
      <c r="H116" s="570"/>
      <c r="I116" s="570"/>
      <c r="J116" s="570"/>
      <c r="K116" s="570"/>
      <c r="L116" s="570"/>
      <c r="M116" s="570"/>
      <c r="N116" s="570"/>
      <c r="O116" s="570"/>
      <c r="P116" s="570"/>
      <c r="Q116" s="570"/>
      <c r="R116" s="570"/>
      <c r="S116" s="570"/>
      <c r="T116" s="570">
        <f t="shared" ref="T116:T139" si="34">SUM(E116:S116)</f>
        <v>438120.5</v>
      </c>
      <c r="U116" s="628"/>
      <c r="V116" s="570">
        <f>T116-U116</f>
        <v>438120.5</v>
      </c>
      <c r="W116" s="532"/>
      <c r="X116" s="532"/>
      <c r="Y116" s="532"/>
      <c r="Z116" s="532"/>
    </row>
    <row r="117" spans="1:26" ht="12.6" customHeight="1" x14ac:dyDescent="0.25">
      <c r="A117" s="575" t="s">
        <v>41</v>
      </c>
      <c r="B117" s="569" t="s">
        <v>266</v>
      </c>
      <c r="C117" s="569"/>
      <c r="D117" s="580"/>
      <c r="E117" s="602">
        <v>236005</v>
      </c>
      <c r="F117" s="570">
        <f>'CABAC Non-Fid 2025'!G59</f>
        <v>205621</v>
      </c>
      <c r="G117" s="570"/>
      <c r="H117" s="570"/>
      <c r="I117" s="570"/>
      <c r="J117" s="570"/>
      <c r="K117" s="570"/>
      <c r="L117" s="570"/>
      <c r="M117" s="570"/>
      <c r="N117" s="570"/>
      <c r="O117" s="570"/>
      <c r="P117" s="570"/>
      <c r="Q117" s="570"/>
      <c r="R117" s="570"/>
      <c r="S117" s="570"/>
      <c r="T117" s="570">
        <f t="shared" si="34"/>
        <v>441626</v>
      </c>
      <c r="U117" s="628"/>
      <c r="V117" s="570">
        <f t="shared" ref="V117:V139" si="35">T117-U117</f>
        <v>441626</v>
      </c>
      <c r="W117" s="532"/>
      <c r="X117" s="532"/>
      <c r="Y117" s="532"/>
      <c r="Z117" s="532"/>
    </row>
    <row r="118" spans="1:26" ht="12.6" customHeight="1" x14ac:dyDescent="0.25">
      <c r="A118" s="577"/>
      <c r="B118" s="569" t="s">
        <v>295</v>
      </c>
      <c r="C118" s="569"/>
      <c r="D118" s="580"/>
      <c r="E118" s="602">
        <v>250000</v>
      </c>
      <c r="F118" s="570">
        <f>'CABAC Non-Fid 2025'!G57+'CABAC Non-Fid 2025'!G58</f>
        <v>200000</v>
      </c>
      <c r="G118" s="570"/>
      <c r="H118" s="570"/>
      <c r="I118" s="570"/>
      <c r="J118" s="570"/>
      <c r="K118" s="570"/>
      <c r="L118" s="570"/>
      <c r="M118" s="570"/>
      <c r="N118" s="570"/>
      <c r="O118" s="570"/>
      <c r="P118" s="570"/>
      <c r="Q118" s="570"/>
      <c r="R118" s="570"/>
      <c r="S118" s="570"/>
      <c r="T118" s="570">
        <f t="shared" si="34"/>
        <v>450000</v>
      </c>
      <c r="U118" s="628"/>
      <c r="V118" s="570">
        <f t="shared" si="35"/>
        <v>450000</v>
      </c>
      <c r="W118" s="532"/>
      <c r="X118" s="532"/>
      <c r="Y118" s="532"/>
      <c r="Z118" s="532"/>
    </row>
    <row r="119" spans="1:26" ht="12.6" customHeight="1" x14ac:dyDescent="0.25">
      <c r="A119" s="577"/>
      <c r="B119" s="569" t="s">
        <v>337</v>
      </c>
      <c r="C119" s="569"/>
      <c r="D119" s="580"/>
      <c r="E119" s="602">
        <v>200000</v>
      </c>
      <c r="F119" s="570">
        <f>'CABAC Non-Fid 2025'!G54+'CABAC Non-Fid 2025'!G57</f>
        <v>150000</v>
      </c>
      <c r="G119" s="570"/>
      <c r="H119" s="570"/>
      <c r="I119" s="570"/>
      <c r="J119" s="570"/>
      <c r="K119" s="570"/>
      <c r="L119" s="570"/>
      <c r="M119" s="570"/>
      <c r="N119" s="570"/>
      <c r="O119" s="570"/>
      <c r="P119" s="570"/>
      <c r="Q119" s="570"/>
      <c r="R119" s="570"/>
      <c r="S119" s="570"/>
      <c r="T119" s="570">
        <f t="shared" si="34"/>
        <v>350000</v>
      </c>
      <c r="U119" s="628"/>
      <c r="V119" s="570">
        <f>T119-U119</f>
        <v>350000</v>
      </c>
      <c r="W119" s="532"/>
      <c r="X119" s="532"/>
      <c r="Y119" s="532"/>
      <c r="Z119" s="532"/>
    </row>
    <row r="120" spans="1:26" ht="12.6" customHeight="1" x14ac:dyDescent="0.25">
      <c r="A120" s="577"/>
      <c r="B120" s="569" t="s">
        <v>354</v>
      </c>
      <c r="C120" s="569"/>
      <c r="D120" s="580"/>
      <c r="E120" s="602">
        <f>200000+150000</f>
        <v>350000</v>
      </c>
      <c r="F120" s="570">
        <f>'CABAC Non-Fid 2025'!G55</f>
        <v>103765</v>
      </c>
      <c r="G120" s="570"/>
      <c r="H120" s="570"/>
      <c r="I120" s="570"/>
      <c r="J120" s="570"/>
      <c r="K120" s="570"/>
      <c r="L120" s="570"/>
      <c r="M120" s="570"/>
      <c r="N120" s="570"/>
      <c r="O120" s="570"/>
      <c r="P120" s="570"/>
      <c r="Q120" s="570"/>
      <c r="R120" s="570"/>
      <c r="S120" s="570"/>
      <c r="T120" s="570">
        <f t="shared" si="34"/>
        <v>453765</v>
      </c>
      <c r="U120" s="628"/>
      <c r="V120" s="570">
        <f>T120-U120</f>
        <v>453765</v>
      </c>
      <c r="W120" s="532"/>
      <c r="X120" s="532"/>
      <c r="Y120" s="532"/>
      <c r="Z120" s="532"/>
    </row>
    <row r="121" spans="1:26" ht="12.6" customHeight="1" x14ac:dyDescent="0.25">
      <c r="A121" s="577"/>
      <c r="B121" s="569" t="s">
        <v>262</v>
      </c>
      <c r="C121" s="569"/>
      <c r="D121" s="580"/>
      <c r="E121" s="602">
        <v>185104.5</v>
      </c>
      <c r="F121" s="570">
        <f>'CABAC Non-Fid 2025'!G56</f>
        <v>100000</v>
      </c>
      <c r="G121" s="570"/>
      <c r="H121" s="570"/>
      <c r="I121" s="570"/>
      <c r="J121" s="570"/>
      <c r="K121" s="570"/>
      <c r="L121" s="570"/>
      <c r="M121" s="570"/>
      <c r="N121" s="570"/>
      <c r="O121" s="570"/>
      <c r="P121" s="570"/>
      <c r="Q121" s="570"/>
      <c r="R121" s="570"/>
      <c r="S121" s="570"/>
      <c r="T121" s="570">
        <f t="shared" si="34"/>
        <v>285104.5</v>
      </c>
      <c r="U121" s="628"/>
      <c r="V121" s="570">
        <f>T121-U121</f>
        <v>285104.5</v>
      </c>
      <c r="W121" s="532"/>
      <c r="X121" s="532"/>
      <c r="Y121" s="532"/>
      <c r="Z121" s="532"/>
    </row>
    <row r="122" spans="1:26" ht="12.6" customHeight="1" x14ac:dyDescent="0.25">
      <c r="A122" s="577"/>
      <c r="B122" s="569" t="s">
        <v>366</v>
      </c>
      <c r="C122" s="569"/>
      <c r="D122" s="580"/>
      <c r="E122" s="602">
        <v>50000</v>
      </c>
      <c r="F122" s="570">
        <f>'CABAC Fiduciary 2025'!F91</f>
        <v>0</v>
      </c>
      <c r="G122" s="570"/>
      <c r="H122" s="570"/>
      <c r="I122" s="570"/>
      <c r="J122" s="570"/>
      <c r="K122" s="570"/>
      <c r="L122" s="570"/>
      <c r="M122" s="570"/>
      <c r="N122" s="570"/>
      <c r="O122" s="570"/>
      <c r="P122" s="570"/>
      <c r="Q122" s="570"/>
      <c r="R122" s="570"/>
      <c r="S122" s="570"/>
      <c r="T122" s="570">
        <f t="shared" si="34"/>
        <v>50000</v>
      </c>
      <c r="U122" s="628"/>
      <c r="V122" s="570">
        <f t="shared" si="35"/>
        <v>50000</v>
      </c>
      <c r="W122" s="532"/>
      <c r="X122" s="532"/>
      <c r="Y122" s="532"/>
      <c r="Z122" s="532"/>
    </row>
    <row r="123" spans="1:26" ht="12.6" customHeight="1" x14ac:dyDescent="0.25">
      <c r="A123" s="577"/>
      <c r="B123" s="569" t="s">
        <v>355</v>
      </c>
      <c r="C123" s="569"/>
      <c r="D123" s="580"/>
      <c r="E123" s="602">
        <v>58383.51</v>
      </c>
      <c r="F123" s="570">
        <f>'CABAC Fiduciary 2025'!F92</f>
        <v>0</v>
      </c>
      <c r="G123" s="570"/>
      <c r="H123" s="570"/>
      <c r="I123" s="570"/>
      <c r="J123" s="570"/>
      <c r="K123" s="602"/>
      <c r="L123" s="602"/>
      <c r="M123" s="602"/>
      <c r="N123" s="602"/>
      <c r="O123" s="602"/>
      <c r="P123" s="602"/>
      <c r="Q123" s="602"/>
      <c r="R123" s="602"/>
      <c r="S123" s="602"/>
      <c r="T123" s="570">
        <f t="shared" si="34"/>
        <v>58383.51</v>
      </c>
      <c r="U123" s="628"/>
      <c r="V123" s="570">
        <f t="shared" si="35"/>
        <v>58383.51</v>
      </c>
      <c r="W123" s="532"/>
      <c r="X123" s="532"/>
      <c r="Y123" s="532"/>
      <c r="Z123" s="532"/>
    </row>
    <row r="124" spans="1:26" ht="12.6" customHeight="1" x14ac:dyDescent="0.25">
      <c r="A124" s="577"/>
      <c r="B124" s="569" t="s">
        <v>145</v>
      </c>
      <c r="C124" s="569"/>
      <c r="D124" s="580"/>
      <c r="E124" s="602"/>
      <c r="F124" s="570">
        <f>'CABAC Fiduciary 2025'!F93</f>
        <v>28700</v>
      </c>
      <c r="G124" s="570"/>
      <c r="H124" s="570"/>
      <c r="I124" s="570"/>
      <c r="J124" s="570"/>
      <c r="K124" s="602"/>
      <c r="L124" s="602"/>
      <c r="M124" s="602"/>
      <c r="N124" s="602"/>
      <c r="O124" s="602"/>
      <c r="P124" s="602"/>
      <c r="Q124" s="570"/>
      <c r="R124" s="570"/>
      <c r="S124" s="570"/>
      <c r="T124" s="570">
        <f t="shared" si="34"/>
        <v>28700</v>
      </c>
      <c r="U124" s="628"/>
      <c r="V124" s="570">
        <f t="shared" si="35"/>
        <v>28700</v>
      </c>
      <c r="W124" s="532"/>
      <c r="X124" s="532"/>
      <c r="Y124" s="532"/>
      <c r="Z124" s="532"/>
    </row>
    <row r="125" spans="1:26" ht="12.6" customHeight="1" x14ac:dyDescent="0.25">
      <c r="A125" s="577"/>
      <c r="B125" s="569" t="s">
        <v>179</v>
      </c>
      <c r="C125" s="569"/>
      <c r="D125" s="580"/>
      <c r="E125" s="602">
        <v>58383.51</v>
      </c>
      <c r="F125" s="570">
        <f>'CABAC Fiduciary 2025'!F103</f>
        <v>0</v>
      </c>
      <c r="G125" s="570"/>
      <c r="H125" s="570"/>
      <c r="I125" s="570"/>
      <c r="J125" s="570"/>
      <c r="K125" s="570"/>
      <c r="L125" s="570"/>
      <c r="M125" s="570"/>
      <c r="N125" s="570"/>
      <c r="O125" s="570"/>
      <c r="P125" s="570"/>
      <c r="Q125" s="570"/>
      <c r="R125" s="570"/>
      <c r="S125" s="570"/>
      <c r="T125" s="570">
        <f t="shared" si="34"/>
        <v>58383.51</v>
      </c>
      <c r="U125" s="628"/>
      <c r="V125" s="570">
        <f t="shared" si="35"/>
        <v>58383.51</v>
      </c>
      <c r="W125" s="532"/>
      <c r="X125" s="532"/>
      <c r="Y125" s="532"/>
      <c r="Z125" s="532"/>
    </row>
    <row r="126" spans="1:26" ht="12.6" customHeight="1" x14ac:dyDescent="0.25">
      <c r="A126" s="577"/>
      <c r="B126" s="569" t="s">
        <v>342</v>
      </c>
      <c r="C126" s="569"/>
      <c r="D126" s="580"/>
      <c r="E126" s="602">
        <v>58383.51</v>
      </c>
      <c r="F126" s="570">
        <f>'CABAC Fiduciary 2025'!F96</f>
        <v>0</v>
      </c>
      <c r="G126" s="570"/>
      <c r="H126" s="570"/>
      <c r="I126" s="570"/>
      <c r="J126" s="570"/>
      <c r="K126" s="602"/>
      <c r="L126" s="602"/>
      <c r="M126" s="602"/>
      <c r="N126" s="602"/>
      <c r="O126" s="602"/>
      <c r="P126" s="602"/>
      <c r="Q126" s="602"/>
      <c r="R126" s="602"/>
      <c r="S126" s="602"/>
      <c r="T126" s="570">
        <f t="shared" si="34"/>
        <v>58383.51</v>
      </c>
      <c r="U126" s="628"/>
      <c r="V126" s="570">
        <f t="shared" si="35"/>
        <v>58383.51</v>
      </c>
      <c r="W126" s="532"/>
      <c r="X126" s="532"/>
      <c r="Y126" s="532"/>
      <c r="Z126" s="532"/>
    </row>
    <row r="127" spans="1:26" ht="12.6" customHeight="1" x14ac:dyDescent="0.25">
      <c r="A127" s="577"/>
      <c r="B127" s="569" t="s">
        <v>357</v>
      </c>
      <c r="C127" s="569"/>
      <c r="D127" s="580"/>
      <c r="E127" s="602"/>
      <c r="F127" s="570"/>
      <c r="G127" s="570"/>
      <c r="H127" s="570"/>
      <c r="I127" s="570"/>
      <c r="J127" s="570"/>
      <c r="K127" s="602"/>
      <c r="L127" s="602"/>
      <c r="M127" s="602"/>
      <c r="N127" s="602"/>
      <c r="O127" s="602"/>
      <c r="P127" s="602"/>
      <c r="Q127" s="602"/>
      <c r="R127" s="602"/>
      <c r="S127" s="602"/>
      <c r="T127" s="570">
        <f t="shared" si="34"/>
        <v>0</v>
      </c>
      <c r="U127" s="628"/>
      <c r="V127" s="570">
        <f t="shared" si="35"/>
        <v>0</v>
      </c>
      <c r="W127" s="532"/>
      <c r="X127" s="532"/>
      <c r="Y127" s="532"/>
      <c r="Z127" s="532"/>
    </row>
    <row r="128" spans="1:26" ht="12.6" customHeight="1" x14ac:dyDescent="0.25">
      <c r="A128" s="577"/>
      <c r="B128" s="569" t="s">
        <v>187</v>
      </c>
      <c r="C128" s="569"/>
      <c r="D128" s="569"/>
      <c r="E128" s="605"/>
      <c r="F128" s="570">
        <f>'CABAC Fiduciary 2025'!F105</f>
        <v>0</v>
      </c>
      <c r="G128" s="570"/>
      <c r="H128" s="570"/>
      <c r="I128" s="570"/>
      <c r="J128" s="570"/>
      <c r="K128" s="602"/>
      <c r="L128" s="602"/>
      <c r="M128" s="602"/>
      <c r="N128" s="602"/>
      <c r="O128" s="602"/>
      <c r="P128" s="602"/>
      <c r="Q128" s="601"/>
      <c r="R128" s="601"/>
      <c r="S128" s="601"/>
      <c r="T128" s="570">
        <f t="shared" si="34"/>
        <v>0</v>
      </c>
      <c r="U128" s="629"/>
      <c r="V128" s="570">
        <f t="shared" si="35"/>
        <v>0</v>
      </c>
      <c r="W128" s="532"/>
      <c r="X128" s="532"/>
      <c r="Y128" s="532"/>
      <c r="Z128" s="532"/>
    </row>
    <row r="129" spans="1:26" ht="12.6" customHeight="1" x14ac:dyDescent="0.25">
      <c r="A129" s="577"/>
      <c r="B129" s="569" t="s">
        <v>458</v>
      </c>
      <c r="C129" s="569"/>
      <c r="D129" s="580"/>
      <c r="E129" s="602">
        <v>58383.51</v>
      </c>
      <c r="F129" s="570"/>
      <c r="G129" s="570"/>
      <c r="H129" s="570"/>
      <c r="I129" s="570"/>
      <c r="J129" s="570"/>
      <c r="K129" s="570"/>
      <c r="L129" s="570"/>
      <c r="M129" s="570"/>
      <c r="N129" s="570"/>
      <c r="O129" s="570"/>
      <c r="P129" s="570"/>
      <c r="Q129" s="570"/>
      <c r="R129" s="570"/>
      <c r="S129" s="570"/>
      <c r="T129" s="570">
        <f t="shared" si="34"/>
        <v>58383.51</v>
      </c>
      <c r="U129" s="628"/>
      <c r="V129" s="570">
        <f t="shared" si="35"/>
        <v>58383.51</v>
      </c>
      <c r="W129" s="532"/>
      <c r="X129" s="532"/>
      <c r="Y129" s="532"/>
      <c r="Z129" s="532"/>
    </row>
    <row r="130" spans="1:26" ht="12.6" customHeight="1" x14ac:dyDescent="0.25">
      <c r="A130" s="577"/>
      <c r="B130" s="569" t="s">
        <v>340</v>
      </c>
      <c r="C130" s="569"/>
      <c r="D130" s="569"/>
      <c r="E130" s="605"/>
      <c r="F130" s="570">
        <f>'CABAC Fiduciary 2025'!F100</f>
        <v>0</v>
      </c>
      <c r="G130" s="570"/>
      <c r="H130" s="570"/>
      <c r="I130" s="570"/>
      <c r="J130" s="570"/>
      <c r="K130" s="602"/>
      <c r="L130" s="602"/>
      <c r="M130" s="602"/>
      <c r="N130" s="602"/>
      <c r="O130" s="602"/>
      <c r="P130" s="602"/>
      <c r="Q130" s="601"/>
      <c r="R130" s="601"/>
      <c r="S130" s="601"/>
      <c r="T130" s="570">
        <f t="shared" si="34"/>
        <v>0</v>
      </c>
      <c r="U130" s="629"/>
      <c r="V130" s="570">
        <f t="shared" si="35"/>
        <v>0</v>
      </c>
      <c r="W130" s="532"/>
      <c r="X130" s="532"/>
      <c r="Y130" s="532"/>
      <c r="Z130" s="532"/>
    </row>
    <row r="131" spans="1:26" ht="12.6" customHeight="1" x14ac:dyDescent="0.25">
      <c r="A131" s="577"/>
      <c r="B131" s="569" t="s">
        <v>358</v>
      </c>
      <c r="C131" s="569"/>
      <c r="D131" s="580"/>
      <c r="E131" s="602">
        <v>58383.5</v>
      </c>
      <c r="F131" s="570">
        <f>'CABAC Fiduciary 2025'!F101</f>
        <v>0</v>
      </c>
      <c r="G131" s="570"/>
      <c r="H131" s="570"/>
      <c r="I131" s="570"/>
      <c r="J131" s="570"/>
      <c r="K131" s="570"/>
      <c r="L131" s="570"/>
      <c r="M131" s="570"/>
      <c r="N131" s="570"/>
      <c r="O131" s="570"/>
      <c r="P131" s="570"/>
      <c r="Q131" s="570"/>
      <c r="R131" s="570"/>
      <c r="S131" s="570"/>
      <c r="T131" s="570">
        <f t="shared" si="34"/>
        <v>58383.5</v>
      </c>
      <c r="U131" s="628"/>
      <c r="V131" s="570">
        <f t="shared" si="35"/>
        <v>58383.5</v>
      </c>
      <c r="W131" s="532"/>
      <c r="X131" s="532"/>
      <c r="Y131" s="532"/>
      <c r="Z131" s="532"/>
    </row>
    <row r="132" spans="1:26" ht="12.6" customHeight="1" x14ac:dyDescent="0.25">
      <c r="A132" s="577"/>
      <c r="B132" s="569" t="s">
        <v>343</v>
      </c>
      <c r="C132" s="569"/>
      <c r="D132" s="580"/>
      <c r="E132" s="602">
        <v>58383.5</v>
      </c>
      <c r="F132" s="570">
        <f>'CABAC Fiduciary 2025'!F102</f>
        <v>19463</v>
      </c>
      <c r="G132" s="570"/>
      <c r="H132" s="570"/>
      <c r="I132" s="570"/>
      <c r="J132" s="570"/>
      <c r="K132" s="570"/>
      <c r="L132" s="570"/>
      <c r="M132" s="570"/>
      <c r="N132" s="570"/>
      <c r="O132" s="570"/>
      <c r="P132" s="570"/>
      <c r="Q132" s="570"/>
      <c r="R132" s="570"/>
      <c r="S132" s="570"/>
      <c r="T132" s="570">
        <f t="shared" si="34"/>
        <v>77846.5</v>
      </c>
      <c r="U132" s="628"/>
      <c r="V132" s="570">
        <f t="shared" si="35"/>
        <v>77846.5</v>
      </c>
      <c r="W132" s="532"/>
      <c r="X132" s="532"/>
      <c r="Y132" s="532"/>
      <c r="Z132" s="532"/>
    </row>
    <row r="133" spans="1:26" ht="12.6" customHeight="1" x14ac:dyDescent="0.25">
      <c r="A133" s="577"/>
      <c r="B133" s="569" t="s">
        <v>344</v>
      </c>
      <c r="C133" s="569"/>
      <c r="D133" s="580"/>
      <c r="E133" s="602">
        <v>58383.5</v>
      </c>
      <c r="F133" s="570">
        <f>'CABAC Fiduciary 2025'!F90</f>
        <v>0</v>
      </c>
      <c r="G133" s="570"/>
      <c r="H133" s="570"/>
      <c r="I133" s="570"/>
      <c r="J133" s="570"/>
      <c r="K133" s="570"/>
      <c r="L133" s="570"/>
      <c r="M133" s="570"/>
      <c r="N133" s="570"/>
      <c r="O133" s="570"/>
      <c r="P133" s="570"/>
      <c r="Q133" s="570"/>
      <c r="R133" s="570"/>
      <c r="S133" s="570"/>
      <c r="T133" s="570">
        <f t="shared" si="34"/>
        <v>58383.5</v>
      </c>
      <c r="U133" s="628"/>
      <c r="V133" s="570">
        <f t="shared" si="35"/>
        <v>58383.5</v>
      </c>
      <c r="W133" s="532"/>
      <c r="X133" s="532"/>
      <c r="Y133" s="532"/>
      <c r="Z133" s="532"/>
    </row>
    <row r="134" spans="1:26" ht="12.6" customHeight="1" x14ac:dyDescent="0.25">
      <c r="A134" s="577"/>
      <c r="B134" s="569" t="s">
        <v>188</v>
      </c>
      <c r="C134" s="569"/>
      <c r="D134" s="580"/>
      <c r="E134" s="605"/>
      <c r="F134" s="601">
        <f>'CABAC Fiduciary 2025'!F106</f>
        <v>0</v>
      </c>
      <c r="G134" s="601"/>
      <c r="H134" s="601"/>
      <c r="I134" s="601"/>
      <c r="J134" s="601"/>
      <c r="K134" s="601"/>
      <c r="L134" s="601"/>
      <c r="M134" s="601"/>
      <c r="N134" s="601"/>
      <c r="O134" s="601"/>
      <c r="P134" s="601"/>
      <c r="Q134" s="601"/>
      <c r="R134" s="601"/>
      <c r="S134" s="601"/>
      <c r="T134" s="601">
        <f t="shared" si="34"/>
        <v>0</v>
      </c>
      <c r="U134" s="630"/>
      <c r="V134" s="570">
        <f t="shared" si="35"/>
        <v>0</v>
      </c>
      <c r="W134" s="532"/>
      <c r="X134" s="532"/>
      <c r="Y134" s="532"/>
      <c r="Z134" s="532"/>
    </row>
    <row r="135" spans="1:26" ht="12.6" customHeight="1" x14ac:dyDescent="0.25">
      <c r="A135" s="577"/>
      <c r="B135" s="569" t="s">
        <v>154</v>
      </c>
      <c r="C135" s="569"/>
      <c r="D135" s="580"/>
      <c r="E135" s="602">
        <v>58383.5</v>
      </c>
      <c r="F135" s="570">
        <f>'CABAC Fiduciary 2025'!F99</f>
        <v>9950</v>
      </c>
      <c r="G135" s="570"/>
      <c r="H135" s="570"/>
      <c r="I135" s="570"/>
      <c r="J135" s="570"/>
      <c r="K135" s="570"/>
      <c r="L135" s="570"/>
      <c r="M135" s="570"/>
      <c r="N135" s="570"/>
      <c r="O135" s="570"/>
      <c r="P135" s="570"/>
      <c r="Q135" s="570"/>
      <c r="R135" s="570"/>
      <c r="S135" s="570"/>
      <c r="T135" s="570">
        <f t="shared" si="34"/>
        <v>68333.5</v>
      </c>
      <c r="U135" s="628"/>
      <c r="V135" s="570">
        <f t="shared" si="35"/>
        <v>68333.5</v>
      </c>
      <c r="W135" s="532"/>
      <c r="X135" s="532"/>
      <c r="Y135" s="532"/>
      <c r="Z135" s="532"/>
    </row>
    <row r="136" spans="1:26" ht="12.6" customHeight="1" x14ac:dyDescent="0.25">
      <c r="A136" s="577"/>
      <c r="B136" s="569" t="s">
        <v>367</v>
      </c>
      <c r="C136" s="569"/>
      <c r="D136" s="569"/>
      <c r="E136" s="605"/>
      <c r="F136" s="570">
        <f>'CABAC Fiduciary 2025'!F104</f>
        <v>0</v>
      </c>
      <c r="G136" s="570"/>
      <c r="H136" s="570"/>
      <c r="I136" s="570"/>
      <c r="J136" s="570"/>
      <c r="K136" s="602"/>
      <c r="L136" s="602"/>
      <c r="M136" s="602"/>
      <c r="N136" s="602"/>
      <c r="O136" s="602"/>
      <c r="P136" s="602"/>
      <c r="Q136" s="601"/>
      <c r="R136" s="601"/>
      <c r="S136" s="601"/>
      <c r="T136" s="570">
        <f t="shared" si="34"/>
        <v>0</v>
      </c>
      <c r="U136" s="629"/>
      <c r="V136" s="570">
        <f t="shared" si="35"/>
        <v>0</v>
      </c>
      <c r="W136" s="532"/>
      <c r="X136" s="532"/>
      <c r="Y136" s="532"/>
      <c r="Z136" s="532"/>
    </row>
    <row r="137" spans="1:26" ht="12.6" customHeight="1" x14ac:dyDescent="0.25">
      <c r="A137" s="577"/>
      <c r="B137" s="569" t="s">
        <v>359</v>
      </c>
      <c r="C137" s="569"/>
      <c r="D137" s="580"/>
      <c r="E137" s="602">
        <v>58383.5</v>
      </c>
      <c r="F137" s="570">
        <f>'CABAC Fiduciary 2025'!F97</f>
        <v>0</v>
      </c>
      <c r="G137" s="570"/>
      <c r="H137" s="570"/>
      <c r="I137" s="570"/>
      <c r="J137" s="570"/>
      <c r="K137" s="570"/>
      <c r="L137" s="570"/>
      <c r="M137" s="570"/>
      <c r="N137" s="570"/>
      <c r="O137" s="570"/>
      <c r="P137" s="570"/>
      <c r="Q137" s="570"/>
      <c r="R137" s="570"/>
      <c r="S137" s="570"/>
      <c r="T137" s="570">
        <f t="shared" si="34"/>
        <v>58383.5</v>
      </c>
      <c r="U137" s="628"/>
      <c r="V137" s="570">
        <f t="shared" si="35"/>
        <v>58383.5</v>
      </c>
      <c r="W137" s="532"/>
      <c r="X137" s="532"/>
      <c r="Y137" s="532"/>
      <c r="Z137" s="532"/>
    </row>
    <row r="138" spans="1:26" ht="12.6" customHeight="1" x14ac:dyDescent="0.25">
      <c r="A138" s="577"/>
      <c r="B138" s="569" t="s">
        <v>360</v>
      </c>
      <c r="C138" s="569"/>
      <c r="D138" s="580"/>
      <c r="E138" s="602">
        <v>58383.5</v>
      </c>
      <c r="F138" s="570">
        <f>'CABAC Fiduciary 2025'!F98</f>
        <v>45610</v>
      </c>
      <c r="G138" s="570"/>
      <c r="H138" s="570"/>
      <c r="I138" s="570"/>
      <c r="J138" s="570"/>
      <c r="K138" s="602"/>
      <c r="L138" s="602"/>
      <c r="M138" s="602"/>
      <c r="N138" s="602"/>
      <c r="O138" s="602"/>
      <c r="P138" s="602"/>
      <c r="Q138" s="602"/>
      <c r="R138" s="602"/>
      <c r="S138" s="602"/>
      <c r="T138" s="570">
        <f t="shared" si="34"/>
        <v>103993.5</v>
      </c>
      <c r="U138" s="628"/>
      <c r="V138" s="570">
        <f t="shared" si="35"/>
        <v>103993.5</v>
      </c>
      <c r="W138" s="532"/>
      <c r="X138" s="532"/>
      <c r="Y138" s="532"/>
      <c r="Z138" s="532"/>
    </row>
    <row r="139" spans="1:26" ht="16.5" customHeight="1" thickBot="1" x14ac:dyDescent="0.3">
      <c r="A139" s="577"/>
      <c r="B139" s="569" t="s">
        <v>144</v>
      </c>
      <c r="C139" s="569"/>
      <c r="D139" s="580"/>
      <c r="E139" s="602"/>
      <c r="F139" s="570">
        <f>'CABAC Fiduciary 2025'!F94</f>
        <v>0</v>
      </c>
      <c r="G139" s="570"/>
      <c r="H139" s="570"/>
      <c r="I139" s="570"/>
      <c r="J139" s="570"/>
      <c r="K139" s="602"/>
      <c r="L139" s="602"/>
      <c r="M139" s="602"/>
      <c r="N139" s="602"/>
      <c r="O139" s="602"/>
      <c r="P139" s="602"/>
      <c r="Q139" s="602"/>
      <c r="R139" s="602"/>
      <c r="S139" s="602"/>
      <c r="T139" s="570">
        <f t="shared" si="34"/>
        <v>0</v>
      </c>
      <c r="U139" s="628"/>
      <c r="V139" s="570">
        <f t="shared" si="35"/>
        <v>0</v>
      </c>
      <c r="W139" s="532"/>
      <c r="X139" s="532"/>
      <c r="Y139" s="532"/>
      <c r="Z139" s="532"/>
    </row>
    <row r="140" spans="1:26" ht="12.6" customHeight="1" thickBot="1" x14ac:dyDescent="0.3">
      <c r="A140" s="577"/>
      <c r="B140" s="581" t="s">
        <v>346</v>
      </c>
      <c r="C140" s="569"/>
      <c r="D140" s="580"/>
      <c r="E140" s="582">
        <f t="shared" ref="E140:V140" si="36">SUM(E116:E139)</f>
        <v>2083835.04</v>
      </c>
      <c r="F140" s="582">
        <f t="shared" si="36"/>
        <v>1072339</v>
      </c>
      <c r="G140" s="582">
        <f t="shared" si="36"/>
        <v>0</v>
      </c>
      <c r="H140" s="582">
        <f t="shared" si="36"/>
        <v>0</v>
      </c>
      <c r="I140" s="582">
        <f t="shared" si="36"/>
        <v>0</v>
      </c>
      <c r="J140" s="582">
        <f t="shared" si="36"/>
        <v>0</v>
      </c>
      <c r="K140" s="582">
        <f t="shared" si="36"/>
        <v>0</v>
      </c>
      <c r="L140" s="582">
        <f t="shared" si="36"/>
        <v>0</v>
      </c>
      <c r="M140" s="582">
        <f t="shared" si="36"/>
        <v>0</v>
      </c>
      <c r="N140" s="582">
        <f t="shared" si="36"/>
        <v>0</v>
      </c>
      <c r="O140" s="582">
        <f t="shared" si="36"/>
        <v>0</v>
      </c>
      <c r="P140" s="582">
        <f t="shared" si="36"/>
        <v>0</v>
      </c>
      <c r="Q140" s="582">
        <f t="shared" si="36"/>
        <v>0</v>
      </c>
      <c r="R140" s="582">
        <f t="shared" si="36"/>
        <v>0</v>
      </c>
      <c r="S140" s="582">
        <f t="shared" si="36"/>
        <v>0</v>
      </c>
      <c r="T140" s="582">
        <f t="shared" si="36"/>
        <v>3156174.0399999991</v>
      </c>
      <c r="U140" s="582">
        <f t="shared" si="36"/>
        <v>0</v>
      </c>
      <c r="V140" s="616">
        <f t="shared" si="36"/>
        <v>3156174.0399999991</v>
      </c>
      <c r="W140" s="532"/>
      <c r="X140" s="532"/>
      <c r="Y140" s="532"/>
      <c r="Z140" s="532"/>
    </row>
    <row r="141" spans="1:26" ht="12.6" customHeight="1" x14ac:dyDescent="0.25">
      <c r="A141" s="577"/>
      <c r="B141" s="581"/>
      <c r="C141" s="569"/>
      <c r="D141" s="583" t="s">
        <v>347</v>
      </c>
      <c r="E141" s="730">
        <f>SUM(E122:E139)</f>
        <v>633835.04</v>
      </c>
      <c r="F141" s="730">
        <f>F123+F124+F125+F126+F128+F129+F130+F131+F132+F133+F134+F135+F136+F137+F138+F139</f>
        <v>103723</v>
      </c>
      <c r="G141" s="584">
        <f t="shared" ref="G141:V141" si="37">SUM(G121:G139)</f>
        <v>0</v>
      </c>
      <c r="H141" s="584">
        <f t="shared" si="37"/>
        <v>0</v>
      </c>
      <c r="I141" s="584">
        <f t="shared" si="37"/>
        <v>0</v>
      </c>
      <c r="J141" s="584">
        <f t="shared" si="37"/>
        <v>0</v>
      </c>
      <c r="K141" s="584">
        <f t="shared" si="37"/>
        <v>0</v>
      </c>
      <c r="L141" s="584">
        <f t="shared" si="37"/>
        <v>0</v>
      </c>
      <c r="M141" s="584">
        <f t="shared" si="37"/>
        <v>0</v>
      </c>
      <c r="N141" s="584">
        <f t="shared" si="37"/>
        <v>0</v>
      </c>
      <c r="O141" s="584">
        <f t="shared" si="37"/>
        <v>0</v>
      </c>
      <c r="P141" s="584">
        <f t="shared" si="37"/>
        <v>0</v>
      </c>
      <c r="Q141" s="584">
        <f t="shared" si="37"/>
        <v>0</v>
      </c>
      <c r="R141" s="584">
        <f t="shared" si="37"/>
        <v>0</v>
      </c>
      <c r="S141" s="584">
        <f t="shared" si="37"/>
        <v>0</v>
      </c>
      <c r="T141" s="730">
        <f t="shared" si="37"/>
        <v>1022662.54</v>
      </c>
      <c r="U141" s="730">
        <f t="shared" si="37"/>
        <v>0</v>
      </c>
      <c r="V141" s="730">
        <f t="shared" si="37"/>
        <v>1022662.54</v>
      </c>
      <c r="W141" s="532"/>
      <c r="X141" s="532"/>
      <c r="Y141" s="532"/>
      <c r="Z141" s="532"/>
    </row>
    <row r="142" spans="1:26" ht="12.6" customHeight="1" x14ac:dyDescent="0.25">
      <c r="A142" s="577"/>
      <c r="B142" s="581"/>
      <c r="C142" s="569"/>
      <c r="D142" s="583" t="s">
        <v>348</v>
      </c>
      <c r="E142" s="730">
        <f>SUM(E116:E121)</f>
        <v>1450000</v>
      </c>
      <c r="F142" s="730">
        <f>F116+F117+F118+F119+F120+F121+F122</f>
        <v>968616</v>
      </c>
      <c r="G142" s="584">
        <f t="shared" ref="G142:V142" si="38">SUM(G116:G120)</f>
        <v>0</v>
      </c>
      <c r="H142" s="584">
        <f t="shared" si="38"/>
        <v>0</v>
      </c>
      <c r="I142" s="584">
        <f t="shared" si="38"/>
        <v>0</v>
      </c>
      <c r="J142" s="584">
        <f t="shared" si="38"/>
        <v>0</v>
      </c>
      <c r="K142" s="584">
        <f t="shared" si="38"/>
        <v>0</v>
      </c>
      <c r="L142" s="584">
        <f t="shared" si="38"/>
        <v>0</v>
      </c>
      <c r="M142" s="584">
        <f t="shared" si="38"/>
        <v>0</v>
      </c>
      <c r="N142" s="584">
        <f t="shared" si="38"/>
        <v>0</v>
      </c>
      <c r="O142" s="584">
        <f t="shared" si="38"/>
        <v>0</v>
      </c>
      <c r="P142" s="584">
        <f t="shared" si="38"/>
        <v>0</v>
      </c>
      <c r="Q142" s="584">
        <f t="shared" si="38"/>
        <v>0</v>
      </c>
      <c r="R142" s="584">
        <f t="shared" si="38"/>
        <v>0</v>
      </c>
      <c r="S142" s="584">
        <f t="shared" si="38"/>
        <v>0</v>
      </c>
      <c r="T142" s="730">
        <f t="shared" si="38"/>
        <v>2133511.5</v>
      </c>
      <c r="U142" s="730">
        <f t="shared" si="38"/>
        <v>0</v>
      </c>
      <c r="V142" s="730">
        <f t="shared" si="38"/>
        <v>2133511.5</v>
      </c>
      <c r="W142" s="532"/>
      <c r="X142" s="532"/>
      <c r="Y142" s="532"/>
      <c r="Z142" s="532"/>
    </row>
    <row r="143" spans="1:26" ht="12.6" customHeight="1" x14ac:dyDescent="0.25">
      <c r="A143" s="577"/>
      <c r="B143" s="581"/>
      <c r="C143" s="569"/>
      <c r="D143" s="580"/>
      <c r="E143" s="730">
        <f>SUM(E141:E142)</f>
        <v>2083835.04</v>
      </c>
      <c r="F143" s="730">
        <f t="shared" ref="F143:V143" si="39">SUM(F141:F142)</f>
        <v>1072339</v>
      </c>
      <c r="G143" s="584">
        <f t="shared" si="39"/>
        <v>0</v>
      </c>
      <c r="H143" s="584">
        <f>SUM(H141:H142)</f>
        <v>0</v>
      </c>
      <c r="I143" s="584">
        <f t="shared" si="39"/>
        <v>0</v>
      </c>
      <c r="J143" s="584">
        <f>SUM(J141:J142)</f>
        <v>0</v>
      </c>
      <c r="K143" s="584">
        <f t="shared" si="39"/>
        <v>0</v>
      </c>
      <c r="L143" s="584">
        <f t="shared" si="39"/>
        <v>0</v>
      </c>
      <c r="M143" s="584">
        <f t="shared" si="39"/>
        <v>0</v>
      </c>
      <c r="N143" s="584">
        <f t="shared" si="39"/>
        <v>0</v>
      </c>
      <c r="O143" s="584">
        <f t="shared" si="39"/>
        <v>0</v>
      </c>
      <c r="P143" s="584">
        <f t="shared" si="39"/>
        <v>0</v>
      </c>
      <c r="Q143" s="584">
        <f t="shared" si="39"/>
        <v>0</v>
      </c>
      <c r="R143" s="584">
        <f t="shared" si="39"/>
        <v>0</v>
      </c>
      <c r="S143" s="584">
        <f t="shared" si="39"/>
        <v>0</v>
      </c>
      <c r="T143" s="730">
        <f t="shared" si="39"/>
        <v>3156174.04</v>
      </c>
      <c r="U143" s="730">
        <f t="shared" si="39"/>
        <v>0</v>
      </c>
      <c r="V143" s="730">
        <f t="shared" si="39"/>
        <v>3156174.04</v>
      </c>
      <c r="W143" s="532"/>
      <c r="X143" s="532"/>
      <c r="Y143" s="532"/>
      <c r="Z143" s="532"/>
    </row>
    <row r="144" spans="1:26" ht="12.6" customHeight="1" x14ac:dyDescent="0.25">
      <c r="A144" s="577"/>
      <c r="B144" s="569"/>
      <c r="C144" s="569"/>
      <c r="D144" s="580"/>
      <c r="E144" s="586">
        <f>E143-E140</f>
        <v>0</v>
      </c>
      <c r="F144" s="586">
        <f t="shared" ref="F144:V144" si="40">F143-F140</f>
        <v>0</v>
      </c>
      <c r="G144" s="586">
        <f t="shared" si="40"/>
        <v>0</v>
      </c>
      <c r="H144" s="586">
        <f>H143-H140</f>
        <v>0</v>
      </c>
      <c r="I144" s="586">
        <f t="shared" si="40"/>
        <v>0</v>
      </c>
      <c r="J144" s="586">
        <f>J143-J140</f>
        <v>0</v>
      </c>
      <c r="K144" s="586">
        <f t="shared" si="40"/>
        <v>0</v>
      </c>
      <c r="L144" s="586">
        <f t="shared" si="40"/>
        <v>0</v>
      </c>
      <c r="M144" s="586">
        <f t="shared" si="40"/>
        <v>0</v>
      </c>
      <c r="N144" s="586">
        <f t="shared" si="40"/>
        <v>0</v>
      </c>
      <c r="O144" s="586">
        <f t="shared" si="40"/>
        <v>0</v>
      </c>
      <c r="P144" s="586">
        <f t="shared" si="40"/>
        <v>0</v>
      </c>
      <c r="Q144" s="586">
        <f t="shared" si="40"/>
        <v>0</v>
      </c>
      <c r="R144" s="586">
        <f t="shared" si="40"/>
        <v>0</v>
      </c>
      <c r="S144" s="586">
        <f t="shared" si="40"/>
        <v>0</v>
      </c>
      <c r="T144" s="586">
        <f t="shared" si="40"/>
        <v>0</v>
      </c>
      <c r="U144" s="586">
        <f t="shared" si="40"/>
        <v>0</v>
      </c>
      <c r="V144" s="586">
        <f t="shared" si="40"/>
        <v>0</v>
      </c>
    </row>
    <row r="145" spans="1:26" ht="12.6" customHeight="1" x14ac:dyDescent="0.25">
      <c r="A145" s="607"/>
      <c r="B145" s="608"/>
      <c r="C145" s="608"/>
      <c r="D145" s="661"/>
      <c r="E145" s="599"/>
      <c r="F145" s="570"/>
      <c r="G145" s="570"/>
      <c r="H145" s="570"/>
      <c r="I145" s="570"/>
      <c r="J145" s="570"/>
      <c r="K145" s="570"/>
      <c r="L145" s="570"/>
      <c r="M145" s="570"/>
      <c r="N145" s="570"/>
      <c r="O145" s="570"/>
      <c r="P145" s="570"/>
      <c r="Q145" s="570"/>
      <c r="R145" s="570"/>
      <c r="S145" s="570"/>
      <c r="T145" s="1237"/>
      <c r="U145" s="570"/>
      <c r="V145" s="599"/>
      <c r="W145" s="532"/>
      <c r="X145" s="532"/>
      <c r="Y145" s="532"/>
      <c r="Z145" s="532"/>
    </row>
    <row r="146" spans="1:26" ht="12.6" customHeight="1" x14ac:dyDescent="0.25">
      <c r="A146" s="611" t="s">
        <v>368</v>
      </c>
      <c r="B146" s="569" t="s">
        <v>356</v>
      </c>
      <c r="C146" s="569"/>
      <c r="D146" s="580"/>
      <c r="E146" s="1256"/>
      <c r="F146" s="601">
        <f>'CABAC Fiduciary 2025'!F131:F131</f>
        <v>0</v>
      </c>
      <c r="G146" s="601"/>
      <c r="H146" s="601"/>
      <c r="I146" s="601"/>
      <c r="J146" s="601"/>
      <c r="K146" s="613"/>
      <c r="L146" s="613"/>
      <c r="M146" s="613"/>
      <c r="N146" s="613"/>
      <c r="O146" s="613"/>
      <c r="P146" s="613"/>
      <c r="Q146" s="613"/>
      <c r="R146" s="613"/>
      <c r="S146" s="613"/>
      <c r="T146" s="601">
        <f>SUM(E146:S146)</f>
        <v>0</v>
      </c>
      <c r="U146" s="606"/>
      <c r="V146" s="614">
        <f>T146-U146</f>
        <v>0</v>
      </c>
      <c r="W146" s="532"/>
      <c r="X146" s="532"/>
      <c r="Y146" s="532"/>
      <c r="Z146" s="532"/>
    </row>
    <row r="147" spans="1:26" ht="12.6" customHeight="1" thickBot="1" x14ac:dyDescent="0.3">
      <c r="A147" s="575" t="s">
        <v>42</v>
      </c>
      <c r="B147" s="569" t="s">
        <v>343</v>
      </c>
      <c r="C147" s="569"/>
      <c r="D147" s="580"/>
      <c r="E147" s="602"/>
      <c r="F147" s="570">
        <f>'CABAC Fiduciary 2025'!F135</f>
        <v>169161.02</v>
      </c>
      <c r="G147" s="570"/>
      <c r="H147" s="570"/>
      <c r="I147" s="570"/>
      <c r="J147" s="570"/>
      <c r="K147" s="570"/>
      <c r="L147" s="570"/>
      <c r="M147" s="570"/>
      <c r="N147" s="570"/>
      <c r="O147" s="570"/>
      <c r="P147" s="570"/>
      <c r="Q147" s="570"/>
      <c r="R147" s="570"/>
      <c r="S147" s="570"/>
      <c r="T147" s="570">
        <f>SUM(E147:S147)</f>
        <v>169161.02</v>
      </c>
      <c r="U147" s="603"/>
      <c r="V147" s="599">
        <f t="shared" ref="V147" si="41">T147-U147</f>
        <v>169161.02</v>
      </c>
      <c r="W147" s="532"/>
      <c r="X147" s="532"/>
      <c r="Y147" s="532"/>
      <c r="Z147" s="532"/>
    </row>
    <row r="148" spans="1:26" ht="12.6" customHeight="1" thickBot="1" x14ac:dyDescent="0.3">
      <c r="A148" s="611"/>
      <c r="B148" s="581" t="s">
        <v>346</v>
      </c>
      <c r="C148" s="569"/>
      <c r="D148" s="580"/>
      <c r="E148" s="582">
        <f>SUM(E146:E147)</f>
        <v>0</v>
      </c>
      <c r="F148" s="582">
        <f t="shared" ref="F148:V148" si="42">SUM(F146:F147)</f>
        <v>169161.02</v>
      </c>
      <c r="G148" s="582">
        <f t="shared" si="42"/>
        <v>0</v>
      </c>
      <c r="H148" s="582">
        <f>SUM(H146:H147)</f>
        <v>0</v>
      </c>
      <c r="I148" s="582">
        <f t="shared" si="42"/>
        <v>0</v>
      </c>
      <c r="J148" s="582">
        <f>SUM(J146:J147)</f>
        <v>0</v>
      </c>
      <c r="K148" s="582">
        <f t="shared" si="42"/>
        <v>0</v>
      </c>
      <c r="L148" s="582">
        <f t="shared" si="42"/>
        <v>0</v>
      </c>
      <c r="M148" s="582">
        <f t="shared" si="42"/>
        <v>0</v>
      </c>
      <c r="N148" s="582">
        <f t="shared" si="42"/>
        <v>0</v>
      </c>
      <c r="O148" s="582">
        <f t="shared" si="42"/>
        <v>0</v>
      </c>
      <c r="P148" s="582">
        <f t="shared" si="42"/>
        <v>0</v>
      </c>
      <c r="Q148" s="582">
        <f t="shared" si="42"/>
        <v>0</v>
      </c>
      <c r="R148" s="582">
        <f t="shared" si="42"/>
        <v>0</v>
      </c>
      <c r="S148" s="582">
        <f t="shared" si="42"/>
        <v>0</v>
      </c>
      <c r="T148" s="582">
        <f t="shared" si="42"/>
        <v>169161.02</v>
      </c>
      <c r="U148" s="582">
        <f t="shared" si="42"/>
        <v>0</v>
      </c>
      <c r="V148" s="582">
        <f t="shared" si="42"/>
        <v>169161.02</v>
      </c>
      <c r="W148" s="532"/>
      <c r="X148" s="532"/>
      <c r="Y148" s="532"/>
      <c r="Z148" s="532"/>
    </row>
    <row r="149" spans="1:26" ht="12.75" customHeight="1" x14ac:dyDescent="0.25">
      <c r="A149" s="577"/>
      <c r="B149" s="581"/>
      <c r="C149" s="569"/>
      <c r="D149" s="583" t="s">
        <v>347</v>
      </c>
      <c r="E149" s="730">
        <f>SUM(E146:E147)</f>
        <v>0</v>
      </c>
      <c r="F149" s="730">
        <f t="shared" ref="F149:V149" si="43">SUM(F146:F147)</f>
        <v>169161.02</v>
      </c>
      <c r="G149" s="584">
        <f t="shared" si="43"/>
        <v>0</v>
      </c>
      <c r="H149" s="584">
        <f>SUM(H146:H147)</f>
        <v>0</v>
      </c>
      <c r="I149" s="584">
        <f t="shared" si="43"/>
        <v>0</v>
      </c>
      <c r="J149" s="584">
        <f>SUM(J146:J147)</f>
        <v>0</v>
      </c>
      <c r="K149" s="584">
        <f t="shared" si="43"/>
        <v>0</v>
      </c>
      <c r="L149" s="584">
        <f t="shared" si="43"/>
        <v>0</v>
      </c>
      <c r="M149" s="584">
        <f t="shared" si="43"/>
        <v>0</v>
      </c>
      <c r="N149" s="584">
        <f t="shared" si="43"/>
        <v>0</v>
      </c>
      <c r="O149" s="584">
        <f t="shared" si="43"/>
        <v>0</v>
      </c>
      <c r="P149" s="584">
        <f t="shared" si="43"/>
        <v>0</v>
      </c>
      <c r="Q149" s="584">
        <f t="shared" si="43"/>
        <v>0</v>
      </c>
      <c r="R149" s="584">
        <f t="shared" si="43"/>
        <v>0</v>
      </c>
      <c r="S149" s="584">
        <f t="shared" si="43"/>
        <v>0</v>
      </c>
      <c r="T149" s="730">
        <f t="shared" si="43"/>
        <v>169161.02</v>
      </c>
      <c r="U149" s="730">
        <f t="shared" si="43"/>
        <v>0</v>
      </c>
      <c r="V149" s="730">
        <f t="shared" si="43"/>
        <v>169161.02</v>
      </c>
      <c r="W149" s="532"/>
      <c r="X149" s="532"/>
      <c r="Y149" s="532"/>
      <c r="Z149" s="532"/>
    </row>
    <row r="150" spans="1:26" ht="12.6" customHeight="1" x14ac:dyDescent="0.25">
      <c r="A150" s="577"/>
      <c r="B150" s="581"/>
      <c r="C150" s="569"/>
      <c r="D150" s="583" t="s">
        <v>348</v>
      </c>
      <c r="E150" s="730"/>
      <c r="F150" s="730"/>
      <c r="G150" s="584"/>
      <c r="H150" s="584"/>
      <c r="I150" s="584"/>
      <c r="J150" s="584"/>
      <c r="K150" s="584"/>
      <c r="L150" s="584"/>
      <c r="M150" s="584"/>
      <c r="N150" s="584"/>
      <c r="O150" s="584"/>
      <c r="P150" s="584"/>
      <c r="Q150" s="584"/>
      <c r="R150" s="584"/>
      <c r="S150" s="584"/>
      <c r="T150" s="730"/>
      <c r="U150" s="730"/>
      <c r="V150" s="730"/>
      <c r="W150" s="532"/>
      <c r="X150" s="532"/>
      <c r="Y150" s="532"/>
      <c r="Z150" s="532"/>
    </row>
    <row r="151" spans="1:26" ht="12.6" customHeight="1" x14ac:dyDescent="0.25">
      <c r="A151" s="577"/>
      <c r="B151" s="581"/>
      <c r="C151" s="569"/>
      <c r="D151" s="580"/>
      <c r="E151" s="730">
        <f>SUM(E149:E150)</f>
        <v>0</v>
      </c>
      <c r="F151" s="730">
        <f t="shared" ref="F151:V151" si="44">SUM(F149:F150)</f>
        <v>169161.02</v>
      </c>
      <c r="G151" s="584">
        <f t="shared" si="44"/>
        <v>0</v>
      </c>
      <c r="H151" s="584">
        <f>SUM(H149:H150)</f>
        <v>0</v>
      </c>
      <c r="I151" s="584">
        <f t="shared" si="44"/>
        <v>0</v>
      </c>
      <c r="J151" s="584">
        <f>SUM(J149:J150)</f>
        <v>0</v>
      </c>
      <c r="K151" s="584">
        <f t="shared" si="44"/>
        <v>0</v>
      </c>
      <c r="L151" s="584">
        <f t="shared" si="44"/>
        <v>0</v>
      </c>
      <c r="M151" s="584">
        <f t="shared" si="44"/>
        <v>0</v>
      </c>
      <c r="N151" s="584">
        <f t="shared" si="44"/>
        <v>0</v>
      </c>
      <c r="O151" s="584">
        <f t="shared" si="44"/>
        <v>0</v>
      </c>
      <c r="P151" s="584">
        <f t="shared" si="44"/>
        <v>0</v>
      </c>
      <c r="Q151" s="584">
        <f t="shared" si="44"/>
        <v>0</v>
      </c>
      <c r="R151" s="584">
        <f t="shared" si="44"/>
        <v>0</v>
      </c>
      <c r="S151" s="584">
        <f t="shared" si="44"/>
        <v>0</v>
      </c>
      <c r="T151" s="730">
        <f t="shared" si="44"/>
        <v>169161.02</v>
      </c>
      <c r="U151" s="730">
        <f t="shared" si="44"/>
        <v>0</v>
      </c>
      <c r="V151" s="730">
        <f t="shared" si="44"/>
        <v>169161.02</v>
      </c>
      <c r="W151" s="532"/>
      <c r="X151" s="532"/>
      <c r="Y151" s="532"/>
      <c r="Z151" s="532"/>
    </row>
    <row r="152" spans="1:26" ht="12.6" customHeight="1" x14ac:dyDescent="0.25">
      <c r="A152" s="577"/>
      <c r="B152" s="569"/>
      <c r="C152" s="569"/>
      <c r="D152" s="580"/>
      <c r="E152" s="1232">
        <f>E151-E148</f>
        <v>0</v>
      </c>
      <c r="F152" s="1232">
        <f t="shared" ref="F152:V152" si="45">F151-F148</f>
        <v>0</v>
      </c>
      <c r="G152" s="1232">
        <f t="shared" si="45"/>
        <v>0</v>
      </c>
      <c r="H152" s="1232">
        <f>H151-H148</f>
        <v>0</v>
      </c>
      <c r="I152" s="1232">
        <f t="shared" si="45"/>
        <v>0</v>
      </c>
      <c r="J152" s="1232">
        <f>J151-J148</f>
        <v>0</v>
      </c>
      <c r="K152" s="1232">
        <f t="shared" si="45"/>
        <v>0</v>
      </c>
      <c r="L152" s="1232">
        <f t="shared" si="45"/>
        <v>0</v>
      </c>
      <c r="M152" s="1232">
        <f t="shared" si="45"/>
        <v>0</v>
      </c>
      <c r="N152" s="1232">
        <f t="shared" si="45"/>
        <v>0</v>
      </c>
      <c r="O152" s="1232">
        <f t="shared" si="45"/>
        <v>0</v>
      </c>
      <c r="P152" s="1232">
        <f t="shared" si="45"/>
        <v>0</v>
      </c>
      <c r="Q152" s="1232">
        <f t="shared" si="45"/>
        <v>0</v>
      </c>
      <c r="R152" s="1232">
        <f t="shared" si="45"/>
        <v>0</v>
      </c>
      <c r="S152" s="1232">
        <f t="shared" si="45"/>
        <v>0</v>
      </c>
      <c r="T152" s="1232">
        <f t="shared" si="45"/>
        <v>0</v>
      </c>
      <c r="U152" s="1232">
        <f t="shared" si="45"/>
        <v>0</v>
      </c>
      <c r="V152" s="1232">
        <f t="shared" si="45"/>
        <v>0</v>
      </c>
    </row>
    <row r="153" spans="1:26" ht="12.6" customHeight="1" x14ac:dyDescent="0.25">
      <c r="A153" s="577"/>
      <c r="B153" s="569"/>
      <c r="C153" s="569"/>
      <c r="D153" s="580"/>
      <c r="E153" s="601"/>
      <c r="F153" s="601"/>
      <c r="G153" s="601"/>
      <c r="H153" s="601"/>
      <c r="I153" s="601"/>
      <c r="J153" s="601"/>
      <c r="K153" s="601"/>
      <c r="L153" s="601"/>
      <c r="M153" s="601"/>
      <c r="N153" s="601"/>
      <c r="O153" s="601"/>
      <c r="P153" s="601"/>
      <c r="Q153" s="601"/>
      <c r="R153" s="601"/>
      <c r="S153" s="601"/>
      <c r="T153" s="601"/>
      <c r="U153" s="606"/>
      <c r="V153" s="615"/>
    </row>
    <row r="154" spans="1:26" ht="12.6" customHeight="1" x14ac:dyDescent="0.25">
      <c r="A154" s="573" t="s">
        <v>369</v>
      </c>
      <c r="B154" s="581" t="s">
        <v>145</v>
      </c>
      <c r="C154" s="569"/>
      <c r="D154" s="580"/>
      <c r="E154" s="602"/>
      <c r="F154" s="570"/>
      <c r="G154" s="570"/>
      <c r="H154" s="570"/>
      <c r="I154" s="570"/>
      <c r="J154" s="570"/>
      <c r="K154" s="570"/>
      <c r="L154" s="570"/>
      <c r="M154" s="570"/>
      <c r="N154" s="570"/>
      <c r="O154" s="570"/>
      <c r="P154" s="570"/>
      <c r="Q154" s="570"/>
      <c r="R154" s="570"/>
      <c r="S154" s="570"/>
      <c r="T154" s="570">
        <f t="shared" ref="T154:T160" si="46">SUM(E154:S154)</f>
        <v>0</v>
      </c>
      <c r="U154" s="603"/>
      <c r="V154" s="599">
        <f>T154-U154</f>
        <v>0</v>
      </c>
      <c r="W154" s="532"/>
      <c r="X154" s="532"/>
      <c r="Y154" s="532"/>
      <c r="Z154" s="532"/>
    </row>
    <row r="155" spans="1:26" ht="12.6" customHeight="1" x14ac:dyDescent="0.25">
      <c r="A155" s="575" t="s">
        <v>43</v>
      </c>
      <c r="B155" s="569" t="s">
        <v>356</v>
      </c>
      <c r="C155" s="569"/>
      <c r="D155" s="580"/>
      <c r="E155" s="602"/>
      <c r="F155" s="570"/>
      <c r="G155" s="570"/>
      <c r="H155" s="570"/>
      <c r="I155" s="570"/>
      <c r="J155" s="570"/>
      <c r="K155" s="570"/>
      <c r="L155" s="570"/>
      <c r="M155" s="570"/>
      <c r="N155" s="570"/>
      <c r="O155" s="570"/>
      <c r="P155" s="570"/>
      <c r="Q155" s="570"/>
      <c r="R155" s="570"/>
      <c r="S155" s="570"/>
      <c r="T155" s="570">
        <f t="shared" si="46"/>
        <v>0</v>
      </c>
      <c r="U155" s="603"/>
      <c r="V155" s="599">
        <f t="shared" ref="V155:V160" si="47">T155-U155</f>
        <v>0</v>
      </c>
      <c r="W155" s="532"/>
      <c r="X155" s="532"/>
      <c r="Y155" s="532"/>
      <c r="Z155" s="532"/>
    </row>
    <row r="156" spans="1:26" ht="12.6" customHeight="1" x14ac:dyDescent="0.25">
      <c r="A156" s="577"/>
      <c r="B156" s="581" t="s">
        <v>370</v>
      </c>
      <c r="C156" s="569"/>
      <c r="D156" s="580"/>
      <c r="E156" s="605"/>
      <c r="F156" s="570"/>
      <c r="G156" s="570"/>
      <c r="H156" s="570"/>
      <c r="I156" s="601"/>
      <c r="J156" s="601"/>
      <c r="K156" s="601"/>
      <c r="L156" s="601"/>
      <c r="M156" s="601"/>
      <c r="N156" s="601"/>
      <c r="O156" s="601"/>
      <c r="P156" s="601"/>
      <c r="Q156" s="601"/>
      <c r="R156" s="601"/>
      <c r="S156" s="601"/>
      <c r="T156" s="601">
        <f t="shared" si="46"/>
        <v>0</v>
      </c>
      <c r="U156" s="606"/>
      <c r="V156" s="599">
        <f>T156-U156</f>
        <v>0</v>
      </c>
      <c r="W156" s="532"/>
      <c r="X156" s="532"/>
      <c r="Y156" s="532"/>
      <c r="Z156" s="532"/>
    </row>
    <row r="157" spans="1:26" ht="12.6" customHeight="1" x14ac:dyDescent="0.25">
      <c r="A157" s="573"/>
      <c r="B157" s="569" t="s">
        <v>340</v>
      </c>
      <c r="C157" s="569"/>
      <c r="D157" s="633" t="s">
        <v>371</v>
      </c>
      <c r="E157" s="602"/>
      <c r="F157" s="570">
        <f>'CABAC Fiduciary 2025'!F112</f>
        <v>0</v>
      </c>
      <c r="G157" s="570"/>
      <c r="H157" s="570"/>
      <c r="I157" s="570"/>
      <c r="J157" s="570"/>
      <c r="K157" s="570"/>
      <c r="L157" s="570"/>
      <c r="M157" s="570"/>
      <c r="N157" s="570"/>
      <c r="O157" s="570"/>
      <c r="P157" s="570"/>
      <c r="Q157" s="570"/>
      <c r="R157" s="570"/>
      <c r="S157" s="570"/>
      <c r="T157" s="570">
        <f t="shared" si="46"/>
        <v>0</v>
      </c>
      <c r="U157" s="603"/>
      <c r="V157" s="599">
        <f>T157-U157</f>
        <v>0</v>
      </c>
      <c r="W157" s="532"/>
      <c r="X157" s="532"/>
      <c r="Y157" s="532"/>
      <c r="Z157" s="532"/>
    </row>
    <row r="158" spans="1:26" ht="12.6" customHeight="1" x14ac:dyDescent="0.25">
      <c r="A158" s="577"/>
      <c r="B158" s="569" t="s">
        <v>343</v>
      </c>
      <c r="C158" s="569"/>
      <c r="D158" s="580"/>
      <c r="E158" s="640"/>
      <c r="F158" s="570">
        <f>'CABAC Fiduciary 2025'!F113</f>
        <v>0</v>
      </c>
      <c r="G158" s="570"/>
      <c r="H158" s="570"/>
      <c r="I158" s="570"/>
      <c r="J158" s="570"/>
      <c r="K158" s="570"/>
      <c r="L158" s="570"/>
      <c r="M158" s="570"/>
      <c r="N158" s="570"/>
      <c r="O158" s="570"/>
      <c r="P158" s="570"/>
      <c r="Q158" s="570"/>
      <c r="R158" s="570"/>
      <c r="S158" s="570"/>
      <c r="T158" s="570">
        <f t="shared" si="46"/>
        <v>0</v>
      </c>
      <c r="U158" s="603"/>
      <c r="V158" s="599">
        <f t="shared" si="47"/>
        <v>0</v>
      </c>
      <c r="W158" s="532"/>
      <c r="X158" s="532"/>
      <c r="Y158" s="532"/>
      <c r="Z158" s="532"/>
    </row>
    <row r="159" spans="1:26" ht="12.6" customHeight="1" x14ac:dyDescent="0.25">
      <c r="A159" s="577"/>
      <c r="B159" s="581" t="s">
        <v>361</v>
      </c>
      <c r="C159" s="569"/>
      <c r="D159" s="580"/>
      <c r="E159" s="640"/>
      <c r="F159" s="570"/>
      <c r="G159" s="570"/>
      <c r="H159" s="570"/>
      <c r="I159" s="570"/>
      <c r="J159" s="570"/>
      <c r="K159" s="570"/>
      <c r="L159" s="570"/>
      <c r="M159" s="570"/>
      <c r="N159" s="570"/>
      <c r="O159" s="570"/>
      <c r="P159" s="570"/>
      <c r="Q159" s="570"/>
      <c r="R159" s="570"/>
      <c r="S159" s="570"/>
      <c r="T159" s="570">
        <f t="shared" si="46"/>
        <v>0</v>
      </c>
      <c r="U159" s="603"/>
      <c r="V159" s="599">
        <f t="shared" si="47"/>
        <v>0</v>
      </c>
      <c r="W159" s="532"/>
      <c r="X159" s="532"/>
      <c r="Y159" s="532"/>
      <c r="Z159" s="532"/>
    </row>
    <row r="160" spans="1:26" ht="12.6" customHeight="1" thickBot="1" x14ac:dyDescent="0.3">
      <c r="A160" s="577"/>
      <c r="B160" s="569" t="s">
        <v>364</v>
      </c>
      <c r="C160" s="569"/>
      <c r="D160" s="580"/>
      <c r="E160" s="1256"/>
      <c r="F160" s="570"/>
      <c r="G160" s="570"/>
      <c r="H160" s="570"/>
      <c r="I160" s="570"/>
      <c r="J160" s="601"/>
      <c r="K160" s="570"/>
      <c r="L160" s="570"/>
      <c r="M160" s="570"/>
      <c r="N160" s="570"/>
      <c r="O160" s="570"/>
      <c r="P160" s="570"/>
      <c r="Q160" s="570"/>
      <c r="R160" s="570"/>
      <c r="S160" s="570"/>
      <c r="T160" s="570">
        <f t="shared" si="46"/>
        <v>0</v>
      </c>
      <c r="U160" s="606"/>
      <c r="V160" s="599">
        <f t="shared" si="47"/>
        <v>0</v>
      </c>
      <c r="W160" s="532"/>
      <c r="X160" s="532"/>
      <c r="Y160" s="532"/>
      <c r="Z160" s="532"/>
    </row>
    <row r="161" spans="1:26" ht="12.6" customHeight="1" thickBot="1" x14ac:dyDescent="0.3">
      <c r="A161" s="577"/>
      <c r="B161" s="581" t="s">
        <v>346</v>
      </c>
      <c r="C161" s="569"/>
      <c r="D161" s="580"/>
      <c r="E161" s="616">
        <f>SUM(E154:E160)</f>
        <v>0</v>
      </c>
      <c r="F161" s="582">
        <f t="shared" ref="F161:V161" si="48">SUM(F154:F160)</f>
        <v>0</v>
      </c>
      <c r="G161" s="582">
        <f t="shared" si="48"/>
        <v>0</v>
      </c>
      <c r="H161" s="582">
        <f>SUM(H154:H160)</f>
        <v>0</v>
      </c>
      <c r="I161" s="582">
        <f t="shared" si="48"/>
        <v>0</v>
      </c>
      <c r="J161" s="582">
        <f>SUM(J154:J160)</f>
        <v>0</v>
      </c>
      <c r="K161" s="582">
        <f t="shared" si="48"/>
        <v>0</v>
      </c>
      <c r="L161" s="582">
        <f t="shared" si="48"/>
        <v>0</v>
      </c>
      <c r="M161" s="582">
        <f t="shared" si="48"/>
        <v>0</v>
      </c>
      <c r="N161" s="582">
        <f t="shared" si="48"/>
        <v>0</v>
      </c>
      <c r="O161" s="582">
        <f t="shared" si="48"/>
        <v>0</v>
      </c>
      <c r="P161" s="582">
        <f t="shared" si="48"/>
        <v>0</v>
      </c>
      <c r="Q161" s="582">
        <f t="shared" si="48"/>
        <v>0</v>
      </c>
      <c r="R161" s="582">
        <f t="shared" si="48"/>
        <v>0</v>
      </c>
      <c r="S161" s="582">
        <f t="shared" si="48"/>
        <v>0</v>
      </c>
      <c r="T161" s="582">
        <f t="shared" si="48"/>
        <v>0</v>
      </c>
      <c r="U161" s="582">
        <f t="shared" si="48"/>
        <v>0</v>
      </c>
      <c r="V161" s="582">
        <f t="shared" si="48"/>
        <v>0</v>
      </c>
      <c r="W161" s="532"/>
      <c r="X161" s="532"/>
      <c r="Y161" s="532"/>
      <c r="Z161" s="532"/>
    </row>
    <row r="162" spans="1:26" ht="12.6" customHeight="1" x14ac:dyDescent="0.25">
      <c r="A162" s="577"/>
      <c r="B162" s="581"/>
      <c r="C162" s="569"/>
      <c r="D162" s="583" t="s">
        <v>347</v>
      </c>
      <c r="E162" s="664">
        <f>SUM(E154:E160)</f>
        <v>0</v>
      </c>
      <c r="F162" s="584">
        <f t="shared" ref="F162:V162" si="49">SUM(F154:F160)</f>
        <v>0</v>
      </c>
      <c r="G162" s="584">
        <f t="shared" si="49"/>
        <v>0</v>
      </c>
      <c r="H162" s="584">
        <f>SUM(H154:H160)</f>
        <v>0</v>
      </c>
      <c r="I162" s="584">
        <f t="shared" si="49"/>
        <v>0</v>
      </c>
      <c r="J162" s="584">
        <f>SUM(J154:J160)</f>
        <v>0</v>
      </c>
      <c r="K162" s="584">
        <f t="shared" si="49"/>
        <v>0</v>
      </c>
      <c r="L162" s="584">
        <f t="shared" si="49"/>
        <v>0</v>
      </c>
      <c r="M162" s="584">
        <f t="shared" si="49"/>
        <v>0</v>
      </c>
      <c r="N162" s="584">
        <f t="shared" si="49"/>
        <v>0</v>
      </c>
      <c r="O162" s="584">
        <f t="shared" si="49"/>
        <v>0</v>
      </c>
      <c r="P162" s="584">
        <f t="shared" si="49"/>
        <v>0</v>
      </c>
      <c r="Q162" s="584">
        <f t="shared" si="49"/>
        <v>0</v>
      </c>
      <c r="R162" s="584">
        <f t="shared" si="49"/>
        <v>0</v>
      </c>
      <c r="S162" s="584">
        <f t="shared" si="49"/>
        <v>0</v>
      </c>
      <c r="T162" s="584">
        <f t="shared" si="49"/>
        <v>0</v>
      </c>
      <c r="U162" s="584">
        <f t="shared" si="49"/>
        <v>0</v>
      </c>
      <c r="V162" s="584">
        <f t="shared" si="49"/>
        <v>0</v>
      </c>
      <c r="W162" s="532"/>
      <c r="X162" s="532"/>
      <c r="Y162" s="532"/>
      <c r="Z162" s="532"/>
    </row>
    <row r="163" spans="1:26" ht="12.6" customHeight="1" x14ac:dyDescent="0.25">
      <c r="A163" s="577"/>
      <c r="B163" s="581"/>
      <c r="C163" s="569"/>
      <c r="D163" s="583" t="s">
        <v>348</v>
      </c>
      <c r="E163" s="664">
        <f>E159</f>
        <v>0</v>
      </c>
      <c r="F163" s="584">
        <f>F159</f>
        <v>0</v>
      </c>
      <c r="G163" s="584"/>
      <c r="H163" s="584"/>
      <c r="I163" s="584"/>
      <c r="J163" s="584"/>
      <c r="K163" s="584"/>
      <c r="L163" s="584"/>
      <c r="M163" s="584"/>
      <c r="N163" s="584"/>
      <c r="O163" s="584"/>
      <c r="P163" s="584"/>
      <c r="Q163" s="584"/>
      <c r="R163" s="584"/>
      <c r="S163" s="584"/>
      <c r="T163" s="584"/>
      <c r="U163" s="584"/>
      <c r="V163" s="584"/>
      <c r="W163" s="532"/>
      <c r="X163" s="532"/>
      <c r="Y163" s="532"/>
      <c r="Z163" s="532"/>
    </row>
    <row r="164" spans="1:26" ht="12.6" customHeight="1" x14ac:dyDescent="0.25">
      <c r="A164" s="577"/>
      <c r="B164" s="581"/>
      <c r="C164" s="569"/>
      <c r="D164" s="580"/>
      <c r="E164" s="664">
        <f>SUM(E162:E163)</f>
        <v>0</v>
      </c>
      <c r="F164" s="584">
        <f t="shared" ref="F164:V164" si="50">SUM(F162:F163)</f>
        <v>0</v>
      </c>
      <c r="G164" s="584">
        <f t="shared" si="50"/>
        <v>0</v>
      </c>
      <c r="H164" s="584">
        <f>SUM(H162:H163)</f>
        <v>0</v>
      </c>
      <c r="I164" s="584">
        <f t="shared" si="50"/>
        <v>0</v>
      </c>
      <c r="J164" s="584">
        <f>SUM(J162:J163)</f>
        <v>0</v>
      </c>
      <c r="K164" s="584">
        <f t="shared" si="50"/>
        <v>0</v>
      </c>
      <c r="L164" s="584">
        <f t="shared" si="50"/>
        <v>0</v>
      </c>
      <c r="M164" s="584">
        <f t="shared" si="50"/>
        <v>0</v>
      </c>
      <c r="N164" s="584">
        <f t="shared" si="50"/>
        <v>0</v>
      </c>
      <c r="O164" s="584">
        <f t="shared" si="50"/>
        <v>0</v>
      </c>
      <c r="P164" s="584">
        <f t="shared" si="50"/>
        <v>0</v>
      </c>
      <c r="Q164" s="584">
        <f t="shared" si="50"/>
        <v>0</v>
      </c>
      <c r="R164" s="584">
        <f t="shared" si="50"/>
        <v>0</v>
      </c>
      <c r="S164" s="584">
        <f t="shared" si="50"/>
        <v>0</v>
      </c>
      <c r="T164" s="584">
        <f t="shared" si="50"/>
        <v>0</v>
      </c>
      <c r="U164" s="584">
        <f t="shared" si="50"/>
        <v>0</v>
      </c>
      <c r="V164" s="584">
        <f t="shared" si="50"/>
        <v>0</v>
      </c>
      <c r="W164" s="532"/>
      <c r="X164" s="532"/>
      <c r="Y164" s="532"/>
      <c r="Z164" s="532"/>
    </row>
    <row r="165" spans="1:26" ht="12.6" customHeight="1" x14ac:dyDescent="0.25">
      <c r="A165" s="577"/>
      <c r="B165" s="569"/>
      <c r="C165" s="569"/>
      <c r="D165" s="580"/>
      <c r="E165" s="1267"/>
      <c r="F165" s="1232"/>
      <c r="G165" s="1232"/>
      <c r="H165" s="1232"/>
      <c r="I165" s="1232"/>
      <c r="J165" s="1232"/>
      <c r="K165" s="1232"/>
      <c r="L165" s="1232"/>
      <c r="M165" s="1232"/>
      <c r="N165" s="1232"/>
      <c r="O165" s="1232"/>
      <c r="P165" s="1232"/>
      <c r="Q165" s="1232"/>
      <c r="R165" s="1232"/>
      <c r="S165" s="1232"/>
      <c r="T165" s="1232"/>
      <c r="U165" s="1232">
        <f t="shared" ref="U165:V165" si="51">U164-U161</f>
        <v>0</v>
      </c>
      <c r="V165" s="1232">
        <f t="shared" si="51"/>
        <v>0</v>
      </c>
    </row>
    <row r="166" spans="1:26" ht="12.6" customHeight="1" x14ac:dyDescent="0.25">
      <c r="A166" s="577"/>
      <c r="B166" s="569"/>
      <c r="C166" s="569"/>
      <c r="D166" s="580"/>
      <c r="E166" s="666"/>
      <c r="F166" s="586"/>
      <c r="G166" s="586"/>
      <c r="H166" s="586"/>
      <c r="I166" s="586"/>
      <c r="J166" s="586"/>
      <c r="K166" s="586"/>
      <c r="L166" s="586"/>
      <c r="M166" s="586"/>
      <c r="N166" s="586"/>
      <c r="O166" s="586"/>
      <c r="P166" s="586"/>
      <c r="Q166" s="586"/>
      <c r="R166" s="586"/>
      <c r="S166" s="586"/>
      <c r="T166" s="1232"/>
      <c r="U166" s="586"/>
      <c r="V166" s="1232">
        <f t="shared" ref="V166" si="52">V165-V162</f>
        <v>0</v>
      </c>
    </row>
    <row r="167" spans="1:26" ht="15" customHeight="1" x14ac:dyDescent="0.25">
      <c r="A167" s="725" t="s">
        <v>453</v>
      </c>
      <c r="B167" s="569" t="s">
        <v>173</v>
      </c>
      <c r="C167" s="569"/>
      <c r="D167" s="580"/>
      <c r="E167" s="599">
        <v>833019.5</v>
      </c>
      <c r="F167" s="570">
        <f>'CABAC Fiduciary 2025'!F130</f>
        <v>25126</v>
      </c>
      <c r="G167" s="570"/>
      <c r="H167" s="570"/>
      <c r="I167" s="570"/>
      <c r="J167" s="570"/>
      <c r="K167" s="570"/>
      <c r="L167" s="570"/>
      <c r="M167" s="570"/>
      <c r="N167" s="570"/>
      <c r="O167" s="570"/>
      <c r="P167" s="570"/>
      <c r="Q167" s="570"/>
      <c r="R167" s="570"/>
      <c r="S167" s="570"/>
      <c r="T167" s="1284">
        <f>SUM(E167:S167)</f>
        <v>858145.5</v>
      </c>
      <c r="U167" s="603"/>
      <c r="V167" s="1284">
        <f>T167-U167</f>
        <v>858145.5</v>
      </c>
    </row>
    <row r="168" spans="1:26" ht="18.75" customHeight="1" thickBot="1" x14ac:dyDescent="0.3">
      <c r="A168" s="577"/>
      <c r="B168" s="569" t="s">
        <v>174</v>
      </c>
      <c r="C168" s="569"/>
      <c r="D168" s="580"/>
      <c r="E168" s="601"/>
      <c r="F168" s="601"/>
      <c r="G168" s="601"/>
      <c r="H168" s="601"/>
      <c r="I168" s="601"/>
      <c r="J168" s="601"/>
      <c r="K168" s="601"/>
      <c r="L168" s="601"/>
      <c r="M168" s="601"/>
      <c r="N168" s="601"/>
      <c r="O168" s="601"/>
      <c r="P168" s="601"/>
      <c r="Q168" s="601"/>
      <c r="R168" s="601"/>
      <c r="S168" s="601"/>
      <c r="T168" s="1232">
        <f>SUM(E168:S168)</f>
        <v>0</v>
      </c>
      <c r="U168" s="606"/>
      <c r="V168" s="1232">
        <f>T168-U168</f>
        <v>0</v>
      </c>
    </row>
    <row r="169" spans="1:26" ht="12.6" customHeight="1" thickBot="1" x14ac:dyDescent="0.3">
      <c r="A169" s="577"/>
      <c r="B169" s="569" t="s">
        <v>346</v>
      </c>
      <c r="C169" s="569"/>
      <c r="D169" s="580"/>
      <c r="E169" s="582">
        <f>SUM(E167:E168)</f>
        <v>833019.5</v>
      </c>
      <c r="F169" s="582">
        <f>SUM(F167:F168)</f>
        <v>25126</v>
      </c>
      <c r="G169" s="582">
        <f>SUM(G167:G168)</f>
        <v>0</v>
      </c>
      <c r="H169" s="582">
        <f t="shared" ref="H169:S169" si="53">SUM(H167:H168)</f>
        <v>0</v>
      </c>
      <c r="I169" s="582">
        <f t="shared" si="53"/>
        <v>0</v>
      </c>
      <c r="J169" s="582">
        <f t="shared" si="53"/>
        <v>0</v>
      </c>
      <c r="K169" s="582">
        <f t="shared" si="53"/>
        <v>0</v>
      </c>
      <c r="L169" s="582">
        <f t="shared" si="53"/>
        <v>0</v>
      </c>
      <c r="M169" s="582">
        <f t="shared" si="53"/>
        <v>0</v>
      </c>
      <c r="N169" s="582">
        <f t="shared" si="53"/>
        <v>0</v>
      </c>
      <c r="O169" s="582">
        <f t="shared" si="53"/>
        <v>0</v>
      </c>
      <c r="P169" s="582">
        <f t="shared" si="53"/>
        <v>0</v>
      </c>
      <c r="Q169" s="582">
        <f t="shared" si="53"/>
        <v>0</v>
      </c>
      <c r="R169" s="582">
        <f t="shared" si="53"/>
        <v>0</v>
      </c>
      <c r="S169" s="582">
        <f t="shared" si="53"/>
        <v>0</v>
      </c>
      <c r="T169" s="582">
        <f>SUM(T167:T168)</f>
        <v>858145.5</v>
      </c>
      <c r="U169" s="582">
        <f>SUM(U167:U168)</f>
        <v>0</v>
      </c>
      <c r="V169" s="582">
        <f>SUM(V167:V168)</f>
        <v>858145.5</v>
      </c>
    </row>
    <row r="170" spans="1:26" ht="12.6" customHeight="1" x14ac:dyDescent="0.25">
      <c r="A170" s="577"/>
      <c r="B170" s="569"/>
      <c r="C170" s="569"/>
      <c r="D170" s="583" t="s">
        <v>347</v>
      </c>
      <c r="E170" s="726">
        <f>SUM(E167:E168)</f>
        <v>833019.5</v>
      </c>
      <c r="F170" s="726">
        <f t="shared" ref="F170:V170" si="54">SUM(F167:F168)</f>
        <v>25126</v>
      </c>
      <c r="G170" s="726">
        <f t="shared" si="54"/>
        <v>0</v>
      </c>
      <c r="H170" s="726">
        <f t="shared" si="54"/>
        <v>0</v>
      </c>
      <c r="I170" s="726">
        <f t="shared" si="54"/>
        <v>0</v>
      </c>
      <c r="J170" s="726">
        <f t="shared" si="54"/>
        <v>0</v>
      </c>
      <c r="K170" s="726">
        <f t="shared" si="54"/>
        <v>0</v>
      </c>
      <c r="L170" s="726">
        <f t="shared" si="54"/>
        <v>0</v>
      </c>
      <c r="M170" s="726">
        <f t="shared" si="54"/>
        <v>0</v>
      </c>
      <c r="N170" s="726">
        <f t="shared" si="54"/>
        <v>0</v>
      </c>
      <c r="O170" s="726">
        <f t="shared" si="54"/>
        <v>0</v>
      </c>
      <c r="P170" s="726">
        <f t="shared" si="54"/>
        <v>0</v>
      </c>
      <c r="Q170" s="726">
        <f t="shared" si="54"/>
        <v>0</v>
      </c>
      <c r="R170" s="726">
        <f t="shared" si="54"/>
        <v>0</v>
      </c>
      <c r="S170" s="726">
        <f t="shared" si="54"/>
        <v>0</v>
      </c>
      <c r="T170" s="726">
        <f t="shared" si="54"/>
        <v>858145.5</v>
      </c>
      <c r="U170" s="726">
        <f t="shared" si="54"/>
        <v>0</v>
      </c>
      <c r="V170" s="726">
        <f t="shared" si="54"/>
        <v>858145.5</v>
      </c>
    </row>
    <row r="171" spans="1:26" ht="12.6" customHeight="1" x14ac:dyDescent="0.25">
      <c r="A171" s="577"/>
      <c r="B171" s="569"/>
      <c r="C171" s="569"/>
      <c r="D171" s="583" t="s">
        <v>348</v>
      </c>
      <c r="E171" s="727"/>
      <c r="F171" s="727"/>
      <c r="G171" s="727"/>
      <c r="H171" s="727"/>
      <c r="I171" s="727"/>
      <c r="J171" s="727"/>
      <c r="K171" s="727"/>
      <c r="L171" s="727"/>
      <c r="M171" s="727"/>
      <c r="N171" s="727"/>
      <c r="O171" s="727"/>
      <c r="P171" s="727"/>
      <c r="Q171" s="727"/>
      <c r="R171" s="727"/>
      <c r="S171" s="727"/>
      <c r="T171" s="727"/>
      <c r="U171" s="728"/>
      <c r="V171" s="729"/>
    </row>
    <row r="172" spans="1:26" ht="12.6" customHeight="1" x14ac:dyDescent="0.25">
      <c r="A172" s="577"/>
      <c r="B172" s="569"/>
      <c r="C172" s="569"/>
      <c r="D172" s="580"/>
      <c r="E172" s="730">
        <f>SUM(E170:E171)</f>
        <v>833019.5</v>
      </c>
      <c r="F172" s="730">
        <f>SUM(F170:F171)</f>
        <v>25126</v>
      </c>
      <c r="G172" s="727"/>
      <c r="H172" s="727"/>
      <c r="I172" s="727"/>
      <c r="J172" s="727"/>
      <c r="K172" s="727"/>
      <c r="L172" s="727"/>
      <c r="M172" s="727"/>
      <c r="N172" s="727"/>
      <c r="O172" s="727"/>
      <c r="P172" s="727"/>
      <c r="Q172" s="727"/>
      <c r="R172" s="727"/>
      <c r="S172" s="727"/>
      <c r="T172" s="727"/>
      <c r="U172" s="728"/>
      <c r="V172" s="729"/>
    </row>
    <row r="173" spans="1:26" ht="12.6" customHeight="1" x14ac:dyDescent="0.25">
      <c r="A173" s="577"/>
      <c r="B173" s="569"/>
      <c r="C173" s="569"/>
      <c r="D173" s="580"/>
      <c r="E173" s="601"/>
      <c r="F173" s="601"/>
      <c r="G173" s="601"/>
      <c r="H173" s="601"/>
      <c r="I173" s="601"/>
      <c r="J173" s="601"/>
      <c r="K173" s="601"/>
      <c r="L173" s="601"/>
      <c r="M173" s="601"/>
      <c r="N173" s="601"/>
      <c r="O173" s="601"/>
      <c r="P173" s="601"/>
      <c r="Q173" s="601"/>
      <c r="R173" s="601"/>
      <c r="S173" s="601"/>
      <c r="T173" s="601"/>
      <c r="U173" s="606"/>
      <c r="V173" s="615"/>
    </row>
    <row r="174" spans="1:26" ht="12.6" customHeight="1" x14ac:dyDescent="0.25">
      <c r="A174" s="573" t="s">
        <v>372</v>
      </c>
      <c r="B174" s="569" t="s">
        <v>270</v>
      </c>
      <c r="C174" s="569"/>
      <c r="D174" s="580"/>
      <c r="E174" s="602">
        <v>92772</v>
      </c>
      <c r="F174" s="570">
        <f>'CABAC Non-Fid 2025'!G193</f>
        <v>100000</v>
      </c>
      <c r="G174" s="570"/>
      <c r="H174" s="570"/>
      <c r="I174" s="570"/>
      <c r="J174" s="570"/>
      <c r="K174" s="570"/>
      <c r="L174" s="570"/>
      <c r="M174" s="570"/>
      <c r="N174" s="570"/>
      <c r="O174" s="570"/>
      <c r="P174" s="570"/>
      <c r="Q174" s="570"/>
      <c r="R174" s="570"/>
      <c r="S174" s="570"/>
      <c r="T174" s="570">
        <f>SUM(E174:S174)</f>
        <v>192772</v>
      </c>
      <c r="U174" s="603"/>
      <c r="V174" s="599">
        <f>T174-U174</f>
        <v>192772</v>
      </c>
      <c r="W174" s="532"/>
      <c r="X174" s="532"/>
      <c r="Y174" s="532"/>
      <c r="Z174" s="532"/>
    </row>
    <row r="175" spans="1:26" ht="12.6" customHeight="1" x14ac:dyDescent="0.25">
      <c r="A175" s="604" t="s">
        <v>44</v>
      </c>
      <c r="B175" s="569" t="s">
        <v>262</v>
      </c>
      <c r="C175" s="569"/>
      <c r="D175" s="580"/>
      <c r="E175" s="605">
        <v>79010.289999999994</v>
      </c>
      <c r="F175" s="601">
        <f>'CABAC Non-Fid 2025'!G63+'CABAC Non-Fid 2025'!G194</f>
        <v>1856</v>
      </c>
      <c r="G175" s="601"/>
      <c r="H175" s="601"/>
      <c r="I175" s="601"/>
      <c r="J175" s="601"/>
      <c r="K175" s="601"/>
      <c r="L175" s="601"/>
      <c r="M175" s="601"/>
      <c r="N175" s="601"/>
      <c r="O175" s="601"/>
      <c r="P175" s="601"/>
      <c r="Q175" s="601"/>
      <c r="R175" s="601"/>
      <c r="S175" s="601"/>
      <c r="T175" s="601">
        <f>SUM(E175:S175)</f>
        <v>80866.289999999994</v>
      </c>
      <c r="U175" s="606"/>
      <c r="V175" s="623">
        <f>T175-U175</f>
        <v>80866.289999999994</v>
      </c>
      <c r="W175" s="532"/>
      <c r="X175" s="532"/>
      <c r="Y175" s="532"/>
      <c r="Z175" s="532"/>
    </row>
    <row r="176" spans="1:26" ht="12.6" customHeight="1" x14ac:dyDescent="0.25">
      <c r="A176" s="604"/>
      <c r="B176" s="569" t="s">
        <v>142</v>
      </c>
      <c r="C176" s="569"/>
      <c r="D176" s="580"/>
      <c r="E176" s="640"/>
      <c r="F176" s="570">
        <f>'CABAC Fiduciary 2025'!F195</f>
        <v>0</v>
      </c>
      <c r="G176" s="570"/>
      <c r="H176" s="570"/>
      <c r="I176" s="570"/>
      <c r="J176" s="570"/>
      <c r="K176" s="570"/>
      <c r="L176" s="570"/>
      <c r="M176" s="570"/>
      <c r="N176" s="570"/>
      <c r="O176" s="570"/>
      <c r="P176" s="570"/>
      <c r="Q176" s="570"/>
      <c r="R176" s="570"/>
      <c r="S176" s="570"/>
      <c r="T176" s="570">
        <f t="shared" ref="T176:T178" si="55">SUM(E176:S176)</f>
        <v>0</v>
      </c>
      <c r="U176" s="603"/>
      <c r="V176" s="623">
        <f t="shared" ref="V176:V178" si="56">T176-U176</f>
        <v>0</v>
      </c>
      <c r="W176" s="532"/>
      <c r="X176" s="532"/>
      <c r="Y176" s="532"/>
      <c r="Z176" s="532"/>
    </row>
    <row r="177" spans="1:26" ht="12.6" customHeight="1" x14ac:dyDescent="0.25">
      <c r="A177" s="604"/>
      <c r="B177" s="569" t="s">
        <v>263</v>
      </c>
      <c r="C177" s="569"/>
      <c r="D177" s="580"/>
      <c r="E177" s="640">
        <v>133277.48000000001</v>
      </c>
      <c r="F177" s="570">
        <f>'CABAC Non-Fid 2025'!G66</f>
        <v>50000</v>
      </c>
      <c r="G177" s="570"/>
      <c r="H177" s="570"/>
      <c r="I177" s="570"/>
      <c r="J177" s="570"/>
      <c r="K177" s="570"/>
      <c r="L177" s="570"/>
      <c r="M177" s="570"/>
      <c r="N177" s="570"/>
      <c r="O177" s="570"/>
      <c r="P177" s="570"/>
      <c r="Q177" s="570"/>
      <c r="R177" s="570"/>
      <c r="S177" s="570"/>
      <c r="T177" s="601">
        <f t="shared" si="55"/>
        <v>183277.48</v>
      </c>
      <c r="U177" s="603"/>
      <c r="V177" s="623">
        <f t="shared" si="56"/>
        <v>183277.48</v>
      </c>
      <c r="W177" s="532"/>
      <c r="X177" s="532"/>
      <c r="Y177" s="532"/>
      <c r="Z177" s="532"/>
    </row>
    <row r="178" spans="1:26" ht="12.6" customHeight="1" thickBot="1" x14ac:dyDescent="0.3">
      <c r="A178" s="604"/>
      <c r="B178" s="569" t="s">
        <v>373</v>
      </c>
      <c r="C178" s="569"/>
      <c r="D178" s="580"/>
      <c r="E178" s="1256">
        <v>48000</v>
      </c>
      <c r="F178" s="601">
        <f>'CABAC Non-Fid 2025'!G64</f>
        <v>1856</v>
      </c>
      <c r="G178" s="601"/>
      <c r="H178" s="601"/>
      <c r="I178" s="601"/>
      <c r="J178" s="601"/>
      <c r="K178" s="601"/>
      <c r="L178" s="601"/>
      <c r="M178" s="601"/>
      <c r="N178" s="601"/>
      <c r="O178" s="601"/>
      <c r="P178" s="601"/>
      <c r="Q178" s="601"/>
      <c r="R178" s="601"/>
      <c r="S178" s="601"/>
      <c r="T178" s="631">
        <f t="shared" si="55"/>
        <v>49856</v>
      </c>
      <c r="U178" s="606"/>
      <c r="V178" s="623">
        <f t="shared" si="56"/>
        <v>49856</v>
      </c>
      <c r="W178" s="532"/>
      <c r="X178" s="532"/>
      <c r="Y178" s="532"/>
      <c r="Z178" s="532"/>
    </row>
    <row r="179" spans="1:26" ht="12.6" customHeight="1" thickBot="1" x14ac:dyDescent="0.3">
      <c r="A179" s="577"/>
      <c r="B179" s="581" t="s">
        <v>346</v>
      </c>
      <c r="C179" s="569"/>
      <c r="D179" s="580"/>
      <c r="E179" s="616">
        <f>SUM(E174:E178)</f>
        <v>353059.77</v>
      </c>
      <c r="F179" s="582">
        <f>SUM(F174:F178)</f>
        <v>153712</v>
      </c>
      <c r="G179" s="582">
        <f t="shared" ref="G179:S179" si="57">SUM(G174:G175)</f>
        <v>0</v>
      </c>
      <c r="H179" s="582">
        <f t="shared" si="57"/>
        <v>0</v>
      </c>
      <c r="I179" s="582">
        <f t="shared" si="57"/>
        <v>0</v>
      </c>
      <c r="J179" s="582">
        <f t="shared" si="57"/>
        <v>0</v>
      </c>
      <c r="K179" s="582">
        <f t="shared" si="57"/>
        <v>0</v>
      </c>
      <c r="L179" s="582">
        <f t="shared" si="57"/>
        <v>0</v>
      </c>
      <c r="M179" s="582">
        <f t="shared" si="57"/>
        <v>0</v>
      </c>
      <c r="N179" s="582">
        <f t="shared" si="57"/>
        <v>0</v>
      </c>
      <c r="O179" s="582">
        <f t="shared" si="57"/>
        <v>0</v>
      </c>
      <c r="P179" s="582">
        <f t="shared" si="57"/>
        <v>0</v>
      </c>
      <c r="Q179" s="582">
        <f t="shared" si="57"/>
        <v>0</v>
      </c>
      <c r="R179" s="582">
        <f t="shared" si="57"/>
        <v>0</v>
      </c>
      <c r="S179" s="582">
        <f t="shared" si="57"/>
        <v>0</v>
      </c>
      <c r="T179" s="652">
        <f>SUM(T174:T178)</f>
        <v>506771.77</v>
      </c>
      <c r="U179" s="652">
        <f t="shared" ref="U179:V179" si="58">SUM(U174:U178)</f>
        <v>0</v>
      </c>
      <c r="V179" s="652">
        <f t="shared" si="58"/>
        <v>506771.77</v>
      </c>
      <c r="W179" s="532"/>
      <c r="X179" s="532"/>
      <c r="Y179" s="532"/>
      <c r="Z179" s="532"/>
    </row>
    <row r="180" spans="1:26" ht="12.6" customHeight="1" x14ac:dyDescent="0.25">
      <c r="A180" s="577"/>
      <c r="B180" s="581"/>
      <c r="C180" s="569"/>
      <c r="D180" s="583" t="s">
        <v>347</v>
      </c>
      <c r="E180" s="1255">
        <f>E176</f>
        <v>0</v>
      </c>
      <c r="F180" s="730">
        <f>F176</f>
        <v>0</v>
      </c>
      <c r="G180" s="584"/>
      <c r="H180" s="584"/>
      <c r="I180" s="584"/>
      <c r="J180" s="584"/>
      <c r="K180" s="584"/>
      <c r="L180" s="584"/>
      <c r="M180" s="584"/>
      <c r="N180" s="584"/>
      <c r="O180" s="584"/>
      <c r="P180" s="584"/>
      <c r="Q180" s="584"/>
      <c r="R180" s="584"/>
      <c r="S180" s="584"/>
      <c r="T180" s="584"/>
      <c r="U180" s="625"/>
      <c r="V180" s="584"/>
      <c r="W180" s="532"/>
      <c r="X180" s="532"/>
      <c r="Y180" s="532"/>
      <c r="Z180" s="532"/>
    </row>
    <row r="181" spans="1:26" ht="12.6" customHeight="1" x14ac:dyDescent="0.25">
      <c r="A181" s="577"/>
      <c r="B181" s="581"/>
      <c r="C181" s="569"/>
      <c r="D181" s="583" t="s">
        <v>348</v>
      </c>
      <c r="E181" s="1255">
        <f>E174+E175+E177+E178</f>
        <v>353059.77</v>
      </c>
      <c r="F181" s="730">
        <f>F174+F175+F177+F178</f>
        <v>153712</v>
      </c>
      <c r="G181" s="584">
        <f t="shared" ref="G181:S181" si="59">SUM(G174:G175)</f>
        <v>0</v>
      </c>
      <c r="H181" s="584">
        <f t="shared" si="59"/>
        <v>0</v>
      </c>
      <c r="I181" s="584">
        <f t="shared" si="59"/>
        <v>0</v>
      </c>
      <c r="J181" s="584">
        <f t="shared" si="59"/>
        <v>0</v>
      </c>
      <c r="K181" s="584">
        <f t="shared" si="59"/>
        <v>0</v>
      </c>
      <c r="L181" s="584">
        <f t="shared" si="59"/>
        <v>0</v>
      </c>
      <c r="M181" s="584">
        <f t="shared" si="59"/>
        <v>0</v>
      </c>
      <c r="N181" s="584">
        <f t="shared" si="59"/>
        <v>0</v>
      </c>
      <c r="O181" s="584">
        <f t="shared" si="59"/>
        <v>0</v>
      </c>
      <c r="P181" s="584">
        <f t="shared" si="59"/>
        <v>0</v>
      </c>
      <c r="Q181" s="584">
        <f t="shared" si="59"/>
        <v>0</v>
      </c>
      <c r="R181" s="584">
        <f t="shared" si="59"/>
        <v>0</v>
      </c>
      <c r="S181" s="584">
        <f t="shared" si="59"/>
        <v>0</v>
      </c>
      <c r="T181" s="730">
        <f>T174+T175+T177+T178</f>
        <v>506771.77</v>
      </c>
      <c r="U181" s="730">
        <f t="shared" ref="U181:V181" si="60">U174+U175+U177+U178</f>
        <v>0</v>
      </c>
      <c r="V181" s="730">
        <f t="shared" si="60"/>
        <v>506771.77</v>
      </c>
      <c r="W181" s="532"/>
      <c r="X181" s="532"/>
      <c r="Y181" s="532"/>
      <c r="Z181" s="532"/>
    </row>
    <row r="182" spans="1:26" ht="12.6" customHeight="1" x14ac:dyDescent="0.25">
      <c r="A182" s="577"/>
      <c r="B182" s="581"/>
      <c r="C182" s="569"/>
      <c r="D182" s="580"/>
      <c r="E182" s="1255">
        <f>SUM(E180:E181)</f>
        <v>353059.77</v>
      </c>
      <c r="F182" s="730">
        <f t="shared" ref="F182:V182" si="61">SUM(F180:F181)</f>
        <v>153712</v>
      </c>
      <c r="G182" s="584">
        <f t="shared" si="61"/>
        <v>0</v>
      </c>
      <c r="H182" s="584">
        <f>SUM(H180:H181)</f>
        <v>0</v>
      </c>
      <c r="I182" s="584">
        <f t="shared" si="61"/>
        <v>0</v>
      </c>
      <c r="J182" s="584">
        <f>SUM(J180:J181)</f>
        <v>0</v>
      </c>
      <c r="K182" s="584">
        <f t="shared" si="61"/>
        <v>0</v>
      </c>
      <c r="L182" s="584">
        <f t="shared" si="61"/>
        <v>0</v>
      </c>
      <c r="M182" s="584">
        <f t="shared" si="61"/>
        <v>0</v>
      </c>
      <c r="N182" s="584">
        <f t="shared" si="61"/>
        <v>0</v>
      </c>
      <c r="O182" s="584">
        <f t="shared" si="61"/>
        <v>0</v>
      </c>
      <c r="P182" s="584">
        <f t="shared" si="61"/>
        <v>0</v>
      </c>
      <c r="Q182" s="584">
        <f t="shared" si="61"/>
        <v>0</v>
      </c>
      <c r="R182" s="584">
        <f t="shared" si="61"/>
        <v>0</v>
      </c>
      <c r="S182" s="584">
        <f t="shared" si="61"/>
        <v>0</v>
      </c>
      <c r="T182" s="730">
        <f t="shared" si="61"/>
        <v>506771.77</v>
      </c>
      <c r="U182" s="730">
        <f t="shared" si="61"/>
        <v>0</v>
      </c>
      <c r="V182" s="730">
        <f t="shared" si="61"/>
        <v>506771.77</v>
      </c>
      <c r="W182" s="532"/>
      <c r="X182" s="532"/>
      <c r="Y182" s="532"/>
      <c r="Z182" s="532"/>
    </row>
    <row r="183" spans="1:26" ht="12.6" customHeight="1" x14ac:dyDescent="0.25">
      <c r="A183" s="577"/>
      <c r="B183" s="569"/>
      <c r="C183" s="569"/>
      <c r="D183" s="580"/>
      <c r="E183" s="1267">
        <f>E182-E179</f>
        <v>0</v>
      </c>
      <c r="F183" s="1232">
        <f t="shared" ref="F183:V183" si="62">F182-F179</f>
        <v>0</v>
      </c>
      <c r="G183" s="1232">
        <f t="shared" si="62"/>
        <v>0</v>
      </c>
      <c r="H183" s="1232">
        <f>H182-H179</f>
        <v>0</v>
      </c>
      <c r="I183" s="1232">
        <f t="shared" si="62"/>
        <v>0</v>
      </c>
      <c r="J183" s="1232">
        <f>J182-J179</f>
        <v>0</v>
      </c>
      <c r="K183" s="1232">
        <f t="shared" si="62"/>
        <v>0</v>
      </c>
      <c r="L183" s="1232">
        <f t="shared" si="62"/>
        <v>0</v>
      </c>
      <c r="M183" s="1232">
        <f t="shared" si="62"/>
        <v>0</v>
      </c>
      <c r="N183" s="1232">
        <f t="shared" si="62"/>
        <v>0</v>
      </c>
      <c r="O183" s="1232">
        <f t="shared" si="62"/>
        <v>0</v>
      </c>
      <c r="P183" s="1232">
        <f t="shared" si="62"/>
        <v>0</v>
      </c>
      <c r="Q183" s="1232">
        <f t="shared" si="62"/>
        <v>0</v>
      </c>
      <c r="R183" s="1232">
        <f t="shared" si="62"/>
        <v>0</v>
      </c>
      <c r="S183" s="1232">
        <f t="shared" si="62"/>
        <v>0</v>
      </c>
      <c r="T183" s="1232">
        <f t="shared" si="62"/>
        <v>0</v>
      </c>
      <c r="U183" s="1232">
        <f t="shared" si="62"/>
        <v>0</v>
      </c>
      <c r="V183" s="1232">
        <f t="shared" si="62"/>
        <v>0</v>
      </c>
    </row>
    <row r="184" spans="1:26" ht="12.6" customHeight="1" x14ac:dyDescent="0.25">
      <c r="A184" s="577"/>
      <c r="B184" s="569"/>
      <c r="C184" s="569"/>
      <c r="D184" s="822"/>
      <c r="E184" s="615"/>
      <c r="F184" s="601"/>
      <c r="G184" s="601"/>
      <c r="H184" s="601"/>
      <c r="I184" s="601"/>
      <c r="J184" s="601"/>
      <c r="K184" s="601"/>
      <c r="L184" s="601"/>
      <c r="M184" s="601"/>
      <c r="N184" s="601"/>
      <c r="O184" s="601"/>
      <c r="P184" s="601"/>
      <c r="Q184" s="601"/>
      <c r="R184" s="601"/>
      <c r="S184" s="601"/>
      <c r="T184" s="601"/>
      <c r="U184" s="662"/>
      <c r="V184" s="615"/>
    </row>
    <row r="185" spans="1:26" ht="12.6" customHeight="1" x14ac:dyDescent="0.25">
      <c r="A185" s="573" t="s">
        <v>374</v>
      </c>
      <c r="B185" s="569" t="s">
        <v>261</v>
      </c>
      <c r="C185" s="569"/>
      <c r="D185" s="580"/>
      <c r="E185" s="599">
        <v>200000</v>
      </c>
      <c r="F185" s="572"/>
      <c r="G185" s="570"/>
      <c r="H185" s="570"/>
      <c r="I185" s="570"/>
      <c r="J185" s="570"/>
      <c r="K185" s="570"/>
      <c r="L185" s="570"/>
      <c r="M185" s="570"/>
      <c r="N185" s="570"/>
      <c r="O185" s="570"/>
      <c r="P185" s="570"/>
      <c r="Q185" s="570"/>
      <c r="R185" s="570"/>
      <c r="S185" s="621"/>
      <c r="T185" s="570">
        <f>SUM(E185:S185)</f>
        <v>200000</v>
      </c>
      <c r="U185" s="570"/>
      <c r="V185" s="570">
        <f>T185-U185</f>
        <v>200000</v>
      </c>
      <c r="W185" s="532"/>
      <c r="X185" s="532"/>
      <c r="Y185" s="532"/>
      <c r="Z185" s="532"/>
    </row>
    <row r="186" spans="1:26" ht="12.6" customHeight="1" x14ac:dyDescent="0.25">
      <c r="A186" s="604" t="s">
        <v>45</v>
      </c>
      <c r="B186" s="569" t="s">
        <v>459</v>
      </c>
      <c r="C186" s="569"/>
      <c r="D186" s="617"/>
      <c r="E186" s="615">
        <v>100000</v>
      </c>
      <c r="F186" s="601"/>
      <c r="G186" s="601"/>
      <c r="H186" s="601"/>
      <c r="I186" s="601"/>
      <c r="J186" s="601"/>
      <c r="K186" s="601"/>
      <c r="L186" s="601"/>
      <c r="M186" s="601"/>
      <c r="N186" s="601"/>
      <c r="O186" s="601"/>
      <c r="P186" s="601"/>
      <c r="Q186" s="601"/>
      <c r="R186" s="601"/>
      <c r="S186" s="570"/>
      <c r="T186" s="570">
        <f t="shared" ref="T186:T190" si="63">SUM(E186:S186)</f>
        <v>100000</v>
      </c>
      <c r="U186" s="606"/>
      <c r="V186" s="570">
        <f t="shared" ref="V186:V190" si="64">T186-U186</f>
        <v>100000</v>
      </c>
      <c r="W186" s="532"/>
      <c r="X186" s="532"/>
      <c r="Y186" s="532"/>
      <c r="Z186" s="532"/>
    </row>
    <row r="187" spans="1:26" ht="12.6" customHeight="1" x14ac:dyDescent="0.25">
      <c r="A187" s="573"/>
      <c r="B187" s="569" t="s">
        <v>460</v>
      </c>
      <c r="C187" s="569"/>
      <c r="D187" s="580"/>
      <c r="E187" s="599">
        <v>700000</v>
      </c>
      <c r="F187" s="570"/>
      <c r="G187" s="570"/>
      <c r="H187" s="570"/>
      <c r="I187" s="570"/>
      <c r="J187" s="570"/>
      <c r="K187" s="570"/>
      <c r="L187" s="570"/>
      <c r="M187" s="570"/>
      <c r="N187" s="570"/>
      <c r="O187" s="570"/>
      <c r="P187" s="570"/>
      <c r="Q187" s="570"/>
      <c r="R187" s="570"/>
      <c r="S187" s="570"/>
      <c r="T187" s="570">
        <f t="shared" si="63"/>
        <v>700000</v>
      </c>
      <c r="U187" s="603"/>
      <c r="V187" s="570">
        <f t="shared" si="64"/>
        <v>700000</v>
      </c>
      <c r="W187" s="532"/>
      <c r="X187" s="532"/>
      <c r="Y187" s="532"/>
      <c r="Z187" s="532"/>
    </row>
    <row r="188" spans="1:26" ht="12.6" customHeight="1" x14ac:dyDescent="0.25">
      <c r="A188" s="573"/>
      <c r="B188" s="569" t="s">
        <v>358</v>
      </c>
      <c r="C188" s="569"/>
      <c r="D188" s="580"/>
      <c r="E188" s="615">
        <v>126647.95</v>
      </c>
      <c r="F188" s="601"/>
      <c r="G188" s="601"/>
      <c r="H188" s="601"/>
      <c r="I188" s="601"/>
      <c r="J188" s="601"/>
      <c r="K188" s="601"/>
      <c r="L188" s="601"/>
      <c r="M188" s="601"/>
      <c r="N188" s="601"/>
      <c r="O188" s="601"/>
      <c r="P188" s="601"/>
      <c r="Q188" s="601"/>
      <c r="R188" s="601"/>
      <c r="S188" s="601"/>
      <c r="T188" s="570">
        <f t="shared" si="63"/>
        <v>126647.95</v>
      </c>
      <c r="U188" s="606"/>
      <c r="V188" s="570">
        <f t="shared" si="64"/>
        <v>126647.95</v>
      </c>
      <c r="W188" s="532"/>
      <c r="X188" s="532"/>
      <c r="Y188" s="532"/>
      <c r="Z188" s="532"/>
    </row>
    <row r="189" spans="1:26" ht="12.6" customHeight="1" x14ac:dyDescent="0.25">
      <c r="A189" s="573"/>
      <c r="B189" s="569" t="s">
        <v>142</v>
      </c>
      <c r="C189" s="569"/>
      <c r="D189" s="580"/>
      <c r="E189" s="599">
        <v>3074113.4</v>
      </c>
      <c r="F189" s="570"/>
      <c r="G189" s="570"/>
      <c r="H189" s="570"/>
      <c r="I189" s="570"/>
      <c r="J189" s="570"/>
      <c r="K189" s="570"/>
      <c r="L189" s="570"/>
      <c r="M189" s="570"/>
      <c r="N189" s="570"/>
      <c r="O189" s="570"/>
      <c r="P189" s="570"/>
      <c r="Q189" s="570"/>
      <c r="R189" s="570"/>
      <c r="S189" s="570"/>
      <c r="T189" s="570">
        <f t="shared" si="63"/>
        <v>3074113.4</v>
      </c>
      <c r="U189" s="603"/>
      <c r="V189" s="570">
        <f t="shared" si="64"/>
        <v>3074113.4</v>
      </c>
      <c r="W189" s="532"/>
      <c r="X189" s="532"/>
      <c r="Y189" s="532"/>
      <c r="Z189" s="532"/>
    </row>
    <row r="190" spans="1:26" ht="12.6" customHeight="1" thickBot="1" x14ac:dyDescent="0.3">
      <c r="A190" s="573"/>
      <c r="B190" s="569" t="s">
        <v>365</v>
      </c>
      <c r="C190" s="569"/>
      <c r="D190" s="580"/>
      <c r="E190" s="1268"/>
      <c r="F190" s="594">
        <f>'CABAC Non-Fid 2025'!G185</f>
        <v>100000</v>
      </c>
      <c r="G190" s="594"/>
      <c r="H190" s="594"/>
      <c r="I190" s="594"/>
      <c r="J190" s="594"/>
      <c r="K190" s="594"/>
      <c r="L190" s="594"/>
      <c r="M190" s="637"/>
      <c r="N190" s="594"/>
      <c r="O190" s="637"/>
      <c r="P190" s="594"/>
      <c r="Q190" s="594"/>
      <c r="R190" s="594"/>
      <c r="S190" s="594"/>
      <c r="T190" s="570">
        <f t="shared" si="63"/>
        <v>100000</v>
      </c>
      <c r="U190" s="651"/>
      <c r="V190" s="570">
        <f t="shared" si="64"/>
        <v>100000</v>
      </c>
      <c r="W190" s="532"/>
      <c r="X190" s="532"/>
      <c r="Y190" s="532"/>
      <c r="Z190" s="532"/>
    </row>
    <row r="191" spans="1:26" ht="12.6" customHeight="1" thickBot="1" x14ac:dyDescent="0.3">
      <c r="A191" s="604"/>
      <c r="B191" s="581" t="s">
        <v>346</v>
      </c>
      <c r="C191" s="569"/>
      <c r="D191" s="580"/>
      <c r="E191" s="616">
        <f>SUM(E185:E190)</f>
        <v>4200761.3499999996</v>
      </c>
      <c r="F191" s="582">
        <f>SUM(F185:F190)</f>
        <v>100000</v>
      </c>
      <c r="G191" s="582">
        <f t="shared" ref="G191:S191" si="65">SUM(G185)</f>
        <v>0</v>
      </c>
      <c r="H191" s="582">
        <f t="shared" si="65"/>
        <v>0</v>
      </c>
      <c r="I191" s="582">
        <f t="shared" si="65"/>
        <v>0</v>
      </c>
      <c r="J191" s="582">
        <f t="shared" si="65"/>
        <v>0</v>
      </c>
      <c r="K191" s="582">
        <f t="shared" si="65"/>
        <v>0</v>
      </c>
      <c r="L191" s="582">
        <f t="shared" si="65"/>
        <v>0</v>
      </c>
      <c r="M191" s="582">
        <f t="shared" si="65"/>
        <v>0</v>
      </c>
      <c r="N191" s="582">
        <f t="shared" si="65"/>
        <v>0</v>
      </c>
      <c r="O191" s="582">
        <f t="shared" si="65"/>
        <v>0</v>
      </c>
      <c r="P191" s="582">
        <f t="shared" si="65"/>
        <v>0</v>
      </c>
      <c r="Q191" s="582">
        <f t="shared" si="65"/>
        <v>0</v>
      </c>
      <c r="R191" s="582">
        <f t="shared" si="65"/>
        <v>0</v>
      </c>
      <c r="S191" s="582">
        <f t="shared" si="65"/>
        <v>0</v>
      </c>
      <c r="T191" s="582">
        <f>SUM(T185:T190)</f>
        <v>4300761.3499999996</v>
      </c>
      <c r="U191" s="582">
        <f t="shared" ref="U191:V191" si="66">SUM(U185:U190)</f>
        <v>0</v>
      </c>
      <c r="V191" s="582">
        <f t="shared" si="66"/>
        <v>4300761.3499999996</v>
      </c>
      <c r="W191" s="532"/>
      <c r="X191" s="532"/>
      <c r="Y191" s="532"/>
      <c r="Z191" s="532"/>
    </row>
    <row r="192" spans="1:26" ht="12.6" customHeight="1" x14ac:dyDescent="0.25">
      <c r="A192" s="577"/>
      <c r="B192" s="581"/>
      <c r="C192" s="569"/>
      <c r="D192" s="583" t="s">
        <v>347</v>
      </c>
      <c r="E192" s="730">
        <f>E188+E189</f>
        <v>3200761.35</v>
      </c>
      <c r="F192" s="730">
        <f>F185</f>
        <v>0</v>
      </c>
      <c r="G192" s="584">
        <f t="shared" ref="G192:S192" si="67">G185</f>
        <v>0</v>
      </c>
      <c r="H192" s="584">
        <f t="shared" si="67"/>
        <v>0</v>
      </c>
      <c r="I192" s="584">
        <f t="shared" si="67"/>
        <v>0</v>
      </c>
      <c r="J192" s="584">
        <f t="shared" si="67"/>
        <v>0</v>
      </c>
      <c r="K192" s="584">
        <f t="shared" si="67"/>
        <v>0</v>
      </c>
      <c r="L192" s="584">
        <f t="shared" si="67"/>
        <v>0</v>
      </c>
      <c r="M192" s="584">
        <f t="shared" si="67"/>
        <v>0</v>
      </c>
      <c r="N192" s="584">
        <f t="shared" si="67"/>
        <v>0</v>
      </c>
      <c r="O192" s="584">
        <f t="shared" si="67"/>
        <v>0</v>
      </c>
      <c r="P192" s="584">
        <f t="shared" si="67"/>
        <v>0</v>
      </c>
      <c r="Q192" s="584">
        <f t="shared" si="67"/>
        <v>0</v>
      </c>
      <c r="R192" s="584">
        <f t="shared" si="67"/>
        <v>0</v>
      </c>
      <c r="S192" s="584">
        <f t="shared" si="67"/>
        <v>0</v>
      </c>
      <c r="T192" s="584">
        <f>T188+T189</f>
        <v>3200761.35</v>
      </c>
      <c r="U192" s="584">
        <f t="shared" ref="U192:V192" si="68">U188+U189</f>
        <v>0</v>
      </c>
      <c r="V192" s="584">
        <f t="shared" si="68"/>
        <v>3200761.35</v>
      </c>
      <c r="W192" s="532"/>
      <c r="X192" s="532"/>
      <c r="Y192" s="532"/>
      <c r="Z192" s="532"/>
    </row>
    <row r="193" spans="1:26" ht="12.6" customHeight="1" x14ac:dyDescent="0.25">
      <c r="A193" s="577"/>
      <c r="B193" s="581"/>
      <c r="C193" s="569"/>
      <c r="D193" s="583" t="s">
        <v>348</v>
      </c>
      <c r="E193" s="730">
        <f>E185+E186+E187</f>
        <v>1000000</v>
      </c>
      <c r="F193" s="730">
        <f>F190</f>
        <v>100000</v>
      </c>
      <c r="G193" s="584"/>
      <c r="H193" s="584"/>
      <c r="I193" s="584"/>
      <c r="J193" s="584"/>
      <c r="K193" s="584"/>
      <c r="L193" s="584"/>
      <c r="M193" s="584"/>
      <c r="N193" s="584"/>
      <c r="O193" s="584"/>
      <c r="P193" s="584"/>
      <c r="Q193" s="584"/>
      <c r="R193" s="584"/>
      <c r="S193" s="584"/>
      <c r="T193" s="584">
        <f>T185+T186+T187+T190</f>
        <v>1100000</v>
      </c>
      <c r="U193" s="584">
        <f t="shared" ref="U193:V193" si="69">U185+U186+U187+U190</f>
        <v>0</v>
      </c>
      <c r="V193" s="584">
        <f t="shared" si="69"/>
        <v>1100000</v>
      </c>
      <c r="W193" s="532"/>
      <c r="X193" s="532"/>
      <c r="Y193" s="532"/>
      <c r="Z193" s="532"/>
    </row>
    <row r="194" spans="1:26" ht="12.6" customHeight="1" x14ac:dyDescent="0.25">
      <c r="A194" s="577"/>
      <c r="B194" s="581"/>
      <c r="C194" s="569"/>
      <c r="D194" s="580"/>
      <c r="E194" s="730">
        <f>E191</f>
        <v>4200761.3499999996</v>
      </c>
      <c r="F194" s="730">
        <f t="shared" ref="F194:V194" si="70">SUM(F192:F193)</f>
        <v>100000</v>
      </c>
      <c r="G194" s="584">
        <f t="shared" si="70"/>
        <v>0</v>
      </c>
      <c r="H194" s="584">
        <f>SUM(H192:H193)</f>
        <v>0</v>
      </c>
      <c r="I194" s="584">
        <f t="shared" si="70"/>
        <v>0</v>
      </c>
      <c r="J194" s="584">
        <f>SUM(J192:J193)</f>
        <v>0</v>
      </c>
      <c r="K194" s="584">
        <f t="shared" si="70"/>
        <v>0</v>
      </c>
      <c r="L194" s="584">
        <f t="shared" si="70"/>
        <v>0</v>
      </c>
      <c r="M194" s="584">
        <f t="shared" si="70"/>
        <v>0</v>
      </c>
      <c r="N194" s="584">
        <f t="shared" si="70"/>
        <v>0</v>
      </c>
      <c r="O194" s="584">
        <f t="shared" si="70"/>
        <v>0</v>
      </c>
      <c r="P194" s="584">
        <f t="shared" si="70"/>
        <v>0</v>
      </c>
      <c r="Q194" s="584">
        <f t="shared" si="70"/>
        <v>0</v>
      </c>
      <c r="R194" s="584">
        <f t="shared" si="70"/>
        <v>0</v>
      </c>
      <c r="S194" s="584">
        <f t="shared" si="70"/>
        <v>0</v>
      </c>
      <c r="T194" s="584">
        <f t="shared" si="70"/>
        <v>4300761.3499999996</v>
      </c>
      <c r="U194" s="584">
        <f t="shared" si="70"/>
        <v>0</v>
      </c>
      <c r="V194" s="584">
        <f t="shared" si="70"/>
        <v>4300761.3499999996</v>
      </c>
      <c r="W194" s="532"/>
      <c r="X194" s="532"/>
      <c r="Y194" s="532"/>
      <c r="Z194" s="532"/>
    </row>
    <row r="195" spans="1:26" ht="12.6" customHeight="1" x14ac:dyDescent="0.25">
      <c r="A195" s="577"/>
      <c r="B195" s="569"/>
      <c r="C195" s="569"/>
      <c r="D195" s="580"/>
      <c r="E195" s="1232">
        <f t="shared" ref="E195:V195" si="71">E194-E191</f>
        <v>0</v>
      </c>
      <c r="F195" s="1232">
        <f t="shared" si="71"/>
        <v>0</v>
      </c>
      <c r="G195" s="1232">
        <f t="shared" si="71"/>
        <v>0</v>
      </c>
      <c r="H195" s="1232">
        <f t="shared" si="71"/>
        <v>0</v>
      </c>
      <c r="I195" s="1232">
        <f t="shared" si="71"/>
        <v>0</v>
      </c>
      <c r="J195" s="1232">
        <f t="shared" si="71"/>
        <v>0</v>
      </c>
      <c r="K195" s="1232">
        <f t="shared" si="71"/>
        <v>0</v>
      </c>
      <c r="L195" s="1232">
        <f t="shared" si="71"/>
        <v>0</v>
      </c>
      <c r="M195" s="1232">
        <f t="shared" si="71"/>
        <v>0</v>
      </c>
      <c r="N195" s="1232">
        <f t="shared" si="71"/>
        <v>0</v>
      </c>
      <c r="O195" s="1232">
        <f t="shared" si="71"/>
        <v>0</v>
      </c>
      <c r="P195" s="1232">
        <f t="shared" si="71"/>
        <v>0</v>
      </c>
      <c r="Q195" s="1232">
        <f t="shared" si="71"/>
        <v>0</v>
      </c>
      <c r="R195" s="1232">
        <f t="shared" si="71"/>
        <v>0</v>
      </c>
      <c r="S195" s="1232">
        <f t="shared" si="71"/>
        <v>0</v>
      </c>
      <c r="T195" s="1232">
        <f t="shared" si="71"/>
        <v>0</v>
      </c>
      <c r="U195" s="1232">
        <f t="shared" si="71"/>
        <v>0</v>
      </c>
      <c r="V195" s="1232">
        <f t="shared" si="71"/>
        <v>0</v>
      </c>
    </row>
    <row r="196" spans="1:26" ht="12.6" customHeight="1" x14ac:dyDescent="0.25">
      <c r="A196" s="638"/>
      <c r="B196" s="608"/>
      <c r="C196" s="608"/>
      <c r="D196" s="608"/>
      <c r="E196" s="609"/>
      <c r="F196" s="609"/>
      <c r="G196" s="609"/>
      <c r="H196" s="609"/>
      <c r="I196" s="609"/>
      <c r="J196" s="609"/>
      <c r="K196" s="609"/>
      <c r="L196" s="609"/>
      <c r="M196" s="609"/>
      <c r="N196" s="609"/>
      <c r="O196" s="609"/>
      <c r="P196" s="609"/>
      <c r="Q196" s="609"/>
      <c r="R196" s="609"/>
      <c r="S196" s="609"/>
      <c r="T196" s="609"/>
      <c r="U196" s="609"/>
      <c r="V196" s="610"/>
      <c r="W196" s="532"/>
      <c r="X196" s="532"/>
      <c r="Y196" s="532"/>
      <c r="Z196" s="532"/>
    </row>
    <row r="197" spans="1:26" ht="12.6" customHeight="1" x14ac:dyDescent="0.25">
      <c r="A197" s="611" t="s">
        <v>375</v>
      </c>
      <c r="B197" s="612" t="s">
        <v>263</v>
      </c>
      <c r="C197" s="612"/>
      <c r="D197" s="617"/>
      <c r="E197" s="618">
        <v>1020050</v>
      </c>
      <c r="F197" s="613">
        <f>'CABAC Non-Fid 2025'!G75</f>
        <v>364425.5</v>
      </c>
      <c r="G197" s="613"/>
      <c r="H197" s="613"/>
      <c r="I197" s="613"/>
      <c r="J197" s="613"/>
      <c r="K197" s="613"/>
      <c r="L197" s="613"/>
      <c r="M197" s="613"/>
      <c r="N197" s="613"/>
      <c r="O197" s="570"/>
      <c r="P197" s="613"/>
      <c r="Q197" s="613"/>
      <c r="R197" s="613"/>
      <c r="S197" s="613"/>
      <c r="T197" s="613">
        <f t="shared" ref="T197:T223" si="72">SUM(E197:S197)</f>
        <v>1384475.5</v>
      </c>
      <c r="U197" s="619"/>
      <c r="V197" s="614">
        <f>T197-U197</f>
        <v>1384475.5</v>
      </c>
      <c r="W197" s="532"/>
      <c r="X197" s="532"/>
      <c r="Y197" s="532"/>
      <c r="Z197" s="532"/>
    </row>
    <row r="198" spans="1:26" ht="12.6" customHeight="1" x14ac:dyDescent="0.25">
      <c r="A198" s="604" t="s">
        <v>46</v>
      </c>
      <c r="B198" s="569" t="s">
        <v>266</v>
      </c>
      <c r="C198" s="569"/>
      <c r="D198" s="580"/>
      <c r="E198" s="602">
        <v>300000</v>
      </c>
      <c r="F198" s="613">
        <f>'CABAC Non-Fid 2025'!G76</f>
        <v>197545</v>
      </c>
      <c r="G198" s="570"/>
      <c r="H198" s="570"/>
      <c r="I198" s="570">
        <v>500000</v>
      </c>
      <c r="J198" s="570"/>
      <c r="K198" s="570"/>
      <c r="L198" s="570"/>
      <c r="M198" s="570"/>
      <c r="N198" s="570"/>
      <c r="O198" s="570"/>
      <c r="P198" s="570"/>
      <c r="Q198" s="570"/>
      <c r="R198" s="570"/>
      <c r="S198" s="570"/>
      <c r="T198" s="570">
        <f t="shared" si="72"/>
        <v>997545</v>
      </c>
      <c r="U198" s="603"/>
      <c r="V198" s="599">
        <f t="shared" ref="V198:V223" si="73">T198-U198</f>
        <v>997545</v>
      </c>
      <c r="W198" s="532"/>
      <c r="X198" s="532"/>
      <c r="Y198" s="532"/>
      <c r="Z198" s="532"/>
    </row>
    <row r="199" spans="1:26" ht="12.6" customHeight="1" x14ac:dyDescent="0.25">
      <c r="A199" s="573"/>
      <c r="B199" s="569" t="s">
        <v>337</v>
      </c>
      <c r="C199" s="569"/>
      <c r="D199" s="580"/>
      <c r="E199" s="602">
        <f>600000+400000</f>
        <v>1000000</v>
      </c>
      <c r="F199" s="570">
        <f>'CABAC Non-Fid 2025'!G71+'CABAC Non-Fid 2025'!G72</f>
        <v>500000</v>
      </c>
      <c r="G199" s="570"/>
      <c r="H199" s="570"/>
      <c r="I199" s="570"/>
      <c r="J199" s="570"/>
      <c r="K199" s="570"/>
      <c r="L199" s="570"/>
      <c r="M199" s="570"/>
      <c r="N199" s="570"/>
      <c r="O199" s="570"/>
      <c r="P199" s="570"/>
      <c r="Q199" s="570"/>
      <c r="R199" s="570"/>
      <c r="S199" s="570"/>
      <c r="T199" s="570">
        <f t="shared" si="72"/>
        <v>1500000</v>
      </c>
      <c r="U199" s="603"/>
      <c r="V199" s="599">
        <f t="shared" si="73"/>
        <v>1500000</v>
      </c>
      <c r="W199" s="532"/>
      <c r="X199" s="532"/>
      <c r="Y199" s="532"/>
      <c r="Z199" s="532"/>
    </row>
    <row r="200" spans="1:26" ht="12.6" customHeight="1" x14ac:dyDescent="0.25">
      <c r="A200" s="573"/>
      <c r="B200" s="569" t="s">
        <v>24</v>
      </c>
      <c r="C200" s="569"/>
      <c r="D200" s="580"/>
      <c r="E200" s="602"/>
      <c r="F200" s="570"/>
      <c r="G200" s="570"/>
      <c r="H200" s="570"/>
      <c r="I200" s="570">
        <v>500000</v>
      </c>
      <c r="J200" s="570"/>
      <c r="K200" s="570"/>
      <c r="L200" s="570"/>
      <c r="M200" s="570"/>
      <c r="N200" s="570"/>
      <c r="O200" s="570"/>
      <c r="P200" s="570"/>
      <c r="Q200" s="570"/>
      <c r="R200" s="570"/>
      <c r="S200" s="570"/>
      <c r="T200" s="570"/>
      <c r="U200" s="603"/>
      <c r="V200" s="599"/>
      <c r="W200" s="532"/>
      <c r="X200" s="532"/>
      <c r="Y200" s="532"/>
      <c r="Z200" s="532"/>
    </row>
    <row r="201" spans="1:26" ht="12.6" customHeight="1" x14ac:dyDescent="0.25">
      <c r="A201" s="573"/>
      <c r="B201" s="569" t="s">
        <v>376</v>
      </c>
      <c r="C201" s="569"/>
      <c r="D201" s="580"/>
      <c r="E201" s="602">
        <v>600000</v>
      </c>
      <c r="F201" s="570">
        <f>'CABAC Non-Fid 2025'!G70</f>
        <v>0</v>
      </c>
      <c r="G201" s="570"/>
      <c r="H201" s="570"/>
      <c r="I201" s="570">
        <f>800000+500000</f>
        <v>1300000</v>
      </c>
      <c r="J201" s="570"/>
      <c r="K201" s="570"/>
      <c r="L201" s="570"/>
      <c r="M201" s="570"/>
      <c r="N201" s="570"/>
      <c r="O201" s="570"/>
      <c r="P201" s="570"/>
      <c r="Q201" s="570"/>
      <c r="R201" s="570"/>
      <c r="S201" s="570"/>
      <c r="T201" s="570">
        <f t="shared" si="72"/>
        <v>1900000</v>
      </c>
      <c r="U201" s="603"/>
      <c r="V201" s="599">
        <f>T201-U201</f>
        <v>1900000</v>
      </c>
      <c r="W201" s="532"/>
      <c r="X201" s="532"/>
      <c r="Y201" s="532"/>
      <c r="Z201" s="532"/>
    </row>
    <row r="202" spans="1:26" ht="12.6" customHeight="1" x14ac:dyDescent="0.25">
      <c r="A202" s="577"/>
      <c r="B202" s="569" t="s">
        <v>353</v>
      </c>
      <c r="C202" s="569"/>
      <c r="D202" s="580"/>
      <c r="E202" s="602">
        <v>300000</v>
      </c>
      <c r="F202" s="570">
        <f>'CABAC Non-Fid 2025'!G69</f>
        <v>100000</v>
      </c>
      <c r="G202" s="570"/>
      <c r="H202" s="570"/>
      <c r="I202" s="570"/>
      <c r="J202" s="570"/>
      <c r="K202" s="570"/>
      <c r="L202" s="570"/>
      <c r="M202" s="570"/>
      <c r="N202" s="570"/>
      <c r="O202" s="602"/>
      <c r="P202" s="570"/>
      <c r="Q202" s="570"/>
      <c r="R202" s="570"/>
      <c r="S202" s="570"/>
      <c r="T202" s="570">
        <f t="shared" si="72"/>
        <v>400000</v>
      </c>
      <c r="U202" s="603"/>
      <c r="V202" s="599">
        <f t="shared" si="73"/>
        <v>400000</v>
      </c>
      <c r="W202" s="532"/>
      <c r="X202" s="532"/>
      <c r="Y202" s="532"/>
      <c r="Z202" s="532"/>
    </row>
    <row r="203" spans="1:26" ht="12.6" customHeight="1" x14ac:dyDescent="0.25">
      <c r="A203" s="573"/>
      <c r="B203" s="569" t="s">
        <v>354</v>
      </c>
      <c r="C203" s="569"/>
      <c r="D203" s="580"/>
      <c r="E203" s="602">
        <v>344770</v>
      </c>
      <c r="F203" s="570">
        <f>'CABAC Non-Fid 2025'!G73</f>
        <v>0</v>
      </c>
      <c r="G203" s="570"/>
      <c r="H203" s="570"/>
      <c r="I203" s="570"/>
      <c r="J203" s="570"/>
      <c r="K203" s="570"/>
      <c r="L203" s="570"/>
      <c r="M203" s="570"/>
      <c r="N203" s="570"/>
      <c r="O203" s="570"/>
      <c r="P203" s="570"/>
      <c r="Q203" s="570"/>
      <c r="R203" s="570"/>
      <c r="S203" s="570"/>
      <c r="T203" s="570">
        <f t="shared" si="72"/>
        <v>344770</v>
      </c>
      <c r="U203" s="603"/>
      <c r="V203" s="599">
        <f>T203-U203</f>
        <v>344770</v>
      </c>
      <c r="W203" s="532"/>
      <c r="X203" s="532"/>
      <c r="Y203" s="532"/>
      <c r="Z203" s="532"/>
    </row>
    <row r="204" spans="1:26" ht="12.6" customHeight="1" x14ac:dyDescent="0.25">
      <c r="A204" s="573"/>
      <c r="B204" s="569" t="s">
        <v>262</v>
      </c>
      <c r="C204" s="569"/>
      <c r="D204" s="580"/>
      <c r="E204" s="602">
        <v>435180</v>
      </c>
      <c r="F204" s="570">
        <f>'CABAC Non-Fid 2025'!G74</f>
        <v>200000</v>
      </c>
      <c r="G204" s="570"/>
      <c r="H204" s="570"/>
      <c r="I204" s="570"/>
      <c r="J204" s="570"/>
      <c r="K204" s="570"/>
      <c r="L204" s="570"/>
      <c r="M204" s="570"/>
      <c r="N204" s="570"/>
      <c r="O204" s="570"/>
      <c r="P204" s="570"/>
      <c r="Q204" s="570"/>
      <c r="R204" s="570"/>
      <c r="S204" s="570"/>
      <c r="T204" s="570">
        <f t="shared" si="72"/>
        <v>635180</v>
      </c>
      <c r="U204" s="603"/>
      <c r="V204" s="599">
        <f>T204-U204</f>
        <v>635180</v>
      </c>
      <c r="W204" s="532"/>
      <c r="X204" s="532"/>
      <c r="Y204" s="532"/>
      <c r="Z204" s="532"/>
    </row>
    <row r="205" spans="1:26" ht="12.6" customHeight="1" x14ac:dyDescent="0.25">
      <c r="A205" s="577"/>
      <c r="B205" s="569" t="s">
        <v>377</v>
      </c>
      <c r="C205" s="569"/>
      <c r="D205" s="569"/>
      <c r="E205" s="605"/>
      <c r="F205" s="570"/>
      <c r="G205" s="570"/>
      <c r="H205" s="570"/>
      <c r="I205" s="570"/>
      <c r="J205" s="601"/>
      <c r="K205" s="570"/>
      <c r="L205" s="601"/>
      <c r="M205" s="570"/>
      <c r="N205" s="570"/>
      <c r="O205" s="570"/>
      <c r="P205" s="570"/>
      <c r="Q205" s="570"/>
      <c r="R205" s="570"/>
      <c r="S205" s="570"/>
      <c r="T205" s="570">
        <f t="shared" si="72"/>
        <v>0</v>
      </c>
      <c r="U205" s="603"/>
      <c r="V205" s="599">
        <f>T205-U205</f>
        <v>0</v>
      </c>
      <c r="W205" s="532"/>
      <c r="X205" s="532"/>
      <c r="Y205" s="532"/>
      <c r="Z205" s="532"/>
    </row>
    <row r="206" spans="1:26" ht="12.6" customHeight="1" x14ac:dyDescent="0.25">
      <c r="A206" s="573"/>
      <c r="B206" s="569" t="s">
        <v>355</v>
      </c>
      <c r="C206" s="569"/>
      <c r="D206" s="580"/>
      <c r="E206" s="602">
        <v>1059446.43</v>
      </c>
      <c r="F206" s="570">
        <f>'CABAC Fiduciary 2025'!F139</f>
        <v>0</v>
      </c>
      <c r="G206" s="570"/>
      <c r="H206" s="570"/>
      <c r="I206" s="570"/>
      <c r="J206" s="570"/>
      <c r="K206" s="570"/>
      <c r="L206" s="570"/>
      <c r="M206" s="570"/>
      <c r="N206" s="570"/>
      <c r="O206" s="570"/>
      <c r="P206" s="570"/>
      <c r="Q206" s="570"/>
      <c r="R206" s="570"/>
      <c r="S206" s="570"/>
      <c r="T206" s="570">
        <f t="shared" si="72"/>
        <v>1059446.43</v>
      </c>
      <c r="U206" s="603"/>
      <c r="V206" s="599">
        <f t="shared" si="73"/>
        <v>1059446.43</v>
      </c>
      <c r="W206" s="532"/>
      <c r="X206" s="532"/>
      <c r="Y206" s="532"/>
      <c r="Z206" s="532"/>
    </row>
    <row r="207" spans="1:26" ht="12.6" customHeight="1" x14ac:dyDescent="0.25">
      <c r="A207" s="573"/>
      <c r="B207" s="581" t="s">
        <v>145</v>
      </c>
      <c r="C207" s="569"/>
      <c r="D207" s="580"/>
      <c r="E207" s="602">
        <v>100000</v>
      </c>
      <c r="F207" s="570">
        <f>'CABAC Fiduciary 2025'!F140</f>
        <v>0</v>
      </c>
      <c r="G207" s="570"/>
      <c r="H207" s="570"/>
      <c r="I207" s="570"/>
      <c r="J207" s="570"/>
      <c r="K207" s="602"/>
      <c r="L207" s="602"/>
      <c r="M207" s="602"/>
      <c r="N207" s="602"/>
      <c r="O207" s="602"/>
      <c r="P207" s="602"/>
      <c r="Q207" s="602"/>
      <c r="R207" s="602"/>
      <c r="S207" s="602"/>
      <c r="T207" s="570">
        <f t="shared" si="72"/>
        <v>100000</v>
      </c>
      <c r="U207" s="603"/>
      <c r="V207" s="599">
        <f t="shared" si="73"/>
        <v>100000</v>
      </c>
      <c r="W207" s="532"/>
      <c r="X207" s="532"/>
      <c r="Y207" s="532"/>
      <c r="Z207" s="532"/>
    </row>
    <row r="208" spans="1:26" ht="12.6" customHeight="1" x14ac:dyDescent="0.25">
      <c r="A208" s="573"/>
      <c r="B208" s="581" t="s">
        <v>179</v>
      </c>
      <c r="C208" s="569"/>
      <c r="D208" s="580"/>
      <c r="E208" s="602">
        <v>100000</v>
      </c>
      <c r="F208" s="570">
        <f>'CABAC Fiduciary 2025'!F141</f>
        <v>0</v>
      </c>
      <c r="G208" s="570"/>
      <c r="H208" s="570"/>
      <c r="I208" s="570"/>
      <c r="J208" s="570"/>
      <c r="K208" s="570"/>
      <c r="L208" s="570"/>
      <c r="M208" s="570"/>
      <c r="N208" s="570"/>
      <c r="O208" s="570"/>
      <c r="P208" s="570"/>
      <c r="Q208" s="570"/>
      <c r="R208" s="570"/>
      <c r="S208" s="570"/>
      <c r="T208" s="570">
        <f t="shared" si="72"/>
        <v>100000</v>
      </c>
      <c r="U208" s="603"/>
      <c r="V208" s="599">
        <f t="shared" si="73"/>
        <v>100000</v>
      </c>
      <c r="W208" s="532"/>
      <c r="X208" s="532"/>
      <c r="Y208" s="532"/>
      <c r="Z208" s="532"/>
    </row>
    <row r="209" spans="1:26" ht="12.6" customHeight="1" x14ac:dyDescent="0.25">
      <c r="A209" s="573"/>
      <c r="B209" s="581" t="s">
        <v>356</v>
      </c>
      <c r="C209" s="569"/>
      <c r="D209" s="580"/>
      <c r="E209" s="602"/>
      <c r="F209" s="570">
        <f>'CABAC Fiduciary 2025'!F152</f>
        <v>0</v>
      </c>
      <c r="G209" s="570"/>
      <c r="H209" s="570"/>
      <c r="I209" s="570"/>
      <c r="J209" s="570"/>
      <c r="K209" s="570"/>
      <c r="L209" s="570"/>
      <c r="M209" s="570"/>
      <c r="N209" s="570"/>
      <c r="O209" s="570"/>
      <c r="P209" s="570"/>
      <c r="Q209" s="570"/>
      <c r="R209" s="570"/>
      <c r="S209" s="570"/>
      <c r="T209" s="570">
        <f t="shared" si="72"/>
        <v>0</v>
      </c>
      <c r="U209" s="603"/>
      <c r="V209" s="599">
        <f t="shared" si="73"/>
        <v>0</v>
      </c>
      <c r="W209" s="532"/>
      <c r="X209" s="532"/>
      <c r="Y209" s="532"/>
      <c r="Z209" s="532"/>
    </row>
    <row r="210" spans="1:26" ht="12.6" customHeight="1" x14ac:dyDescent="0.25">
      <c r="A210" s="573"/>
      <c r="B210" s="581" t="s">
        <v>342</v>
      </c>
      <c r="C210" s="569"/>
      <c r="D210" s="580"/>
      <c r="E210" s="602">
        <v>100000</v>
      </c>
      <c r="F210" s="570">
        <f>'CABAC Fiduciary 2025'!F148</f>
        <v>0</v>
      </c>
      <c r="G210" s="570"/>
      <c r="H210" s="570"/>
      <c r="I210" s="570"/>
      <c r="J210" s="570"/>
      <c r="K210" s="570"/>
      <c r="L210" s="570"/>
      <c r="M210" s="570"/>
      <c r="N210" s="570"/>
      <c r="O210" s="570"/>
      <c r="P210" s="570"/>
      <c r="Q210" s="570"/>
      <c r="R210" s="570"/>
      <c r="S210" s="570"/>
      <c r="T210" s="570">
        <f t="shared" si="72"/>
        <v>100000</v>
      </c>
      <c r="U210" s="603"/>
      <c r="V210" s="599">
        <f t="shared" si="73"/>
        <v>100000</v>
      </c>
      <c r="W210" s="532"/>
      <c r="X210" s="532"/>
      <c r="Y210" s="532"/>
      <c r="Z210" s="532"/>
    </row>
    <row r="211" spans="1:26" ht="12.6" customHeight="1" x14ac:dyDescent="0.25">
      <c r="A211" s="573"/>
      <c r="B211" s="581" t="s">
        <v>357</v>
      </c>
      <c r="C211" s="569"/>
      <c r="D211" s="580"/>
      <c r="E211" s="602"/>
      <c r="F211" s="570">
        <f>'CABAC Fiduciary 2025'!F154</f>
        <v>0</v>
      </c>
      <c r="G211" s="570"/>
      <c r="H211" s="570"/>
      <c r="I211" s="570"/>
      <c r="J211" s="570"/>
      <c r="K211" s="570"/>
      <c r="L211" s="570"/>
      <c r="M211" s="570"/>
      <c r="N211" s="570"/>
      <c r="O211" s="570"/>
      <c r="P211" s="570"/>
      <c r="Q211" s="570"/>
      <c r="R211" s="570"/>
      <c r="S211" s="570"/>
      <c r="T211" s="570">
        <f t="shared" si="72"/>
        <v>0</v>
      </c>
      <c r="U211" s="603"/>
      <c r="V211" s="599">
        <f t="shared" si="73"/>
        <v>0</v>
      </c>
      <c r="W211" s="532"/>
      <c r="X211" s="532"/>
      <c r="Y211" s="532"/>
      <c r="Z211" s="532"/>
    </row>
    <row r="212" spans="1:26" ht="12.6" customHeight="1" x14ac:dyDescent="0.25">
      <c r="A212" s="573"/>
      <c r="B212" s="581" t="s">
        <v>378</v>
      </c>
      <c r="C212" s="569"/>
      <c r="D212" s="580"/>
      <c r="E212" s="605"/>
      <c r="F212" s="570">
        <f>'CABAC Fiduciary 2025'!F156</f>
        <v>0</v>
      </c>
      <c r="G212" s="570"/>
      <c r="H212" s="570"/>
      <c r="I212" s="570"/>
      <c r="J212" s="601"/>
      <c r="K212" s="570"/>
      <c r="L212" s="601"/>
      <c r="M212" s="570"/>
      <c r="N212" s="570"/>
      <c r="O212" s="570"/>
      <c r="P212" s="570"/>
      <c r="Q212" s="570"/>
      <c r="R212" s="570"/>
      <c r="S212" s="570"/>
      <c r="T212" s="570">
        <f t="shared" si="72"/>
        <v>0</v>
      </c>
      <c r="U212" s="603"/>
      <c r="V212" s="599">
        <f t="shared" si="73"/>
        <v>0</v>
      </c>
      <c r="W212" s="532"/>
      <c r="X212" s="532"/>
      <c r="Y212" s="532"/>
      <c r="Z212" s="532"/>
    </row>
    <row r="213" spans="1:26" ht="12.6" customHeight="1" x14ac:dyDescent="0.25">
      <c r="A213" s="573"/>
      <c r="B213" s="569" t="s">
        <v>458</v>
      </c>
      <c r="C213" s="569"/>
      <c r="D213" s="580"/>
      <c r="E213" s="602">
        <v>452203.24</v>
      </c>
      <c r="F213" s="570">
        <f>'CABAC Fiduciary 2025'!F155</f>
        <v>0</v>
      </c>
      <c r="G213" s="570"/>
      <c r="H213" s="570"/>
      <c r="I213" s="570"/>
      <c r="J213" s="570"/>
      <c r="K213" s="570"/>
      <c r="L213" s="570"/>
      <c r="M213" s="570"/>
      <c r="N213" s="570"/>
      <c r="O213" s="570"/>
      <c r="P213" s="570"/>
      <c r="Q213" s="570"/>
      <c r="R213" s="570"/>
      <c r="S213" s="570"/>
      <c r="T213" s="570">
        <f t="shared" si="72"/>
        <v>452203.24</v>
      </c>
      <c r="U213" s="603"/>
      <c r="V213" s="599">
        <f t="shared" si="73"/>
        <v>452203.24</v>
      </c>
      <c r="W213" s="532"/>
      <c r="X213" s="532"/>
      <c r="Y213" s="532"/>
      <c r="Z213" s="532"/>
    </row>
    <row r="214" spans="1:26" ht="12.6" customHeight="1" x14ac:dyDescent="0.25">
      <c r="A214" s="573"/>
      <c r="B214" s="569" t="s">
        <v>340</v>
      </c>
      <c r="C214" s="569"/>
      <c r="D214" s="580"/>
      <c r="E214" s="602">
        <v>2665422.69</v>
      </c>
      <c r="F214" s="570">
        <f>'CABAC Fiduciary 2025'!F149</f>
        <v>0</v>
      </c>
      <c r="G214" s="570"/>
      <c r="H214" s="570"/>
      <c r="I214" s="570"/>
      <c r="J214" s="570"/>
      <c r="K214" s="570"/>
      <c r="L214" s="570"/>
      <c r="M214" s="570"/>
      <c r="N214" s="570"/>
      <c r="O214" s="570"/>
      <c r="P214" s="570"/>
      <c r="Q214" s="570"/>
      <c r="R214" s="570"/>
      <c r="S214" s="570"/>
      <c r="T214" s="570">
        <f t="shared" si="72"/>
        <v>2665422.69</v>
      </c>
      <c r="U214" s="603"/>
      <c r="V214" s="599">
        <f>T214-U214</f>
        <v>2665422.69</v>
      </c>
      <c r="W214" s="532"/>
      <c r="X214" s="532"/>
      <c r="Y214" s="532"/>
      <c r="Z214" s="532"/>
    </row>
    <row r="215" spans="1:26" ht="12.6" customHeight="1" x14ac:dyDescent="0.25">
      <c r="A215" s="573"/>
      <c r="B215" s="569" t="s">
        <v>358</v>
      </c>
      <c r="C215" s="569"/>
      <c r="D215" s="580"/>
      <c r="E215" s="602">
        <v>452203.24</v>
      </c>
      <c r="F215" s="570">
        <f>'CABAC Fiduciary 2025'!F150</f>
        <v>200000</v>
      </c>
      <c r="G215" s="570"/>
      <c r="H215" s="570"/>
      <c r="I215" s="570"/>
      <c r="J215" s="570"/>
      <c r="K215" s="570"/>
      <c r="L215" s="570"/>
      <c r="M215" s="570"/>
      <c r="N215" s="570"/>
      <c r="O215" s="570"/>
      <c r="P215" s="570"/>
      <c r="Q215" s="570"/>
      <c r="R215" s="570"/>
      <c r="S215" s="570"/>
      <c r="T215" s="570">
        <f t="shared" si="72"/>
        <v>652203.24</v>
      </c>
      <c r="U215" s="603"/>
      <c r="V215" s="599">
        <f>T215-U215</f>
        <v>652203.24</v>
      </c>
      <c r="W215" s="532"/>
      <c r="X215" s="532"/>
      <c r="Y215" s="532"/>
      <c r="Z215" s="532"/>
    </row>
    <row r="216" spans="1:26" ht="12.6" customHeight="1" x14ac:dyDescent="0.25">
      <c r="A216" s="573"/>
      <c r="B216" s="581" t="s">
        <v>343</v>
      </c>
      <c r="C216" s="569"/>
      <c r="D216" s="580"/>
      <c r="E216" s="602">
        <v>452203.24</v>
      </c>
      <c r="F216" s="570">
        <f>'CABAC Fiduciary 2025'!F151</f>
        <v>55560</v>
      </c>
      <c r="G216" s="570"/>
      <c r="H216" s="570"/>
      <c r="I216" s="570"/>
      <c r="J216" s="570"/>
      <c r="K216" s="602"/>
      <c r="L216" s="602"/>
      <c r="M216" s="602"/>
      <c r="N216" s="602"/>
      <c r="O216" s="602"/>
      <c r="P216" s="602"/>
      <c r="Q216" s="602"/>
      <c r="R216" s="602"/>
      <c r="S216" s="602"/>
      <c r="T216" s="570">
        <f t="shared" si="72"/>
        <v>507763.24</v>
      </c>
      <c r="U216" s="603"/>
      <c r="V216" s="599">
        <f t="shared" si="73"/>
        <v>507763.24</v>
      </c>
      <c r="W216" s="532"/>
      <c r="X216" s="532"/>
      <c r="Y216" s="532"/>
      <c r="Z216" s="532"/>
    </row>
    <row r="217" spans="1:26" ht="12.6" customHeight="1" x14ac:dyDescent="0.25">
      <c r="A217" s="573"/>
      <c r="B217" s="581" t="s">
        <v>211</v>
      </c>
      <c r="C217" s="569"/>
      <c r="D217" s="580"/>
      <c r="E217" s="602">
        <v>352203.24</v>
      </c>
      <c r="F217" s="570">
        <f>'CABAC Fiduciary 2025'!F145</f>
        <v>0</v>
      </c>
      <c r="G217" s="570"/>
      <c r="H217" s="570"/>
      <c r="I217" s="570"/>
      <c r="J217" s="570"/>
      <c r="K217" s="602"/>
      <c r="L217" s="602"/>
      <c r="M217" s="602"/>
      <c r="N217" s="602"/>
      <c r="O217" s="602"/>
      <c r="P217" s="602"/>
      <c r="Q217" s="602"/>
      <c r="R217" s="602"/>
      <c r="S217" s="602"/>
      <c r="T217" s="570">
        <f t="shared" si="72"/>
        <v>352203.24</v>
      </c>
      <c r="U217" s="603"/>
      <c r="V217" s="599">
        <f t="shared" si="73"/>
        <v>352203.24</v>
      </c>
      <c r="W217" s="532"/>
      <c r="X217" s="532"/>
      <c r="Y217" s="532"/>
      <c r="Z217" s="532"/>
    </row>
    <row r="218" spans="1:26" ht="12.6" customHeight="1" x14ac:dyDescent="0.25">
      <c r="A218" s="573"/>
      <c r="B218" s="581" t="s">
        <v>344</v>
      </c>
      <c r="C218" s="569"/>
      <c r="D218" s="580"/>
      <c r="E218" s="602">
        <v>452203.24</v>
      </c>
      <c r="F218" s="570">
        <f>'CABAC Fiduciary 2025'!F138</f>
        <v>0</v>
      </c>
      <c r="G218" s="570"/>
      <c r="H218" s="570"/>
      <c r="I218" s="570"/>
      <c r="J218" s="570"/>
      <c r="K218" s="570"/>
      <c r="L218" s="570"/>
      <c r="M218" s="570"/>
      <c r="N218" s="570"/>
      <c r="O218" s="570"/>
      <c r="P218" s="570"/>
      <c r="Q218" s="570"/>
      <c r="R218" s="570"/>
      <c r="S218" s="570"/>
      <c r="T218" s="570">
        <f t="shared" si="72"/>
        <v>452203.24</v>
      </c>
      <c r="U218" s="603"/>
      <c r="V218" s="599">
        <f t="shared" si="73"/>
        <v>452203.24</v>
      </c>
      <c r="W218" s="532"/>
      <c r="X218" s="532"/>
      <c r="Y218" s="532"/>
      <c r="Z218" s="532"/>
    </row>
    <row r="219" spans="1:26" ht="12.6" customHeight="1" x14ac:dyDescent="0.25">
      <c r="A219" s="573"/>
      <c r="B219" s="581" t="s">
        <v>154</v>
      </c>
      <c r="C219" s="569"/>
      <c r="D219" s="580"/>
      <c r="E219" s="602">
        <v>100000</v>
      </c>
      <c r="F219" s="570">
        <f>'CABAC Fiduciary 2025'!F147</f>
        <v>91450</v>
      </c>
      <c r="G219" s="570"/>
      <c r="H219" s="570"/>
      <c r="I219" s="570"/>
      <c r="J219" s="570"/>
      <c r="K219" s="570"/>
      <c r="L219" s="570"/>
      <c r="M219" s="570"/>
      <c r="N219" s="570"/>
      <c r="O219" s="570"/>
      <c r="P219" s="570"/>
      <c r="Q219" s="570"/>
      <c r="R219" s="570"/>
      <c r="S219" s="570"/>
      <c r="T219" s="570">
        <f t="shared" si="72"/>
        <v>191450</v>
      </c>
      <c r="U219" s="603"/>
      <c r="V219" s="599">
        <f t="shared" si="73"/>
        <v>191450</v>
      </c>
      <c r="W219" s="532"/>
      <c r="X219" s="532"/>
      <c r="Y219" s="532"/>
      <c r="Z219" s="532"/>
    </row>
    <row r="220" spans="1:26" ht="12.6" customHeight="1" x14ac:dyDescent="0.25">
      <c r="A220" s="573"/>
      <c r="B220" s="581" t="s">
        <v>367</v>
      </c>
      <c r="C220" s="569"/>
      <c r="D220" s="580"/>
      <c r="E220" s="602"/>
      <c r="F220" s="570">
        <f>'CABAC Fiduciary 2025'!F153</f>
        <v>0</v>
      </c>
      <c r="G220" s="570"/>
      <c r="H220" s="570"/>
      <c r="I220" s="570"/>
      <c r="J220" s="570"/>
      <c r="K220" s="570"/>
      <c r="L220" s="570"/>
      <c r="M220" s="570"/>
      <c r="N220" s="570"/>
      <c r="O220" s="570"/>
      <c r="P220" s="570"/>
      <c r="Q220" s="570"/>
      <c r="R220" s="570"/>
      <c r="S220" s="570"/>
      <c r="T220" s="570">
        <f t="shared" si="72"/>
        <v>0</v>
      </c>
      <c r="U220" s="603"/>
      <c r="V220" s="599">
        <f t="shared" si="73"/>
        <v>0</v>
      </c>
      <c r="W220" s="532"/>
      <c r="X220" s="532"/>
      <c r="Y220" s="532"/>
      <c r="Z220" s="532"/>
    </row>
    <row r="221" spans="1:26" ht="12.6" customHeight="1" x14ac:dyDescent="0.25">
      <c r="A221" s="573"/>
      <c r="B221" s="581" t="s">
        <v>359</v>
      </c>
      <c r="C221" s="569"/>
      <c r="D221" s="580"/>
      <c r="E221" s="602">
        <v>100000</v>
      </c>
      <c r="F221" s="570">
        <f>'CABAC Fiduciary 2025'!F143</f>
        <v>2300</v>
      </c>
      <c r="G221" s="570"/>
      <c r="H221" s="570"/>
      <c r="I221" s="570"/>
      <c r="J221" s="570"/>
      <c r="K221" s="570"/>
      <c r="L221" s="570"/>
      <c r="M221" s="570"/>
      <c r="N221" s="570"/>
      <c r="O221" s="570"/>
      <c r="P221" s="570"/>
      <c r="Q221" s="570"/>
      <c r="R221" s="570"/>
      <c r="S221" s="570"/>
      <c r="T221" s="570">
        <f t="shared" si="72"/>
        <v>102300</v>
      </c>
      <c r="U221" s="603"/>
      <c r="V221" s="599">
        <f t="shared" si="73"/>
        <v>102300</v>
      </c>
      <c r="W221" s="532"/>
      <c r="X221" s="532"/>
      <c r="Y221" s="532"/>
      <c r="Z221" s="532"/>
    </row>
    <row r="222" spans="1:26" ht="12.6" customHeight="1" x14ac:dyDescent="0.25">
      <c r="A222" s="573"/>
      <c r="B222" s="581" t="s">
        <v>360</v>
      </c>
      <c r="C222" s="569"/>
      <c r="D222" s="580"/>
      <c r="E222" s="602">
        <v>100000</v>
      </c>
      <c r="F222" s="570">
        <f>'CABAC Fiduciary 2025'!F144</f>
        <v>0</v>
      </c>
      <c r="G222" s="570"/>
      <c r="H222" s="570"/>
      <c r="I222" s="570"/>
      <c r="J222" s="570"/>
      <c r="K222" s="570"/>
      <c r="L222" s="570"/>
      <c r="M222" s="570"/>
      <c r="N222" s="570"/>
      <c r="O222" s="570"/>
      <c r="P222" s="570"/>
      <c r="Q222" s="570"/>
      <c r="R222" s="570"/>
      <c r="S222" s="570"/>
      <c r="T222" s="570">
        <f t="shared" si="72"/>
        <v>100000</v>
      </c>
      <c r="U222" s="603"/>
      <c r="V222" s="599">
        <f t="shared" si="73"/>
        <v>100000</v>
      </c>
      <c r="W222" s="532"/>
      <c r="X222" s="532"/>
      <c r="Y222" s="532"/>
      <c r="Z222" s="532"/>
    </row>
    <row r="223" spans="1:26" ht="15.75" customHeight="1" thickBot="1" x14ac:dyDescent="0.3">
      <c r="A223" s="573"/>
      <c r="B223" s="581" t="s">
        <v>144</v>
      </c>
      <c r="C223" s="569"/>
      <c r="D223" s="580"/>
      <c r="E223" s="602">
        <v>452203.24</v>
      </c>
      <c r="F223" s="602">
        <f>'CABAC Fiduciary 2025'!F142</f>
        <v>0</v>
      </c>
      <c r="G223" s="602"/>
      <c r="H223" s="602"/>
      <c r="I223" s="602"/>
      <c r="J223" s="602"/>
      <c r="K223" s="602"/>
      <c r="L223" s="602"/>
      <c r="M223" s="602"/>
      <c r="N223" s="602"/>
      <c r="O223" s="602"/>
      <c r="P223" s="602"/>
      <c r="Q223" s="602"/>
      <c r="R223" s="602"/>
      <c r="S223" s="602"/>
      <c r="T223" s="602">
        <f t="shared" si="72"/>
        <v>452203.24</v>
      </c>
      <c r="U223" s="639"/>
      <c r="V223" s="640">
        <f t="shared" si="73"/>
        <v>452203.24</v>
      </c>
      <c r="W223" s="532"/>
      <c r="X223" s="532"/>
      <c r="Y223" s="532"/>
      <c r="Z223" s="532"/>
    </row>
    <row r="224" spans="1:26" ht="12.6" customHeight="1" thickBot="1" x14ac:dyDescent="0.3">
      <c r="A224" s="573"/>
      <c r="B224" s="581" t="s">
        <v>346</v>
      </c>
      <c r="C224" s="569"/>
      <c r="D224" s="569"/>
      <c r="E224" s="582">
        <f t="shared" ref="E224:V224" si="74">SUM(E197:E223)</f>
        <v>10938088.560000001</v>
      </c>
      <c r="F224" s="582">
        <f t="shared" si="74"/>
        <v>1711280.5</v>
      </c>
      <c r="G224" s="641">
        <f t="shared" si="74"/>
        <v>0</v>
      </c>
      <c r="H224" s="582">
        <f t="shared" si="74"/>
        <v>0</v>
      </c>
      <c r="I224" s="641">
        <f t="shared" si="74"/>
        <v>2300000</v>
      </c>
      <c r="J224" s="582">
        <f t="shared" si="74"/>
        <v>0</v>
      </c>
      <c r="K224" s="582">
        <f t="shared" si="74"/>
        <v>0</v>
      </c>
      <c r="L224" s="582">
        <f t="shared" si="74"/>
        <v>0</v>
      </c>
      <c r="M224" s="582">
        <f t="shared" si="74"/>
        <v>0</v>
      </c>
      <c r="N224" s="582">
        <f t="shared" si="74"/>
        <v>0</v>
      </c>
      <c r="O224" s="582">
        <f t="shared" si="74"/>
        <v>0</v>
      </c>
      <c r="P224" s="582">
        <f t="shared" si="74"/>
        <v>0</v>
      </c>
      <c r="Q224" s="582">
        <f t="shared" si="74"/>
        <v>0</v>
      </c>
      <c r="R224" s="582">
        <f t="shared" si="74"/>
        <v>0</v>
      </c>
      <c r="S224" s="582">
        <f t="shared" si="74"/>
        <v>0</v>
      </c>
      <c r="T224" s="641">
        <f t="shared" si="74"/>
        <v>14449369.060000001</v>
      </c>
      <c r="U224" s="582">
        <f t="shared" si="74"/>
        <v>0</v>
      </c>
      <c r="V224" s="616">
        <f t="shared" si="74"/>
        <v>14449369.060000001</v>
      </c>
      <c r="W224" s="532"/>
      <c r="X224" s="532"/>
      <c r="Y224" s="532"/>
      <c r="Z224" s="532"/>
    </row>
    <row r="225" spans="1:26" ht="12.6" customHeight="1" x14ac:dyDescent="0.25">
      <c r="A225" s="577"/>
      <c r="B225" s="581"/>
      <c r="C225" s="569"/>
      <c r="D225" s="642" t="s">
        <v>347</v>
      </c>
      <c r="E225" s="730">
        <f t="shared" ref="E225:V225" si="75">SUM(E205:E223)</f>
        <v>6938088.5600000005</v>
      </c>
      <c r="F225" s="730">
        <f t="shared" si="75"/>
        <v>349310</v>
      </c>
      <c r="G225" s="584">
        <f t="shared" si="75"/>
        <v>0</v>
      </c>
      <c r="H225" s="584">
        <f t="shared" si="75"/>
        <v>0</v>
      </c>
      <c r="I225" s="584">
        <f t="shared" si="75"/>
        <v>0</v>
      </c>
      <c r="J225" s="584">
        <f t="shared" si="75"/>
        <v>0</v>
      </c>
      <c r="K225" s="584">
        <f t="shared" si="75"/>
        <v>0</v>
      </c>
      <c r="L225" s="584">
        <f t="shared" si="75"/>
        <v>0</v>
      </c>
      <c r="M225" s="584">
        <f t="shared" si="75"/>
        <v>0</v>
      </c>
      <c r="N225" s="584">
        <f t="shared" si="75"/>
        <v>0</v>
      </c>
      <c r="O225" s="584">
        <f t="shared" si="75"/>
        <v>0</v>
      </c>
      <c r="P225" s="584">
        <f t="shared" si="75"/>
        <v>0</v>
      </c>
      <c r="Q225" s="584">
        <f t="shared" si="75"/>
        <v>0</v>
      </c>
      <c r="R225" s="584">
        <f t="shared" si="75"/>
        <v>0</v>
      </c>
      <c r="S225" s="584">
        <f t="shared" si="75"/>
        <v>0</v>
      </c>
      <c r="T225" s="1285">
        <f t="shared" si="75"/>
        <v>7287398.5600000005</v>
      </c>
      <c r="U225" s="1285">
        <f t="shared" si="75"/>
        <v>0</v>
      </c>
      <c r="V225" s="1285">
        <f t="shared" si="75"/>
        <v>7287398.5600000005</v>
      </c>
      <c r="W225" s="532"/>
      <c r="X225" s="532"/>
      <c r="Y225" s="532"/>
      <c r="Z225" s="532"/>
    </row>
    <row r="226" spans="1:26" ht="12.6" customHeight="1" x14ac:dyDescent="0.25">
      <c r="A226" s="577"/>
      <c r="B226" s="581"/>
      <c r="C226" s="569"/>
      <c r="D226" s="642" t="s">
        <v>348</v>
      </c>
      <c r="E226" s="730">
        <f t="shared" ref="E226:V226" si="76">SUM(E197:E204)</f>
        <v>4000000</v>
      </c>
      <c r="F226" s="730">
        <f t="shared" si="76"/>
        <v>1361970.5</v>
      </c>
      <c r="G226" s="584">
        <f t="shared" si="76"/>
        <v>0</v>
      </c>
      <c r="H226" s="584">
        <f t="shared" si="76"/>
        <v>0</v>
      </c>
      <c r="I226" s="584">
        <f t="shared" si="76"/>
        <v>2300000</v>
      </c>
      <c r="J226" s="584">
        <f t="shared" si="76"/>
        <v>0</v>
      </c>
      <c r="K226" s="584">
        <f t="shared" si="76"/>
        <v>0</v>
      </c>
      <c r="L226" s="584">
        <f t="shared" si="76"/>
        <v>0</v>
      </c>
      <c r="M226" s="584">
        <f t="shared" si="76"/>
        <v>0</v>
      </c>
      <c r="N226" s="584">
        <f t="shared" si="76"/>
        <v>0</v>
      </c>
      <c r="O226" s="584">
        <f t="shared" si="76"/>
        <v>0</v>
      </c>
      <c r="P226" s="584">
        <f t="shared" si="76"/>
        <v>0</v>
      </c>
      <c r="Q226" s="584">
        <f t="shared" si="76"/>
        <v>0</v>
      </c>
      <c r="R226" s="584">
        <f t="shared" si="76"/>
        <v>0</v>
      </c>
      <c r="S226" s="584">
        <f t="shared" si="76"/>
        <v>0</v>
      </c>
      <c r="T226" s="1285">
        <f t="shared" si="76"/>
        <v>7161970.5</v>
      </c>
      <c r="U226" s="1285">
        <f t="shared" si="76"/>
        <v>0</v>
      </c>
      <c r="V226" s="1285">
        <f t="shared" si="76"/>
        <v>7161970.5</v>
      </c>
      <c r="W226" s="532"/>
      <c r="X226" s="532"/>
      <c r="Y226" s="532"/>
      <c r="Z226" s="532"/>
    </row>
    <row r="227" spans="1:26" ht="12.6" customHeight="1" x14ac:dyDescent="0.25">
      <c r="A227" s="577"/>
      <c r="B227" s="581"/>
      <c r="C227" s="569"/>
      <c r="D227" s="569"/>
      <c r="E227" s="730">
        <f>SUM(E225:E226)</f>
        <v>10938088.560000001</v>
      </c>
      <c r="F227" s="730">
        <f t="shared" ref="F227:V227" si="77">SUM(F225:F226)</f>
        <v>1711280.5</v>
      </c>
      <c r="G227" s="584">
        <f t="shared" si="77"/>
        <v>0</v>
      </c>
      <c r="H227" s="584">
        <f>SUM(H225:H226)</f>
        <v>0</v>
      </c>
      <c r="I227" s="584">
        <f t="shared" si="77"/>
        <v>2300000</v>
      </c>
      <c r="J227" s="584">
        <f>SUM(J225:J226)</f>
        <v>0</v>
      </c>
      <c r="K227" s="584">
        <f t="shared" si="77"/>
        <v>0</v>
      </c>
      <c r="L227" s="584">
        <f t="shared" si="77"/>
        <v>0</v>
      </c>
      <c r="M227" s="584">
        <f t="shared" si="77"/>
        <v>0</v>
      </c>
      <c r="N227" s="584">
        <f t="shared" si="77"/>
        <v>0</v>
      </c>
      <c r="O227" s="584">
        <f t="shared" si="77"/>
        <v>0</v>
      </c>
      <c r="P227" s="584">
        <f t="shared" si="77"/>
        <v>0</v>
      </c>
      <c r="Q227" s="584">
        <f t="shared" si="77"/>
        <v>0</v>
      </c>
      <c r="R227" s="584">
        <f t="shared" si="77"/>
        <v>0</v>
      </c>
      <c r="S227" s="584">
        <f t="shared" si="77"/>
        <v>0</v>
      </c>
      <c r="T227" s="1285">
        <f t="shared" si="77"/>
        <v>14449369.060000001</v>
      </c>
      <c r="U227" s="1285">
        <f t="shared" si="77"/>
        <v>0</v>
      </c>
      <c r="V227" s="1285">
        <f t="shared" si="77"/>
        <v>14449369.060000001</v>
      </c>
      <c r="W227" s="532"/>
      <c r="X227" s="532"/>
      <c r="Y227" s="532"/>
      <c r="Z227" s="532"/>
    </row>
    <row r="228" spans="1:26" ht="12.6" customHeight="1" x14ac:dyDescent="0.25">
      <c r="A228" s="577"/>
      <c r="B228" s="569"/>
      <c r="C228" s="569"/>
      <c r="D228" s="569"/>
      <c r="E228" s="1232">
        <f>E227-E224</f>
        <v>0</v>
      </c>
      <c r="F228" s="1232">
        <f t="shared" ref="F228:V228" si="78">F227-F224</f>
        <v>0</v>
      </c>
      <c r="G228" s="1232">
        <f t="shared" si="78"/>
        <v>0</v>
      </c>
      <c r="H228" s="1232">
        <f>H227-H224</f>
        <v>0</v>
      </c>
      <c r="I228" s="1232">
        <f t="shared" si="78"/>
        <v>0</v>
      </c>
      <c r="J228" s="1232">
        <f>J227-J224</f>
        <v>0</v>
      </c>
      <c r="K228" s="1232">
        <f t="shared" si="78"/>
        <v>0</v>
      </c>
      <c r="L228" s="1232">
        <f t="shared" si="78"/>
        <v>0</v>
      </c>
      <c r="M228" s="1232">
        <f t="shared" si="78"/>
        <v>0</v>
      </c>
      <c r="N228" s="1232">
        <f t="shared" si="78"/>
        <v>0</v>
      </c>
      <c r="O228" s="1232">
        <f t="shared" si="78"/>
        <v>0</v>
      </c>
      <c r="P228" s="1232">
        <f t="shared" si="78"/>
        <v>0</v>
      </c>
      <c r="Q228" s="1232">
        <f t="shared" si="78"/>
        <v>0</v>
      </c>
      <c r="R228" s="1232">
        <f t="shared" si="78"/>
        <v>0</v>
      </c>
      <c r="S228" s="1232">
        <f t="shared" si="78"/>
        <v>0</v>
      </c>
      <c r="T228" s="1232">
        <f t="shared" si="78"/>
        <v>0</v>
      </c>
      <c r="U228" s="1232">
        <f t="shared" si="78"/>
        <v>0</v>
      </c>
      <c r="V228" s="1232">
        <f t="shared" si="78"/>
        <v>0</v>
      </c>
    </row>
    <row r="229" spans="1:26" ht="12.6" customHeight="1" x14ac:dyDescent="0.25">
      <c r="A229" s="638"/>
      <c r="B229" s="608"/>
      <c r="C229" s="608"/>
      <c r="D229" s="608"/>
      <c r="E229" s="613"/>
      <c r="F229" s="1231"/>
      <c r="G229" s="613"/>
      <c r="H229" s="613"/>
      <c r="I229" s="1231"/>
      <c r="J229" s="613"/>
      <c r="K229" s="613"/>
      <c r="L229" s="613"/>
      <c r="M229" s="613"/>
      <c r="N229" s="613"/>
      <c r="O229" s="613"/>
      <c r="P229" s="613"/>
      <c r="Q229" s="613"/>
      <c r="R229" s="613"/>
      <c r="S229" s="613"/>
      <c r="T229" s="1231"/>
      <c r="U229" s="613"/>
      <c r="V229" s="615"/>
      <c r="W229" s="532"/>
      <c r="X229" s="532"/>
      <c r="Y229" s="532"/>
      <c r="Z229" s="532"/>
    </row>
    <row r="230" spans="1:26" ht="12.6" customHeight="1" x14ac:dyDescent="0.25">
      <c r="A230" s="573" t="s">
        <v>10</v>
      </c>
      <c r="B230" s="569" t="s">
        <v>379</v>
      </c>
      <c r="C230" s="569"/>
      <c r="D230" s="569"/>
      <c r="E230" s="602">
        <v>200000</v>
      </c>
      <c r="F230" s="570">
        <f>'CABAC Non-Fid 2025'!G81+'CABAC Non-Fid 2025'!G82</f>
        <v>201624</v>
      </c>
      <c r="G230" s="572"/>
      <c r="H230" s="570"/>
      <c r="I230" s="599"/>
      <c r="J230" s="599"/>
      <c r="K230" s="599"/>
      <c r="L230" s="572"/>
      <c r="M230" s="570"/>
      <c r="N230" s="570"/>
      <c r="O230" s="570"/>
      <c r="P230" s="572"/>
      <c r="Q230" s="570"/>
      <c r="R230" s="1236"/>
      <c r="S230" s="570"/>
      <c r="T230" s="572">
        <f>SUM(E230:S230)</f>
        <v>401624</v>
      </c>
      <c r="U230" s="628"/>
      <c r="V230" s="570">
        <f>T230-U230</f>
        <v>401624</v>
      </c>
      <c r="W230" s="532"/>
      <c r="X230" s="532"/>
      <c r="Y230" s="532"/>
      <c r="Z230" s="532"/>
    </row>
    <row r="231" spans="1:26" ht="12.6" customHeight="1" x14ac:dyDescent="0.25">
      <c r="A231" s="646" t="s">
        <v>47</v>
      </c>
      <c r="B231" s="644" t="s">
        <v>263</v>
      </c>
      <c r="C231" s="644"/>
      <c r="D231" s="644"/>
      <c r="E231" s="602">
        <v>951820.80000000005</v>
      </c>
      <c r="F231" s="570">
        <f>'CABAC Non-Fid 2025'!G79</f>
        <v>100000</v>
      </c>
      <c r="G231" s="570"/>
      <c r="H231" s="570"/>
      <c r="I231" s="570"/>
      <c r="J231" s="570"/>
      <c r="K231" s="570"/>
      <c r="L231" s="570"/>
      <c r="M231" s="570"/>
      <c r="N231" s="570"/>
      <c r="O231" s="570"/>
      <c r="P231" s="570"/>
      <c r="Q231" s="570"/>
      <c r="R231" s="570"/>
      <c r="S231" s="570"/>
      <c r="T231" s="572">
        <f t="shared" ref="T231:T234" si="79">SUM(E231:S231)</f>
        <v>1051820.8</v>
      </c>
      <c r="U231" s="603"/>
      <c r="V231" s="570">
        <f t="shared" ref="V231:V234" si="80">T231-U231</f>
        <v>1051820.8</v>
      </c>
      <c r="W231" s="532"/>
      <c r="X231" s="532"/>
      <c r="Y231" s="532"/>
      <c r="Z231" s="532"/>
    </row>
    <row r="232" spans="1:26" ht="12.6" customHeight="1" x14ac:dyDescent="0.25">
      <c r="A232" s="643"/>
      <c r="B232" s="644" t="s">
        <v>261</v>
      </c>
      <c r="C232" s="644"/>
      <c r="D232" s="822"/>
      <c r="E232" s="640">
        <v>300455.78999999998</v>
      </c>
      <c r="F232" s="570">
        <f>'CABAC Non-Fid 2025'!G83</f>
        <v>0</v>
      </c>
      <c r="G232" s="570"/>
      <c r="H232" s="570"/>
      <c r="I232" s="570"/>
      <c r="J232" s="570"/>
      <c r="K232" s="570"/>
      <c r="L232" s="570"/>
      <c r="M232" s="570"/>
      <c r="N232" s="570"/>
      <c r="O232" s="570"/>
      <c r="P232" s="570"/>
      <c r="Q232" s="570"/>
      <c r="R232" s="570"/>
      <c r="S232" s="570"/>
      <c r="T232" s="572">
        <f t="shared" si="79"/>
        <v>300455.78999999998</v>
      </c>
      <c r="U232" s="603"/>
      <c r="V232" s="570">
        <f t="shared" si="80"/>
        <v>300455.78999999998</v>
      </c>
      <c r="W232" s="532"/>
      <c r="X232" s="532"/>
      <c r="Y232" s="532"/>
      <c r="Z232" s="532"/>
    </row>
    <row r="233" spans="1:26" ht="12.6" customHeight="1" x14ac:dyDescent="0.25">
      <c r="A233" s="643"/>
      <c r="B233" s="644" t="s">
        <v>142</v>
      </c>
      <c r="C233" s="644"/>
      <c r="D233" s="822"/>
      <c r="E233" s="640"/>
      <c r="F233" s="570">
        <f>'CABAC Fiduciary 2025'!F197</f>
        <v>0</v>
      </c>
      <c r="G233" s="570"/>
      <c r="H233" s="570"/>
      <c r="I233" s="570"/>
      <c r="J233" s="570"/>
      <c r="K233" s="570"/>
      <c r="L233" s="570"/>
      <c r="M233" s="570"/>
      <c r="N233" s="570"/>
      <c r="O233" s="570"/>
      <c r="P233" s="570"/>
      <c r="Q233" s="570"/>
      <c r="R233" s="570"/>
      <c r="S233" s="570"/>
      <c r="T233" s="572">
        <f t="shared" si="79"/>
        <v>0</v>
      </c>
      <c r="U233" s="603"/>
      <c r="V233" s="570">
        <f t="shared" si="80"/>
        <v>0</v>
      </c>
      <c r="W233" s="532"/>
      <c r="X233" s="532"/>
      <c r="Y233" s="532"/>
      <c r="Z233" s="532"/>
    </row>
    <row r="234" spans="1:26" ht="12.6" customHeight="1" thickBot="1" x14ac:dyDescent="0.3">
      <c r="A234" s="643"/>
      <c r="B234" s="644" t="s">
        <v>262</v>
      </c>
      <c r="C234" s="644"/>
      <c r="D234" s="822"/>
      <c r="E234" s="1261">
        <v>50000</v>
      </c>
      <c r="F234" s="594">
        <f>'CABAC Non-Fid 2025'!G80</f>
        <v>50000</v>
      </c>
      <c r="G234" s="594"/>
      <c r="H234" s="594"/>
      <c r="I234" s="594"/>
      <c r="J234" s="594"/>
      <c r="K234" s="594"/>
      <c r="L234" s="594"/>
      <c r="M234" s="594"/>
      <c r="N234" s="594"/>
      <c r="O234" s="594"/>
      <c r="P234" s="594"/>
      <c r="Q234" s="594"/>
      <c r="R234" s="594"/>
      <c r="S234" s="594"/>
      <c r="T234" s="572">
        <f t="shared" si="79"/>
        <v>100000</v>
      </c>
      <c r="U234" s="636"/>
      <c r="V234" s="570">
        <f t="shared" si="80"/>
        <v>100000</v>
      </c>
      <c r="W234" s="532"/>
      <c r="X234" s="532"/>
      <c r="Y234" s="532"/>
      <c r="Z234" s="532"/>
    </row>
    <row r="235" spans="1:26" ht="12.6" customHeight="1" thickBot="1" x14ac:dyDescent="0.3">
      <c r="A235" s="646"/>
      <c r="B235" s="647" t="s">
        <v>346</v>
      </c>
      <c r="C235" s="644"/>
      <c r="D235" s="822"/>
      <c r="E235" s="616">
        <f>SUM(E230:E234)</f>
        <v>1502276.59</v>
      </c>
      <c r="F235" s="582">
        <f>SUM(F230:F234)</f>
        <v>351624</v>
      </c>
      <c r="G235" s="582">
        <f t="shared" ref="G235:S235" si="81">SUM(G230)</f>
        <v>0</v>
      </c>
      <c r="H235" s="582">
        <f>SUM(H230)</f>
        <v>0</v>
      </c>
      <c r="I235" s="582">
        <f t="shared" si="81"/>
        <v>0</v>
      </c>
      <c r="J235" s="582">
        <f>SUM(J230)</f>
        <v>0</v>
      </c>
      <c r="K235" s="582">
        <f t="shared" si="81"/>
        <v>0</v>
      </c>
      <c r="L235" s="582">
        <f t="shared" si="81"/>
        <v>0</v>
      </c>
      <c r="M235" s="582">
        <f t="shared" si="81"/>
        <v>0</v>
      </c>
      <c r="N235" s="582">
        <f t="shared" si="81"/>
        <v>0</v>
      </c>
      <c r="O235" s="582">
        <f t="shared" si="81"/>
        <v>0</v>
      </c>
      <c r="P235" s="582">
        <f t="shared" si="81"/>
        <v>0</v>
      </c>
      <c r="Q235" s="582">
        <f t="shared" si="81"/>
        <v>0</v>
      </c>
      <c r="R235" s="582">
        <f t="shared" si="81"/>
        <v>0</v>
      </c>
      <c r="S235" s="582">
        <f t="shared" si="81"/>
        <v>0</v>
      </c>
      <c r="T235" s="582">
        <f>SUM(T230:T234)</f>
        <v>1853900.59</v>
      </c>
      <c r="U235" s="582">
        <f t="shared" ref="U235:V235" si="82">SUM(U230:U234)</f>
        <v>0</v>
      </c>
      <c r="V235" s="582">
        <f t="shared" si="82"/>
        <v>1853900.59</v>
      </c>
      <c r="W235" s="532"/>
      <c r="X235" s="644"/>
      <c r="Y235" s="532"/>
      <c r="Z235" s="532"/>
    </row>
    <row r="236" spans="1:26" ht="12.6" customHeight="1" x14ac:dyDescent="0.25">
      <c r="A236" s="577"/>
      <c r="B236" s="581"/>
      <c r="C236" s="569"/>
      <c r="D236" s="583" t="s">
        <v>347</v>
      </c>
      <c r="E236" s="1255">
        <f>E233</f>
        <v>0</v>
      </c>
      <c r="F236" s="730">
        <f>F233</f>
        <v>0</v>
      </c>
      <c r="G236" s="584"/>
      <c r="H236" s="584"/>
      <c r="I236" s="584"/>
      <c r="J236" s="584"/>
      <c r="K236" s="584"/>
      <c r="L236" s="584"/>
      <c r="M236" s="584"/>
      <c r="N236" s="584"/>
      <c r="O236" s="584"/>
      <c r="P236" s="584"/>
      <c r="Q236" s="584"/>
      <c r="R236" s="584"/>
      <c r="S236" s="584"/>
      <c r="T236" s="584">
        <f>T233</f>
        <v>0</v>
      </c>
      <c r="U236" s="584"/>
      <c r="V236" s="584"/>
      <c r="W236" s="532"/>
      <c r="X236" s="532"/>
      <c r="Y236" s="532"/>
      <c r="Z236" s="532"/>
    </row>
    <row r="237" spans="1:26" ht="12.6" customHeight="1" x14ac:dyDescent="0.25">
      <c r="A237" s="577"/>
      <c r="B237" s="581"/>
      <c r="C237" s="569"/>
      <c r="D237" s="583" t="s">
        <v>348</v>
      </c>
      <c r="E237" s="1255">
        <f>E230+E231+E232+E234</f>
        <v>1502276.59</v>
      </c>
      <c r="F237" s="730">
        <f>F230+F231+F232+F234</f>
        <v>351624</v>
      </c>
      <c r="G237" s="584">
        <f t="shared" ref="G237:S237" si="83">G230</f>
        <v>0</v>
      </c>
      <c r="H237" s="584">
        <f>H230</f>
        <v>0</v>
      </c>
      <c r="I237" s="584">
        <f t="shared" si="83"/>
        <v>0</v>
      </c>
      <c r="J237" s="584">
        <f>J230</f>
        <v>0</v>
      </c>
      <c r="K237" s="584">
        <f t="shared" si="83"/>
        <v>0</v>
      </c>
      <c r="L237" s="584">
        <f t="shared" si="83"/>
        <v>0</v>
      </c>
      <c r="M237" s="584">
        <f t="shared" si="83"/>
        <v>0</v>
      </c>
      <c r="N237" s="584">
        <f t="shared" si="83"/>
        <v>0</v>
      </c>
      <c r="O237" s="584">
        <f t="shared" si="83"/>
        <v>0</v>
      </c>
      <c r="P237" s="584">
        <f t="shared" si="83"/>
        <v>0</v>
      </c>
      <c r="Q237" s="584">
        <f t="shared" si="83"/>
        <v>0</v>
      </c>
      <c r="R237" s="584">
        <f t="shared" si="83"/>
        <v>0</v>
      </c>
      <c r="S237" s="584">
        <f t="shared" si="83"/>
        <v>0</v>
      </c>
      <c r="T237" s="730">
        <f>T230+T231+T232+T234</f>
        <v>1853900.59</v>
      </c>
      <c r="U237" s="730">
        <f t="shared" ref="U237:V237" si="84">U230+U231+U232+U234</f>
        <v>0</v>
      </c>
      <c r="V237" s="730">
        <f t="shared" si="84"/>
        <v>1853900.59</v>
      </c>
      <c r="W237" s="532"/>
      <c r="X237" s="532"/>
      <c r="Y237" s="532"/>
      <c r="Z237" s="532"/>
    </row>
    <row r="238" spans="1:26" ht="12.6" customHeight="1" x14ac:dyDescent="0.25">
      <c r="A238" s="577"/>
      <c r="B238" s="581"/>
      <c r="C238" s="569"/>
      <c r="D238" s="580"/>
      <c r="E238" s="1255">
        <f>SUM(E236:E237)</f>
        <v>1502276.59</v>
      </c>
      <c r="F238" s="730">
        <f t="shared" ref="F238:V238" si="85">SUM(F236:F237)</f>
        <v>351624</v>
      </c>
      <c r="G238" s="584">
        <f t="shared" si="85"/>
        <v>0</v>
      </c>
      <c r="H238" s="584">
        <f>SUM(H236:H237)</f>
        <v>0</v>
      </c>
      <c r="I238" s="584">
        <f t="shared" si="85"/>
        <v>0</v>
      </c>
      <c r="J238" s="584">
        <f>SUM(J236:J237)</f>
        <v>0</v>
      </c>
      <c r="K238" s="584">
        <f t="shared" si="85"/>
        <v>0</v>
      </c>
      <c r="L238" s="584">
        <f t="shared" si="85"/>
        <v>0</v>
      </c>
      <c r="M238" s="584">
        <f t="shared" si="85"/>
        <v>0</v>
      </c>
      <c r="N238" s="584">
        <f t="shared" si="85"/>
        <v>0</v>
      </c>
      <c r="O238" s="584">
        <f t="shared" si="85"/>
        <v>0</v>
      </c>
      <c r="P238" s="584">
        <f t="shared" si="85"/>
        <v>0</v>
      </c>
      <c r="Q238" s="584">
        <f t="shared" si="85"/>
        <v>0</v>
      </c>
      <c r="R238" s="584">
        <f t="shared" si="85"/>
        <v>0</v>
      </c>
      <c r="S238" s="584">
        <f t="shared" si="85"/>
        <v>0</v>
      </c>
      <c r="T238" s="730">
        <f t="shared" si="85"/>
        <v>1853900.59</v>
      </c>
      <c r="U238" s="730">
        <f t="shared" si="85"/>
        <v>0</v>
      </c>
      <c r="V238" s="730">
        <f t="shared" si="85"/>
        <v>1853900.59</v>
      </c>
      <c r="W238" s="532"/>
      <c r="X238" s="532"/>
      <c r="Y238" s="532"/>
      <c r="Z238" s="532"/>
    </row>
    <row r="239" spans="1:26" ht="12.6" customHeight="1" x14ac:dyDescent="0.25">
      <c r="A239" s="577"/>
      <c r="B239" s="569"/>
      <c r="C239" s="569"/>
      <c r="D239" s="580"/>
      <c r="E239" s="666">
        <f>E238-E235</f>
        <v>0</v>
      </c>
      <c r="F239" s="586">
        <f t="shared" ref="F239:V239" si="86">F238-F235</f>
        <v>0</v>
      </c>
      <c r="G239" s="586">
        <f t="shared" si="86"/>
        <v>0</v>
      </c>
      <c r="H239" s="586">
        <f>H238-H235</f>
        <v>0</v>
      </c>
      <c r="I239" s="586">
        <f t="shared" si="86"/>
        <v>0</v>
      </c>
      <c r="J239" s="586">
        <f>J238-J235</f>
        <v>0</v>
      </c>
      <c r="K239" s="586">
        <f t="shared" si="86"/>
        <v>0</v>
      </c>
      <c r="L239" s="586">
        <f t="shared" si="86"/>
        <v>0</v>
      </c>
      <c r="M239" s="586">
        <f t="shared" si="86"/>
        <v>0</v>
      </c>
      <c r="N239" s="586">
        <f t="shared" si="86"/>
        <v>0</v>
      </c>
      <c r="O239" s="586">
        <f t="shared" si="86"/>
        <v>0</v>
      </c>
      <c r="P239" s="586">
        <f t="shared" si="86"/>
        <v>0</v>
      </c>
      <c r="Q239" s="586">
        <f t="shared" si="86"/>
        <v>0</v>
      </c>
      <c r="R239" s="586">
        <f t="shared" si="86"/>
        <v>0</v>
      </c>
      <c r="S239" s="586">
        <f t="shared" si="86"/>
        <v>0</v>
      </c>
      <c r="T239" s="586">
        <f t="shared" si="86"/>
        <v>0</v>
      </c>
      <c r="U239" s="586">
        <f t="shared" si="86"/>
        <v>0</v>
      </c>
      <c r="V239" s="586">
        <f t="shared" si="86"/>
        <v>0</v>
      </c>
    </row>
    <row r="240" spans="1:26" ht="12.6" customHeight="1" x14ac:dyDescent="0.25">
      <c r="A240" s="648"/>
      <c r="B240" s="649"/>
      <c r="C240" s="649"/>
      <c r="D240" s="1266"/>
      <c r="E240" s="599"/>
      <c r="F240" s="570"/>
      <c r="G240" s="570"/>
      <c r="H240" s="570"/>
      <c r="I240" s="570"/>
      <c r="J240" s="570"/>
      <c r="K240" s="570"/>
      <c r="L240" s="570"/>
      <c r="M240" s="570"/>
      <c r="N240" s="570"/>
      <c r="O240" s="570"/>
      <c r="P240" s="570"/>
      <c r="Q240" s="570"/>
      <c r="R240" s="570"/>
      <c r="S240" s="570"/>
      <c r="T240" s="570"/>
      <c r="U240" s="570"/>
      <c r="V240" s="599"/>
      <c r="W240" s="532"/>
      <c r="X240" s="532"/>
      <c r="Y240" s="532"/>
      <c r="Z240" s="532"/>
    </row>
    <row r="241" spans="1:26" ht="12.6" customHeight="1" x14ac:dyDescent="0.25">
      <c r="A241" s="611" t="s">
        <v>11</v>
      </c>
      <c r="B241" s="612" t="s">
        <v>379</v>
      </c>
      <c r="C241" s="612"/>
      <c r="D241" s="617"/>
      <c r="E241" s="1262"/>
      <c r="F241" s="613"/>
      <c r="G241" s="613"/>
      <c r="H241" s="613"/>
      <c r="I241" s="613"/>
      <c r="J241" s="613"/>
      <c r="K241" s="613"/>
      <c r="L241" s="613"/>
      <c r="M241" s="613"/>
      <c r="N241" s="613"/>
      <c r="O241" s="613"/>
      <c r="P241" s="613"/>
      <c r="Q241" s="613"/>
      <c r="R241" s="613"/>
      <c r="S241" s="613"/>
      <c r="T241" s="613">
        <f>SUM(E241:S241)</f>
        <v>0</v>
      </c>
      <c r="U241" s="1238"/>
      <c r="V241" s="614">
        <f>T241-U241</f>
        <v>0</v>
      </c>
      <c r="W241" s="532"/>
      <c r="X241" s="532"/>
      <c r="Y241" s="532"/>
      <c r="Z241" s="532"/>
    </row>
    <row r="242" spans="1:26" ht="12.6" customHeight="1" x14ac:dyDescent="0.25">
      <c r="A242" s="604" t="s">
        <v>48</v>
      </c>
      <c r="B242" s="612" t="s">
        <v>263</v>
      </c>
      <c r="C242" s="612"/>
      <c r="D242" s="617"/>
      <c r="E242" s="1263"/>
      <c r="F242" s="570">
        <f>'CABAC Non-Fid 2025'!G86</f>
        <v>133915</v>
      </c>
      <c r="G242" s="570"/>
      <c r="H242" s="570"/>
      <c r="I242" s="570"/>
      <c r="J242" s="570"/>
      <c r="K242" s="570"/>
      <c r="L242" s="570"/>
      <c r="M242" s="570"/>
      <c r="N242" s="570"/>
      <c r="O242" s="570"/>
      <c r="P242" s="570"/>
      <c r="Q242" s="570"/>
      <c r="R242" s="570"/>
      <c r="S242" s="570"/>
      <c r="T242" s="613">
        <f t="shared" ref="T242:T249" si="87">SUM(E242:S242)</f>
        <v>133915</v>
      </c>
      <c r="U242" s="656"/>
      <c r="V242" s="614">
        <f t="shared" ref="V242:V249" si="88">T242-U242</f>
        <v>133915</v>
      </c>
      <c r="W242" s="532"/>
      <c r="X242" s="532"/>
      <c r="Y242" s="532"/>
      <c r="Z242" s="532"/>
    </row>
    <row r="243" spans="1:26" ht="12.6" customHeight="1" x14ac:dyDescent="0.25">
      <c r="A243" s="611"/>
      <c r="B243" s="612" t="s">
        <v>266</v>
      </c>
      <c r="C243" s="612"/>
      <c r="D243" s="617"/>
      <c r="E243" s="1264"/>
      <c r="F243" s="601">
        <f>'CABAC Non-Fid 2025'!G87</f>
        <v>351370</v>
      </c>
      <c r="G243" s="601"/>
      <c r="H243" s="601"/>
      <c r="I243" s="601"/>
      <c r="J243" s="601"/>
      <c r="K243" s="601"/>
      <c r="L243" s="601"/>
      <c r="M243" s="601"/>
      <c r="N243" s="601"/>
      <c r="O243" s="601"/>
      <c r="P243" s="601"/>
      <c r="Q243" s="601"/>
      <c r="R243" s="601"/>
      <c r="S243" s="601"/>
      <c r="T243" s="613">
        <f t="shared" si="87"/>
        <v>351370</v>
      </c>
      <c r="U243" s="662"/>
      <c r="V243" s="614">
        <f t="shared" si="88"/>
        <v>351370</v>
      </c>
      <c r="W243" s="532"/>
      <c r="X243" s="532"/>
      <c r="Y243" s="532"/>
      <c r="Z243" s="532"/>
    </row>
    <row r="244" spans="1:26" ht="12.6" customHeight="1" x14ac:dyDescent="0.25">
      <c r="A244" s="611"/>
      <c r="B244" s="612" t="s">
        <v>172</v>
      </c>
      <c r="C244" s="612"/>
      <c r="D244" s="617"/>
      <c r="E244" s="1263">
        <v>-17509.89</v>
      </c>
      <c r="F244" s="570">
        <f>'CABAC Non-Fid 2025'!G88</f>
        <v>126715</v>
      </c>
      <c r="G244" s="570"/>
      <c r="H244" s="570"/>
      <c r="I244" s="570"/>
      <c r="J244" s="570"/>
      <c r="K244" s="570"/>
      <c r="L244" s="570"/>
      <c r="M244" s="570"/>
      <c r="N244" s="570"/>
      <c r="O244" s="570"/>
      <c r="P244" s="570"/>
      <c r="Q244" s="570"/>
      <c r="R244" s="570"/>
      <c r="S244" s="570"/>
      <c r="T244" s="613">
        <f t="shared" si="87"/>
        <v>109205.11</v>
      </c>
      <c r="U244" s="656"/>
      <c r="V244" s="614">
        <f t="shared" si="88"/>
        <v>109205.11</v>
      </c>
      <c r="W244" s="532"/>
      <c r="X244" s="532"/>
      <c r="Y244" s="532"/>
      <c r="Z244" s="532"/>
    </row>
    <row r="245" spans="1:26" ht="12.6" customHeight="1" x14ac:dyDescent="0.25">
      <c r="A245" s="611"/>
      <c r="B245" s="612" t="s">
        <v>168</v>
      </c>
      <c r="C245" s="612"/>
      <c r="D245" s="617"/>
      <c r="E245" s="1265">
        <v>-17509.89</v>
      </c>
      <c r="F245" s="601">
        <f>'CABAC Non-Fid 2025'!G89</f>
        <v>0</v>
      </c>
      <c r="G245" s="601"/>
      <c r="H245" s="601"/>
      <c r="I245" s="601"/>
      <c r="J245" s="601"/>
      <c r="K245" s="601"/>
      <c r="L245" s="601"/>
      <c r="M245" s="601"/>
      <c r="N245" s="601"/>
      <c r="O245" s="601"/>
      <c r="P245" s="601"/>
      <c r="Q245" s="601"/>
      <c r="R245" s="601"/>
      <c r="S245" s="601"/>
      <c r="T245" s="613">
        <f t="shared" si="87"/>
        <v>-17509.89</v>
      </c>
      <c r="U245" s="662"/>
      <c r="V245" s="614">
        <f t="shared" si="88"/>
        <v>-17509.89</v>
      </c>
      <c r="W245" s="532"/>
      <c r="X245" s="532"/>
      <c r="Y245" s="532"/>
      <c r="Z245" s="532"/>
    </row>
    <row r="246" spans="1:26" ht="12.6" customHeight="1" x14ac:dyDescent="0.25">
      <c r="A246" s="611"/>
      <c r="B246" s="612" t="s">
        <v>144</v>
      </c>
      <c r="C246" s="612"/>
      <c r="D246" s="617"/>
      <c r="E246" s="1263">
        <v>-17509.89</v>
      </c>
      <c r="F246" s="570">
        <f>'CABAC Fiduciary 2025'!F190</f>
        <v>383221.48</v>
      </c>
      <c r="G246" s="570"/>
      <c r="H246" s="570"/>
      <c r="I246" s="570"/>
      <c r="J246" s="570"/>
      <c r="K246" s="570"/>
      <c r="L246" s="570"/>
      <c r="M246" s="570"/>
      <c r="N246" s="570"/>
      <c r="O246" s="570"/>
      <c r="P246" s="570"/>
      <c r="Q246" s="570"/>
      <c r="R246" s="570"/>
      <c r="S246" s="570"/>
      <c r="T246" s="613">
        <f t="shared" si="87"/>
        <v>365711.58999999997</v>
      </c>
      <c r="U246" s="656"/>
      <c r="V246" s="614">
        <f t="shared" si="88"/>
        <v>365711.58999999997</v>
      </c>
      <c r="W246" s="532"/>
      <c r="X246" s="532"/>
      <c r="Y246" s="532"/>
      <c r="Z246" s="532"/>
    </row>
    <row r="247" spans="1:26" ht="12.6" customHeight="1" x14ac:dyDescent="0.25">
      <c r="A247" s="611"/>
      <c r="B247" s="612" t="s">
        <v>148</v>
      </c>
      <c r="C247" s="612"/>
      <c r="D247" s="617"/>
      <c r="E247" s="1264">
        <v>-17509.89</v>
      </c>
      <c r="F247" s="601">
        <f>'CABAC Fiduciary 2025'!F191</f>
        <v>3244.3</v>
      </c>
      <c r="G247" s="601"/>
      <c r="H247" s="601"/>
      <c r="I247" s="601"/>
      <c r="J247" s="601"/>
      <c r="K247" s="601"/>
      <c r="L247" s="601"/>
      <c r="M247" s="601"/>
      <c r="N247" s="601"/>
      <c r="O247" s="601"/>
      <c r="P247" s="601"/>
      <c r="Q247" s="601"/>
      <c r="R247" s="601"/>
      <c r="S247" s="601"/>
      <c r="T247" s="613">
        <f t="shared" si="87"/>
        <v>-14265.59</v>
      </c>
      <c r="U247" s="662"/>
      <c r="V247" s="614">
        <f t="shared" si="88"/>
        <v>-14265.59</v>
      </c>
      <c r="W247" s="532"/>
      <c r="X247" s="532"/>
      <c r="Y247" s="532"/>
      <c r="Z247" s="532"/>
    </row>
    <row r="248" spans="1:26" ht="12.6" customHeight="1" x14ac:dyDescent="0.25">
      <c r="A248" s="611"/>
      <c r="B248" s="612" t="s">
        <v>213</v>
      </c>
      <c r="C248" s="612"/>
      <c r="D248" s="617"/>
      <c r="E248" s="1263">
        <v>-17509.89</v>
      </c>
      <c r="F248" s="570">
        <f>'CABAC Fiduciary 2025'!F192</f>
        <v>100000</v>
      </c>
      <c r="G248" s="570"/>
      <c r="H248" s="570"/>
      <c r="I248" s="570"/>
      <c r="J248" s="570"/>
      <c r="K248" s="570"/>
      <c r="L248" s="570"/>
      <c r="M248" s="570"/>
      <c r="N248" s="570"/>
      <c r="O248" s="570"/>
      <c r="P248" s="570"/>
      <c r="Q248" s="570"/>
      <c r="R248" s="570"/>
      <c r="S248" s="570"/>
      <c r="T248" s="613">
        <f t="shared" si="87"/>
        <v>82490.11</v>
      </c>
      <c r="U248" s="656"/>
      <c r="V248" s="614">
        <f t="shared" si="88"/>
        <v>82490.11</v>
      </c>
      <c r="W248" s="532"/>
      <c r="X248" s="532"/>
      <c r="Y248" s="532"/>
      <c r="Z248" s="532"/>
    </row>
    <row r="249" spans="1:26" ht="15.75" customHeight="1" thickBot="1" x14ac:dyDescent="0.3">
      <c r="A249" s="611"/>
      <c r="B249" s="612" t="s">
        <v>142</v>
      </c>
      <c r="C249" s="612"/>
      <c r="D249" s="617"/>
      <c r="E249" s="650">
        <v>-17509.88</v>
      </c>
      <c r="F249" s="594">
        <f>'CABAC Fiduciary 2025'!F189</f>
        <v>0</v>
      </c>
      <c r="G249" s="594"/>
      <c r="H249" s="594"/>
      <c r="I249" s="594"/>
      <c r="J249" s="594"/>
      <c r="K249" s="594"/>
      <c r="L249" s="594"/>
      <c r="M249" s="594"/>
      <c r="N249" s="594"/>
      <c r="O249" s="594"/>
      <c r="P249" s="594"/>
      <c r="Q249" s="594"/>
      <c r="R249" s="594"/>
      <c r="S249" s="594"/>
      <c r="T249" s="613">
        <f t="shared" si="87"/>
        <v>-17509.88</v>
      </c>
      <c r="U249" s="651"/>
      <c r="V249" s="614">
        <f t="shared" si="88"/>
        <v>-17509.88</v>
      </c>
      <c r="W249" s="532"/>
      <c r="X249" s="532"/>
      <c r="Y249" s="532"/>
      <c r="Z249" s="532"/>
    </row>
    <row r="250" spans="1:26" ht="15" customHeight="1" thickBot="1" x14ac:dyDescent="0.3">
      <c r="A250" s="604"/>
      <c r="B250" s="581" t="s">
        <v>346</v>
      </c>
      <c r="C250" s="569"/>
      <c r="D250" s="580"/>
      <c r="E250" s="652">
        <f>SUM(E241:E249)</f>
        <v>-105059.33</v>
      </c>
      <c r="F250" s="582">
        <f>SUM(F241:F249)</f>
        <v>1098465.78</v>
      </c>
      <c r="G250" s="582">
        <f t="shared" ref="G250:S250" si="89">SUM(G241)</f>
        <v>0</v>
      </c>
      <c r="H250" s="582">
        <f t="shared" si="89"/>
        <v>0</v>
      </c>
      <c r="I250" s="582">
        <f t="shared" si="89"/>
        <v>0</v>
      </c>
      <c r="J250" s="582">
        <f t="shared" si="89"/>
        <v>0</v>
      </c>
      <c r="K250" s="582">
        <f t="shared" si="89"/>
        <v>0</v>
      </c>
      <c r="L250" s="582">
        <f t="shared" si="89"/>
        <v>0</v>
      </c>
      <c r="M250" s="582">
        <f t="shared" si="89"/>
        <v>0</v>
      </c>
      <c r="N250" s="582">
        <f t="shared" si="89"/>
        <v>0</v>
      </c>
      <c r="O250" s="582">
        <f t="shared" si="89"/>
        <v>0</v>
      </c>
      <c r="P250" s="582">
        <f t="shared" si="89"/>
        <v>0</v>
      </c>
      <c r="Q250" s="582">
        <f t="shared" si="89"/>
        <v>0</v>
      </c>
      <c r="R250" s="582">
        <f t="shared" si="89"/>
        <v>0</v>
      </c>
      <c r="S250" s="582">
        <f t="shared" si="89"/>
        <v>0</v>
      </c>
      <c r="T250" s="582">
        <f>SUM(T242:T249)</f>
        <v>993406.45</v>
      </c>
      <c r="U250" s="582">
        <f t="shared" ref="U250:V250" si="90">SUM(U242:U249)</f>
        <v>0</v>
      </c>
      <c r="V250" s="582">
        <f t="shared" si="90"/>
        <v>993406.45</v>
      </c>
      <c r="W250" s="532"/>
      <c r="X250" s="532"/>
      <c r="Y250" s="532"/>
      <c r="Z250" s="532"/>
    </row>
    <row r="251" spans="1:26" ht="12.6" customHeight="1" x14ac:dyDescent="0.25">
      <c r="A251" s="577"/>
      <c r="B251" s="581"/>
      <c r="C251" s="569"/>
      <c r="D251" s="583" t="s">
        <v>347</v>
      </c>
      <c r="E251" s="730">
        <f>E244+E245+E246+E247+E248+E249</f>
        <v>-105059.33</v>
      </c>
      <c r="F251" s="730">
        <f>F246+F247+F248+F249</f>
        <v>486465.77999999997</v>
      </c>
      <c r="G251" s="584"/>
      <c r="H251" s="584"/>
      <c r="I251" s="584"/>
      <c r="J251" s="584"/>
      <c r="K251" s="584"/>
      <c r="L251" s="584"/>
      <c r="M251" s="584"/>
      <c r="N251" s="584"/>
      <c r="O251" s="584"/>
      <c r="P251" s="584"/>
      <c r="Q251" s="584"/>
      <c r="R251" s="584"/>
      <c r="S251" s="584"/>
      <c r="T251" s="730">
        <f>SUM(T244:T249)</f>
        <v>508121.44999999995</v>
      </c>
      <c r="U251" s="730">
        <f t="shared" ref="U251:V251" si="91">SUM(U244:U249)</f>
        <v>0</v>
      </c>
      <c r="V251" s="730">
        <f t="shared" si="91"/>
        <v>508121.44999999995</v>
      </c>
      <c r="W251" s="532"/>
      <c r="X251" s="532"/>
      <c r="Y251" s="532"/>
      <c r="Z251" s="532"/>
    </row>
    <row r="252" spans="1:26" ht="12.6" customHeight="1" x14ac:dyDescent="0.25">
      <c r="A252" s="577"/>
      <c r="B252" s="581"/>
      <c r="C252" s="569"/>
      <c r="D252" s="583" t="s">
        <v>348</v>
      </c>
      <c r="E252" s="730">
        <f>E241+E242+E243</f>
        <v>0</v>
      </c>
      <c r="F252" s="730">
        <f>F241+F242+F243+F244+F245</f>
        <v>612000</v>
      </c>
      <c r="G252" s="584">
        <f t="shared" ref="G252:S252" si="92">G241</f>
        <v>0</v>
      </c>
      <c r="H252" s="584">
        <f>H241</f>
        <v>0</v>
      </c>
      <c r="I252" s="584">
        <f t="shared" si="92"/>
        <v>0</v>
      </c>
      <c r="J252" s="584">
        <f>J241</f>
        <v>0</v>
      </c>
      <c r="K252" s="584">
        <f t="shared" si="92"/>
        <v>0</v>
      </c>
      <c r="L252" s="584">
        <f t="shared" si="92"/>
        <v>0</v>
      </c>
      <c r="M252" s="584">
        <f t="shared" si="92"/>
        <v>0</v>
      </c>
      <c r="N252" s="584">
        <f t="shared" si="92"/>
        <v>0</v>
      </c>
      <c r="O252" s="584">
        <f t="shared" si="92"/>
        <v>0</v>
      </c>
      <c r="P252" s="584">
        <f t="shared" si="92"/>
        <v>0</v>
      </c>
      <c r="Q252" s="584">
        <f t="shared" si="92"/>
        <v>0</v>
      </c>
      <c r="R252" s="584">
        <f t="shared" si="92"/>
        <v>0</v>
      </c>
      <c r="S252" s="584">
        <f t="shared" si="92"/>
        <v>0</v>
      </c>
      <c r="T252" s="730">
        <f>T241+T242+T243</f>
        <v>485285</v>
      </c>
      <c r="U252" s="730">
        <f t="shared" ref="U252:V252" si="93">U241+U242+U243</f>
        <v>0</v>
      </c>
      <c r="V252" s="730">
        <f t="shared" si="93"/>
        <v>485285</v>
      </c>
      <c r="W252" s="532"/>
      <c r="X252" s="532"/>
      <c r="Y252" s="532"/>
      <c r="Z252" s="532"/>
    </row>
    <row r="253" spans="1:26" ht="12.6" customHeight="1" x14ac:dyDescent="0.25">
      <c r="A253" s="577"/>
      <c r="B253" s="581"/>
      <c r="C253" s="569"/>
      <c r="D253" s="580"/>
      <c r="E253" s="730">
        <f>E250</f>
        <v>-105059.33</v>
      </c>
      <c r="F253" s="730">
        <f t="shared" ref="F253:V253" si="94">SUM(F251:F252)</f>
        <v>1098465.78</v>
      </c>
      <c r="G253" s="584">
        <f t="shared" si="94"/>
        <v>0</v>
      </c>
      <c r="H253" s="584">
        <f>SUM(H251:H252)</f>
        <v>0</v>
      </c>
      <c r="I253" s="584">
        <f t="shared" si="94"/>
        <v>0</v>
      </c>
      <c r="J253" s="584">
        <f>SUM(J251:J252)</f>
        <v>0</v>
      </c>
      <c r="K253" s="584">
        <f t="shared" si="94"/>
        <v>0</v>
      </c>
      <c r="L253" s="584">
        <f t="shared" si="94"/>
        <v>0</v>
      </c>
      <c r="M253" s="584">
        <f t="shared" si="94"/>
        <v>0</v>
      </c>
      <c r="N253" s="584">
        <f t="shared" si="94"/>
        <v>0</v>
      </c>
      <c r="O253" s="584">
        <f t="shared" si="94"/>
        <v>0</v>
      </c>
      <c r="P253" s="584">
        <f t="shared" si="94"/>
        <v>0</v>
      </c>
      <c r="Q253" s="584">
        <f t="shared" si="94"/>
        <v>0</v>
      </c>
      <c r="R253" s="584">
        <f t="shared" si="94"/>
        <v>0</v>
      </c>
      <c r="S253" s="584">
        <f t="shared" si="94"/>
        <v>0</v>
      </c>
      <c r="T253" s="730">
        <f t="shared" si="94"/>
        <v>993406.45</v>
      </c>
      <c r="U253" s="730">
        <f t="shared" si="94"/>
        <v>0</v>
      </c>
      <c r="V253" s="730">
        <f t="shared" si="94"/>
        <v>993406.45</v>
      </c>
      <c r="W253" s="532"/>
      <c r="X253" s="532"/>
      <c r="Y253" s="532"/>
      <c r="Z253" s="532"/>
    </row>
    <row r="254" spans="1:26" ht="12.6" customHeight="1" x14ac:dyDescent="0.25">
      <c r="A254" s="577"/>
      <c r="B254" s="569"/>
      <c r="C254" s="569"/>
      <c r="D254" s="580"/>
      <c r="E254" s="1232">
        <f>E253-E250</f>
        <v>0</v>
      </c>
      <c r="F254" s="1232">
        <f t="shared" ref="F254:V254" si="95">F253-F250</f>
        <v>0</v>
      </c>
      <c r="G254" s="1232">
        <f t="shared" si="95"/>
        <v>0</v>
      </c>
      <c r="H254" s="1232">
        <f>H253-H250</f>
        <v>0</v>
      </c>
      <c r="I254" s="1232">
        <f t="shared" si="95"/>
        <v>0</v>
      </c>
      <c r="J254" s="1232">
        <f>J253-J250</f>
        <v>0</v>
      </c>
      <c r="K254" s="1232">
        <f t="shared" si="95"/>
        <v>0</v>
      </c>
      <c r="L254" s="1232">
        <f t="shared" si="95"/>
        <v>0</v>
      </c>
      <c r="M254" s="1232">
        <f t="shared" si="95"/>
        <v>0</v>
      </c>
      <c r="N254" s="1232">
        <f t="shared" si="95"/>
        <v>0</v>
      </c>
      <c r="O254" s="1232">
        <f t="shared" si="95"/>
        <v>0</v>
      </c>
      <c r="P254" s="1232">
        <f t="shared" si="95"/>
        <v>0</v>
      </c>
      <c r="Q254" s="1232">
        <f t="shared" si="95"/>
        <v>0</v>
      </c>
      <c r="R254" s="1232">
        <f t="shared" si="95"/>
        <v>0</v>
      </c>
      <c r="S254" s="1232">
        <f t="shared" si="95"/>
        <v>0</v>
      </c>
      <c r="T254" s="1232">
        <f t="shared" si="95"/>
        <v>0</v>
      </c>
      <c r="U254" s="1232">
        <f t="shared" si="95"/>
        <v>0</v>
      </c>
      <c r="V254" s="1232">
        <f t="shared" si="95"/>
        <v>0</v>
      </c>
    </row>
    <row r="255" spans="1:26" ht="12.6" customHeight="1" x14ac:dyDescent="0.25">
      <c r="A255" s="573"/>
      <c r="B255" s="569"/>
      <c r="C255" s="569"/>
      <c r="D255" s="580"/>
      <c r="E255" s="630"/>
      <c r="F255" s="601"/>
      <c r="G255" s="601"/>
      <c r="H255" s="601"/>
      <c r="I255" s="601"/>
      <c r="J255" s="601"/>
      <c r="K255" s="601"/>
      <c r="L255" s="601"/>
      <c r="M255" s="601"/>
      <c r="N255" s="601"/>
      <c r="O255" s="601"/>
      <c r="P255" s="601"/>
      <c r="Q255" s="601"/>
      <c r="R255" s="601"/>
      <c r="S255" s="601"/>
      <c r="T255" s="601"/>
      <c r="U255" s="615"/>
      <c r="V255" s="615"/>
      <c r="W255" s="532"/>
      <c r="X255" s="532"/>
      <c r="Y255" s="532"/>
      <c r="Z255" s="532"/>
    </row>
    <row r="256" spans="1:26" ht="12.6" customHeight="1" thickBot="1" x14ac:dyDescent="0.3">
      <c r="A256" s="573" t="s">
        <v>380</v>
      </c>
      <c r="B256" s="569" t="s">
        <v>263</v>
      </c>
      <c r="C256" s="569"/>
      <c r="D256" s="580"/>
      <c r="E256" s="653"/>
      <c r="F256" s="631">
        <f>'CABAC Non-Fid 2025'!G92</f>
        <v>0</v>
      </c>
      <c r="G256" s="631"/>
      <c r="H256" s="631"/>
      <c r="I256" s="631"/>
      <c r="J256" s="631"/>
      <c r="K256" s="631"/>
      <c r="L256" s="631"/>
      <c r="M256" s="631"/>
      <c r="N256" s="631"/>
      <c r="O256" s="631"/>
      <c r="P256" s="631"/>
      <c r="Q256" s="631"/>
      <c r="R256" s="631"/>
      <c r="S256" s="631"/>
      <c r="T256" s="631">
        <f>SUM(E256:S256)</f>
        <v>0</v>
      </c>
      <c r="U256" s="654"/>
      <c r="V256" s="635">
        <f>T256-U256</f>
        <v>0</v>
      </c>
      <c r="W256" s="532"/>
      <c r="X256" s="532"/>
      <c r="Y256" s="532"/>
      <c r="Z256" s="532"/>
    </row>
    <row r="257" spans="1:26" ht="12.6" customHeight="1" thickBot="1" x14ac:dyDescent="0.3">
      <c r="A257" s="604" t="s">
        <v>49</v>
      </c>
      <c r="B257" s="581" t="s">
        <v>346</v>
      </c>
      <c r="C257" s="569"/>
      <c r="D257" s="580"/>
      <c r="E257" s="652">
        <f>SUM(E256)</f>
        <v>0</v>
      </c>
      <c r="F257" s="582">
        <f t="shared" ref="F257:V257" si="96">SUM(F256)</f>
        <v>0</v>
      </c>
      <c r="G257" s="582">
        <f t="shared" si="96"/>
        <v>0</v>
      </c>
      <c r="H257" s="582">
        <f>SUM(H256)</f>
        <v>0</v>
      </c>
      <c r="I257" s="582">
        <f t="shared" si="96"/>
        <v>0</v>
      </c>
      <c r="J257" s="582">
        <f>SUM(J256)</f>
        <v>0</v>
      </c>
      <c r="K257" s="582">
        <f t="shared" si="96"/>
        <v>0</v>
      </c>
      <c r="L257" s="582">
        <f t="shared" si="96"/>
        <v>0</v>
      </c>
      <c r="M257" s="582">
        <f t="shared" si="96"/>
        <v>0</v>
      </c>
      <c r="N257" s="582">
        <f t="shared" si="96"/>
        <v>0</v>
      </c>
      <c r="O257" s="582">
        <f t="shared" si="96"/>
        <v>0</v>
      </c>
      <c r="P257" s="582">
        <f t="shared" si="96"/>
        <v>0</v>
      </c>
      <c r="Q257" s="582">
        <f t="shared" si="96"/>
        <v>0</v>
      </c>
      <c r="R257" s="582">
        <f t="shared" si="96"/>
        <v>0</v>
      </c>
      <c r="S257" s="582">
        <f t="shared" si="96"/>
        <v>0</v>
      </c>
      <c r="T257" s="582">
        <f t="shared" si="96"/>
        <v>0</v>
      </c>
      <c r="U257" s="616">
        <f t="shared" si="96"/>
        <v>0</v>
      </c>
      <c r="V257" s="616">
        <f t="shared" si="96"/>
        <v>0</v>
      </c>
      <c r="W257" s="532"/>
      <c r="X257" s="532"/>
      <c r="Y257" s="532"/>
      <c r="Z257" s="532"/>
    </row>
    <row r="258" spans="1:26" ht="12.6" customHeight="1" x14ac:dyDescent="0.25">
      <c r="A258" s="577"/>
      <c r="B258" s="581"/>
      <c r="C258" s="569"/>
      <c r="D258" s="583" t="s">
        <v>347</v>
      </c>
      <c r="E258" s="584"/>
      <c r="F258" s="584"/>
      <c r="G258" s="584"/>
      <c r="H258" s="584"/>
      <c r="I258" s="584"/>
      <c r="J258" s="584"/>
      <c r="K258" s="584"/>
      <c r="L258" s="584"/>
      <c r="M258" s="584"/>
      <c r="N258" s="584"/>
      <c r="O258" s="584"/>
      <c r="P258" s="584"/>
      <c r="Q258" s="584"/>
      <c r="R258" s="584"/>
      <c r="S258" s="584"/>
      <c r="T258" s="584"/>
      <c r="U258" s="584"/>
      <c r="V258" s="584"/>
      <c r="W258" s="532"/>
      <c r="X258" s="532"/>
      <c r="Y258" s="532"/>
      <c r="Z258" s="532"/>
    </row>
    <row r="259" spans="1:26" ht="12.6" customHeight="1" x14ac:dyDescent="0.25">
      <c r="A259" s="577"/>
      <c r="B259" s="581"/>
      <c r="C259" s="569"/>
      <c r="D259" s="583" t="s">
        <v>348</v>
      </c>
      <c r="E259" s="584">
        <f>E256</f>
        <v>0</v>
      </c>
      <c r="F259" s="584">
        <f t="shared" ref="F259:V259" si="97">F256</f>
        <v>0</v>
      </c>
      <c r="G259" s="584">
        <f t="shared" si="97"/>
        <v>0</v>
      </c>
      <c r="H259" s="584">
        <f>H256</f>
        <v>0</v>
      </c>
      <c r="I259" s="584">
        <f t="shared" si="97"/>
        <v>0</v>
      </c>
      <c r="J259" s="584">
        <f>J256</f>
        <v>0</v>
      </c>
      <c r="K259" s="584">
        <f t="shared" si="97"/>
        <v>0</v>
      </c>
      <c r="L259" s="584">
        <f t="shared" si="97"/>
        <v>0</v>
      </c>
      <c r="M259" s="584">
        <f t="shared" si="97"/>
        <v>0</v>
      </c>
      <c r="N259" s="584">
        <f t="shared" si="97"/>
        <v>0</v>
      </c>
      <c r="O259" s="584">
        <f t="shared" si="97"/>
        <v>0</v>
      </c>
      <c r="P259" s="584">
        <f t="shared" si="97"/>
        <v>0</v>
      </c>
      <c r="Q259" s="584">
        <f t="shared" si="97"/>
        <v>0</v>
      </c>
      <c r="R259" s="584">
        <f t="shared" si="97"/>
        <v>0</v>
      </c>
      <c r="S259" s="584">
        <f t="shared" si="97"/>
        <v>0</v>
      </c>
      <c r="T259" s="584">
        <f t="shared" si="97"/>
        <v>0</v>
      </c>
      <c r="U259" s="584">
        <f t="shared" si="97"/>
        <v>0</v>
      </c>
      <c r="V259" s="584">
        <f t="shared" si="97"/>
        <v>0</v>
      </c>
      <c r="W259" s="532"/>
      <c r="X259" s="532"/>
      <c r="Y259" s="532"/>
      <c r="Z259" s="532"/>
    </row>
    <row r="260" spans="1:26" ht="12.6" customHeight="1" x14ac:dyDescent="0.25">
      <c r="A260" s="577"/>
      <c r="B260" s="581"/>
      <c r="C260" s="569"/>
      <c r="D260" s="580"/>
      <c r="E260" s="584">
        <f>SUM(E258:E259)</f>
        <v>0</v>
      </c>
      <c r="F260" s="584">
        <f t="shared" ref="F260:V260" si="98">SUM(F258:F259)</f>
        <v>0</v>
      </c>
      <c r="G260" s="584">
        <f t="shared" si="98"/>
        <v>0</v>
      </c>
      <c r="H260" s="584">
        <f>SUM(H258:H259)</f>
        <v>0</v>
      </c>
      <c r="I260" s="584">
        <f t="shared" si="98"/>
        <v>0</v>
      </c>
      <c r="J260" s="584">
        <f>SUM(J258:J259)</f>
        <v>0</v>
      </c>
      <c r="K260" s="584">
        <f t="shared" si="98"/>
        <v>0</v>
      </c>
      <c r="L260" s="584">
        <f t="shared" si="98"/>
        <v>0</v>
      </c>
      <c r="M260" s="584">
        <f t="shared" si="98"/>
        <v>0</v>
      </c>
      <c r="N260" s="584">
        <f t="shared" si="98"/>
        <v>0</v>
      </c>
      <c r="O260" s="584">
        <f t="shared" si="98"/>
        <v>0</v>
      </c>
      <c r="P260" s="584">
        <f t="shared" si="98"/>
        <v>0</v>
      </c>
      <c r="Q260" s="584">
        <f t="shared" si="98"/>
        <v>0</v>
      </c>
      <c r="R260" s="584">
        <f t="shared" si="98"/>
        <v>0</v>
      </c>
      <c r="S260" s="584">
        <f t="shared" si="98"/>
        <v>0</v>
      </c>
      <c r="T260" s="584">
        <f t="shared" si="98"/>
        <v>0</v>
      </c>
      <c r="U260" s="584">
        <f t="shared" si="98"/>
        <v>0</v>
      </c>
      <c r="V260" s="584">
        <f t="shared" si="98"/>
        <v>0</v>
      </c>
      <c r="W260" s="532"/>
      <c r="X260" s="532"/>
      <c r="Y260" s="532"/>
      <c r="Z260" s="532"/>
    </row>
    <row r="261" spans="1:26" ht="12.6" customHeight="1" x14ac:dyDescent="0.25">
      <c r="A261" s="577"/>
      <c r="B261" s="569"/>
      <c r="C261" s="569"/>
      <c r="D261" s="580"/>
      <c r="E261" s="1232">
        <f>E260-E257</f>
        <v>0</v>
      </c>
      <c r="F261" s="1232">
        <f t="shared" ref="F261:V261" si="99">F260-F257</f>
        <v>0</v>
      </c>
      <c r="G261" s="1232">
        <f t="shared" si="99"/>
        <v>0</v>
      </c>
      <c r="H261" s="1232">
        <f>H260-H257</f>
        <v>0</v>
      </c>
      <c r="I261" s="1232">
        <f t="shared" si="99"/>
        <v>0</v>
      </c>
      <c r="J261" s="1232">
        <f>J260-J257</f>
        <v>0</v>
      </c>
      <c r="K261" s="1232">
        <f t="shared" si="99"/>
        <v>0</v>
      </c>
      <c r="L261" s="1232">
        <f t="shared" si="99"/>
        <v>0</v>
      </c>
      <c r="M261" s="1232">
        <f t="shared" si="99"/>
        <v>0</v>
      </c>
      <c r="N261" s="1232">
        <f t="shared" si="99"/>
        <v>0</v>
      </c>
      <c r="O261" s="1232">
        <f t="shared" si="99"/>
        <v>0</v>
      </c>
      <c r="P261" s="1232">
        <f t="shared" si="99"/>
        <v>0</v>
      </c>
      <c r="Q261" s="1232">
        <f t="shared" si="99"/>
        <v>0</v>
      </c>
      <c r="R261" s="1232">
        <f t="shared" si="99"/>
        <v>0</v>
      </c>
      <c r="S261" s="1232">
        <f t="shared" si="99"/>
        <v>0</v>
      </c>
      <c r="T261" s="1232">
        <f t="shared" si="99"/>
        <v>0</v>
      </c>
      <c r="U261" s="1232">
        <f t="shared" si="99"/>
        <v>0</v>
      </c>
      <c r="V261" s="1232">
        <f t="shared" si="99"/>
        <v>0</v>
      </c>
    </row>
    <row r="262" spans="1:26" ht="12.6" customHeight="1" x14ac:dyDescent="0.25">
      <c r="A262" s="573"/>
      <c r="B262" s="569"/>
      <c r="C262" s="569"/>
      <c r="D262" s="580"/>
      <c r="E262" s="630"/>
      <c r="F262" s="601"/>
      <c r="G262" s="601"/>
      <c r="H262" s="601"/>
      <c r="I262" s="601"/>
      <c r="J262" s="601"/>
      <c r="K262" s="601"/>
      <c r="L262" s="601"/>
      <c r="M262" s="601"/>
      <c r="N262" s="601"/>
      <c r="O262" s="601"/>
      <c r="P262" s="601"/>
      <c r="Q262" s="601"/>
      <c r="R262" s="601"/>
      <c r="S262" s="601"/>
      <c r="T262" s="601"/>
      <c r="U262" s="615"/>
      <c r="V262" s="615"/>
      <c r="W262" s="532"/>
      <c r="X262" s="532"/>
      <c r="Y262" s="532"/>
      <c r="Z262" s="532"/>
    </row>
    <row r="263" spans="1:26" ht="12.6" customHeight="1" x14ac:dyDescent="0.25">
      <c r="A263" s="573" t="s">
        <v>381</v>
      </c>
      <c r="B263" s="569" t="s">
        <v>263</v>
      </c>
      <c r="C263" s="569"/>
      <c r="D263" s="580"/>
      <c r="E263" s="655">
        <v>50000</v>
      </c>
      <c r="F263" s="570">
        <f>'CABAC Non-Fid 2025'!G93</f>
        <v>200000</v>
      </c>
      <c r="G263" s="570"/>
      <c r="H263" s="570"/>
      <c r="I263" s="570"/>
      <c r="J263" s="570"/>
      <c r="K263" s="570"/>
      <c r="L263" s="570"/>
      <c r="M263" s="570"/>
      <c r="N263" s="570"/>
      <c r="O263" s="570"/>
      <c r="P263" s="570"/>
      <c r="Q263" s="570"/>
      <c r="R263" s="570"/>
      <c r="S263" s="570"/>
      <c r="T263" s="570">
        <f t="shared" ref="T263:T279" si="100">SUM(E263:S263)</f>
        <v>250000</v>
      </c>
      <c r="U263" s="656"/>
      <c r="V263" s="599">
        <f>T263-U263</f>
        <v>250000</v>
      </c>
      <c r="W263" s="532"/>
      <c r="X263" s="532"/>
      <c r="Y263" s="532"/>
      <c r="Z263" s="532"/>
    </row>
    <row r="264" spans="1:26" ht="12.6" customHeight="1" x14ac:dyDescent="0.25">
      <c r="A264" s="604" t="s">
        <v>50</v>
      </c>
      <c r="B264" s="569" t="s">
        <v>337</v>
      </c>
      <c r="C264" s="569"/>
      <c r="D264" s="580"/>
      <c r="E264" s="655">
        <f>82000+50000</f>
        <v>132000</v>
      </c>
      <c r="F264" s="570">
        <f>'CABAC Non-Fid 2025'!G95+'CABAC Non-Fid 2025'!G96</f>
        <v>150000</v>
      </c>
      <c r="G264" s="570"/>
      <c r="H264" s="570"/>
      <c r="I264" s="570"/>
      <c r="J264" s="570"/>
      <c r="K264" s="570"/>
      <c r="L264" s="570"/>
      <c r="M264" s="570"/>
      <c r="N264" s="570"/>
      <c r="O264" s="570"/>
      <c r="P264" s="570"/>
      <c r="Q264" s="570"/>
      <c r="R264" s="570"/>
      <c r="S264" s="570"/>
      <c r="T264" s="570">
        <f t="shared" si="100"/>
        <v>282000</v>
      </c>
      <c r="U264" s="656"/>
      <c r="V264" s="599">
        <f>T264-U264</f>
        <v>282000</v>
      </c>
      <c r="W264" s="532"/>
      <c r="X264" s="532"/>
      <c r="Y264" s="532"/>
      <c r="Z264" s="532"/>
    </row>
    <row r="265" spans="1:26" ht="12.6" customHeight="1" x14ac:dyDescent="0.25">
      <c r="A265" s="573"/>
      <c r="B265" s="569" t="s">
        <v>382</v>
      </c>
      <c r="C265" s="569"/>
      <c r="D265" s="580"/>
      <c r="E265" s="655"/>
      <c r="F265" s="570"/>
      <c r="G265" s="570"/>
      <c r="H265" s="570"/>
      <c r="I265" s="570"/>
      <c r="J265" s="570"/>
      <c r="K265" s="570"/>
      <c r="L265" s="570"/>
      <c r="M265" s="570"/>
      <c r="N265" s="570"/>
      <c r="O265" s="570"/>
      <c r="P265" s="570"/>
      <c r="Q265" s="570"/>
      <c r="R265" s="570"/>
      <c r="S265" s="570"/>
      <c r="T265" s="570">
        <f t="shared" si="100"/>
        <v>0</v>
      </c>
      <c r="U265" s="656"/>
      <c r="V265" s="599">
        <f>T265-U265</f>
        <v>0</v>
      </c>
      <c r="W265" s="532"/>
      <c r="X265" s="532"/>
      <c r="Y265" s="532"/>
      <c r="Z265" s="532"/>
    </row>
    <row r="266" spans="1:26" ht="12.6" customHeight="1" x14ac:dyDescent="0.25">
      <c r="A266" s="573"/>
      <c r="B266" s="569" t="s">
        <v>261</v>
      </c>
      <c r="C266" s="569"/>
      <c r="D266" s="580"/>
      <c r="E266" s="655">
        <v>7000</v>
      </c>
      <c r="F266" s="570">
        <f>'CABAC Non-Fid 2025'!G94</f>
        <v>0</v>
      </c>
      <c r="G266" s="570"/>
      <c r="H266" s="570"/>
      <c r="I266" s="570"/>
      <c r="J266" s="570"/>
      <c r="K266" s="570"/>
      <c r="L266" s="570"/>
      <c r="M266" s="570"/>
      <c r="N266" s="570"/>
      <c r="O266" s="570"/>
      <c r="P266" s="570"/>
      <c r="Q266" s="570"/>
      <c r="R266" s="570"/>
      <c r="S266" s="570"/>
      <c r="T266" s="570">
        <f t="shared" si="100"/>
        <v>7000</v>
      </c>
      <c r="U266" s="656"/>
      <c r="V266" s="599">
        <f t="shared" ref="V266:V279" si="101">T266-U266</f>
        <v>7000</v>
      </c>
      <c r="W266" s="532"/>
      <c r="X266" s="532"/>
      <c r="Y266" s="532"/>
      <c r="Z266" s="532"/>
    </row>
    <row r="267" spans="1:26" ht="12.6" customHeight="1" x14ac:dyDescent="0.25">
      <c r="A267" s="573"/>
      <c r="B267" s="569" t="s">
        <v>262</v>
      </c>
      <c r="C267" s="569"/>
      <c r="D267" s="580"/>
      <c r="E267" s="655">
        <v>11000</v>
      </c>
      <c r="F267" s="570">
        <f>'CABAC Non-Fid 2025'!G97</f>
        <v>7200</v>
      </c>
      <c r="G267" s="570"/>
      <c r="H267" s="570"/>
      <c r="I267" s="570"/>
      <c r="J267" s="570"/>
      <c r="K267" s="570"/>
      <c r="L267" s="570"/>
      <c r="M267" s="570"/>
      <c r="N267" s="570"/>
      <c r="O267" s="570"/>
      <c r="P267" s="570"/>
      <c r="Q267" s="570"/>
      <c r="R267" s="570"/>
      <c r="S267" s="570"/>
      <c r="T267" s="570">
        <f t="shared" si="100"/>
        <v>18200</v>
      </c>
      <c r="U267" s="656"/>
      <c r="V267" s="599">
        <f t="shared" si="101"/>
        <v>18200</v>
      </c>
      <c r="W267" s="532"/>
      <c r="X267" s="532"/>
      <c r="Y267" s="532"/>
      <c r="Z267" s="532"/>
    </row>
    <row r="268" spans="1:26" ht="12.6" customHeight="1" x14ac:dyDescent="0.25">
      <c r="A268" s="573"/>
      <c r="B268" s="569" t="s">
        <v>383</v>
      </c>
      <c r="C268" s="569"/>
      <c r="D268" s="580"/>
      <c r="E268" s="655">
        <v>15717.7</v>
      </c>
      <c r="F268" s="570">
        <f>'CABAC Fiduciary 2025'!F175</f>
        <v>0</v>
      </c>
      <c r="G268" s="570"/>
      <c r="H268" s="570"/>
      <c r="I268" s="570"/>
      <c r="J268" s="570"/>
      <c r="K268" s="570"/>
      <c r="L268" s="570"/>
      <c r="M268" s="570"/>
      <c r="N268" s="570"/>
      <c r="O268" s="570"/>
      <c r="P268" s="570"/>
      <c r="Q268" s="570"/>
      <c r="R268" s="570"/>
      <c r="S268" s="570"/>
      <c r="T268" s="570">
        <f t="shared" si="100"/>
        <v>15717.7</v>
      </c>
      <c r="U268" s="656"/>
      <c r="V268" s="599">
        <f t="shared" si="101"/>
        <v>15717.7</v>
      </c>
      <c r="W268" s="532"/>
      <c r="X268" s="532"/>
      <c r="Y268" s="532"/>
      <c r="Z268" s="532"/>
    </row>
    <row r="269" spans="1:26" ht="12.6" customHeight="1" x14ac:dyDescent="0.25">
      <c r="A269" s="573"/>
      <c r="B269" s="569" t="s">
        <v>207</v>
      </c>
      <c r="C269" s="569"/>
      <c r="D269" s="580"/>
      <c r="E269" s="655"/>
      <c r="F269" s="570">
        <f>'CABAC Fiduciary 2025'!F176</f>
        <v>0</v>
      </c>
      <c r="G269" s="570"/>
      <c r="H269" s="570"/>
      <c r="I269" s="570"/>
      <c r="J269" s="570"/>
      <c r="K269" s="570"/>
      <c r="L269" s="570"/>
      <c r="M269" s="570"/>
      <c r="N269" s="570"/>
      <c r="O269" s="570"/>
      <c r="P269" s="570"/>
      <c r="Q269" s="570"/>
      <c r="R269" s="570"/>
      <c r="S269" s="570"/>
      <c r="T269" s="570">
        <f t="shared" si="100"/>
        <v>0</v>
      </c>
      <c r="U269" s="656"/>
      <c r="V269" s="599">
        <f t="shared" si="101"/>
        <v>0</v>
      </c>
      <c r="W269" s="532"/>
      <c r="X269" s="532"/>
      <c r="Y269" s="532"/>
      <c r="Z269" s="532"/>
    </row>
    <row r="270" spans="1:26" ht="12.6" customHeight="1" x14ac:dyDescent="0.25">
      <c r="A270" s="573"/>
      <c r="B270" s="569" t="s">
        <v>148</v>
      </c>
      <c r="C270" s="569"/>
      <c r="D270" s="580"/>
      <c r="E270" s="655">
        <v>22917.73</v>
      </c>
      <c r="F270" s="570">
        <f>'CABAC Fiduciary 2025'!F174</f>
        <v>0</v>
      </c>
      <c r="G270" s="570"/>
      <c r="H270" s="570"/>
      <c r="I270" s="570"/>
      <c r="J270" s="570"/>
      <c r="K270" s="570"/>
      <c r="L270" s="570"/>
      <c r="M270" s="570"/>
      <c r="N270" s="570"/>
      <c r="O270" s="570"/>
      <c r="P270" s="570"/>
      <c r="Q270" s="570"/>
      <c r="R270" s="570"/>
      <c r="S270" s="570"/>
      <c r="T270" s="570">
        <f t="shared" si="100"/>
        <v>22917.73</v>
      </c>
      <c r="U270" s="656"/>
      <c r="V270" s="599">
        <f t="shared" si="101"/>
        <v>22917.73</v>
      </c>
      <c r="W270" s="532"/>
      <c r="X270" s="532"/>
      <c r="Y270" s="532"/>
      <c r="Z270" s="532"/>
    </row>
    <row r="271" spans="1:26" ht="12.6" customHeight="1" x14ac:dyDescent="0.25">
      <c r="A271" s="573"/>
      <c r="B271" s="569" t="s">
        <v>458</v>
      </c>
      <c r="C271" s="569"/>
      <c r="D271" s="580"/>
      <c r="E271" s="657">
        <v>15717.7</v>
      </c>
      <c r="F271" s="570"/>
      <c r="G271" s="570"/>
      <c r="H271" s="570"/>
      <c r="I271" s="570"/>
      <c r="J271" s="601"/>
      <c r="K271" s="570"/>
      <c r="L271" s="601"/>
      <c r="M271" s="601"/>
      <c r="N271" s="601"/>
      <c r="O271" s="601"/>
      <c r="P271" s="601"/>
      <c r="Q271" s="601"/>
      <c r="R271" s="601"/>
      <c r="S271" s="601"/>
      <c r="T271" s="570">
        <f t="shared" si="100"/>
        <v>15717.7</v>
      </c>
      <c r="U271" s="656"/>
      <c r="V271" s="599">
        <f t="shared" si="101"/>
        <v>15717.7</v>
      </c>
      <c r="W271" s="532"/>
      <c r="X271" s="532"/>
      <c r="Y271" s="532"/>
      <c r="Z271" s="532"/>
    </row>
    <row r="272" spans="1:26" ht="12.6" customHeight="1" x14ac:dyDescent="0.25">
      <c r="A272" s="573"/>
      <c r="B272" s="569" t="s">
        <v>155</v>
      </c>
      <c r="C272" s="569"/>
      <c r="D272" s="580"/>
      <c r="E272" s="655">
        <v>22917.73</v>
      </c>
      <c r="F272" s="570"/>
      <c r="G272" s="570"/>
      <c r="H272" s="570"/>
      <c r="I272" s="570"/>
      <c r="J272" s="570"/>
      <c r="K272" s="570"/>
      <c r="L272" s="570"/>
      <c r="M272" s="570"/>
      <c r="N272" s="570"/>
      <c r="O272" s="570"/>
      <c r="P272" s="570"/>
      <c r="Q272" s="570"/>
      <c r="R272" s="570"/>
      <c r="S272" s="570"/>
      <c r="T272" s="570">
        <f t="shared" si="100"/>
        <v>22917.73</v>
      </c>
      <c r="U272" s="656"/>
      <c r="V272" s="599">
        <f t="shared" si="101"/>
        <v>22917.73</v>
      </c>
      <c r="W272" s="532"/>
      <c r="X272" s="532"/>
      <c r="Y272" s="532"/>
      <c r="Z272" s="532"/>
    </row>
    <row r="273" spans="1:26" ht="12.6" customHeight="1" x14ac:dyDescent="0.25">
      <c r="A273" s="573"/>
      <c r="B273" s="569" t="s">
        <v>384</v>
      </c>
      <c r="C273" s="569"/>
      <c r="D273" s="580"/>
      <c r="E273" s="655">
        <v>58917.73</v>
      </c>
      <c r="F273" s="570">
        <f>'CABAC Fiduciary 2025'!F180</f>
        <v>0</v>
      </c>
      <c r="G273" s="570"/>
      <c r="H273" s="570"/>
      <c r="I273" s="570"/>
      <c r="J273" s="570"/>
      <c r="K273" s="570"/>
      <c r="L273" s="570"/>
      <c r="M273" s="570"/>
      <c r="N273" s="570"/>
      <c r="O273" s="570"/>
      <c r="P273" s="570"/>
      <c r="Q273" s="570"/>
      <c r="R273" s="570"/>
      <c r="S273" s="570"/>
      <c r="T273" s="570">
        <f t="shared" si="100"/>
        <v>58917.73</v>
      </c>
      <c r="U273" s="656"/>
      <c r="V273" s="599">
        <f t="shared" si="101"/>
        <v>58917.73</v>
      </c>
      <c r="W273" s="532"/>
      <c r="X273" s="532"/>
      <c r="Y273" s="532"/>
      <c r="Z273" s="532"/>
    </row>
    <row r="274" spans="1:26" ht="12.6" customHeight="1" x14ac:dyDescent="0.25">
      <c r="A274" s="573"/>
      <c r="B274" s="569" t="s">
        <v>172</v>
      </c>
      <c r="C274" s="569"/>
      <c r="D274" s="580"/>
      <c r="E274" s="655">
        <v>30117.73</v>
      </c>
      <c r="F274" s="570">
        <f>'CABAC Fiduciary 2025'!F178</f>
        <v>21600</v>
      </c>
      <c r="G274" s="570"/>
      <c r="H274" s="570"/>
      <c r="I274" s="570"/>
      <c r="J274" s="570"/>
      <c r="K274" s="570"/>
      <c r="L274" s="570"/>
      <c r="M274" s="570"/>
      <c r="N274" s="570"/>
      <c r="O274" s="570"/>
      <c r="P274" s="570"/>
      <c r="Q274" s="570"/>
      <c r="R274" s="570"/>
      <c r="S274" s="570"/>
      <c r="T274" s="570">
        <f t="shared" si="100"/>
        <v>51717.729999999996</v>
      </c>
      <c r="U274" s="656"/>
      <c r="V274" s="599">
        <f t="shared" si="101"/>
        <v>51717.729999999996</v>
      </c>
      <c r="W274" s="532"/>
      <c r="X274" s="532"/>
      <c r="Y274" s="532"/>
      <c r="Z274" s="532"/>
    </row>
    <row r="275" spans="1:26" ht="12.6" customHeight="1" x14ac:dyDescent="0.25">
      <c r="A275" s="573"/>
      <c r="B275" s="569" t="s">
        <v>343</v>
      </c>
      <c r="C275" s="569"/>
      <c r="D275" s="580"/>
      <c r="E275" s="655">
        <v>19317.73</v>
      </c>
      <c r="F275" s="570">
        <f>'CABAC Fiduciary 2025'!F181</f>
        <v>10800</v>
      </c>
      <c r="G275" s="570"/>
      <c r="H275" s="570"/>
      <c r="I275" s="570"/>
      <c r="J275" s="570"/>
      <c r="K275" s="570"/>
      <c r="L275" s="570"/>
      <c r="M275" s="570"/>
      <c r="N275" s="570"/>
      <c r="O275" s="570"/>
      <c r="P275" s="570"/>
      <c r="Q275" s="570"/>
      <c r="R275" s="570"/>
      <c r="S275" s="570"/>
      <c r="T275" s="570">
        <f t="shared" si="100"/>
        <v>30117.73</v>
      </c>
      <c r="U275" s="656"/>
      <c r="V275" s="599">
        <f t="shared" si="101"/>
        <v>30117.73</v>
      </c>
      <c r="W275" s="532"/>
      <c r="X275" s="532"/>
      <c r="Y275" s="532"/>
      <c r="Z275" s="532"/>
    </row>
    <row r="276" spans="1:26" ht="12.6" customHeight="1" x14ac:dyDescent="0.25">
      <c r="A276" s="577"/>
      <c r="B276" s="569" t="s">
        <v>171</v>
      </c>
      <c r="C276" s="569"/>
      <c r="D276" s="569"/>
      <c r="E276" s="605">
        <v>15717.73</v>
      </c>
      <c r="F276" s="570">
        <f>'CABAC Fiduciary 2025'!F179</f>
        <v>0</v>
      </c>
      <c r="G276" s="570"/>
      <c r="H276" s="570"/>
      <c r="I276" s="570"/>
      <c r="J276" s="601"/>
      <c r="K276" s="570"/>
      <c r="L276" s="601"/>
      <c r="M276" s="601"/>
      <c r="N276" s="601"/>
      <c r="O276" s="601"/>
      <c r="P276" s="601"/>
      <c r="Q276" s="601"/>
      <c r="R276" s="601"/>
      <c r="S276" s="601"/>
      <c r="T276" s="570">
        <f t="shared" si="100"/>
        <v>15717.73</v>
      </c>
      <c r="U276" s="656"/>
      <c r="V276" s="599">
        <f t="shared" si="101"/>
        <v>15717.73</v>
      </c>
      <c r="W276" s="532"/>
      <c r="X276" s="532"/>
      <c r="Y276" s="532"/>
      <c r="Z276" s="532"/>
    </row>
    <row r="277" spans="1:26" ht="12.6" customHeight="1" x14ac:dyDescent="0.25">
      <c r="A277" s="573"/>
      <c r="B277" s="569" t="s">
        <v>359</v>
      </c>
      <c r="C277" s="569"/>
      <c r="D277" s="580"/>
      <c r="E277" s="657">
        <v>15717.73</v>
      </c>
      <c r="F277" s="570"/>
      <c r="G277" s="570"/>
      <c r="H277" s="570"/>
      <c r="I277" s="570"/>
      <c r="J277" s="601"/>
      <c r="K277" s="570"/>
      <c r="L277" s="601"/>
      <c r="M277" s="601"/>
      <c r="N277" s="601"/>
      <c r="O277" s="601"/>
      <c r="P277" s="601"/>
      <c r="Q277" s="601"/>
      <c r="R277" s="601"/>
      <c r="S277" s="601"/>
      <c r="T277" s="601">
        <f t="shared" si="100"/>
        <v>15717.73</v>
      </c>
      <c r="U277" s="656"/>
      <c r="V277" s="599">
        <f t="shared" si="101"/>
        <v>15717.73</v>
      </c>
      <c r="W277" s="532"/>
      <c r="X277" s="532"/>
      <c r="Y277" s="532"/>
      <c r="Z277" s="532"/>
    </row>
    <row r="278" spans="1:26" ht="12.6" customHeight="1" x14ac:dyDescent="0.25">
      <c r="A278" s="573"/>
      <c r="B278" s="569" t="s">
        <v>169</v>
      </c>
      <c r="C278" s="569"/>
      <c r="D278" s="580"/>
      <c r="E278" s="655">
        <v>30117.73</v>
      </c>
      <c r="F278" s="570"/>
      <c r="G278" s="570"/>
      <c r="H278" s="570"/>
      <c r="I278" s="570"/>
      <c r="J278" s="570"/>
      <c r="K278" s="570"/>
      <c r="L278" s="570"/>
      <c r="M278" s="570"/>
      <c r="N278" s="570"/>
      <c r="O278" s="570"/>
      <c r="P278" s="570"/>
      <c r="Q278" s="570"/>
      <c r="R278" s="570"/>
      <c r="S278" s="570"/>
      <c r="T278" s="570">
        <f t="shared" si="100"/>
        <v>30117.73</v>
      </c>
      <c r="U278" s="656"/>
      <c r="V278" s="599">
        <f t="shared" si="101"/>
        <v>30117.73</v>
      </c>
      <c r="W278" s="532"/>
      <c r="X278" s="532"/>
      <c r="Y278" s="532"/>
      <c r="Z278" s="532"/>
    </row>
    <row r="279" spans="1:26" ht="12.6" customHeight="1" thickBot="1" x14ac:dyDescent="0.3">
      <c r="A279" s="573"/>
      <c r="B279" s="569" t="s">
        <v>146</v>
      </c>
      <c r="C279" s="569"/>
      <c r="D279" s="580"/>
      <c r="E279" s="655">
        <v>15717.76</v>
      </c>
      <c r="F279" s="570">
        <f>'CABAC Fiduciary 2025'!F177</f>
        <v>0</v>
      </c>
      <c r="G279" s="570"/>
      <c r="H279" s="570"/>
      <c r="I279" s="570"/>
      <c r="J279" s="570"/>
      <c r="K279" s="570"/>
      <c r="L279" s="570"/>
      <c r="M279" s="570"/>
      <c r="N279" s="570"/>
      <c r="O279" s="570"/>
      <c r="P279" s="570"/>
      <c r="Q279" s="570"/>
      <c r="R279" s="570"/>
      <c r="S279" s="570"/>
      <c r="T279" s="570">
        <f t="shared" si="100"/>
        <v>15717.76</v>
      </c>
      <c r="U279" s="656"/>
      <c r="V279" s="599">
        <f t="shared" si="101"/>
        <v>15717.76</v>
      </c>
      <c r="W279" s="532"/>
      <c r="X279" s="532"/>
      <c r="Y279" s="532"/>
      <c r="Z279" s="532"/>
    </row>
    <row r="280" spans="1:26" ht="12.6" customHeight="1" thickBot="1" x14ac:dyDescent="0.3">
      <c r="A280" s="658"/>
      <c r="B280" s="659" t="s">
        <v>346</v>
      </c>
      <c r="C280" s="660"/>
      <c r="D280" s="661"/>
      <c r="E280" s="652">
        <f t="shared" ref="E280:V280" si="102">SUM(E263:E279)</f>
        <v>462894.99999999994</v>
      </c>
      <c r="F280" s="652">
        <f t="shared" si="102"/>
        <v>389600</v>
      </c>
      <c r="G280" s="652">
        <f t="shared" si="102"/>
        <v>0</v>
      </c>
      <c r="H280" s="652">
        <f t="shared" si="102"/>
        <v>0</v>
      </c>
      <c r="I280" s="652">
        <f t="shared" si="102"/>
        <v>0</v>
      </c>
      <c r="J280" s="652">
        <f t="shared" si="102"/>
        <v>0</v>
      </c>
      <c r="K280" s="652">
        <f t="shared" si="102"/>
        <v>0</v>
      </c>
      <c r="L280" s="652">
        <f t="shared" si="102"/>
        <v>0</v>
      </c>
      <c r="M280" s="652">
        <f t="shared" si="102"/>
        <v>0</v>
      </c>
      <c r="N280" s="652">
        <f t="shared" si="102"/>
        <v>0</v>
      </c>
      <c r="O280" s="652">
        <f t="shared" si="102"/>
        <v>0</v>
      </c>
      <c r="P280" s="652">
        <f t="shared" si="102"/>
        <v>0</v>
      </c>
      <c r="Q280" s="652">
        <f t="shared" si="102"/>
        <v>0</v>
      </c>
      <c r="R280" s="652">
        <f t="shared" si="102"/>
        <v>0</v>
      </c>
      <c r="S280" s="652">
        <f t="shared" si="102"/>
        <v>0</v>
      </c>
      <c r="T280" s="652">
        <f t="shared" si="102"/>
        <v>852494.99999999977</v>
      </c>
      <c r="U280" s="652">
        <f t="shared" si="102"/>
        <v>0</v>
      </c>
      <c r="V280" s="582">
        <f t="shared" si="102"/>
        <v>852494.99999999977</v>
      </c>
      <c r="W280" s="532"/>
      <c r="X280" s="532"/>
      <c r="Y280" s="532"/>
      <c r="Z280" s="532"/>
    </row>
    <row r="281" spans="1:26" ht="12.6" customHeight="1" x14ac:dyDescent="0.25">
      <c r="A281" s="577"/>
      <c r="B281" s="581"/>
      <c r="C281" s="569"/>
      <c r="D281" s="583" t="s">
        <v>347</v>
      </c>
      <c r="E281" s="730">
        <f t="shared" ref="E281:V281" si="103">SUM(E268:E279)</f>
        <v>262895.00000000006</v>
      </c>
      <c r="F281" s="730">
        <f t="shared" si="103"/>
        <v>32400</v>
      </c>
      <c r="G281" s="584">
        <f t="shared" si="103"/>
        <v>0</v>
      </c>
      <c r="H281" s="584">
        <f t="shared" si="103"/>
        <v>0</v>
      </c>
      <c r="I281" s="584">
        <f t="shared" si="103"/>
        <v>0</v>
      </c>
      <c r="J281" s="584">
        <f t="shared" si="103"/>
        <v>0</v>
      </c>
      <c r="K281" s="584">
        <f t="shared" si="103"/>
        <v>0</v>
      </c>
      <c r="L281" s="584">
        <f t="shared" si="103"/>
        <v>0</v>
      </c>
      <c r="M281" s="584">
        <f t="shared" si="103"/>
        <v>0</v>
      </c>
      <c r="N281" s="584">
        <f t="shared" si="103"/>
        <v>0</v>
      </c>
      <c r="O281" s="584">
        <f t="shared" si="103"/>
        <v>0</v>
      </c>
      <c r="P281" s="584">
        <f t="shared" si="103"/>
        <v>0</v>
      </c>
      <c r="Q281" s="584">
        <f t="shared" si="103"/>
        <v>0</v>
      </c>
      <c r="R281" s="584">
        <f t="shared" si="103"/>
        <v>0</v>
      </c>
      <c r="S281" s="584">
        <f t="shared" si="103"/>
        <v>0</v>
      </c>
      <c r="T281" s="730">
        <f>T268+T269+T270+T271+T272+T273+T274+T275+T276+T277+T278+T279</f>
        <v>295295.00000000006</v>
      </c>
      <c r="U281" s="730">
        <f t="shared" si="103"/>
        <v>0</v>
      </c>
      <c r="V281" s="730">
        <f t="shared" si="103"/>
        <v>295295.00000000006</v>
      </c>
      <c r="W281" s="532"/>
      <c r="X281" s="532"/>
      <c r="Y281" s="532"/>
      <c r="Z281" s="532"/>
    </row>
    <row r="282" spans="1:26" ht="12.6" customHeight="1" x14ac:dyDescent="0.25">
      <c r="A282" s="577"/>
      <c r="B282" s="581"/>
      <c r="C282" s="569"/>
      <c r="D282" s="583" t="s">
        <v>348</v>
      </c>
      <c r="E282" s="730">
        <f t="shared" ref="E282:V282" si="104">SUM(E263:E267)</f>
        <v>200000</v>
      </c>
      <c r="F282" s="730">
        <f t="shared" si="104"/>
        <v>357200</v>
      </c>
      <c r="G282" s="584">
        <f t="shared" si="104"/>
        <v>0</v>
      </c>
      <c r="H282" s="584">
        <f t="shared" si="104"/>
        <v>0</v>
      </c>
      <c r="I282" s="584">
        <f t="shared" si="104"/>
        <v>0</v>
      </c>
      <c r="J282" s="584">
        <f t="shared" si="104"/>
        <v>0</v>
      </c>
      <c r="K282" s="584">
        <f t="shared" si="104"/>
        <v>0</v>
      </c>
      <c r="L282" s="584">
        <f t="shared" si="104"/>
        <v>0</v>
      </c>
      <c r="M282" s="584">
        <f t="shared" si="104"/>
        <v>0</v>
      </c>
      <c r="N282" s="584">
        <f t="shared" si="104"/>
        <v>0</v>
      </c>
      <c r="O282" s="584">
        <f t="shared" si="104"/>
        <v>0</v>
      </c>
      <c r="P282" s="584">
        <f t="shared" si="104"/>
        <v>0</v>
      </c>
      <c r="Q282" s="584">
        <f t="shared" si="104"/>
        <v>0</v>
      </c>
      <c r="R282" s="584">
        <f t="shared" si="104"/>
        <v>0</v>
      </c>
      <c r="S282" s="584">
        <f t="shared" si="104"/>
        <v>0</v>
      </c>
      <c r="T282" s="730">
        <f t="shared" si="104"/>
        <v>557200</v>
      </c>
      <c r="U282" s="730">
        <f t="shared" si="104"/>
        <v>0</v>
      </c>
      <c r="V282" s="730">
        <f t="shared" si="104"/>
        <v>557200</v>
      </c>
      <c r="W282" s="532"/>
      <c r="X282" s="532"/>
      <c r="Y282" s="532"/>
      <c r="Z282" s="532"/>
    </row>
    <row r="283" spans="1:26" ht="12.6" customHeight="1" x14ac:dyDescent="0.25">
      <c r="A283" s="577"/>
      <c r="B283" s="581"/>
      <c r="C283" s="569"/>
      <c r="D283" s="580"/>
      <c r="E283" s="730">
        <f>SUM(E281:E282)</f>
        <v>462895.00000000006</v>
      </c>
      <c r="F283" s="730">
        <f t="shared" ref="F283:V283" si="105">SUM(F281:F282)</f>
        <v>389600</v>
      </c>
      <c r="G283" s="584">
        <f t="shared" si="105"/>
        <v>0</v>
      </c>
      <c r="H283" s="584">
        <f>SUM(H281:H282)</f>
        <v>0</v>
      </c>
      <c r="I283" s="584">
        <f t="shared" si="105"/>
        <v>0</v>
      </c>
      <c r="J283" s="584">
        <f>SUM(J281:J282)</f>
        <v>0</v>
      </c>
      <c r="K283" s="584">
        <f t="shared" si="105"/>
        <v>0</v>
      </c>
      <c r="L283" s="584">
        <f t="shared" si="105"/>
        <v>0</v>
      </c>
      <c r="M283" s="584">
        <f t="shared" si="105"/>
        <v>0</v>
      </c>
      <c r="N283" s="584">
        <f t="shared" si="105"/>
        <v>0</v>
      </c>
      <c r="O283" s="584">
        <f t="shared" si="105"/>
        <v>0</v>
      </c>
      <c r="P283" s="584">
        <f t="shared" si="105"/>
        <v>0</v>
      </c>
      <c r="Q283" s="584">
        <f t="shared" si="105"/>
        <v>0</v>
      </c>
      <c r="R283" s="584">
        <f t="shared" si="105"/>
        <v>0</v>
      </c>
      <c r="S283" s="584">
        <f t="shared" si="105"/>
        <v>0</v>
      </c>
      <c r="T283" s="730">
        <f t="shared" si="105"/>
        <v>852495</v>
      </c>
      <c r="U283" s="730">
        <f t="shared" si="105"/>
        <v>0</v>
      </c>
      <c r="V283" s="730">
        <f t="shared" si="105"/>
        <v>852495</v>
      </c>
      <c r="W283" s="532"/>
      <c r="X283" s="532"/>
      <c r="Y283" s="532"/>
      <c r="Z283" s="532"/>
    </row>
    <row r="284" spans="1:26" ht="12.6" customHeight="1" x14ac:dyDescent="0.25">
      <c r="A284" s="577"/>
      <c r="B284" s="569"/>
      <c r="C284" s="569"/>
      <c r="D284" s="580"/>
      <c r="E284" s="1232">
        <f>E283-E280</f>
        <v>0</v>
      </c>
      <c r="F284" s="1232">
        <f t="shared" ref="F284:V284" si="106">F283-F280</f>
        <v>0</v>
      </c>
      <c r="G284" s="1232">
        <f t="shared" si="106"/>
        <v>0</v>
      </c>
      <c r="H284" s="1232">
        <f>H283-H280</f>
        <v>0</v>
      </c>
      <c r="I284" s="1232">
        <f t="shared" si="106"/>
        <v>0</v>
      </c>
      <c r="J284" s="1232">
        <f>J283-J280</f>
        <v>0</v>
      </c>
      <c r="K284" s="1232">
        <f t="shared" si="106"/>
        <v>0</v>
      </c>
      <c r="L284" s="1232">
        <f t="shared" si="106"/>
        <v>0</v>
      </c>
      <c r="M284" s="1232">
        <f t="shared" si="106"/>
        <v>0</v>
      </c>
      <c r="N284" s="1232">
        <f t="shared" si="106"/>
        <v>0</v>
      </c>
      <c r="O284" s="1232">
        <f t="shared" si="106"/>
        <v>0</v>
      </c>
      <c r="P284" s="1232">
        <f t="shared" si="106"/>
        <v>0</v>
      </c>
      <c r="Q284" s="1232">
        <f t="shared" si="106"/>
        <v>0</v>
      </c>
      <c r="R284" s="1232">
        <f t="shared" si="106"/>
        <v>0</v>
      </c>
      <c r="S284" s="1232">
        <f t="shared" si="106"/>
        <v>0</v>
      </c>
      <c r="T284" s="1232">
        <f t="shared" si="106"/>
        <v>0</v>
      </c>
      <c r="U284" s="1232">
        <f t="shared" si="106"/>
        <v>0</v>
      </c>
      <c r="V284" s="1232">
        <f t="shared" si="106"/>
        <v>0</v>
      </c>
    </row>
    <row r="285" spans="1:26" ht="12.6" customHeight="1" x14ac:dyDescent="0.25">
      <c r="A285" s="611"/>
      <c r="B285" s="612"/>
      <c r="C285" s="612"/>
      <c r="D285" s="617"/>
      <c r="E285" s="630"/>
      <c r="F285" s="601"/>
      <c r="G285" s="601"/>
      <c r="H285" s="601"/>
      <c r="I285" s="601"/>
      <c r="J285" s="601"/>
      <c r="K285" s="601"/>
      <c r="L285" s="601"/>
      <c r="M285" s="601"/>
      <c r="N285" s="601"/>
      <c r="O285" s="601"/>
      <c r="P285" s="601"/>
      <c r="Q285" s="601"/>
      <c r="R285" s="601"/>
      <c r="S285" s="601"/>
      <c r="T285" s="601"/>
      <c r="U285" s="615"/>
      <c r="V285" s="615"/>
      <c r="W285" s="532"/>
      <c r="X285" s="532"/>
      <c r="Y285" s="532"/>
      <c r="Z285" s="532"/>
    </row>
    <row r="286" spans="1:26" ht="12.6" customHeight="1" x14ac:dyDescent="0.25">
      <c r="A286" s="573" t="s">
        <v>385</v>
      </c>
      <c r="B286" s="569" t="s">
        <v>263</v>
      </c>
      <c r="C286" s="569"/>
      <c r="D286" s="580"/>
      <c r="E286" s="655">
        <v>5925.11</v>
      </c>
      <c r="F286" s="570"/>
      <c r="G286" s="570"/>
      <c r="H286" s="570"/>
      <c r="I286" s="570"/>
      <c r="J286" s="570"/>
      <c r="K286" s="570"/>
      <c r="L286" s="570"/>
      <c r="M286" s="570"/>
      <c r="N286" s="570"/>
      <c r="O286" s="570"/>
      <c r="P286" s="570"/>
      <c r="Q286" s="570"/>
      <c r="R286" s="570"/>
      <c r="S286" s="570"/>
      <c r="T286" s="570">
        <f t="shared" ref="T286:T294" si="107">SUM(E286:S286)</f>
        <v>5925.11</v>
      </c>
      <c r="U286" s="656"/>
      <c r="V286" s="599">
        <f>T286-U286</f>
        <v>5925.11</v>
      </c>
      <c r="W286" s="532"/>
      <c r="X286" s="532"/>
      <c r="Y286" s="532"/>
      <c r="Z286" s="532"/>
    </row>
    <row r="287" spans="1:26" ht="12.6" customHeight="1" x14ac:dyDescent="0.25">
      <c r="A287" s="604" t="s">
        <v>51</v>
      </c>
      <c r="B287" s="569" t="s">
        <v>261</v>
      </c>
      <c r="C287" s="569"/>
      <c r="D287" s="580"/>
      <c r="E287" s="655"/>
      <c r="F287" s="570"/>
      <c r="G287" s="570"/>
      <c r="H287" s="570"/>
      <c r="I287" s="570"/>
      <c r="J287" s="570"/>
      <c r="K287" s="570"/>
      <c r="L287" s="570"/>
      <c r="M287" s="570"/>
      <c r="N287" s="570"/>
      <c r="O287" s="570"/>
      <c r="P287" s="570"/>
      <c r="Q287" s="570"/>
      <c r="R287" s="570"/>
      <c r="S287" s="570"/>
      <c r="T287" s="570">
        <f t="shared" si="107"/>
        <v>0</v>
      </c>
      <c r="U287" s="656"/>
      <c r="V287" s="599">
        <f t="shared" ref="V287:V294" si="108">T287-U287</f>
        <v>0</v>
      </c>
      <c r="W287" s="532"/>
      <c r="X287" s="532"/>
      <c r="Y287" s="532"/>
      <c r="Z287" s="532"/>
    </row>
    <row r="288" spans="1:26" ht="12.6" customHeight="1" x14ac:dyDescent="0.25">
      <c r="A288" s="573"/>
      <c r="B288" s="569" t="s">
        <v>145</v>
      </c>
      <c r="C288" s="569"/>
      <c r="D288" s="580"/>
      <c r="E288" s="655"/>
      <c r="F288" s="570"/>
      <c r="G288" s="570"/>
      <c r="H288" s="570"/>
      <c r="I288" s="570"/>
      <c r="J288" s="570"/>
      <c r="K288" s="570"/>
      <c r="L288" s="570"/>
      <c r="M288" s="570"/>
      <c r="N288" s="570"/>
      <c r="O288" s="570"/>
      <c r="P288" s="570"/>
      <c r="Q288" s="570"/>
      <c r="R288" s="570"/>
      <c r="S288" s="570"/>
      <c r="T288" s="570">
        <f t="shared" si="107"/>
        <v>0</v>
      </c>
      <c r="U288" s="656"/>
      <c r="V288" s="599">
        <f t="shared" si="108"/>
        <v>0</v>
      </c>
      <c r="W288" s="532"/>
      <c r="X288" s="532"/>
      <c r="Y288" s="532"/>
      <c r="Z288" s="532"/>
    </row>
    <row r="289" spans="1:26" ht="12.6" customHeight="1" x14ac:dyDescent="0.25">
      <c r="A289" s="573"/>
      <c r="B289" s="569" t="s">
        <v>179</v>
      </c>
      <c r="C289" s="569"/>
      <c r="D289" s="580"/>
      <c r="E289" s="655"/>
      <c r="F289" s="570"/>
      <c r="G289" s="570"/>
      <c r="H289" s="570"/>
      <c r="I289" s="570"/>
      <c r="J289" s="570"/>
      <c r="K289" s="570"/>
      <c r="L289" s="570"/>
      <c r="M289" s="570"/>
      <c r="N289" s="570"/>
      <c r="O289" s="570"/>
      <c r="P289" s="570"/>
      <c r="Q289" s="570"/>
      <c r="R289" s="570"/>
      <c r="S289" s="570"/>
      <c r="T289" s="570">
        <f t="shared" si="107"/>
        <v>0</v>
      </c>
      <c r="U289" s="656"/>
      <c r="V289" s="599">
        <f t="shared" si="108"/>
        <v>0</v>
      </c>
      <c r="W289" s="532"/>
      <c r="X289" s="532"/>
      <c r="Y289" s="532"/>
      <c r="Z289" s="532"/>
    </row>
    <row r="290" spans="1:26" ht="12.6" customHeight="1" x14ac:dyDescent="0.25">
      <c r="A290" s="573"/>
      <c r="B290" s="569" t="s">
        <v>356</v>
      </c>
      <c r="C290" s="569"/>
      <c r="D290" s="580"/>
      <c r="E290" s="655"/>
      <c r="F290" s="570"/>
      <c r="G290" s="570"/>
      <c r="H290" s="570"/>
      <c r="I290" s="570"/>
      <c r="J290" s="570"/>
      <c r="K290" s="570"/>
      <c r="L290" s="570"/>
      <c r="M290" s="570"/>
      <c r="N290" s="570"/>
      <c r="O290" s="570"/>
      <c r="P290" s="570"/>
      <c r="Q290" s="570"/>
      <c r="R290" s="570"/>
      <c r="S290" s="570"/>
      <c r="T290" s="570">
        <f t="shared" si="107"/>
        <v>0</v>
      </c>
      <c r="U290" s="656"/>
      <c r="V290" s="599">
        <f>T290-U290</f>
        <v>0</v>
      </c>
      <c r="W290" s="532"/>
      <c r="X290" s="532"/>
      <c r="Y290" s="532"/>
      <c r="Z290" s="532"/>
    </row>
    <row r="291" spans="1:26" ht="12.6" customHeight="1" x14ac:dyDescent="0.25">
      <c r="A291" s="573"/>
      <c r="B291" s="569" t="s">
        <v>343</v>
      </c>
      <c r="C291" s="569"/>
      <c r="D291" s="580"/>
      <c r="E291" s="655"/>
      <c r="F291" s="570"/>
      <c r="G291" s="570"/>
      <c r="H291" s="570"/>
      <c r="I291" s="570"/>
      <c r="J291" s="570"/>
      <c r="K291" s="570"/>
      <c r="L291" s="570"/>
      <c r="M291" s="570"/>
      <c r="N291" s="570"/>
      <c r="O291" s="570"/>
      <c r="P291" s="570"/>
      <c r="Q291" s="570"/>
      <c r="R291" s="570"/>
      <c r="S291" s="570"/>
      <c r="T291" s="570">
        <f t="shared" si="107"/>
        <v>0</v>
      </c>
      <c r="U291" s="656"/>
      <c r="V291" s="599">
        <f>T291-U291</f>
        <v>0</v>
      </c>
      <c r="W291" s="532"/>
      <c r="X291" s="532"/>
      <c r="Y291" s="532"/>
      <c r="Z291" s="532"/>
    </row>
    <row r="292" spans="1:26" ht="12.6" customHeight="1" x14ac:dyDescent="0.25">
      <c r="A292" s="573"/>
      <c r="B292" s="569" t="s">
        <v>154</v>
      </c>
      <c r="C292" s="569"/>
      <c r="D292" s="580"/>
      <c r="E292" s="657"/>
      <c r="F292" s="601"/>
      <c r="G292" s="601"/>
      <c r="H292" s="601"/>
      <c r="I292" s="601"/>
      <c r="J292" s="601"/>
      <c r="K292" s="601"/>
      <c r="L292" s="601"/>
      <c r="M292" s="601"/>
      <c r="N292" s="601"/>
      <c r="O292" s="601"/>
      <c r="P292" s="601"/>
      <c r="Q292" s="601"/>
      <c r="R292" s="601"/>
      <c r="S292" s="601"/>
      <c r="T292" s="601">
        <f t="shared" si="107"/>
        <v>0</v>
      </c>
      <c r="U292" s="662"/>
      <c r="V292" s="599">
        <f>T292-U292</f>
        <v>0</v>
      </c>
      <c r="W292" s="532"/>
      <c r="X292" s="532"/>
      <c r="Y292" s="532"/>
      <c r="Z292" s="532"/>
    </row>
    <row r="293" spans="1:26" ht="12.6" customHeight="1" x14ac:dyDescent="0.25">
      <c r="A293" s="573"/>
      <c r="B293" s="569" t="s">
        <v>359</v>
      </c>
      <c r="C293" s="569"/>
      <c r="D293" s="580"/>
      <c r="E293" s="655"/>
      <c r="F293" s="570"/>
      <c r="G293" s="570"/>
      <c r="H293" s="570"/>
      <c r="I293" s="570"/>
      <c r="J293" s="570"/>
      <c r="K293" s="570"/>
      <c r="L293" s="570"/>
      <c r="M293" s="570"/>
      <c r="N293" s="570"/>
      <c r="O293" s="570"/>
      <c r="P293" s="570"/>
      <c r="Q293" s="570"/>
      <c r="R293" s="570"/>
      <c r="S293" s="570"/>
      <c r="T293" s="570">
        <f t="shared" si="107"/>
        <v>0</v>
      </c>
      <c r="U293" s="656"/>
      <c r="V293" s="599">
        <f>T293-U293</f>
        <v>0</v>
      </c>
      <c r="W293" s="532"/>
      <c r="X293" s="532"/>
      <c r="Y293" s="532"/>
      <c r="Z293" s="532"/>
    </row>
    <row r="294" spans="1:26" ht="12.6" customHeight="1" thickBot="1" x14ac:dyDescent="0.3">
      <c r="A294" s="573"/>
      <c r="B294" s="569" t="s">
        <v>361</v>
      </c>
      <c r="C294" s="569"/>
      <c r="D294" s="580"/>
      <c r="E294" s="655"/>
      <c r="F294" s="570"/>
      <c r="G294" s="570"/>
      <c r="H294" s="570"/>
      <c r="I294" s="570"/>
      <c r="J294" s="570"/>
      <c r="K294" s="570"/>
      <c r="L294" s="570"/>
      <c r="M294" s="570"/>
      <c r="N294" s="570"/>
      <c r="O294" s="570"/>
      <c r="P294" s="570"/>
      <c r="Q294" s="570"/>
      <c r="R294" s="570"/>
      <c r="S294" s="570"/>
      <c r="T294" s="570">
        <f t="shared" si="107"/>
        <v>0</v>
      </c>
      <c r="U294" s="656"/>
      <c r="V294" s="599">
        <f t="shared" si="108"/>
        <v>0</v>
      </c>
      <c r="W294" s="532"/>
      <c r="X294" s="532"/>
      <c r="Y294" s="532"/>
      <c r="Z294" s="532"/>
    </row>
    <row r="295" spans="1:26" ht="12.6" customHeight="1" thickBot="1" x14ac:dyDescent="0.3">
      <c r="A295" s="573"/>
      <c r="B295" s="581" t="s">
        <v>346</v>
      </c>
      <c r="C295" s="569"/>
      <c r="D295" s="569"/>
      <c r="E295" s="582">
        <f>SUM(E286:E294)</f>
        <v>5925.11</v>
      </c>
      <c r="F295" s="663">
        <f t="shared" ref="F295:V295" si="109">SUM(F286:F294)</f>
        <v>0</v>
      </c>
      <c r="G295" s="582">
        <f t="shared" si="109"/>
        <v>0</v>
      </c>
      <c r="H295" s="582">
        <f>SUM(H286:H294)</f>
        <v>0</v>
      </c>
      <c r="I295" s="582">
        <f t="shared" si="109"/>
        <v>0</v>
      </c>
      <c r="J295" s="582">
        <f>SUM(J286:J294)</f>
        <v>0</v>
      </c>
      <c r="K295" s="582">
        <f t="shared" si="109"/>
        <v>0</v>
      </c>
      <c r="L295" s="582">
        <f t="shared" si="109"/>
        <v>0</v>
      </c>
      <c r="M295" s="582">
        <f t="shared" si="109"/>
        <v>0</v>
      </c>
      <c r="N295" s="582">
        <f t="shared" si="109"/>
        <v>0</v>
      </c>
      <c r="O295" s="582">
        <f t="shared" si="109"/>
        <v>0</v>
      </c>
      <c r="P295" s="582">
        <f t="shared" si="109"/>
        <v>0</v>
      </c>
      <c r="Q295" s="582">
        <f t="shared" si="109"/>
        <v>0</v>
      </c>
      <c r="R295" s="582">
        <f t="shared" si="109"/>
        <v>0</v>
      </c>
      <c r="S295" s="582">
        <f t="shared" si="109"/>
        <v>0</v>
      </c>
      <c r="T295" s="582">
        <f t="shared" si="109"/>
        <v>5925.11</v>
      </c>
      <c r="U295" s="582">
        <f t="shared" si="109"/>
        <v>0</v>
      </c>
      <c r="V295" s="582">
        <f t="shared" si="109"/>
        <v>5925.11</v>
      </c>
      <c r="W295" s="532"/>
      <c r="X295" s="532"/>
      <c r="Y295" s="532"/>
      <c r="Z295" s="532"/>
    </row>
    <row r="296" spans="1:26" ht="12.6" customHeight="1" x14ac:dyDescent="0.25">
      <c r="A296" s="577"/>
      <c r="B296" s="581"/>
      <c r="C296" s="569"/>
      <c r="D296" s="583" t="s">
        <v>347</v>
      </c>
      <c r="E296" s="827">
        <f>SUM(E288:E294)</f>
        <v>0</v>
      </c>
      <c r="F296" s="828">
        <f t="shared" ref="F296:V296" si="110">SUM(F288:F294)</f>
        <v>0</v>
      </c>
      <c r="G296" s="664">
        <f t="shared" si="110"/>
        <v>0</v>
      </c>
      <c r="H296" s="584">
        <f>SUM(H288:H294)</f>
        <v>0</v>
      </c>
      <c r="I296" s="584">
        <f t="shared" si="110"/>
        <v>0</v>
      </c>
      <c r="J296" s="584">
        <f>SUM(J288:J294)</f>
        <v>0</v>
      </c>
      <c r="K296" s="584">
        <f t="shared" si="110"/>
        <v>0</v>
      </c>
      <c r="L296" s="584">
        <f t="shared" si="110"/>
        <v>0</v>
      </c>
      <c r="M296" s="584">
        <f t="shared" si="110"/>
        <v>0</v>
      </c>
      <c r="N296" s="584">
        <f t="shared" si="110"/>
        <v>0</v>
      </c>
      <c r="O296" s="584">
        <f t="shared" si="110"/>
        <v>0</v>
      </c>
      <c r="P296" s="584">
        <f t="shared" si="110"/>
        <v>0</v>
      </c>
      <c r="Q296" s="584">
        <f t="shared" si="110"/>
        <v>0</v>
      </c>
      <c r="R296" s="584">
        <f t="shared" si="110"/>
        <v>0</v>
      </c>
      <c r="S296" s="584">
        <f t="shared" si="110"/>
        <v>0</v>
      </c>
      <c r="T296" s="730">
        <f t="shared" si="110"/>
        <v>0</v>
      </c>
      <c r="U296" s="730">
        <f t="shared" si="110"/>
        <v>0</v>
      </c>
      <c r="V296" s="730">
        <f t="shared" si="110"/>
        <v>0</v>
      </c>
      <c r="W296" s="532"/>
      <c r="X296" s="532"/>
      <c r="Y296" s="532"/>
      <c r="Z296" s="532"/>
    </row>
    <row r="297" spans="1:26" ht="12.6" customHeight="1" x14ac:dyDescent="0.25">
      <c r="A297" s="577"/>
      <c r="B297" s="581"/>
      <c r="C297" s="569"/>
      <c r="D297" s="583" t="s">
        <v>348</v>
      </c>
      <c r="E297" s="827">
        <f>SUM(E286:E287)</f>
        <v>5925.11</v>
      </c>
      <c r="F297" s="829">
        <f t="shared" ref="F297:V297" si="111">SUM(F286:F287)</f>
        <v>0</v>
      </c>
      <c r="G297" s="664">
        <f t="shared" si="111"/>
        <v>0</v>
      </c>
      <c r="H297" s="584">
        <f>SUM(H286:H287)</f>
        <v>0</v>
      </c>
      <c r="I297" s="584">
        <f t="shared" si="111"/>
        <v>0</v>
      </c>
      <c r="J297" s="584">
        <f>SUM(J286:J287)</f>
        <v>0</v>
      </c>
      <c r="K297" s="584">
        <f t="shared" si="111"/>
        <v>0</v>
      </c>
      <c r="L297" s="584">
        <f t="shared" si="111"/>
        <v>0</v>
      </c>
      <c r="M297" s="584">
        <f t="shared" si="111"/>
        <v>0</v>
      </c>
      <c r="N297" s="584">
        <f t="shared" si="111"/>
        <v>0</v>
      </c>
      <c r="O297" s="584">
        <f t="shared" si="111"/>
        <v>0</v>
      </c>
      <c r="P297" s="584">
        <f t="shared" si="111"/>
        <v>0</v>
      </c>
      <c r="Q297" s="584">
        <f t="shared" si="111"/>
        <v>0</v>
      </c>
      <c r="R297" s="584">
        <f t="shared" si="111"/>
        <v>0</v>
      </c>
      <c r="S297" s="584">
        <f t="shared" si="111"/>
        <v>0</v>
      </c>
      <c r="T297" s="730">
        <f t="shared" si="111"/>
        <v>5925.11</v>
      </c>
      <c r="U297" s="730">
        <f t="shared" si="111"/>
        <v>0</v>
      </c>
      <c r="V297" s="730">
        <f t="shared" si="111"/>
        <v>5925.11</v>
      </c>
      <c r="W297" s="532"/>
      <c r="X297" s="532"/>
      <c r="Y297" s="532"/>
      <c r="Z297" s="532"/>
    </row>
    <row r="298" spans="1:26" ht="12.6" customHeight="1" x14ac:dyDescent="0.25">
      <c r="A298" s="577"/>
      <c r="B298" s="581"/>
      <c r="C298" s="569"/>
      <c r="D298" s="580"/>
      <c r="E298" s="827">
        <f>SUM(E296:E297)</f>
        <v>5925.11</v>
      </c>
      <c r="F298" s="829">
        <f t="shared" ref="F298:V298" si="112">SUM(F296:F297)</f>
        <v>0</v>
      </c>
      <c r="G298" s="664">
        <f t="shared" si="112"/>
        <v>0</v>
      </c>
      <c r="H298" s="584">
        <f>SUM(H296:H297)</f>
        <v>0</v>
      </c>
      <c r="I298" s="584">
        <f t="shared" si="112"/>
        <v>0</v>
      </c>
      <c r="J298" s="584">
        <f>SUM(J296:J297)</f>
        <v>0</v>
      </c>
      <c r="K298" s="584">
        <f t="shared" si="112"/>
        <v>0</v>
      </c>
      <c r="L298" s="584">
        <f t="shared" si="112"/>
        <v>0</v>
      </c>
      <c r="M298" s="584">
        <f t="shared" si="112"/>
        <v>0</v>
      </c>
      <c r="N298" s="584">
        <f t="shared" si="112"/>
        <v>0</v>
      </c>
      <c r="O298" s="584">
        <f t="shared" si="112"/>
        <v>0</v>
      </c>
      <c r="P298" s="584">
        <f t="shared" si="112"/>
        <v>0</v>
      </c>
      <c r="Q298" s="584">
        <f t="shared" si="112"/>
        <v>0</v>
      </c>
      <c r="R298" s="584">
        <f t="shared" si="112"/>
        <v>0</v>
      </c>
      <c r="S298" s="584">
        <f t="shared" si="112"/>
        <v>0</v>
      </c>
      <c r="T298" s="730">
        <f t="shared" si="112"/>
        <v>5925.11</v>
      </c>
      <c r="U298" s="730">
        <f t="shared" si="112"/>
        <v>0</v>
      </c>
      <c r="V298" s="730">
        <f t="shared" si="112"/>
        <v>5925.11</v>
      </c>
      <c r="W298" s="532"/>
      <c r="X298" s="532"/>
      <c r="Y298" s="532"/>
      <c r="Z298" s="532"/>
    </row>
    <row r="299" spans="1:26" ht="12.6" customHeight="1" x14ac:dyDescent="0.25">
      <c r="A299" s="577"/>
      <c r="B299" s="569"/>
      <c r="C299" s="569"/>
      <c r="D299" s="580"/>
      <c r="E299" s="626">
        <f>E298-E295</f>
        <v>0</v>
      </c>
      <c r="F299" s="665">
        <f t="shared" ref="F299:V299" si="113">F298-F295</f>
        <v>0</v>
      </c>
      <c r="G299" s="666">
        <f t="shared" si="113"/>
        <v>0</v>
      </c>
      <c r="H299" s="586">
        <f>H298-H295</f>
        <v>0</v>
      </c>
      <c r="I299" s="586">
        <f t="shared" si="113"/>
        <v>0</v>
      </c>
      <c r="J299" s="586">
        <f>J298-J295</f>
        <v>0</v>
      </c>
      <c r="K299" s="586">
        <f t="shared" si="113"/>
        <v>0</v>
      </c>
      <c r="L299" s="586">
        <f t="shared" si="113"/>
        <v>0</v>
      </c>
      <c r="M299" s="586">
        <f t="shared" si="113"/>
        <v>0</v>
      </c>
      <c r="N299" s="586">
        <f t="shared" si="113"/>
        <v>0</v>
      </c>
      <c r="O299" s="586">
        <f t="shared" si="113"/>
        <v>0</v>
      </c>
      <c r="P299" s="586">
        <f t="shared" si="113"/>
        <v>0</v>
      </c>
      <c r="Q299" s="586">
        <f t="shared" si="113"/>
        <v>0</v>
      </c>
      <c r="R299" s="586">
        <f t="shared" si="113"/>
        <v>0</v>
      </c>
      <c r="S299" s="586">
        <f t="shared" si="113"/>
        <v>0</v>
      </c>
      <c r="T299" s="586">
        <f t="shared" si="113"/>
        <v>0</v>
      </c>
      <c r="U299" s="586">
        <f t="shared" si="113"/>
        <v>0</v>
      </c>
      <c r="V299" s="586">
        <f t="shared" si="113"/>
        <v>0</v>
      </c>
    </row>
    <row r="300" spans="1:26" ht="12.6" customHeight="1" x14ac:dyDescent="0.25">
      <c r="A300" s="667"/>
      <c r="E300" s="630"/>
      <c r="F300" s="668"/>
      <c r="G300" s="645"/>
      <c r="H300" s="601"/>
      <c r="I300" s="601"/>
      <c r="J300" s="601"/>
      <c r="K300" s="601"/>
      <c r="L300" s="601"/>
      <c r="M300" s="601"/>
      <c r="N300" s="601"/>
      <c r="O300" s="601"/>
      <c r="P300" s="601"/>
      <c r="Q300" s="601"/>
      <c r="R300" s="601"/>
      <c r="S300" s="601"/>
      <c r="T300" s="645"/>
      <c r="U300" s="601"/>
      <c r="V300" s="615"/>
      <c r="W300" s="532"/>
      <c r="X300" s="532"/>
      <c r="Y300" s="532"/>
      <c r="Z300" s="532"/>
    </row>
    <row r="301" spans="1:26" ht="12.6" customHeight="1" x14ac:dyDescent="0.25">
      <c r="A301" s="573" t="s">
        <v>386</v>
      </c>
      <c r="B301" s="569" t="s">
        <v>308</v>
      </c>
      <c r="C301" s="569"/>
      <c r="D301" s="569"/>
      <c r="E301" s="655"/>
      <c r="F301" s="669"/>
      <c r="G301" s="572"/>
      <c r="H301" s="570"/>
      <c r="I301" s="570"/>
      <c r="J301" s="570"/>
      <c r="K301" s="570"/>
      <c r="L301" s="570"/>
      <c r="M301" s="570"/>
      <c r="N301" s="570"/>
      <c r="O301" s="570"/>
      <c r="P301" s="570"/>
      <c r="Q301" s="570"/>
      <c r="R301" s="570"/>
      <c r="S301" s="570"/>
      <c r="T301" s="572">
        <f t="shared" ref="T301:T311" si="114">SUM(E301:S301)</f>
        <v>0</v>
      </c>
      <c r="U301" s="603"/>
      <c r="V301" s="599">
        <f t="shared" ref="V301:V311" si="115">T301-U301</f>
        <v>0</v>
      </c>
      <c r="W301" s="532"/>
      <c r="X301" s="532"/>
      <c r="Y301" s="532"/>
      <c r="Z301" s="532"/>
    </row>
    <row r="302" spans="1:26" ht="12.6" customHeight="1" x14ac:dyDescent="0.25">
      <c r="A302" s="604" t="s">
        <v>52</v>
      </c>
      <c r="B302" s="569" t="s">
        <v>376</v>
      </c>
      <c r="C302" s="569"/>
      <c r="D302" s="569"/>
      <c r="E302" s="655"/>
      <c r="F302" s="669"/>
      <c r="G302" s="572"/>
      <c r="H302" s="570"/>
      <c r="I302" s="570"/>
      <c r="J302" s="570"/>
      <c r="K302" s="570"/>
      <c r="L302" s="570"/>
      <c r="M302" s="570"/>
      <c r="N302" s="570"/>
      <c r="O302" s="570"/>
      <c r="P302" s="570"/>
      <c r="Q302" s="570"/>
      <c r="R302" s="570"/>
      <c r="S302" s="570"/>
      <c r="T302" s="572">
        <f t="shared" si="114"/>
        <v>0</v>
      </c>
      <c r="U302" s="603"/>
      <c r="V302" s="599">
        <f t="shared" si="115"/>
        <v>0</v>
      </c>
      <c r="W302" s="532"/>
      <c r="X302" s="532"/>
      <c r="Y302" s="532"/>
      <c r="Z302" s="532"/>
    </row>
    <row r="303" spans="1:26" ht="12.6" customHeight="1" x14ac:dyDescent="0.25">
      <c r="A303" s="573"/>
      <c r="B303" s="569" t="s">
        <v>261</v>
      </c>
      <c r="C303" s="569"/>
      <c r="D303" s="569"/>
      <c r="E303" s="655"/>
      <c r="F303" s="669"/>
      <c r="G303" s="572"/>
      <c r="H303" s="570"/>
      <c r="I303" s="570"/>
      <c r="J303" s="570"/>
      <c r="K303" s="570"/>
      <c r="L303" s="570"/>
      <c r="M303" s="570"/>
      <c r="N303" s="570"/>
      <c r="O303" s="570"/>
      <c r="P303" s="570"/>
      <c r="Q303" s="570"/>
      <c r="R303" s="570"/>
      <c r="S303" s="570"/>
      <c r="T303" s="572">
        <f t="shared" si="114"/>
        <v>0</v>
      </c>
      <c r="U303" s="603"/>
      <c r="V303" s="599">
        <f t="shared" si="115"/>
        <v>0</v>
      </c>
      <c r="W303" s="532"/>
      <c r="X303" s="532"/>
      <c r="Y303" s="532"/>
      <c r="Z303" s="532"/>
    </row>
    <row r="304" spans="1:26" ht="12.6" customHeight="1" x14ac:dyDescent="0.25">
      <c r="A304" s="573"/>
      <c r="B304" s="569" t="s">
        <v>262</v>
      </c>
      <c r="C304" s="569"/>
      <c r="D304" s="569"/>
      <c r="E304" s="655"/>
      <c r="F304" s="669"/>
      <c r="G304" s="572"/>
      <c r="H304" s="570"/>
      <c r="I304" s="570"/>
      <c r="J304" s="570"/>
      <c r="K304" s="570"/>
      <c r="L304" s="570"/>
      <c r="M304" s="570"/>
      <c r="N304" s="570"/>
      <c r="O304" s="570"/>
      <c r="P304" s="570"/>
      <c r="Q304" s="570"/>
      <c r="R304" s="570"/>
      <c r="S304" s="570"/>
      <c r="T304" s="572">
        <f t="shared" si="114"/>
        <v>0</v>
      </c>
      <c r="U304" s="603"/>
      <c r="V304" s="599">
        <f t="shared" si="115"/>
        <v>0</v>
      </c>
      <c r="W304" s="532"/>
      <c r="X304" s="532"/>
      <c r="Y304" s="532"/>
      <c r="Z304" s="532"/>
    </row>
    <row r="305" spans="1:26" ht="12.6" customHeight="1" x14ac:dyDescent="0.25">
      <c r="A305" s="573"/>
      <c r="B305" s="569" t="s">
        <v>211</v>
      </c>
      <c r="C305" s="569"/>
      <c r="D305" s="569"/>
      <c r="E305" s="655">
        <v>960612.8</v>
      </c>
      <c r="F305" s="669">
        <f>'CABAC Fiduciary 2025'!F185</f>
        <v>603200</v>
      </c>
      <c r="G305" s="572"/>
      <c r="H305" s="570"/>
      <c r="I305" s="570"/>
      <c r="J305" s="570"/>
      <c r="K305" s="570"/>
      <c r="L305" s="570"/>
      <c r="M305" s="570"/>
      <c r="N305" s="570"/>
      <c r="O305" s="570"/>
      <c r="P305" s="570"/>
      <c r="Q305" s="570"/>
      <c r="R305" s="570"/>
      <c r="S305" s="570"/>
      <c r="T305" s="572"/>
      <c r="U305" s="603"/>
      <c r="V305" s="599"/>
      <c r="W305" s="532"/>
      <c r="X305" s="532"/>
      <c r="Y305" s="532"/>
      <c r="Z305" s="532"/>
    </row>
    <row r="306" spans="1:26" ht="12.6" customHeight="1" x14ac:dyDescent="0.25">
      <c r="A306" s="573"/>
      <c r="B306" s="569" t="s">
        <v>145</v>
      </c>
      <c r="C306" s="569"/>
      <c r="D306" s="569"/>
      <c r="E306" s="655"/>
      <c r="F306" s="669"/>
      <c r="G306" s="572"/>
      <c r="H306" s="570"/>
      <c r="I306" s="570"/>
      <c r="J306" s="570"/>
      <c r="K306" s="570"/>
      <c r="L306" s="570"/>
      <c r="M306" s="570"/>
      <c r="N306" s="570"/>
      <c r="O306" s="570"/>
      <c r="P306" s="570"/>
      <c r="Q306" s="570"/>
      <c r="R306" s="570"/>
      <c r="S306" s="570"/>
      <c r="T306" s="572">
        <f t="shared" si="114"/>
        <v>0</v>
      </c>
      <c r="U306" s="603"/>
      <c r="V306" s="599">
        <f t="shared" si="115"/>
        <v>0</v>
      </c>
      <c r="W306" s="532"/>
      <c r="X306" s="532"/>
      <c r="Y306" s="532"/>
      <c r="Z306" s="532"/>
    </row>
    <row r="307" spans="1:26" ht="12.6" customHeight="1" x14ac:dyDescent="0.25">
      <c r="A307" s="573"/>
      <c r="B307" s="569" t="s">
        <v>179</v>
      </c>
      <c r="C307" s="569"/>
      <c r="D307" s="569"/>
      <c r="E307" s="655"/>
      <c r="F307" s="669"/>
      <c r="G307" s="572"/>
      <c r="H307" s="570"/>
      <c r="I307" s="570"/>
      <c r="J307" s="570"/>
      <c r="K307" s="570"/>
      <c r="L307" s="570"/>
      <c r="M307" s="570"/>
      <c r="N307" s="570"/>
      <c r="O307" s="570"/>
      <c r="P307" s="570"/>
      <c r="Q307" s="570"/>
      <c r="R307" s="570"/>
      <c r="S307" s="570"/>
      <c r="T307" s="572">
        <f t="shared" si="114"/>
        <v>0</v>
      </c>
      <c r="U307" s="603"/>
      <c r="V307" s="599">
        <f t="shared" si="115"/>
        <v>0</v>
      </c>
      <c r="W307" s="532"/>
      <c r="X307" s="532"/>
      <c r="Y307" s="532"/>
      <c r="Z307" s="532"/>
    </row>
    <row r="308" spans="1:26" ht="12.6" customHeight="1" x14ac:dyDescent="0.25">
      <c r="A308" s="573"/>
      <c r="B308" s="569" t="s">
        <v>342</v>
      </c>
      <c r="C308" s="569"/>
      <c r="D308" s="569"/>
      <c r="E308" s="670"/>
      <c r="F308" s="671"/>
      <c r="G308" s="672"/>
      <c r="H308" s="673"/>
      <c r="I308" s="673"/>
      <c r="J308" s="673"/>
      <c r="K308" s="673"/>
      <c r="L308" s="673"/>
      <c r="M308" s="673"/>
      <c r="N308" s="673"/>
      <c r="O308" s="673"/>
      <c r="P308" s="673"/>
      <c r="Q308" s="673"/>
      <c r="R308" s="673"/>
      <c r="S308" s="673"/>
      <c r="T308" s="672">
        <f t="shared" si="114"/>
        <v>0</v>
      </c>
      <c r="U308" s="674"/>
      <c r="V308" s="675">
        <f>T308-U308</f>
        <v>0</v>
      </c>
      <c r="W308" s="532"/>
      <c r="X308" s="532"/>
      <c r="Y308" s="532"/>
      <c r="Z308" s="532"/>
    </row>
    <row r="309" spans="1:26" ht="12.6" customHeight="1" x14ac:dyDescent="0.25">
      <c r="A309" s="573"/>
      <c r="B309" s="569" t="s">
        <v>340</v>
      </c>
      <c r="C309" s="569"/>
      <c r="D309" s="569"/>
      <c r="E309" s="676"/>
      <c r="F309" s="677"/>
      <c r="G309" s="678"/>
      <c r="H309" s="679"/>
      <c r="I309" s="679"/>
      <c r="J309" s="679"/>
      <c r="K309" s="679"/>
      <c r="L309" s="679"/>
      <c r="M309" s="679"/>
      <c r="N309" s="679"/>
      <c r="O309" s="679"/>
      <c r="P309" s="679"/>
      <c r="Q309" s="679"/>
      <c r="R309" s="679"/>
      <c r="S309" s="679"/>
      <c r="T309" s="678">
        <f t="shared" si="114"/>
        <v>0</v>
      </c>
      <c r="U309" s="680"/>
      <c r="V309" s="681">
        <f>T309-U309</f>
        <v>0</v>
      </c>
      <c r="W309" s="532"/>
      <c r="X309" s="532"/>
      <c r="Y309" s="532"/>
      <c r="Z309" s="532"/>
    </row>
    <row r="310" spans="1:26" ht="12.6" customHeight="1" x14ac:dyDescent="0.25">
      <c r="A310" s="573"/>
      <c r="B310" s="569" t="s">
        <v>154</v>
      </c>
      <c r="C310" s="569"/>
      <c r="D310" s="569"/>
      <c r="E310" s="655"/>
      <c r="F310" s="669"/>
      <c r="G310" s="572"/>
      <c r="H310" s="570"/>
      <c r="I310" s="570"/>
      <c r="J310" s="570"/>
      <c r="K310" s="570"/>
      <c r="L310" s="570"/>
      <c r="M310" s="570"/>
      <c r="N310" s="570"/>
      <c r="O310" s="570"/>
      <c r="P310" s="570"/>
      <c r="Q310" s="570"/>
      <c r="R310" s="570"/>
      <c r="S310" s="570"/>
      <c r="T310" s="572">
        <f t="shared" si="114"/>
        <v>0</v>
      </c>
      <c r="U310" s="603"/>
      <c r="V310" s="599">
        <f>T310-U310</f>
        <v>0</v>
      </c>
      <c r="W310" s="532"/>
      <c r="X310" s="532"/>
      <c r="Y310" s="532"/>
      <c r="Z310" s="532"/>
    </row>
    <row r="311" spans="1:26" ht="12.6" customHeight="1" thickBot="1" x14ac:dyDescent="0.3">
      <c r="A311" s="573"/>
      <c r="B311" s="569" t="s">
        <v>361</v>
      </c>
      <c r="C311" s="569"/>
      <c r="D311" s="569"/>
      <c r="E311" s="655"/>
      <c r="F311" s="682"/>
      <c r="G311" s="572"/>
      <c r="H311" s="570"/>
      <c r="I311" s="570"/>
      <c r="J311" s="570"/>
      <c r="K311" s="570"/>
      <c r="L311" s="570"/>
      <c r="M311" s="570"/>
      <c r="N311" s="570"/>
      <c r="O311" s="570"/>
      <c r="P311" s="570"/>
      <c r="Q311" s="570"/>
      <c r="R311" s="570"/>
      <c r="S311" s="570"/>
      <c r="T311" s="572">
        <f t="shared" si="114"/>
        <v>0</v>
      </c>
      <c r="U311" s="603"/>
      <c r="V311" s="599">
        <f t="shared" si="115"/>
        <v>0</v>
      </c>
      <c r="W311" s="532"/>
      <c r="X311" s="532"/>
      <c r="Y311" s="532"/>
      <c r="Z311" s="532"/>
    </row>
    <row r="312" spans="1:26" ht="12.6" customHeight="1" thickBot="1" x14ac:dyDescent="0.3">
      <c r="A312" s="573"/>
      <c r="B312" s="581" t="s">
        <v>346</v>
      </c>
      <c r="C312" s="569"/>
      <c r="D312" s="580"/>
      <c r="E312" s="582">
        <f>SUM(E301:E311)</f>
        <v>960612.8</v>
      </c>
      <c r="F312" s="683">
        <f t="shared" ref="F312:V312" si="116">SUM(F301:F311)</f>
        <v>603200</v>
      </c>
      <c r="G312" s="582">
        <f t="shared" si="116"/>
        <v>0</v>
      </c>
      <c r="H312" s="582">
        <f>SUM(H301:H311)</f>
        <v>0</v>
      </c>
      <c r="I312" s="582">
        <f t="shared" si="116"/>
        <v>0</v>
      </c>
      <c r="J312" s="582">
        <f>SUM(J301:J311)</f>
        <v>0</v>
      </c>
      <c r="K312" s="582">
        <f t="shared" si="116"/>
        <v>0</v>
      </c>
      <c r="L312" s="582">
        <f t="shared" si="116"/>
        <v>0</v>
      </c>
      <c r="M312" s="582">
        <f t="shared" si="116"/>
        <v>0</v>
      </c>
      <c r="N312" s="582">
        <f t="shared" si="116"/>
        <v>0</v>
      </c>
      <c r="O312" s="582">
        <f t="shared" si="116"/>
        <v>0</v>
      </c>
      <c r="P312" s="582">
        <f t="shared" si="116"/>
        <v>0</v>
      </c>
      <c r="Q312" s="582">
        <f t="shared" si="116"/>
        <v>0</v>
      </c>
      <c r="R312" s="582">
        <f t="shared" si="116"/>
        <v>0</v>
      </c>
      <c r="S312" s="582">
        <f t="shared" si="116"/>
        <v>0</v>
      </c>
      <c r="T312" s="582">
        <f t="shared" si="116"/>
        <v>0</v>
      </c>
      <c r="U312" s="582">
        <f t="shared" si="116"/>
        <v>0</v>
      </c>
      <c r="V312" s="582">
        <f t="shared" si="116"/>
        <v>0</v>
      </c>
      <c r="W312" s="532"/>
      <c r="X312" s="532"/>
      <c r="Y312" s="532"/>
      <c r="Z312" s="532"/>
    </row>
    <row r="313" spans="1:26" ht="12.6" customHeight="1" x14ac:dyDescent="0.25">
      <c r="A313" s="577"/>
      <c r="B313" s="581"/>
      <c r="C313" s="569"/>
      <c r="D313" s="583" t="s">
        <v>347</v>
      </c>
      <c r="E313" s="730">
        <f>E305+E306+E307+E308+E309+E310+E311</f>
        <v>960612.8</v>
      </c>
      <c r="F313" s="730">
        <f>SUM(F302:F311)</f>
        <v>603200</v>
      </c>
      <c r="G313" s="584">
        <f t="shared" ref="G313:V313" si="117">SUM(G306:G311)</f>
        <v>0</v>
      </c>
      <c r="H313" s="584">
        <f>SUM(H306:H311)</f>
        <v>0</v>
      </c>
      <c r="I313" s="584">
        <f t="shared" si="117"/>
        <v>0</v>
      </c>
      <c r="J313" s="584">
        <f>SUM(J306:J311)</f>
        <v>0</v>
      </c>
      <c r="K313" s="584">
        <f t="shared" si="117"/>
        <v>0</v>
      </c>
      <c r="L313" s="584">
        <f t="shared" si="117"/>
        <v>0</v>
      </c>
      <c r="M313" s="584">
        <f t="shared" si="117"/>
        <v>0</v>
      </c>
      <c r="N313" s="584">
        <f t="shared" si="117"/>
        <v>0</v>
      </c>
      <c r="O313" s="584">
        <f t="shared" si="117"/>
        <v>0</v>
      </c>
      <c r="P313" s="584">
        <f t="shared" si="117"/>
        <v>0</v>
      </c>
      <c r="Q313" s="584">
        <f t="shared" si="117"/>
        <v>0</v>
      </c>
      <c r="R313" s="584">
        <f t="shared" si="117"/>
        <v>0</v>
      </c>
      <c r="S313" s="584">
        <f t="shared" si="117"/>
        <v>0</v>
      </c>
      <c r="T313" s="584">
        <f t="shared" si="117"/>
        <v>0</v>
      </c>
      <c r="U313" s="584">
        <f t="shared" si="117"/>
        <v>0</v>
      </c>
      <c r="V313" s="584">
        <f t="shared" si="117"/>
        <v>0</v>
      </c>
      <c r="W313" s="532"/>
      <c r="X313" s="532"/>
      <c r="Y313" s="532"/>
      <c r="Z313" s="532"/>
    </row>
    <row r="314" spans="1:26" ht="12.6" customHeight="1" x14ac:dyDescent="0.25">
      <c r="A314" s="577"/>
      <c r="B314" s="581"/>
      <c r="C314" s="569"/>
      <c r="D314" s="583" t="s">
        <v>348</v>
      </c>
      <c r="E314" s="730">
        <f>E301+E302+E303+E304</f>
        <v>0</v>
      </c>
      <c r="F314" s="730">
        <f t="shared" ref="F314:V314" si="118">SUM(F301:F304)</f>
        <v>0</v>
      </c>
      <c r="G314" s="584">
        <f t="shared" si="118"/>
        <v>0</v>
      </c>
      <c r="H314" s="584">
        <f>SUM(H301:H304)</f>
        <v>0</v>
      </c>
      <c r="I314" s="584">
        <f t="shared" si="118"/>
        <v>0</v>
      </c>
      <c r="J314" s="584">
        <f>SUM(J301:J304)</f>
        <v>0</v>
      </c>
      <c r="K314" s="584">
        <f t="shared" si="118"/>
        <v>0</v>
      </c>
      <c r="L314" s="584">
        <f t="shared" si="118"/>
        <v>0</v>
      </c>
      <c r="M314" s="584">
        <f t="shared" si="118"/>
        <v>0</v>
      </c>
      <c r="N314" s="584">
        <f t="shared" si="118"/>
        <v>0</v>
      </c>
      <c r="O314" s="584">
        <f t="shared" si="118"/>
        <v>0</v>
      </c>
      <c r="P314" s="584">
        <f t="shared" si="118"/>
        <v>0</v>
      </c>
      <c r="Q314" s="584">
        <f t="shared" si="118"/>
        <v>0</v>
      </c>
      <c r="R314" s="584">
        <f t="shared" si="118"/>
        <v>0</v>
      </c>
      <c r="S314" s="584">
        <f t="shared" si="118"/>
        <v>0</v>
      </c>
      <c r="T314" s="584">
        <f t="shared" si="118"/>
        <v>0</v>
      </c>
      <c r="U314" s="584">
        <f t="shared" si="118"/>
        <v>0</v>
      </c>
      <c r="V314" s="584">
        <f t="shared" si="118"/>
        <v>0</v>
      </c>
      <c r="W314" s="532"/>
      <c r="X314" s="532"/>
      <c r="Y314" s="532"/>
      <c r="Z314" s="532"/>
    </row>
    <row r="315" spans="1:26" ht="12.6" customHeight="1" x14ac:dyDescent="0.25">
      <c r="A315" s="577"/>
      <c r="B315" s="581"/>
      <c r="C315" s="569"/>
      <c r="D315" s="580"/>
      <c r="E315" s="730">
        <f>SUM(E313:E314)</f>
        <v>960612.8</v>
      </c>
      <c r="F315" s="730">
        <f>SUM(F313:F314)</f>
        <v>603200</v>
      </c>
      <c r="G315" s="584">
        <f t="shared" ref="G315:V315" si="119">SUM(G313:G314)</f>
        <v>0</v>
      </c>
      <c r="H315" s="584">
        <f>SUM(H313:H314)</f>
        <v>0</v>
      </c>
      <c r="I315" s="584">
        <f t="shared" si="119"/>
        <v>0</v>
      </c>
      <c r="J315" s="584">
        <f>SUM(J313:J314)</f>
        <v>0</v>
      </c>
      <c r="K315" s="584">
        <f t="shared" si="119"/>
        <v>0</v>
      </c>
      <c r="L315" s="584">
        <f t="shared" si="119"/>
        <v>0</v>
      </c>
      <c r="M315" s="584">
        <f t="shared" si="119"/>
        <v>0</v>
      </c>
      <c r="N315" s="584">
        <f t="shared" si="119"/>
        <v>0</v>
      </c>
      <c r="O315" s="584">
        <f t="shared" si="119"/>
        <v>0</v>
      </c>
      <c r="P315" s="584">
        <f t="shared" si="119"/>
        <v>0</v>
      </c>
      <c r="Q315" s="584">
        <f t="shared" si="119"/>
        <v>0</v>
      </c>
      <c r="R315" s="584">
        <f t="shared" si="119"/>
        <v>0</v>
      </c>
      <c r="S315" s="584">
        <f t="shared" si="119"/>
        <v>0</v>
      </c>
      <c r="T315" s="584">
        <f t="shared" si="119"/>
        <v>0</v>
      </c>
      <c r="U315" s="584">
        <f t="shared" si="119"/>
        <v>0</v>
      </c>
      <c r="V315" s="584">
        <f t="shared" si="119"/>
        <v>0</v>
      </c>
      <c r="W315" s="532"/>
      <c r="X315" s="532"/>
      <c r="Y315" s="532"/>
      <c r="Z315" s="532"/>
    </row>
    <row r="316" spans="1:26" ht="12.6" customHeight="1" x14ac:dyDescent="0.25">
      <c r="A316" s="577"/>
      <c r="B316" s="569"/>
      <c r="C316" s="569"/>
      <c r="D316" s="580"/>
      <c r="E316" s="586">
        <f>E315-E312</f>
        <v>0</v>
      </c>
      <c r="F316" s="586">
        <f t="shared" ref="F316:V316" si="120">F315-F312</f>
        <v>0</v>
      </c>
      <c r="G316" s="586">
        <f t="shared" si="120"/>
        <v>0</v>
      </c>
      <c r="H316" s="586">
        <f>H315-H312</f>
        <v>0</v>
      </c>
      <c r="I316" s="586">
        <f t="shared" si="120"/>
        <v>0</v>
      </c>
      <c r="J316" s="586">
        <f>J315-J312</f>
        <v>0</v>
      </c>
      <c r="K316" s="586">
        <f t="shared" si="120"/>
        <v>0</v>
      </c>
      <c r="L316" s="586">
        <f t="shared" si="120"/>
        <v>0</v>
      </c>
      <c r="M316" s="586">
        <f t="shared" si="120"/>
        <v>0</v>
      </c>
      <c r="N316" s="586">
        <f t="shared" si="120"/>
        <v>0</v>
      </c>
      <c r="O316" s="586">
        <f t="shared" si="120"/>
        <v>0</v>
      </c>
      <c r="P316" s="586">
        <f t="shared" si="120"/>
        <v>0</v>
      </c>
      <c r="Q316" s="586">
        <f t="shared" si="120"/>
        <v>0</v>
      </c>
      <c r="R316" s="586">
        <f t="shared" si="120"/>
        <v>0</v>
      </c>
      <c r="S316" s="586">
        <f t="shared" si="120"/>
        <v>0</v>
      </c>
      <c r="T316" s="586">
        <f t="shared" si="120"/>
        <v>0</v>
      </c>
      <c r="U316" s="586">
        <f t="shared" si="120"/>
        <v>0</v>
      </c>
      <c r="V316" s="586">
        <f t="shared" si="120"/>
        <v>0</v>
      </c>
    </row>
    <row r="317" spans="1:26" ht="12.6" customHeight="1" x14ac:dyDescent="0.25">
      <c r="A317" s="658"/>
      <c r="B317" s="660"/>
      <c r="C317" s="660"/>
      <c r="D317" s="661"/>
      <c r="E317" s="599"/>
      <c r="F317" s="570"/>
      <c r="G317" s="570"/>
      <c r="H317" s="570"/>
      <c r="I317" s="570"/>
      <c r="J317" s="570"/>
      <c r="K317" s="570"/>
      <c r="L317" s="570"/>
      <c r="M317" s="570"/>
      <c r="N317" s="570"/>
      <c r="O317" s="570"/>
      <c r="P317" s="570"/>
      <c r="Q317" s="570"/>
      <c r="R317" s="570"/>
      <c r="S317" s="570"/>
      <c r="T317" s="570"/>
      <c r="U317" s="570"/>
      <c r="V317" s="599"/>
      <c r="W317" s="532"/>
      <c r="X317" s="532"/>
      <c r="Y317" s="532"/>
      <c r="Z317" s="532"/>
    </row>
    <row r="318" spans="1:26" ht="12.6" customHeight="1" x14ac:dyDescent="0.25">
      <c r="A318" s="611" t="s">
        <v>387</v>
      </c>
      <c r="B318" s="612" t="s">
        <v>308</v>
      </c>
      <c r="C318" s="612"/>
      <c r="D318" s="617"/>
      <c r="E318" s="618"/>
      <c r="F318" s="613"/>
      <c r="G318" s="613"/>
      <c r="H318" s="613"/>
      <c r="I318" s="613"/>
      <c r="J318" s="613"/>
      <c r="K318" s="613"/>
      <c r="L318" s="613"/>
      <c r="M318" s="613"/>
      <c r="N318" s="613"/>
      <c r="O318" s="613"/>
      <c r="P318" s="613"/>
      <c r="Q318" s="613"/>
      <c r="R318" s="613"/>
      <c r="S318" s="613"/>
      <c r="T318" s="613">
        <f t="shared" ref="T318:T324" si="121">SUM(E318:S318)</f>
        <v>0</v>
      </c>
      <c r="U318" s="619"/>
      <c r="V318" s="614">
        <f>T318-U318</f>
        <v>0</v>
      </c>
      <c r="W318" s="532"/>
      <c r="X318" s="532"/>
      <c r="Y318" s="532"/>
      <c r="Z318" s="532"/>
    </row>
    <row r="319" spans="1:26" ht="12.6" customHeight="1" x14ac:dyDescent="0.25">
      <c r="A319" s="604" t="s">
        <v>53</v>
      </c>
      <c r="B319" s="569" t="s">
        <v>263</v>
      </c>
      <c r="C319" s="569"/>
      <c r="D319" s="580"/>
      <c r="E319" s="602">
        <v>29905</v>
      </c>
      <c r="F319" s="570">
        <f>'CABAC Non-Fid 2025'!G100</f>
        <v>0</v>
      </c>
      <c r="G319" s="570"/>
      <c r="H319" s="570"/>
      <c r="I319" s="570"/>
      <c r="J319" s="570"/>
      <c r="K319" s="570"/>
      <c r="L319" s="570"/>
      <c r="M319" s="570"/>
      <c r="N319" s="570"/>
      <c r="O319" s="570"/>
      <c r="P319" s="570"/>
      <c r="Q319" s="570"/>
      <c r="R319" s="570"/>
      <c r="S319" s="570"/>
      <c r="T319" s="570">
        <f t="shared" si="121"/>
        <v>29905</v>
      </c>
      <c r="U319" s="603"/>
      <c r="V319" s="599">
        <f>T319-U319</f>
        <v>29905</v>
      </c>
      <c r="W319" s="532"/>
      <c r="X319" s="532"/>
      <c r="Y319" s="532"/>
      <c r="Z319" s="532"/>
    </row>
    <row r="320" spans="1:26" ht="12.6" customHeight="1" x14ac:dyDescent="0.25">
      <c r="A320" s="573"/>
      <c r="B320" s="569" t="s">
        <v>262</v>
      </c>
      <c r="C320" s="569"/>
      <c r="D320" s="580"/>
      <c r="E320" s="602"/>
      <c r="F320" s="570"/>
      <c r="G320" s="570"/>
      <c r="H320" s="570"/>
      <c r="I320" s="570"/>
      <c r="J320" s="570"/>
      <c r="K320" s="570"/>
      <c r="L320" s="570"/>
      <c r="M320" s="570"/>
      <c r="N320" s="570"/>
      <c r="O320" s="570"/>
      <c r="P320" s="570"/>
      <c r="Q320" s="570"/>
      <c r="R320" s="570"/>
      <c r="S320" s="570"/>
      <c r="T320" s="570">
        <f t="shared" si="121"/>
        <v>0</v>
      </c>
      <c r="U320" s="603"/>
      <c r="V320" s="599">
        <f>T320-U320</f>
        <v>0</v>
      </c>
      <c r="W320" s="532"/>
      <c r="X320" s="532"/>
      <c r="Y320" s="532"/>
      <c r="Z320" s="532"/>
    </row>
    <row r="321" spans="1:26" ht="12.6" customHeight="1" x14ac:dyDescent="0.25">
      <c r="A321" s="573"/>
      <c r="B321" s="569" t="s">
        <v>145</v>
      </c>
      <c r="C321" s="569"/>
      <c r="D321" s="580"/>
      <c r="E321" s="602"/>
      <c r="F321" s="570">
        <f>'CABAC Fiduciary 2025'!F159</f>
        <v>0</v>
      </c>
      <c r="G321" s="570"/>
      <c r="H321" s="570"/>
      <c r="I321" s="570"/>
      <c r="J321" s="570"/>
      <c r="K321" s="570"/>
      <c r="L321" s="570"/>
      <c r="M321" s="570"/>
      <c r="N321" s="570"/>
      <c r="O321" s="570"/>
      <c r="P321" s="570"/>
      <c r="Q321" s="570"/>
      <c r="R321" s="570"/>
      <c r="S321" s="570"/>
      <c r="T321" s="570">
        <f t="shared" si="121"/>
        <v>0</v>
      </c>
      <c r="U321" s="603"/>
      <c r="V321" s="599">
        <f>T321-U321</f>
        <v>0</v>
      </c>
      <c r="W321" s="532"/>
      <c r="X321" s="532"/>
      <c r="Y321" s="532"/>
      <c r="Z321" s="532"/>
    </row>
    <row r="322" spans="1:26" ht="12.6" customHeight="1" x14ac:dyDescent="0.25">
      <c r="A322" s="573"/>
      <c r="B322" s="569" t="s">
        <v>340</v>
      </c>
      <c r="C322" s="569"/>
      <c r="D322" s="580"/>
      <c r="E322" s="602"/>
      <c r="F322" s="570"/>
      <c r="G322" s="570"/>
      <c r="H322" s="570"/>
      <c r="I322" s="570"/>
      <c r="J322" s="570"/>
      <c r="K322" s="570"/>
      <c r="L322" s="570"/>
      <c r="M322" s="570"/>
      <c r="N322" s="570"/>
      <c r="O322" s="570"/>
      <c r="P322" s="570"/>
      <c r="Q322" s="570"/>
      <c r="R322" s="570"/>
      <c r="S322" s="570"/>
      <c r="T322" s="570">
        <f t="shared" si="121"/>
        <v>0</v>
      </c>
      <c r="U322" s="603"/>
      <c r="V322" s="599">
        <f t="shared" ref="V322:V324" si="122">T322-U322</f>
        <v>0</v>
      </c>
      <c r="W322" s="532"/>
      <c r="X322" s="532"/>
      <c r="Y322" s="532"/>
      <c r="Z322" s="532"/>
    </row>
    <row r="323" spans="1:26" ht="12.6" customHeight="1" x14ac:dyDescent="0.25">
      <c r="A323" s="573"/>
      <c r="B323" s="569" t="s">
        <v>358</v>
      </c>
      <c r="C323" s="569"/>
      <c r="D323" s="580"/>
      <c r="E323" s="602"/>
      <c r="F323" s="570"/>
      <c r="G323" s="570"/>
      <c r="H323" s="570"/>
      <c r="I323" s="570"/>
      <c r="J323" s="570"/>
      <c r="K323" s="570"/>
      <c r="L323" s="570"/>
      <c r="M323" s="570"/>
      <c r="N323" s="570"/>
      <c r="O323" s="570"/>
      <c r="P323" s="570"/>
      <c r="Q323" s="570"/>
      <c r="R323" s="570"/>
      <c r="S323" s="570"/>
      <c r="T323" s="570">
        <f t="shared" si="121"/>
        <v>0</v>
      </c>
      <c r="U323" s="603"/>
      <c r="V323" s="599">
        <f t="shared" si="122"/>
        <v>0</v>
      </c>
      <c r="W323" s="532"/>
      <c r="X323" s="532"/>
      <c r="Y323" s="532"/>
      <c r="Z323" s="532"/>
    </row>
    <row r="324" spans="1:26" ht="12.6" customHeight="1" thickBot="1" x14ac:dyDescent="0.3">
      <c r="A324" s="573"/>
      <c r="B324" s="569" t="s">
        <v>361</v>
      </c>
      <c r="C324" s="569"/>
      <c r="D324" s="580"/>
      <c r="E324" s="605"/>
      <c r="F324" s="601"/>
      <c r="G324" s="601"/>
      <c r="H324" s="601"/>
      <c r="I324" s="601"/>
      <c r="J324" s="601"/>
      <c r="K324" s="601"/>
      <c r="L324" s="601"/>
      <c r="M324" s="601"/>
      <c r="N324" s="601"/>
      <c r="O324" s="601"/>
      <c r="P324" s="601"/>
      <c r="Q324" s="601"/>
      <c r="R324" s="601"/>
      <c r="S324" s="601"/>
      <c r="T324" s="601">
        <f t="shared" si="121"/>
        <v>0</v>
      </c>
      <c r="U324" s="606"/>
      <c r="V324" s="623">
        <f t="shared" si="122"/>
        <v>0</v>
      </c>
      <c r="W324" s="532"/>
      <c r="X324" s="532"/>
      <c r="Y324" s="532"/>
      <c r="Z324" s="532"/>
    </row>
    <row r="325" spans="1:26" ht="12.6" customHeight="1" thickBot="1" x14ac:dyDescent="0.3">
      <c r="A325" s="573"/>
      <c r="B325" s="581" t="s">
        <v>346</v>
      </c>
      <c r="C325" s="569"/>
      <c r="D325" s="580"/>
      <c r="E325" s="582">
        <f>SUM(E318:E324)</f>
        <v>29905</v>
      </c>
      <c r="F325" s="582">
        <f t="shared" ref="F325:V325" si="123">SUM(F318:F324)</f>
        <v>0</v>
      </c>
      <c r="G325" s="582">
        <f t="shared" si="123"/>
        <v>0</v>
      </c>
      <c r="H325" s="582">
        <f>SUM(H318:H324)</f>
        <v>0</v>
      </c>
      <c r="I325" s="582">
        <f t="shared" si="123"/>
        <v>0</v>
      </c>
      <c r="J325" s="582">
        <f>SUM(J318:J324)</f>
        <v>0</v>
      </c>
      <c r="K325" s="582">
        <f t="shared" si="123"/>
        <v>0</v>
      </c>
      <c r="L325" s="582">
        <f t="shared" si="123"/>
        <v>0</v>
      </c>
      <c r="M325" s="582">
        <f t="shared" si="123"/>
        <v>0</v>
      </c>
      <c r="N325" s="582">
        <f t="shared" si="123"/>
        <v>0</v>
      </c>
      <c r="O325" s="582">
        <f t="shared" si="123"/>
        <v>0</v>
      </c>
      <c r="P325" s="582">
        <f t="shared" si="123"/>
        <v>0</v>
      </c>
      <c r="Q325" s="582">
        <f t="shared" si="123"/>
        <v>0</v>
      </c>
      <c r="R325" s="582">
        <f t="shared" si="123"/>
        <v>0</v>
      </c>
      <c r="S325" s="582">
        <f t="shared" si="123"/>
        <v>0</v>
      </c>
      <c r="T325" s="582">
        <f t="shared" si="123"/>
        <v>29905</v>
      </c>
      <c r="U325" s="582">
        <f t="shared" si="123"/>
        <v>0</v>
      </c>
      <c r="V325" s="582">
        <f t="shared" si="123"/>
        <v>29905</v>
      </c>
      <c r="W325" s="532"/>
      <c r="X325" s="532"/>
      <c r="Y325" s="532"/>
      <c r="Z325" s="532"/>
    </row>
    <row r="326" spans="1:26" ht="12.6" customHeight="1" x14ac:dyDescent="0.25">
      <c r="A326" s="577"/>
      <c r="B326" s="581"/>
      <c r="C326" s="569"/>
      <c r="D326" s="583" t="s">
        <v>347</v>
      </c>
      <c r="E326" s="730">
        <f>SUM(E321:E324)</f>
        <v>0</v>
      </c>
      <c r="F326" s="730">
        <f t="shared" ref="F326:V326" si="124">SUM(F321:F324)</f>
        <v>0</v>
      </c>
      <c r="G326" s="584">
        <f t="shared" si="124"/>
        <v>0</v>
      </c>
      <c r="H326" s="584">
        <f>SUM(H321:H324)</f>
        <v>0</v>
      </c>
      <c r="I326" s="584">
        <f t="shared" si="124"/>
        <v>0</v>
      </c>
      <c r="J326" s="584">
        <f>SUM(J321:J324)</f>
        <v>0</v>
      </c>
      <c r="K326" s="584">
        <f t="shared" si="124"/>
        <v>0</v>
      </c>
      <c r="L326" s="584">
        <f t="shared" si="124"/>
        <v>0</v>
      </c>
      <c r="M326" s="584">
        <f t="shared" si="124"/>
        <v>0</v>
      </c>
      <c r="N326" s="584">
        <f t="shared" si="124"/>
        <v>0</v>
      </c>
      <c r="O326" s="584">
        <f t="shared" si="124"/>
        <v>0</v>
      </c>
      <c r="P326" s="584">
        <f t="shared" si="124"/>
        <v>0</v>
      </c>
      <c r="Q326" s="584">
        <f t="shared" si="124"/>
        <v>0</v>
      </c>
      <c r="R326" s="584">
        <f t="shared" si="124"/>
        <v>0</v>
      </c>
      <c r="S326" s="584">
        <f t="shared" si="124"/>
        <v>0</v>
      </c>
      <c r="T326" s="730">
        <f t="shared" si="124"/>
        <v>0</v>
      </c>
      <c r="U326" s="730">
        <f t="shared" si="124"/>
        <v>0</v>
      </c>
      <c r="V326" s="730">
        <f t="shared" si="124"/>
        <v>0</v>
      </c>
      <c r="W326" s="532"/>
      <c r="X326" s="532"/>
      <c r="Y326" s="532"/>
      <c r="Z326" s="532"/>
    </row>
    <row r="327" spans="1:26" ht="12.6" customHeight="1" x14ac:dyDescent="0.25">
      <c r="A327" s="577"/>
      <c r="B327" s="581"/>
      <c r="C327" s="569"/>
      <c r="D327" s="583" t="s">
        <v>348</v>
      </c>
      <c r="E327" s="730">
        <f>SUM(E318:E320)</f>
        <v>29905</v>
      </c>
      <c r="F327" s="730">
        <f t="shared" ref="F327:V327" si="125">SUM(F318:F320)</f>
        <v>0</v>
      </c>
      <c r="G327" s="584">
        <f t="shared" si="125"/>
        <v>0</v>
      </c>
      <c r="H327" s="584">
        <f>SUM(H318:H320)</f>
        <v>0</v>
      </c>
      <c r="I327" s="584">
        <f t="shared" si="125"/>
        <v>0</v>
      </c>
      <c r="J327" s="584">
        <f>SUM(J318:J320)</f>
        <v>0</v>
      </c>
      <c r="K327" s="584">
        <f t="shared" si="125"/>
        <v>0</v>
      </c>
      <c r="L327" s="584">
        <f t="shared" si="125"/>
        <v>0</v>
      </c>
      <c r="M327" s="584">
        <f t="shared" si="125"/>
        <v>0</v>
      </c>
      <c r="N327" s="584">
        <f t="shared" si="125"/>
        <v>0</v>
      </c>
      <c r="O327" s="584">
        <f t="shared" si="125"/>
        <v>0</v>
      </c>
      <c r="P327" s="584">
        <f t="shared" si="125"/>
        <v>0</v>
      </c>
      <c r="Q327" s="584">
        <f t="shared" si="125"/>
        <v>0</v>
      </c>
      <c r="R327" s="584">
        <f t="shared" si="125"/>
        <v>0</v>
      </c>
      <c r="S327" s="584">
        <f t="shared" si="125"/>
        <v>0</v>
      </c>
      <c r="T327" s="730">
        <f t="shared" si="125"/>
        <v>29905</v>
      </c>
      <c r="U327" s="730">
        <f t="shared" si="125"/>
        <v>0</v>
      </c>
      <c r="V327" s="730">
        <f t="shared" si="125"/>
        <v>29905</v>
      </c>
      <c r="W327" s="532"/>
      <c r="X327" s="532"/>
      <c r="Y327" s="532"/>
      <c r="Z327" s="532"/>
    </row>
    <row r="328" spans="1:26" ht="12.6" customHeight="1" x14ac:dyDescent="0.25">
      <c r="A328" s="577"/>
      <c r="B328" s="581"/>
      <c r="C328" s="569"/>
      <c r="D328" s="580"/>
      <c r="E328" s="730">
        <f>SUM(E326:E327)</f>
        <v>29905</v>
      </c>
      <c r="F328" s="730">
        <f t="shared" ref="F328:V328" si="126">SUM(F326:F327)</f>
        <v>0</v>
      </c>
      <c r="G328" s="584">
        <f t="shared" si="126"/>
        <v>0</v>
      </c>
      <c r="H328" s="584">
        <f>SUM(H326:H327)</f>
        <v>0</v>
      </c>
      <c r="I328" s="584">
        <f t="shared" si="126"/>
        <v>0</v>
      </c>
      <c r="J328" s="584">
        <f>SUM(J326:J327)</f>
        <v>0</v>
      </c>
      <c r="K328" s="584">
        <f t="shared" si="126"/>
        <v>0</v>
      </c>
      <c r="L328" s="584">
        <f t="shared" si="126"/>
        <v>0</v>
      </c>
      <c r="M328" s="584">
        <f t="shared" si="126"/>
        <v>0</v>
      </c>
      <c r="N328" s="584">
        <f t="shared" si="126"/>
        <v>0</v>
      </c>
      <c r="O328" s="584">
        <f t="shared" si="126"/>
        <v>0</v>
      </c>
      <c r="P328" s="584">
        <f t="shared" si="126"/>
        <v>0</v>
      </c>
      <c r="Q328" s="584">
        <f t="shared" si="126"/>
        <v>0</v>
      </c>
      <c r="R328" s="584">
        <f t="shared" si="126"/>
        <v>0</v>
      </c>
      <c r="S328" s="584">
        <f t="shared" si="126"/>
        <v>0</v>
      </c>
      <c r="T328" s="730">
        <f t="shared" si="126"/>
        <v>29905</v>
      </c>
      <c r="U328" s="730">
        <f t="shared" si="126"/>
        <v>0</v>
      </c>
      <c r="V328" s="730">
        <f t="shared" si="126"/>
        <v>29905</v>
      </c>
      <c r="W328" s="532"/>
      <c r="X328" s="532"/>
      <c r="Y328" s="532"/>
      <c r="Z328" s="532"/>
    </row>
    <row r="329" spans="1:26" ht="12.6" customHeight="1" x14ac:dyDescent="0.25">
      <c r="A329" s="577"/>
      <c r="B329" s="569"/>
      <c r="C329" s="569"/>
      <c r="D329" s="580"/>
      <c r="E329" s="1232">
        <f>E328-E325</f>
        <v>0</v>
      </c>
      <c r="F329" s="1232">
        <f t="shared" ref="F329:V329" si="127">F328-F325</f>
        <v>0</v>
      </c>
      <c r="G329" s="1232">
        <f t="shared" si="127"/>
        <v>0</v>
      </c>
      <c r="H329" s="1232">
        <f>H328-H325</f>
        <v>0</v>
      </c>
      <c r="I329" s="1232">
        <f t="shared" si="127"/>
        <v>0</v>
      </c>
      <c r="J329" s="1232">
        <f>J328-J325</f>
        <v>0</v>
      </c>
      <c r="K329" s="1232">
        <f t="shared" si="127"/>
        <v>0</v>
      </c>
      <c r="L329" s="1232">
        <f t="shared" si="127"/>
        <v>0</v>
      </c>
      <c r="M329" s="1232">
        <f t="shared" si="127"/>
        <v>0</v>
      </c>
      <c r="N329" s="1232">
        <f t="shared" si="127"/>
        <v>0</v>
      </c>
      <c r="O329" s="1232">
        <f t="shared" si="127"/>
        <v>0</v>
      </c>
      <c r="P329" s="1232">
        <f t="shared" si="127"/>
        <v>0</v>
      </c>
      <c r="Q329" s="1232">
        <f t="shared" si="127"/>
        <v>0</v>
      </c>
      <c r="R329" s="1232">
        <f t="shared" si="127"/>
        <v>0</v>
      </c>
      <c r="S329" s="1232">
        <f t="shared" si="127"/>
        <v>0</v>
      </c>
      <c r="T329" s="1232">
        <f t="shared" si="127"/>
        <v>0</v>
      </c>
      <c r="U329" s="1232">
        <f t="shared" si="127"/>
        <v>0</v>
      </c>
      <c r="V329" s="1232">
        <f t="shared" si="127"/>
        <v>0</v>
      </c>
    </row>
    <row r="330" spans="1:26" ht="12.6" customHeight="1" x14ac:dyDescent="0.25">
      <c r="A330" s="573"/>
      <c r="B330" s="569"/>
      <c r="C330" s="569"/>
      <c r="D330" s="580"/>
      <c r="E330" s="601"/>
      <c r="F330" s="601"/>
      <c r="G330" s="601"/>
      <c r="H330" s="601"/>
      <c r="I330" s="601"/>
      <c r="J330" s="601"/>
      <c r="K330" s="601"/>
      <c r="L330" s="601"/>
      <c r="M330" s="601"/>
      <c r="N330" s="601"/>
      <c r="O330" s="601"/>
      <c r="P330" s="601"/>
      <c r="Q330" s="601"/>
      <c r="R330" s="601"/>
      <c r="S330" s="601"/>
      <c r="T330" s="601"/>
      <c r="U330" s="606"/>
      <c r="V330" s="615"/>
      <c r="W330" s="532"/>
      <c r="X330" s="532"/>
      <c r="Y330" s="532"/>
      <c r="Z330" s="532"/>
    </row>
    <row r="331" spans="1:26" ht="12.6" customHeight="1" x14ac:dyDescent="0.25">
      <c r="A331" s="573" t="s">
        <v>89</v>
      </c>
      <c r="B331" s="569" t="s">
        <v>308</v>
      </c>
      <c r="C331" s="569"/>
      <c r="D331" s="580"/>
      <c r="E331" s="602"/>
      <c r="F331" s="570"/>
      <c r="G331" s="570"/>
      <c r="H331" s="570"/>
      <c r="I331" s="570"/>
      <c r="J331" s="570"/>
      <c r="K331" s="570"/>
      <c r="L331" s="570"/>
      <c r="M331" s="570"/>
      <c r="N331" s="570"/>
      <c r="O331" s="570"/>
      <c r="P331" s="570"/>
      <c r="Q331" s="570"/>
      <c r="R331" s="570"/>
      <c r="S331" s="570"/>
      <c r="T331" s="570">
        <f t="shared" ref="T331:T337" si="128">SUM(E331:S331)</f>
        <v>0</v>
      </c>
      <c r="U331" s="603"/>
      <c r="V331" s="599">
        <f>T331-U331</f>
        <v>0</v>
      </c>
      <c r="W331" s="532"/>
      <c r="X331" s="532"/>
      <c r="Y331" s="532"/>
      <c r="Z331" s="532"/>
    </row>
    <row r="332" spans="1:26" ht="12.6" customHeight="1" x14ac:dyDescent="0.25">
      <c r="A332" s="604" t="s">
        <v>90</v>
      </c>
      <c r="B332" s="569" t="s">
        <v>337</v>
      </c>
      <c r="C332" s="569"/>
      <c r="D332" s="580"/>
      <c r="E332" s="602">
        <f>25750+25750</f>
        <v>51500</v>
      </c>
      <c r="F332" s="570">
        <f>'CABAC Non-Fid 2025'!G117</f>
        <v>10000</v>
      </c>
      <c r="G332" s="570"/>
      <c r="H332" s="570"/>
      <c r="I332" s="570"/>
      <c r="J332" s="570"/>
      <c r="K332" s="570"/>
      <c r="L332" s="570"/>
      <c r="M332" s="570"/>
      <c r="N332" s="570"/>
      <c r="O332" s="570"/>
      <c r="P332" s="570"/>
      <c r="Q332" s="570"/>
      <c r="R332" s="570"/>
      <c r="S332" s="570"/>
      <c r="T332" s="570">
        <f t="shared" si="128"/>
        <v>61500</v>
      </c>
      <c r="U332" s="603"/>
      <c r="V332" s="599">
        <f t="shared" ref="V332:V337" si="129">T332-U332</f>
        <v>61500</v>
      </c>
      <c r="W332" s="532"/>
      <c r="X332" s="532"/>
      <c r="Y332" s="532"/>
      <c r="Z332" s="532"/>
    </row>
    <row r="333" spans="1:26" ht="12.6" customHeight="1" x14ac:dyDescent="0.25">
      <c r="A333" s="573"/>
      <c r="B333" s="569" t="s">
        <v>353</v>
      </c>
      <c r="C333" s="569"/>
      <c r="D333" s="580"/>
      <c r="E333" s="602">
        <v>25750</v>
      </c>
      <c r="F333" s="570">
        <f>'CABAC Non-Fid 2025'!G118</f>
        <v>0</v>
      </c>
      <c r="G333" s="570"/>
      <c r="H333" s="570"/>
      <c r="I333" s="570"/>
      <c r="J333" s="570"/>
      <c r="K333" s="570"/>
      <c r="L333" s="570"/>
      <c r="M333" s="570"/>
      <c r="N333" s="570"/>
      <c r="O333" s="570"/>
      <c r="P333" s="570"/>
      <c r="Q333" s="570"/>
      <c r="R333" s="570"/>
      <c r="S333" s="570"/>
      <c r="T333" s="570">
        <f t="shared" si="128"/>
        <v>25750</v>
      </c>
      <c r="U333" s="603"/>
      <c r="V333" s="599">
        <f t="shared" si="129"/>
        <v>25750</v>
      </c>
      <c r="W333" s="532"/>
      <c r="X333" s="532"/>
      <c r="Y333" s="532"/>
      <c r="Z333" s="532"/>
    </row>
    <row r="334" spans="1:26" ht="12.6" customHeight="1" x14ac:dyDescent="0.25">
      <c r="A334" s="573"/>
      <c r="B334" s="569" t="s">
        <v>261</v>
      </c>
      <c r="C334" s="569"/>
      <c r="D334" s="580"/>
      <c r="E334" s="602">
        <v>25750</v>
      </c>
      <c r="F334" s="570">
        <f>'CABAC Non-Fid 2025'!G119</f>
        <v>49900</v>
      </c>
      <c r="G334" s="570"/>
      <c r="H334" s="570"/>
      <c r="I334" s="570"/>
      <c r="J334" s="570"/>
      <c r="K334" s="570"/>
      <c r="L334" s="570"/>
      <c r="M334" s="570"/>
      <c r="N334" s="570"/>
      <c r="O334" s="570"/>
      <c r="P334" s="570"/>
      <c r="Q334" s="570"/>
      <c r="R334" s="570"/>
      <c r="S334" s="570"/>
      <c r="T334" s="570">
        <f t="shared" si="128"/>
        <v>75650</v>
      </c>
      <c r="U334" s="603"/>
      <c r="V334" s="599">
        <f t="shared" si="129"/>
        <v>75650</v>
      </c>
      <c r="W334" s="532"/>
      <c r="X334" s="532"/>
      <c r="Y334" s="532"/>
      <c r="Z334" s="532"/>
    </row>
    <row r="335" spans="1:26" ht="12.6" customHeight="1" x14ac:dyDescent="0.25">
      <c r="A335" s="573"/>
      <c r="B335" s="569" t="s">
        <v>262</v>
      </c>
      <c r="C335" s="569"/>
      <c r="D335" s="580"/>
      <c r="E335" s="605"/>
      <c r="F335" s="570">
        <f>'CABAC Non-Fid 2025'!G120</f>
        <v>0</v>
      </c>
      <c r="G335" s="570"/>
      <c r="H335" s="570"/>
      <c r="I335" s="570"/>
      <c r="J335" s="601"/>
      <c r="K335" s="570"/>
      <c r="L335" s="601"/>
      <c r="M335" s="601"/>
      <c r="N335" s="601"/>
      <c r="O335" s="601"/>
      <c r="P335" s="601"/>
      <c r="Q335" s="601"/>
      <c r="R335" s="601"/>
      <c r="S335" s="601"/>
      <c r="T335" s="601">
        <f t="shared" si="128"/>
        <v>0</v>
      </c>
      <c r="U335" s="606"/>
      <c r="V335" s="623">
        <f t="shared" si="129"/>
        <v>0</v>
      </c>
      <c r="W335" s="532"/>
      <c r="X335" s="532"/>
      <c r="Y335" s="532"/>
      <c r="Z335" s="532"/>
    </row>
    <row r="336" spans="1:26" ht="12.6" customHeight="1" x14ac:dyDescent="0.25">
      <c r="A336" s="573"/>
      <c r="B336" s="569" t="s">
        <v>206</v>
      </c>
      <c r="C336" s="569"/>
      <c r="D336" s="569"/>
      <c r="E336" s="620"/>
      <c r="F336" s="570">
        <f>'CABAC Fiduciary 2025'!F129</f>
        <v>0</v>
      </c>
      <c r="G336" s="570"/>
      <c r="H336" s="570"/>
      <c r="I336" s="570"/>
      <c r="J336" s="621"/>
      <c r="K336" s="1236"/>
      <c r="L336" s="570"/>
      <c r="M336" s="570"/>
      <c r="N336" s="570"/>
      <c r="O336" s="570"/>
      <c r="P336" s="570"/>
      <c r="Q336" s="570"/>
      <c r="R336" s="570"/>
      <c r="S336" s="570"/>
      <c r="T336" s="1236"/>
      <c r="U336" s="603"/>
      <c r="V336" s="623"/>
      <c r="W336" s="532"/>
      <c r="X336" s="532"/>
      <c r="Y336" s="532"/>
      <c r="Z336" s="532"/>
    </row>
    <row r="337" spans="1:26" ht="12.6" customHeight="1" thickBot="1" x14ac:dyDescent="0.3">
      <c r="A337" s="577"/>
      <c r="B337" s="569" t="s">
        <v>171</v>
      </c>
      <c r="C337" s="569"/>
      <c r="D337" s="569"/>
      <c r="E337" s="1280"/>
      <c r="F337" s="570"/>
      <c r="G337" s="570"/>
      <c r="H337" s="570"/>
      <c r="I337" s="570"/>
      <c r="J337" s="631"/>
      <c r="K337" s="570"/>
      <c r="L337" s="601"/>
      <c r="M337" s="601"/>
      <c r="N337" s="601"/>
      <c r="O337" s="601"/>
      <c r="P337" s="601"/>
      <c r="Q337" s="601"/>
      <c r="R337" s="601"/>
      <c r="S337" s="601"/>
      <c r="T337" s="613">
        <f t="shared" si="128"/>
        <v>0</v>
      </c>
      <c r="U337" s="634"/>
      <c r="V337" s="599">
        <f t="shared" si="129"/>
        <v>0</v>
      </c>
      <c r="W337" s="532"/>
      <c r="X337" s="532"/>
      <c r="Y337" s="532"/>
      <c r="Z337" s="532"/>
    </row>
    <row r="338" spans="1:26" ht="12.6" customHeight="1" thickBot="1" x14ac:dyDescent="0.3">
      <c r="A338" s="573"/>
      <c r="B338" s="581" t="s">
        <v>346</v>
      </c>
      <c r="C338" s="569"/>
      <c r="D338" s="580"/>
      <c r="E338" s="582">
        <f>SUM(E331:E337)</f>
        <v>103000</v>
      </c>
      <c r="F338" s="582">
        <f>SUM(F332:F337)</f>
        <v>59900</v>
      </c>
      <c r="G338" s="582">
        <f t="shared" ref="G338:T338" si="130">SUM(G331:G337)</f>
        <v>0</v>
      </c>
      <c r="H338" s="582">
        <f>SUM(H331:H337)</f>
        <v>0</v>
      </c>
      <c r="I338" s="582">
        <f t="shared" si="130"/>
        <v>0</v>
      </c>
      <c r="J338" s="582">
        <f>SUM(J331:J337)</f>
        <v>0</v>
      </c>
      <c r="K338" s="582">
        <f t="shared" si="130"/>
        <v>0</v>
      </c>
      <c r="L338" s="582">
        <f t="shared" si="130"/>
        <v>0</v>
      </c>
      <c r="M338" s="582">
        <f t="shared" si="130"/>
        <v>0</v>
      </c>
      <c r="N338" s="582">
        <f t="shared" si="130"/>
        <v>0</v>
      </c>
      <c r="O338" s="582">
        <f t="shared" si="130"/>
        <v>0</v>
      </c>
      <c r="P338" s="582">
        <f t="shared" si="130"/>
        <v>0</v>
      </c>
      <c r="Q338" s="582">
        <f t="shared" si="130"/>
        <v>0</v>
      </c>
      <c r="R338" s="582">
        <f t="shared" si="130"/>
        <v>0</v>
      </c>
      <c r="S338" s="582">
        <f t="shared" si="130"/>
        <v>0</v>
      </c>
      <c r="T338" s="582">
        <f t="shared" si="130"/>
        <v>162900</v>
      </c>
      <c r="U338" s="582">
        <f>SUM(U331:U337)</f>
        <v>0</v>
      </c>
      <c r="V338" s="582">
        <f>SUM(V331:V337)</f>
        <v>162900</v>
      </c>
      <c r="W338" s="532"/>
      <c r="X338" s="532"/>
      <c r="Y338" s="532"/>
      <c r="Z338" s="532"/>
    </row>
    <row r="339" spans="1:26" ht="12.6" customHeight="1" x14ac:dyDescent="0.25">
      <c r="A339" s="577"/>
      <c r="B339" s="581"/>
      <c r="C339" s="569"/>
      <c r="D339" s="583" t="s">
        <v>347</v>
      </c>
      <c r="E339" s="730">
        <f>E337</f>
        <v>0</v>
      </c>
      <c r="F339" s="730">
        <f t="shared" ref="F339:V339" si="131">F337</f>
        <v>0</v>
      </c>
      <c r="G339" s="584">
        <f t="shared" si="131"/>
        <v>0</v>
      </c>
      <c r="H339" s="584">
        <f>H337</f>
        <v>0</v>
      </c>
      <c r="I339" s="584">
        <f t="shared" si="131"/>
        <v>0</v>
      </c>
      <c r="J339" s="584">
        <f>J337</f>
        <v>0</v>
      </c>
      <c r="K339" s="584">
        <f t="shared" si="131"/>
        <v>0</v>
      </c>
      <c r="L339" s="584">
        <f t="shared" si="131"/>
        <v>0</v>
      </c>
      <c r="M339" s="584">
        <f t="shared" si="131"/>
        <v>0</v>
      </c>
      <c r="N339" s="584">
        <f t="shared" si="131"/>
        <v>0</v>
      </c>
      <c r="O339" s="584">
        <f t="shared" si="131"/>
        <v>0</v>
      </c>
      <c r="P339" s="584">
        <f t="shared" si="131"/>
        <v>0</v>
      </c>
      <c r="Q339" s="584">
        <f t="shared" si="131"/>
        <v>0</v>
      </c>
      <c r="R339" s="584">
        <f t="shared" si="131"/>
        <v>0</v>
      </c>
      <c r="S339" s="584">
        <f t="shared" si="131"/>
        <v>0</v>
      </c>
      <c r="T339" s="730">
        <f t="shared" si="131"/>
        <v>0</v>
      </c>
      <c r="U339" s="730">
        <f t="shared" si="131"/>
        <v>0</v>
      </c>
      <c r="V339" s="730">
        <f t="shared" si="131"/>
        <v>0</v>
      </c>
      <c r="W339" s="532"/>
      <c r="X339" s="532"/>
      <c r="Y339" s="532"/>
      <c r="Z339" s="532"/>
    </row>
    <row r="340" spans="1:26" ht="12.6" customHeight="1" x14ac:dyDescent="0.25">
      <c r="A340" s="577"/>
      <c r="B340" s="581"/>
      <c r="C340" s="569"/>
      <c r="D340" s="583" t="s">
        <v>348</v>
      </c>
      <c r="E340" s="730">
        <f>SUM(E331:E335)</f>
        <v>103000</v>
      </c>
      <c r="F340" s="730">
        <f t="shared" ref="F340:V340" si="132">SUM(F331:F335)</f>
        <v>59900</v>
      </c>
      <c r="G340" s="584">
        <f t="shared" si="132"/>
        <v>0</v>
      </c>
      <c r="H340" s="584">
        <f>SUM(H331:H335)</f>
        <v>0</v>
      </c>
      <c r="I340" s="584">
        <f t="shared" si="132"/>
        <v>0</v>
      </c>
      <c r="J340" s="584">
        <f>SUM(J331:J335)</f>
        <v>0</v>
      </c>
      <c r="K340" s="584">
        <f t="shared" si="132"/>
        <v>0</v>
      </c>
      <c r="L340" s="584">
        <f t="shared" si="132"/>
        <v>0</v>
      </c>
      <c r="M340" s="584">
        <f t="shared" si="132"/>
        <v>0</v>
      </c>
      <c r="N340" s="584">
        <f t="shared" si="132"/>
        <v>0</v>
      </c>
      <c r="O340" s="584">
        <f t="shared" si="132"/>
        <v>0</v>
      </c>
      <c r="P340" s="584">
        <f t="shared" si="132"/>
        <v>0</v>
      </c>
      <c r="Q340" s="584">
        <f t="shared" si="132"/>
        <v>0</v>
      </c>
      <c r="R340" s="584">
        <f t="shared" si="132"/>
        <v>0</v>
      </c>
      <c r="S340" s="584">
        <f t="shared" si="132"/>
        <v>0</v>
      </c>
      <c r="T340" s="730">
        <f t="shared" si="132"/>
        <v>162900</v>
      </c>
      <c r="U340" s="730">
        <f t="shared" si="132"/>
        <v>0</v>
      </c>
      <c r="V340" s="730">
        <f t="shared" si="132"/>
        <v>162900</v>
      </c>
      <c r="W340" s="532"/>
      <c r="X340" s="532"/>
      <c r="Y340" s="532"/>
      <c r="Z340" s="532"/>
    </row>
    <row r="341" spans="1:26" ht="12.6" customHeight="1" x14ac:dyDescent="0.25">
      <c r="A341" s="577"/>
      <c r="B341" s="581"/>
      <c r="C341" s="569"/>
      <c r="D341" s="580"/>
      <c r="E341" s="730">
        <f>SUM(E339:E340)</f>
        <v>103000</v>
      </c>
      <c r="F341" s="730">
        <f t="shared" ref="F341:V341" si="133">SUM(F339:F340)</f>
        <v>59900</v>
      </c>
      <c r="G341" s="584">
        <f t="shared" si="133"/>
        <v>0</v>
      </c>
      <c r="H341" s="584">
        <f>SUM(H339:H340)</f>
        <v>0</v>
      </c>
      <c r="I341" s="584">
        <f t="shared" si="133"/>
        <v>0</v>
      </c>
      <c r="J341" s="584">
        <f>SUM(J339:J340)</f>
        <v>0</v>
      </c>
      <c r="K341" s="584">
        <f t="shared" si="133"/>
        <v>0</v>
      </c>
      <c r="L341" s="584">
        <f t="shared" si="133"/>
        <v>0</v>
      </c>
      <c r="M341" s="584">
        <f t="shared" si="133"/>
        <v>0</v>
      </c>
      <c r="N341" s="584">
        <f t="shared" si="133"/>
        <v>0</v>
      </c>
      <c r="O341" s="584">
        <f t="shared" si="133"/>
        <v>0</v>
      </c>
      <c r="P341" s="584">
        <f t="shared" si="133"/>
        <v>0</v>
      </c>
      <c r="Q341" s="584">
        <f t="shared" si="133"/>
        <v>0</v>
      </c>
      <c r="R341" s="584">
        <f t="shared" si="133"/>
        <v>0</v>
      </c>
      <c r="S341" s="584">
        <f t="shared" si="133"/>
        <v>0</v>
      </c>
      <c r="T341" s="730">
        <f t="shared" si="133"/>
        <v>162900</v>
      </c>
      <c r="U341" s="730">
        <f t="shared" si="133"/>
        <v>0</v>
      </c>
      <c r="V341" s="730">
        <f t="shared" si="133"/>
        <v>162900</v>
      </c>
      <c r="W341" s="532"/>
      <c r="X341" s="532"/>
      <c r="Y341" s="532"/>
      <c r="Z341" s="532"/>
    </row>
    <row r="342" spans="1:26" ht="12.6" customHeight="1" x14ac:dyDescent="0.25">
      <c r="A342" s="577"/>
      <c r="B342" s="569"/>
      <c r="C342" s="569"/>
      <c r="D342" s="580"/>
      <c r="E342" s="1232">
        <f>E341-E338</f>
        <v>0</v>
      </c>
      <c r="F342" s="1232">
        <f t="shared" ref="F342:V342" si="134">F341-F338</f>
        <v>0</v>
      </c>
      <c r="G342" s="1232">
        <f t="shared" si="134"/>
        <v>0</v>
      </c>
      <c r="H342" s="1232">
        <f>H341-H338</f>
        <v>0</v>
      </c>
      <c r="I342" s="1232">
        <f t="shared" si="134"/>
        <v>0</v>
      </c>
      <c r="J342" s="1232">
        <f>J341-J338</f>
        <v>0</v>
      </c>
      <c r="K342" s="1232">
        <f t="shared" si="134"/>
        <v>0</v>
      </c>
      <c r="L342" s="1232">
        <f t="shared" si="134"/>
        <v>0</v>
      </c>
      <c r="M342" s="1232">
        <f t="shared" si="134"/>
        <v>0</v>
      </c>
      <c r="N342" s="1232">
        <f t="shared" si="134"/>
        <v>0</v>
      </c>
      <c r="O342" s="1232">
        <f t="shared" si="134"/>
        <v>0</v>
      </c>
      <c r="P342" s="1232">
        <f t="shared" si="134"/>
        <v>0</v>
      </c>
      <c r="Q342" s="1232">
        <f t="shared" si="134"/>
        <v>0</v>
      </c>
      <c r="R342" s="1232">
        <f t="shared" si="134"/>
        <v>0</v>
      </c>
      <c r="S342" s="1232">
        <f t="shared" si="134"/>
        <v>0</v>
      </c>
      <c r="T342" s="1232">
        <f t="shared" si="134"/>
        <v>0</v>
      </c>
      <c r="U342" s="1232">
        <f t="shared" si="134"/>
        <v>0</v>
      </c>
      <c r="V342" s="1232">
        <f t="shared" si="134"/>
        <v>0</v>
      </c>
    </row>
    <row r="343" spans="1:26" ht="12.6" customHeight="1" x14ac:dyDescent="0.25">
      <c r="A343" s="573"/>
      <c r="B343" s="569"/>
      <c r="C343" s="569"/>
      <c r="D343" s="580"/>
      <c r="E343" s="613"/>
      <c r="F343" s="613"/>
      <c r="G343" s="613"/>
      <c r="H343" s="613"/>
      <c r="I343" s="613"/>
      <c r="J343" s="613"/>
      <c r="K343" s="613"/>
      <c r="L343" s="613"/>
      <c r="M343" s="613"/>
      <c r="N343" s="613"/>
      <c r="O343" s="613"/>
      <c r="P343" s="613"/>
      <c r="Q343" s="613"/>
      <c r="R343" s="613"/>
      <c r="S343" s="613"/>
      <c r="T343" s="613"/>
      <c r="U343" s="613"/>
      <c r="V343" s="614"/>
      <c r="W343" s="532"/>
      <c r="X343" s="532"/>
      <c r="Y343" s="532"/>
      <c r="Z343" s="532"/>
    </row>
    <row r="344" spans="1:26" ht="12.6" customHeight="1" thickBot="1" x14ac:dyDescent="0.3">
      <c r="A344" s="573" t="s">
        <v>15</v>
      </c>
      <c r="B344" s="569" t="s">
        <v>144</v>
      </c>
      <c r="C344" s="569"/>
      <c r="D344" s="580"/>
      <c r="E344" s="605">
        <v>250000</v>
      </c>
      <c r="F344" s="601">
        <f>'CABAC Non-Fid 2025'!G124</f>
        <v>0</v>
      </c>
      <c r="G344" s="601"/>
      <c r="H344" s="601"/>
      <c r="I344" s="601">
        <v>1000000</v>
      </c>
      <c r="J344" s="601"/>
      <c r="K344" s="570"/>
      <c r="L344" s="570"/>
      <c r="M344" s="570"/>
      <c r="N344" s="570"/>
      <c r="O344" s="570"/>
      <c r="P344" s="570"/>
      <c r="Q344" s="570"/>
      <c r="R344" s="570"/>
      <c r="S344" s="570"/>
      <c r="T344" s="601">
        <f>SUM(E344:S344)</f>
        <v>1250000</v>
      </c>
      <c r="U344" s="606"/>
      <c r="V344" s="615">
        <f>T344-U344</f>
        <v>1250000</v>
      </c>
      <c r="W344" s="532"/>
      <c r="X344" s="532"/>
      <c r="Y344" s="532"/>
      <c r="Z344" s="532"/>
    </row>
    <row r="345" spans="1:26" ht="12.6" customHeight="1" thickBot="1" x14ac:dyDescent="0.3">
      <c r="A345" s="604" t="s">
        <v>54</v>
      </c>
      <c r="B345" s="581" t="s">
        <v>346</v>
      </c>
      <c r="C345" s="569"/>
      <c r="D345" s="580"/>
      <c r="E345" s="582">
        <f>SUM(E344)</f>
        <v>250000</v>
      </c>
      <c r="F345" s="582">
        <f t="shared" ref="F345:V345" si="135">SUM(F344)</f>
        <v>0</v>
      </c>
      <c r="G345" s="582">
        <f t="shared" si="135"/>
        <v>0</v>
      </c>
      <c r="H345" s="582">
        <f>SUM(H344)</f>
        <v>0</v>
      </c>
      <c r="I345" s="582">
        <f t="shared" si="135"/>
        <v>1000000</v>
      </c>
      <c r="J345" s="582">
        <f>SUM(J344)</f>
        <v>0</v>
      </c>
      <c r="K345" s="582">
        <f t="shared" si="135"/>
        <v>0</v>
      </c>
      <c r="L345" s="582">
        <f t="shared" si="135"/>
        <v>0</v>
      </c>
      <c r="M345" s="582">
        <f t="shared" si="135"/>
        <v>0</v>
      </c>
      <c r="N345" s="582">
        <f t="shared" si="135"/>
        <v>0</v>
      </c>
      <c r="O345" s="582">
        <f t="shared" si="135"/>
        <v>0</v>
      </c>
      <c r="P345" s="582">
        <f t="shared" si="135"/>
        <v>0</v>
      </c>
      <c r="Q345" s="582">
        <f t="shared" si="135"/>
        <v>0</v>
      </c>
      <c r="R345" s="582">
        <f t="shared" si="135"/>
        <v>0</v>
      </c>
      <c r="S345" s="582">
        <f t="shared" si="135"/>
        <v>0</v>
      </c>
      <c r="T345" s="582">
        <f t="shared" si="135"/>
        <v>1250000</v>
      </c>
      <c r="U345" s="582">
        <f t="shared" si="135"/>
        <v>0</v>
      </c>
      <c r="V345" s="616">
        <f t="shared" si="135"/>
        <v>1250000</v>
      </c>
      <c r="W345" s="532"/>
      <c r="X345" s="532"/>
      <c r="Y345" s="532"/>
      <c r="Z345" s="532"/>
    </row>
    <row r="346" spans="1:26" ht="12.6" customHeight="1" x14ac:dyDescent="0.25">
      <c r="A346" s="577"/>
      <c r="B346" s="581"/>
      <c r="C346" s="569"/>
      <c r="D346" s="583" t="s">
        <v>347</v>
      </c>
      <c r="E346" s="730">
        <f>E344</f>
        <v>250000</v>
      </c>
      <c r="F346" s="730">
        <f>F344</f>
        <v>0</v>
      </c>
      <c r="G346" s="584"/>
      <c r="H346" s="584"/>
      <c r="I346" s="584"/>
      <c r="J346" s="584"/>
      <c r="K346" s="584"/>
      <c r="L346" s="584"/>
      <c r="M346" s="584"/>
      <c r="N346" s="584"/>
      <c r="O346" s="584"/>
      <c r="P346" s="584"/>
      <c r="Q346" s="584"/>
      <c r="R346" s="584"/>
      <c r="S346" s="584"/>
      <c r="T346" s="730">
        <f>T344</f>
        <v>1250000</v>
      </c>
      <c r="U346" s="730">
        <f t="shared" ref="U346:V346" si="136">U344</f>
        <v>0</v>
      </c>
      <c r="V346" s="730">
        <f t="shared" si="136"/>
        <v>1250000</v>
      </c>
      <c r="W346" s="532"/>
      <c r="X346" s="532"/>
      <c r="Y346" s="532"/>
      <c r="Z346" s="532"/>
    </row>
    <row r="347" spans="1:26" ht="12.6" customHeight="1" x14ac:dyDescent="0.25">
      <c r="A347" s="577"/>
      <c r="B347" s="581"/>
      <c r="C347" s="569"/>
      <c r="D347" s="583" t="s">
        <v>348</v>
      </c>
      <c r="E347" s="730"/>
      <c r="F347" s="730">
        <f t="shared" ref="F347:U347" si="137">F344</f>
        <v>0</v>
      </c>
      <c r="G347" s="584">
        <f t="shared" si="137"/>
        <v>0</v>
      </c>
      <c r="H347" s="584">
        <f>H344</f>
        <v>0</v>
      </c>
      <c r="I347" s="584">
        <f t="shared" si="137"/>
        <v>1000000</v>
      </c>
      <c r="J347" s="584">
        <f>J344</f>
        <v>0</v>
      </c>
      <c r="K347" s="584">
        <f t="shared" si="137"/>
        <v>0</v>
      </c>
      <c r="L347" s="584">
        <f t="shared" si="137"/>
        <v>0</v>
      </c>
      <c r="M347" s="584">
        <f t="shared" si="137"/>
        <v>0</v>
      </c>
      <c r="N347" s="584">
        <f t="shared" si="137"/>
        <v>0</v>
      </c>
      <c r="O347" s="584">
        <f t="shared" si="137"/>
        <v>0</v>
      </c>
      <c r="P347" s="584">
        <f t="shared" si="137"/>
        <v>0</v>
      </c>
      <c r="Q347" s="584">
        <f t="shared" si="137"/>
        <v>0</v>
      </c>
      <c r="R347" s="584">
        <f t="shared" si="137"/>
        <v>0</v>
      </c>
      <c r="S347" s="584">
        <f t="shared" si="137"/>
        <v>0</v>
      </c>
      <c r="T347" s="730"/>
      <c r="U347" s="730">
        <f t="shared" si="137"/>
        <v>0</v>
      </c>
      <c r="V347" s="730"/>
      <c r="W347" s="532"/>
      <c r="X347" s="532"/>
      <c r="Y347" s="532"/>
      <c r="Z347" s="532"/>
    </row>
    <row r="348" spans="1:26" ht="12.6" customHeight="1" x14ac:dyDescent="0.25">
      <c r="A348" s="577"/>
      <c r="B348" s="581"/>
      <c r="C348" s="569"/>
      <c r="D348" s="580"/>
      <c r="E348" s="730">
        <f>SUM(E346:E347)</f>
        <v>250000</v>
      </c>
      <c r="F348" s="730">
        <f t="shared" ref="F348:V348" si="138">SUM(F346:F347)</f>
        <v>0</v>
      </c>
      <c r="G348" s="584">
        <f t="shared" si="138"/>
        <v>0</v>
      </c>
      <c r="H348" s="584">
        <f>SUM(H346:H347)</f>
        <v>0</v>
      </c>
      <c r="I348" s="584">
        <f t="shared" si="138"/>
        <v>1000000</v>
      </c>
      <c r="J348" s="584">
        <f>SUM(J346:J347)</f>
        <v>0</v>
      </c>
      <c r="K348" s="584">
        <f t="shared" si="138"/>
        <v>0</v>
      </c>
      <c r="L348" s="584">
        <f t="shared" si="138"/>
        <v>0</v>
      </c>
      <c r="M348" s="584">
        <f t="shared" si="138"/>
        <v>0</v>
      </c>
      <c r="N348" s="584">
        <f t="shared" si="138"/>
        <v>0</v>
      </c>
      <c r="O348" s="584">
        <f t="shared" si="138"/>
        <v>0</v>
      </c>
      <c r="P348" s="584">
        <f t="shared" si="138"/>
        <v>0</v>
      </c>
      <c r="Q348" s="584">
        <f t="shared" si="138"/>
        <v>0</v>
      </c>
      <c r="R348" s="584">
        <f t="shared" si="138"/>
        <v>0</v>
      </c>
      <c r="S348" s="584">
        <f t="shared" si="138"/>
        <v>0</v>
      </c>
      <c r="T348" s="730">
        <f t="shared" si="138"/>
        <v>1250000</v>
      </c>
      <c r="U348" s="730">
        <f t="shared" si="138"/>
        <v>0</v>
      </c>
      <c r="V348" s="730">
        <f t="shared" si="138"/>
        <v>1250000</v>
      </c>
      <c r="W348" s="532"/>
      <c r="X348" s="532"/>
      <c r="Y348" s="532"/>
      <c r="Z348" s="532"/>
    </row>
    <row r="349" spans="1:26" ht="12.6" customHeight="1" x14ac:dyDescent="0.25">
      <c r="A349" s="577"/>
      <c r="B349" s="569"/>
      <c r="C349" s="569"/>
      <c r="D349" s="580"/>
      <c r="E349" s="586">
        <f>E348-E345</f>
        <v>0</v>
      </c>
      <c r="F349" s="586">
        <f t="shared" ref="F349:V349" si="139">F348-F345</f>
        <v>0</v>
      </c>
      <c r="G349" s="586">
        <f t="shared" si="139"/>
        <v>0</v>
      </c>
      <c r="H349" s="586">
        <f>H348-H345</f>
        <v>0</v>
      </c>
      <c r="I349" s="586">
        <f t="shared" si="139"/>
        <v>0</v>
      </c>
      <c r="J349" s="586">
        <f>J348-J345</f>
        <v>0</v>
      </c>
      <c r="K349" s="586">
        <f t="shared" si="139"/>
        <v>0</v>
      </c>
      <c r="L349" s="586">
        <f t="shared" si="139"/>
        <v>0</v>
      </c>
      <c r="M349" s="586">
        <f t="shared" si="139"/>
        <v>0</v>
      </c>
      <c r="N349" s="586">
        <f t="shared" si="139"/>
        <v>0</v>
      </c>
      <c r="O349" s="586">
        <f t="shared" si="139"/>
        <v>0</v>
      </c>
      <c r="P349" s="586">
        <f t="shared" si="139"/>
        <v>0</v>
      </c>
      <c r="Q349" s="586">
        <f t="shared" si="139"/>
        <v>0</v>
      </c>
      <c r="R349" s="586">
        <f t="shared" si="139"/>
        <v>0</v>
      </c>
      <c r="S349" s="586">
        <f t="shared" si="139"/>
        <v>0</v>
      </c>
      <c r="T349" s="586">
        <f t="shared" si="139"/>
        <v>0</v>
      </c>
      <c r="U349" s="586">
        <f t="shared" si="139"/>
        <v>0</v>
      </c>
      <c r="V349" s="586">
        <f t="shared" si="139"/>
        <v>0</v>
      </c>
    </row>
    <row r="350" spans="1:26" ht="12.6" customHeight="1" x14ac:dyDescent="0.25">
      <c r="A350" s="684"/>
      <c r="B350" s="685"/>
      <c r="C350" s="685"/>
      <c r="D350" s="1257"/>
      <c r="E350" s="599"/>
      <c r="F350" s="570"/>
      <c r="G350" s="570"/>
      <c r="H350" s="570"/>
      <c r="I350" s="570"/>
      <c r="J350" s="570"/>
      <c r="K350" s="570"/>
      <c r="L350" s="570"/>
      <c r="M350" s="570"/>
      <c r="N350" s="570"/>
      <c r="O350" s="570"/>
      <c r="P350" s="570"/>
      <c r="Q350" s="570"/>
      <c r="R350" s="570"/>
      <c r="S350" s="570"/>
      <c r="T350" s="570"/>
      <c r="U350" s="570"/>
      <c r="V350" s="599"/>
      <c r="W350" s="532"/>
      <c r="X350" s="532"/>
      <c r="Y350" s="532"/>
      <c r="Z350" s="532"/>
    </row>
    <row r="351" spans="1:26" ht="12.6" customHeight="1" x14ac:dyDescent="0.25">
      <c r="A351" s="611" t="s">
        <v>388</v>
      </c>
      <c r="B351" s="612" t="s">
        <v>261</v>
      </c>
      <c r="C351" s="612"/>
      <c r="D351" s="617"/>
      <c r="E351" s="602"/>
      <c r="F351" s="599">
        <f>'CABAC Non-Fid 2025'!G128</f>
        <v>0</v>
      </c>
      <c r="G351" s="570"/>
      <c r="H351" s="570"/>
      <c r="I351" s="570"/>
      <c r="J351" s="570"/>
      <c r="K351" s="570"/>
      <c r="L351" s="570"/>
      <c r="M351" s="570"/>
      <c r="N351" s="570"/>
      <c r="O351" s="570"/>
      <c r="P351" s="570"/>
      <c r="Q351" s="570"/>
      <c r="R351" s="570"/>
      <c r="S351" s="570"/>
      <c r="T351" s="570">
        <f>SUM(E351:S351)</f>
        <v>0</v>
      </c>
      <c r="U351" s="603"/>
      <c r="V351" s="599">
        <f>T351-U351</f>
        <v>0</v>
      </c>
      <c r="W351" s="532"/>
      <c r="X351" s="532"/>
      <c r="Y351" s="532"/>
      <c r="Z351" s="532"/>
    </row>
    <row r="352" spans="1:26" ht="12.6" customHeight="1" thickBot="1" x14ac:dyDescent="0.3">
      <c r="A352" s="604" t="s">
        <v>55</v>
      </c>
      <c r="B352" s="569" t="s">
        <v>389</v>
      </c>
      <c r="C352" s="569"/>
      <c r="D352" s="580"/>
      <c r="E352" s="605"/>
      <c r="F352" s="601">
        <f>'CABAC Non-Fid 2025'!G129</f>
        <v>0</v>
      </c>
      <c r="G352" s="601"/>
      <c r="H352" s="601"/>
      <c r="I352" s="601"/>
      <c r="J352" s="601"/>
      <c r="K352" s="601"/>
      <c r="L352" s="601"/>
      <c r="M352" s="601"/>
      <c r="N352" s="601"/>
      <c r="O352" s="601"/>
      <c r="P352" s="601"/>
      <c r="Q352" s="601"/>
      <c r="R352" s="601"/>
      <c r="S352" s="601"/>
      <c r="T352" s="601">
        <f>SUM(E352:S352)</f>
        <v>0</v>
      </c>
      <c r="U352" s="606"/>
      <c r="V352" s="615">
        <f>T352-U352</f>
        <v>0</v>
      </c>
      <c r="W352" s="532"/>
      <c r="X352" s="532"/>
      <c r="Y352" s="532"/>
      <c r="Z352" s="532"/>
    </row>
    <row r="353" spans="1:26" ht="12.6" customHeight="1" thickBot="1" x14ac:dyDescent="0.3">
      <c r="A353" s="573"/>
      <c r="B353" s="581" t="s">
        <v>346</v>
      </c>
      <c r="C353" s="569"/>
      <c r="D353" s="580"/>
      <c r="E353" s="582">
        <f>SUM(E351:E352)</f>
        <v>0</v>
      </c>
      <c r="F353" s="582">
        <f t="shared" ref="F353:V353" si="140">SUM(F351:F352)</f>
        <v>0</v>
      </c>
      <c r="G353" s="582">
        <f t="shared" si="140"/>
        <v>0</v>
      </c>
      <c r="H353" s="582">
        <f>SUM(H351:H352)</f>
        <v>0</v>
      </c>
      <c r="I353" s="582">
        <f t="shared" si="140"/>
        <v>0</v>
      </c>
      <c r="J353" s="582">
        <f>SUM(J351:J352)</f>
        <v>0</v>
      </c>
      <c r="K353" s="582">
        <f t="shared" si="140"/>
        <v>0</v>
      </c>
      <c r="L353" s="582">
        <f t="shared" si="140"/>
        <v>0</v>
      </c>
      <c r="M353" s="582">
        <f t="shared" si="140"/>
        <v>0</v>
      </c>
      <c r="N353" s="582">
        <f t="shared" si="140"/>
        <v>0</v>
      </c>
      <c r="O353" s="582">
        <f t="shared" si="140"/>
        <v>0</v>
      </c>
      <c r="P353" s="582">
        <f t="shared" si="140"/>
        <v>0</v>
      </c>
      <c r="Q353" s="582">
        <f t="shared" si="140"/>
        <v>0</v>
      </c>
      <c r="R353" s="582">
        <f t="shared" si="140"/>
        <v>0</v>
      </c>
      <c r="S353" s="582">
        <f t="shared" si="140"/>
        <v>0</v>
      </c>
      <c r="T353" s="582">
        <f t="shared" si="140"/>
        <v>0</v>
      </c>
      <c r="U353" s="582">
        <f t="shared" si="140"/>
        <v>0</v>
      </c>
      <c r="V353" s="582">
        <f t="shared" si="140"/>
        <v>0</v>
      </c>
      <c r="W353" s="532"/>
      <c r="X353" s="532"/>
      <c r="Y353" s="532"/>
      <c r="Z353" s="532"/>
    </row>
    <row r="354" spans="1:26" ht="12.6" customHeight="1" x14ac:dyDescent="0.25">
      <c r="A354" s="577"/>
      <c r="B354" s="581"/>
      <c r="C354" s="569"/>
      <c r="D354" s="583" t="s">
        <v>347</v>
      </c>
      <c r="E354" s="584"/>
      <c r="F354" s="584"/>
      <c r="G354" s="584"/>
      <c r="H354" s="584"/>
      <c r="I354" s="584"/>
      <c r="J354" s="584"/>
      <c r="K354" s="584"/>
      <c r="L354" s="584"/>
      <c r="M354" s="584"/>
      <c r="N354" s="584"/>
      <c r="O354" s="584"/>
      <c r="P354" s="584"/>
      <c r="Q354" s="584"/>
      <c r="R354" s="584"/>
      <c r="S354" s="584"/>
      <c r="T354" s="584"/>
      <c r="U354" s="584"/>
      <c r="V354" s="584"/>
      <c r="W354" s="532"/>
      <c r="X354" s="532"/>
      <c r="Y354" s="532"/>
      <c r="Z354" s="532"/>
    </row>
    <row r="355" spans="1:26" ht="12.6" customHeight="1" x14ac:dyDescent="0.25">
      <c r="A355" s="577"/>
      <c r="B355" s="581"/>
      <c r="C355" s="569"/>
      <c r="D355" s="583" t="s">
        <v>348</v>
      </c>
      <c r="E355" s="584">
        <f>SUM(E351:E352)</f>
        <v>0</v>
      </c>
      <c r="F355" s="584">
        <f>SUM(F351:F352)</f>
        <v>0</v>
      </c>
      <c r="G355" s="1240">
        <f t="shared" ref="G355:V355" si="141">SUM(G351:G352)</f>
        <v>0</v>
      </c>
      <c r="H355" s="584">
        <f>SUM(H351:H352)</f>
        <v>0</v>
      </c>
      <c r="I355" s="584">
        <f t="shared" si="141"/>
        <v>0</v>
      </c>
      <c r="J355" s="584">
        <f>SUM(J351:J352)</f>
        <v>0</v>
      </c>
      <c r="K355" s="584">
        <f t="shared" si="141"/>
        <v>0</v>
      </c>
      <c r="L355" s="584">
        <f t="shared" si="141"/>
        <v>0</v>
      </c>
      <c r="M355" s="584">
        <f t="shared" si="141"/>
        <v>0</v>
      </c>
      <c r="N355" s="584">
        <f t="shared" si="141"/>
        <v>0</v>
      </c>
      <c r="O355" s="584">
        <f t="shared" si="141"/>
        <v>0</v>
      </c>
      <c r="P355" s="584">
        <f t="shared" si="141"/>
        <v>0</v>
      </c>
      <c r="Q355" s="584">
        <f t="shared" si="141"/>
        <v>0</v>
      </c>
      <c r="R355" s="584">
        <f t="shared" si="141"/>
        <v>0</v>
      </c>
      <c r="S355" s="584">
        <f t="shared" si="141"/>
        <v>0</v>
      </c>
      <c r="T355" s="584">
        <f t="shared" si="141"/>
        <v>0</v>
      </c>
      <c r="U355" s="584">
        <f t="shared" si="141"/>
        <v>0</v>
      </c>
      <c r="V355" s="584">
        <f t="shared" si="141"/>
        <v>0</v>
      </c>
      <c r="W355" s="532"/>
      <c r="X355" s="532"/>
      <c r="Y355" s="532"/>
      <c r="Z355" s="532"/>
    </row>
    <row r="356" spans="1:26" ht="12.6" customHeight="1" x14ac:dyDescent="0.25">
      <c r="A356" s="577"/>
      <c r="B356" s="581"/>
      <c r="C356" s="569"/>
      <c r="D356" s="580"/>
      <c r="E356" s="584">
        <f>SUM(E354:E355)</f>
        <v>0</v>
      </c>
      <c r="F356" s="584">
        <f t="shared" ref="F356:V356" si="142">SUM(F354:F355)</f>
        <v>0</v>
      </c>
      <c r="G356" s="584">
        <f t="shared" si="142"/>
        <v>0</v>
      </c>
      <c r="H356" s="584">
        <f>SUM(H354:H355)</f>
        <v>0</v>
      </c>
      <c r="I356" s="584">
        <f t="shared" si="142"/>
        <v>0</v>
      </c>
      <c r="J356" s="584">
        <f>SUM(J354:J355)</f>
        <v>0</v>
      </c>
      <c r="K356" s="584">
        <f t="shared" si="142"/>
        <v>0</v>
      </c>
      <c r="L356" s="584">
        <f t="shared" si="142"/>
        <v>0</v>
      </c>
      <c r="M356" s="584">
        <f t="shared" si="142"/>
        <v>0</v>
      </c>
      <c r="N356" s="584">
        <f t="shared" si="142"/>
        <v>0</v>
      </c>
      <c r="O356" s="584">
        <f t="shared" si="142"/>
        <v>0</v>
      </c>
      <c r="P356" s="584">
        <f t="shared" si="142"/>
        <v>0</v>
      </c>
      <c r="Q356" s="584">
        <f t="shared" si="142"/>
        <v>0</v>
      </c>
      <c r="R356" s="584">
        <f t="shared" si="142"/>
        <v>0</v>
      </c>
      <c r="S356" s="584">
        <f t="shared" si="142"/>
        <v>0</v>
      </c>
      <c r="T356" s="584">
        <f t="shared" si="142"/>
        <v>0</v>
      </c>
      <c r="U356" s="584">
        <f t="shared" si="142"/>
        <v>0</v>
      </c>
      <c r="V356" s="584">
        <f t="shared" si="142"/>
        <v>0</v>
      </c>
      <c r="W356" s="532"/>
      <c r="X356" s="532"/>
      <c r="Y356" s="532"/>
      <c r="Z356" s="532"/>
    </row>
    <row r="357" spans="1:26" ht="12.6" customHeight="1" x14ac:dyDescent="0.25">
      <c r="A357" s="577"/>
      <c r="B357" s="569"/>
      <c r="C357" s="569"/>
      <c r="D357" s="580"/>
      <c r="E357" s="1239">
        <f>E356-E353</f>
        <v>0</v>
      </c>
      <c r="F357" s="1234">
        <f t="shared" ref="F357:V357" si="143">F356-F353</f>
        <v>0</v>
      </c>
      <c r="G357" s="1234">
        <f t="shared" si="143"/>
        <v>0</v>
      </c>
      <c r="H357" s="1234">
        <f>H356-H353</f>
        <v>0</v>
      </c>
      <c r="I357" s="1239">
        <f t="shared" si="143"/>
        <v>0</v>
      </c>
      <c r="J357" s="1234">
        <f>J356-J353</f>
        <v>0</v>
      </c>
      <c r="K357" s="1234">
        <f t="shared" si="143"/>
        <v>0</v>
      </c>
      <c r="L357" s="1234">
        <f t="shared" si="143"/>
        <v>0</v>
      </c>
      <c r="M357" s="1234">
        <f t="shared" si="143"/>
        <v>0</v>
      </c>
      <c r="N357" s="1234">
        <f t="shared" si="143"/>
        <v>0</v>
      </c>
      <c r="O357" s="1234">
        <f t="shared" si="143"/>
        <v>0</v>
      </c>
      <c r="P357" s="1234">
        <f t="shared" si="143"/>
        <v>0</v>
      </c>
      <c r="Q357" s="1234">
        <f t="shared" si="143"/>
        <v>0</v>
      </c>
      <c r="R357" s="1234">
        <f t="shared" si="143"/>
        <v>0</v>
      </c>
      <c r="S357" s="1234">
        <f t="shared" si="143"/>
        <v>0</v>
      </c>
      <c r="T357" s="1234">
        <f t="shared" si="143"/>
        <v>0</v>
      </c>
      <c r="U357" s="1234">
        <f t="shared" si="143"/>
        <v>0</v>
      </c>
      <c r="V357" s="1234">
        <f t="shared" si="143"/>
        <v>0</v>
      </c>
    </row>
    <row r="358" spans="1:26" ht="12.6" customHeight="1" x14ac:dyDescent="0.25">
      <c r="A358" s="573"/>
      <c r="B358" s="569"/>
      <c r="C358" s="569"/>
      <c r="D358" s="580"/>
      <c r="E358" s="614"/>
      <c r="F358" s="613"/>
      <c r="G358" s="613"/>
      <c r="H358" s="613"/>
      <c r="I358" s="614"/>
      <c r="J358" s="613"/>
      <c r="K358" s="613"/>
      <c r="L358" s="613"/>
      <c r="M358" s="613"/>
      <c r="N358" s="613"/>
      <c r="O358" s="613"/>
      <c r="P358" s="613"/>
      <c r="Q358" s="613"/>
      <c r="R358" s="613"/>
      <c r="S358" s="613"/>
      <c r="T358" s="613"/>
      <c r="U358" s="613"/>
      <c r="V358" s="614"/>
      <c r="W358" s="532"/>
      <c r="X358" s="532"/>
      <c r="Y358" s="532"/>
      <c r="Z358" s="532"/>
    </row>
    <row r="359" spans="1:26" ht="12.6" customHeight="1" x14ac:dyDescent="0.25">
      <c r="A359" s="573" t="s">
        <v>17</v>
      </c>
      <c r="B359" s="569" t="s">
        <v>270</v>
      </c>
      <c r="C359" s="569"/>
      <c r="D359" s="580"/>
      <c r="E359" s="1256">
        <v>200000</v>
      </c>
      <c r="F359" s="601">
        <f>'CABAC Non-Fid 2025'!G133</f>
        <v>200000</v>
      </c>
      <c r="G359" s="601"/>
      <c r="H359" s="613"/>
      <c r="I359" s="615"/>
      <c r="J359" s="601"/>
      <c r="K359" s="601"/>
      <c r="L359" s="601"/>
      <c r="M359" s="601"/>
      <c r="N359" s="601"/>
      <c r="O359" s="601"/>
      <c r="P359" s="601"/>
      <c r="Q359" s="601"/>
      <c r="R359" s="601"/>
      <c r="S359" s="601"/>
      <c r="T359" s="601">
        <f>SUM(E359:S359)</f>
        <v>400000</v>
      </c>
      <c r="U359" s="606"/>
      <c r="V359" s="615">
        <f>T359-U359</f>
        <v>400000</v>
      </c>
      <c r="W359" s="532"/>
      <c r="X359" s="532"/>
      <c r="Y359" s="532"/>
      <c r="Z359" s="532"/>
    </row>
    <row r="360" spans="1:26" ht="12.6" customHeight="1" x14ac:dyDescent="0.25">
      <c r="A360" s="604" t="s">
        <v>56</v>
      </c>
      <c r="B360" s="569" t="s">
        <v>263</v>
      </c>
      <c r="C360" s="569"/>
      <c r="D360" s="580"/>
      <c r="E360" s="640"/>
      <c r="F360" s="570">
        <f>'CABAC Non-Fid 2025'!G132</f>
        <v>0</v>
      </c>
      <c r="G360" s="570"/>
      <c r="H360" s="570"/>
      <c r="I360" s="570"/>
      <c r="J360" s="570"/>
      <c r="K360" s="570"/>
      <c r="L360" s="570"/>
      <c r="M360" s="570"/>
      <c r="N360" s="570"/>
      <c r="O360" s="570"/>
      <c r="P360" s="570"/>
      <c r="Q360" s="570"/>
      <c r="R360" s="570"/>
      <c r="S360" s="570"/>
      <c r="T360" s="570"/>
      <c r="U360" s="603"/>
      <c r="V360" s="599"/>
      <c r="W360" s="532"/>
      <c r="X360" s="532"/>
      <c r="Y360" s="532"/>
      <c r="Z360" s="532"/>
    </row>
    <row r="361" spans="1:26" ht="12.6" customHeight="1" x14ac:dyDescent="0.25">
      <c r="A361" s="573"/>
      <c r="B361" s="569" t="s">
        <v>142</v>
      </c>
      <c r="C361" s="569"/>
      <c r="D361" s="580"/>
      <c r="E361" s="640">
        <v>67825.33</v>
      </c>
      <c r="F361" s="570">
        <f>'CABAC Fiduciary 2025'!F246</f>
        <v>0</v>
      </c>
      <c r="G361" s="570"/>
      <c r="H361" s="570"/>
      <c r="I361" s="570"/>
      <c r="J361" s="570"/>
      <c r="K361" s="570"/>
      <c r="L361" s="570"/>
      <c r="M361" s="570"/>
      <c r="N361" s="570"/>
      <c r="O361" s="570"/>
      <c r="P361" s="570"/>
      <c r="Q361" s="570"/>
      <c r="R361" s="570"/>
      <c r="S361" s="570"/>
      <c r="T361" s="570"/>
      <c r="U361" s="603"/>
      <c r="V361" s="599"/>
      <c r="W361" s="532"/>
      <c r="X361" s="532"/>
      <c r="Y361" s="532"/>
      <c r="Z361" s="532"/>
    </row>
    <row r="362" spans="1:26" ht="12.6" customHeight="1" thickBot="1" x14ac:dyDescent="0.3">
      <c r="A362" s="573"/>
      <c r="B362" s="569" t="s">
        <v>144</v>
      </c>
      <c r="C362" s="569"/>
      <c r="D362" s="580"/>
      <c r="E362" s="1256">
        <v>200000</v>
      </c>
      <c r="F362" s="601">
        <f>'CABAC Non-Fid 2025'!G134</f>
        <v>0</v>
      </c>
      <c r="G362" s="601"/>
      <c r="H362" s="601"/>
      <c r="I362" s="601"/>
      <c r="J362" s="601"/>
      <c r="K362" s="601"/>
      <c r="L362" s="601"/>
      <c r="M362" s="601"/>
      <c r="N362" s="601"/>
      <c r="O362" s="601"/>
      <c r="P362" s="601"/>
      <c r="Q362" s="601"/>
      <c r="R362" s="601"/>
      <c r="S362" s="601"/>
      <c r="T362" s="601"/>
      <c r="U362" s="606"/>
      <c r="V362" s="615"/>
      <c r="W362" s="532"/>
      <c r="X362" s="532"/>
      <c r="Y362" s="532"/>
      <c r="Z362" s="532"/>
    </row>
    <row r="363" spans="1:26" ht="12.6" customHeight="1" thickBot="1" x14ac:dyDescent="0.3">
      <c r="A363" s="604"/>
      <c r="B363" s="581" t="s">
        <v>346</v>
      </c>
      <c r="C363" s="569"/>
      <c r="D363" s="580"/>
      <c r="E363" s="616">
        <f>SUM(E359:E362)</f>
        <v>467825.33</v>
      </c>
      <c r="F363" s="582">
        <f t="shared" ref="F363:V363" si="144">SUM(F359)</f>
        <v>200000</v>
      </c>
      <c r="G363" s="582">
        <f t="shared" si="144"/>
        <v>0</v>
      </c>
      <c r="H363" s="582">
        <f>SUM(H359)</f>
        <v>0</v>
      </c>
      <c r="I363" s="582">
        <f t="shared" si="144"/>
        <v>0</v>
      </c>
      <c r="J363" s="582">
        <f>SUM(J359)</f>
        <v>0</v>
      </c>
      <c r="K363" s="582">
        <f t="shared" si="144"/>
        <v>0</v>
      </c>
      <c r="L363" s="582">
        <f t="shared" si="144"/>
        <v>0</v>
      </c>
      <c r="M363" s="582">
        <f t="shared" si="144"/>
        <v>0</v>
      </c>
      <c r="N363" s="582">
        <f t="shared" si="144"/>
        <v>0</v>
      </c>
      <c r="O363" s="582">
        <f t="shared" si="144"/>
        <v>0</v>
      </c>
      <c r="P363" s="582">
        <f t="shared" si="144"/>
        <v>0</v>
      </c>
      <c r="Q363" s="582">
        <f t="shared" si="144"/>
        <v>0</v>
      </c>
      <c r="R363" s="582">
        <f t="shared" si="144"/>
        <v>0</v>
      </c>
      <c r="S363" s="582">
        <f t="shared" si="144"/>
        <v>0</v>
      </c>
      <c r="T363" s="582">
        <f t="shared" si="144"/>
        <v>400000</v>
      </c>
      <c r="U363" s="582">
        <f t="shared" si="144"/>
        <v>0</v>
      </c>
      <c r="V363" s="616">
        <f t="shared" si="144"/>
        <v>400000</v>
      </c>
      <c r="W363" s="532"/>
      <c r="X363" s="532"/>
      <c r="Y363" s="532"/>
      <c r="Z363" s="532"/>
    </row>
    <row r="364" spans="1:26" ht="12.6" customHeight="1" x14ac:dyDescent="0.25">
      <c r="A364" s="577"/>
      <c r="B364" s="581"/>
      <c r="C364" s="569"/>
      <c r="D364" s="583" t="s">
        <v>347</v>
      </c>
      <c r="E364" s="1255">
        <f>E361+E362</f>
        <v>267825.33</v>
      </c>
      <c r="F364" s="730">
        <f>F361+F362</f>
        <v>0</v>
      </c>
      <c r="G364" s="584"/>
      <c r="H364" s="584"/>
      <c r="I364" s="584"/>
      <c r="J364" s="584"/>
      <c r="K364" s="584"/>
      <c r="L364" s="584"/>
      <c r="M364" s="584"/>
      <c r="N364" s="584"/>
      <c r="O364" s="584"/>
      <c r="P364" s="584"/>
      <c r="Q364" s="584"/>
      <c r="R364" s="584"/>
      <c r="S364" s="584"/>
      <c r="T364" s="584"/>
      <c r="U364" s="584"/>
      <c r="V364" s="584"/>
      <c r="W364" s="532"/>
      <c r="X364" s="532"/>
      <c r="Y364" s="532"/>
      <c r="Z364" s="532"/>
    </row>
    <row r="365" spans="1:26" ht="12.6" customHeight="1" x14ac:dyDescent="0.25">
      <c r="A365" s="577"/>
      <c r="B365" s="581"/>
      <c r="C365" s="569"/>
      <c r="D365" s="583" t="s">
        <v>348</v>
      </c>
      <c r="E365" s="1255">
        <f>E359+E360</f>
        <v>200000</v>
      </c>
      <c r="F365" s="730">
        <f t="shared" ref="F365:V365" si="145">F359</f>
        <v>200000</v>
      </c>
      <c r="G365" s="584">
        <f t="shared" si="145"/>
        <v>0</v>
      </c>
      <c r="H365" s="584">
        <f>H359</f>
        <v>0</v>
      </c>
      <c r="I365" s="584">
        <f t="shared" si="145"/>
        <v>0</v>
      </c>
      <c r="J365" s="584">
        <f>J359</f>
        <v>0</v>
      </c>
      <c r="K365" s="584">
        <f t="shared" si="145"/>
        <v>0</v>
      </c>
      <c r="L365" s="584">
        <f t="shared" si="145"/>
        <v>0</v>
      </c>
      <c r="M365" s="584">
        <f t="shared" si="145"/>
        <v>0</v>
      </c>
      <c r="N365" s="584">
        <f t="shared" si="145"/>
        <v>0</v>
      </c>
      <c r="O365" s="584">
        <f t="shared" si="145"/>
        <v>0</v>
      </c>
      <c r="P365" s="584">
        <f t="shared" si="145"/>
        <v>0</v>
      </c>
      <c r="Q365" s="584">
        <f t="shared" si="145"/>
        <v>0</v>
      </c>
      <c r="R365" s="584">
        <f t="shared" si="145"/>
        <v>0</v>
      </c>
      <c r="S365" s="584">
        <f t="shared" si="145"/>
        <v>0</v>
      </c>
      <c r="T365" s="584">
        <f t="shared" si="145"/>
        <v>400000</v>
      </c>
      <c r="U365" s="584">
        <f t="shared" si="145"/>
        <v>0</v>
      </c>
      <c r="V365" s="584">
        <f t="shared" si="145"/>
        <v>400000</v>
      </c>
      <c r="W365" s="532"/>
      <c r="X365" s="532"/>
      <c r="Y365" s="532"/>
      <c r="Z365" s="532"/>
    </row>
    <row r="366" spans="1:26" ht="12.6" customHeight="1" x14ac:dyDescent="0.25">
      <c r="A366" s="577"/>
      <c r="B366" s="581"/>
      <c r="C366" s="569"/>
      <c r="D366" s="580"/>
      <c r="E366" s="1255">
        <f>SUM(E364:E365)</f>
        <v>467825.33</v>
      </c>
      <c r="F366" s="730">
        <f t="shared" ref="F366:V366" si="146">SUM(F364:F365)</f>
        <v>200000</v>
      </c>
      <c r="G366" s="584">
        <f t="shared" si="146"/>
        <v>0</v>
      </c>
      <c r="H366" s="584">
        <f>SUM(H364:H365)</f>
        <v>0</v>
      </c>
      <c r="I366" s="584">
        <f t="shared" si="146"/>
        <v>0</v>
      </c>
      <c r="J366" s="584">
        <f>SUM(J364:J365)</f>
        <v>0</v>
      </c>
      <c r="K366" s="584">
        <f t="shared" si="146"/>
        <v>0</v>
      </c>
      <c r="L366" s="584">
        <f t="shared" si="146"/>
        <v>0</v>
      </c>
      <c r="M366" s="584">
        <f t="shared" si="146"/>
        <v>0</v>
      </c>
      <c r="N366" s="584">
        <f t="shared" si="146"/>
        <v>0</v>
      </c>
      <c r="O366" s="584">
        <f t="shared" si="146"/>
        <v>0</v>
      </c>
      <c r="P366" s="584">
        <f t="shared" si="146"/>
        <v>0</v>
      </c>
      <c r="Q366" s="584">
        <f t="shared" si="146"/>
        <v>0</v>
      </c>
      <c r="R366" s="584">
        <f t="shared" si="146"/>
        <v>0</v>
      </c>
      <c r="S366" s="584">
        <f t="shared" si="146"/>
        <v>0</v>
      </c>
      <c r="T366" s="584">
        <f t="shared" si="146"/>
        <v>400000</v>
      </c>
      <c r="U366" s="584">
        <f t="shared" si="146"/>
        <v>0</v>
      </c>
      <c r="V366" s="584">
        <f t="shared" si="146"/>
        <v>400000</v>
      </c>
      <c r="W366" s="532"/>
      <c r="X366" s="532"/>
      <c r="Y366" s="532"/>
      <c r="Z366" s="532"/>
    </row>
    <row r="367" spans="1:26" ht="12.6" customHeight="1" x14ac:dyDescent="0.25">
      <c r="A367" s="577"/>
      <c r="B367" s="569"/>
      <c r="C367" s="569"/>
      <c r="D367" s="580"/>
      <c r="E367" s="666"/>
      <c r="F367" s="586">
        <f t="shared" ref="F367:V367" si="147">F366-F363</f>
        <v>0</v>
      </c>
      <c r="G367" s="586">
        <f t="shared" si="147"/>
        <v>0</v>
      </c>
      <c r="H367" s="586">
        <f>H366-H363</f>
        <v>0</v>
      </c>
      <c r="I367" s="586">
        <f t="shared" si="147"/>
        <v>0</v>
      </c>
      <c r="J367" s="586">
        <f>J366-J363</f>
        <v>0</v>
      </c>
      <c r="K367" s="586">
        <f t="shared" si="147"/>
        <v>0</v>
      </c>
      <c r="L367" s="586">
        <f t="shared" si="147"/>
        <v>0</v>
      </c>
      <c r="M367" s="586">
        <f t="shared" si="147"/>
        <v>0</v>
      </c>
      <c r="N367" s="586">
        <f t="shared" si="147"/>
        <v>0</v>
      </c>
      <c r="O367" s="586">
        <f t="shared" si="147"/>
        <v>0</v>
      </c>
      <c r="P367" s="586">
        <f t="shared" si="147"/>
        <v>0</v>
      </c>
      <c r="Q367" s="586">
        <f t="shared" si="147"/>
        <v>0</v>
      </c>
      <c r="R367" s="586">
        <f t="shared" si="147"/>
        <v>0</v>
      </c>
      <c r="S367" s="586">
        <f t="shared" si="147"/>
        <v>0</v>
      </c>
      <c r="T367" s="586">
        <f t="shared" si="147"/>
        <v>0</v>
      </c>
      <c r="U367" s="586">
        <f t="shared" si="147"/>
        <v>0</v>
      </c>
      <c r="V367" s="586">
        <f t="shared" si="147"/>
        <v>0</v>
      </c>
    </row>
    <row r="368" spans="1:26" ht="12.6" customHeight="1" x14ac:dyDescent="0.25">
      <c r="A368" s="573"/>
      <c r="B368" s="569"/>
      <c r="C368" s="569"/>
      <c r="D368" s="580"/>
      <c r="E368" s="599"/>
      <c r="F368" s="570"/>
      <c r="G368" s="570"/>
      <c r="H368" s="570"/>
      <c r="I368" s="570"/>
      <c r="J368" s="570"/>
      <c r="K368" s="570"/>
      <c r="L368" s="570"/>
      <c r="M368" s="570"/>
      <c r="N368" s="570"/>
      <c r="O368" s="570"/>
      <c r="P368" s="570"/>
      <c r="Q368" s="570"/>
      <c r="R368" s="570"/>
      <c r="S368" s="570"/>
      <c r="T368" s="570"/>
      <c r="U368" s="570"/>
      <c r="V368" s="599"/>
      <c r="W368" s="532"/>
      <c r="X368" s="532"/>
      <c r="Y368" s="532"/>
      <c r="Z368" s="532"/>
    </row>
    <row r="369" spans="1:26" ht="12.6" customHeight="1" x14ac:dyDescent="0.25">
      <c r="A369" s="573" t="s">
        <v>18</v>
      </c>
      <c r="B369" s="569" t="s">
        <v>263</v>
      </c>
      <c r="C369" s="569"/>
      <c r="D369" s="580"/>
      <c r="E369" s="1256">
        <v>428437.36</v>
      </c>
      <c r="F369" s="601">
        <f>'CABAC Non-Fid 2025'!G137</f>
        <v>200000</v>
      </c>
      <c r="G369" s="601"/>
      <c r="H369" s="601"/>
      <c r="I369" s="601"/>
      <c r="J369" s="601"/>
      <c r="K369" s="601"/>
      <c r="L369" s="601"/>
      <c r="M369" s="601"/>
      <c r="N369" s="601"/>
      <c r="O369" s="601"/>
      <c r="P369" s="601"/>
      <c r="Q369" s="601"/>
      <c r="R369" s="601"/>
      <c r="S369" s="601"/>
      <c r="T369" s="601">
        <f>SUM(E369:S369)</f>
        <v>628437.36</v>
      </c>
      <c r="U369" s="606"/>
      <c r="V369" s="615">
        <f>T369-U369</f>
        <v>628437.36</v>
      </c>
      <c r="W369" s="532"/>
      <c r="X369" s="532"/>
      <c r="Y369" s="532"/>
      <c r="Z369" s="532"/>
    </row>
    <row r="370" spans="1:26" ht="12.6" customHeight="1" x14ac:dyDescent="0.25">
      <c r="A370" s="604" t="s">
        <v>57</v>
      </c>
      <c r="B370" s="569" t="s">
        <v>376</v>
      </c>
      <c r="C370" s="569"/>
      <c r="D370" s="580"/>
      <c r="E370" s="640"/>
      <c r="F370" s="570"/>
      <c r="G370" s="570"/>
      <c r="H370" s="570"/>
      <c r="I370" s="570"/>
      <c r="J370" s="570"/>
      <c r="K370" s="570"/>
      <c r="L370" s="570"/>
      <c r="M370" s="570"/>
      <c r="N370" s="570"/>
      <c r="O370" s="570"/>
      <c r="P370" s="570"/>
      <c r="Q370" s="570"/>
      <c r="R370" s="570"/>
      <c r="S370" s="570"/>
      <c r="T370" s="570">
        <f>SUM(E370:S370)</f>
        <v>0</v>
      </c>
      <c r="U370" s="603"/>
      <c r="V370" s="599">
        <f>T370-U370</f>
        <v>0</v>
      </c>
      <c r="W370" s="532"/>
      <c r="X370" s="532"/>
      <c r="Y370" s="532"/>
      <c r="Z370" s="532"/>
    </row>
    <row r="371" spans="1:26" ht="12.6" customHeight="1" x14ac:dyDescent="0.25">
      <c r="A371" s="604"/>
      <c r="B371" s="569" t="s">
        <v>353</v>
      </c>
      <c r="C371" s="569"/>
      <c r="D371" s="580"/>
      <c r="E371" s="640"/>
      <c r="F371" s="570"/>
      <c r="G371" s="570"/>
      <c r="H371" s="570"/>
      <c r="I371" s="570"/>
      <c r="J371" s="570"/>
      <c r="K371" s="570"/>
      <c r="L371" s="570"/>
      <c r="M371" s="570"/>
      <c r="N371" s="570"/>
      <c r="O371" s="570"/>
      <c r="P371" s="570"/>
      <c r="Q371" s="570"/>
      <c r="R371" s="570"/>
      <c r="S371" s="570"/>
      <c r="T371" s="570">
        <f>SUM(E371:S371)</f>
        <v>0</v>
      </c>
      <c r="U371" s="603"/>
      <c r="V371" s="599">
        <f t="shared" ref="V371:V372" si="148">T371-U371</f>
        <v>0</v>
      </c>
      <c r="W371" s="532"/>
      <c r="Y371" s="532"/>
      <c r="Z371" s="532"/>
    </row>
    <row r="372" spans="1:26" ht="12.6" customHeight="1" thickBot="1" x14ac:dyDescent="0.3">
      <c r="A372" s="573"/>
      <c r="B372" s="569" t="s">
        <v>389</v>
      </c>
      <c r="C372" s="569"/>
      <c r="D372" s="580"/>
      <c r="E372" s="1256"/>
      <c r="F372" s="601"/>
      <c r="G372" s="601"/>
      <c r="H372" s="601"/>
      <c r="I372" s="601"/>
      <c r="J372" s="601"/>
      <c r="K372" s="601"/>
      <c r="L372" s="601"/>
      <c r="M372" s="601"/>
      <c r="N372" s="601"/>
      <c r="O372" s="601"/>
      <c r="P372" s="601"/>
      <c r="Q372" s="601"/>
      <c r="R372" s="601"/>
      <c r="S372" s="601"/>
      <c r="T372" s="601">
        <f>SUM(E372:S372)</f>
        <v>0</v>
      </c>
      <c r="U372" s="606"/>
      <c r="V372" s="615">
        <f t="shared" si="148"/>
        <v>0</v>
      </c>
      <c r="W372" s="532"/>
      <c r="X372" s="532"/>
      <c r="Y372" s="532"/>
      <c r="Z372" s="532"/>
    </row>
    <row r="373" spans="1:26" ht="12.6" customHeight="1" thickBot="1" x14ac:dyDescent="0.3">
      <c r="A373" s="604"/>
      <c r="B373" s="581" t="s">
        <v>346</v>
      </c>
      <c r="C373" s="569"/>
      <c r="D373" s="580"/>
      <c r="E373" s="616">
        <f t="shared" ref="E373:V373" si="149">SUM(E369:E372)</f>
        <v>428437.36</v>
      </c>
      <c r="F373" s="582">
        <f t="shared" si="149"/>
        <v>200000</v>
      </c>
      <c r="G373" s="582">
        <f t="shared" si="149"/>
        <v>0</v>
      </c>
      <c r="H373" s="582">
        <f>SUM(H369:H372)</f>
        <v>0</v>
      </c>
      <c r="I373" s="582">
        <f t="shared" si="149"/>
        <v>0</v>
      </c>
      <c r="J373" s="582">
        <f>SUM(J369:J372)</f>
        <v>0</v>
      </c>
      <c r="K373" s="582">
        <f t="shared" si="149"/>
        <v>0</v>
      </c>
      <c r="L373" s="582">
        <f t="shared" si="149"/>
        <v>0</v>
      </c>
      <c r="M373" s="582">
        <f t="shared" si="149"/>
        <v>0</v>
      </c>
      <c r="N373" s="582">
        <f t="shared" si="149"/>
        <v>0</v>
      </c>
      <c r="O373" s="582">
        <f t="shared" si="149"/>
        <v>0</v>
      </c>
      <c r="P373" s="582">
        <f t="shared" si="149"/>
        <v>0</v>
      </c>
      <c r="Q373" s="582">
        <f t="shared" si="149"/>
        <v>0</v>
      </c>
      <c r="R373" s="582">
        <f t="shared" si="149"/>
        <v>0</v>
      </c>
      <c r="S373" s="582">
        <f t="shared" si="149"/>
        <v>0</v>
      </c>
      <c r="T373" s="582">
        <f t="shared" si="149"/>
        <v>628437.36</v>
      </c>
      <c r="U373" s="582">
        <f t="shared" si="149"/>
        <v>0</v>
      </c>
      <c r="V373" s="582">
        <f t="shared" si="149"/>
        <v>628437.36</v>
      </c>
      <c r="W373" s="532"/>
      <c r="X373" s="532"/>
      <c r="Y373" s="532"/>
      <c r="Z373" s="532"/>
    </row>
    <row r="374" spans="1:26" ht="12.6" customHeight="1" x14ac:dyDescent="0.25">
      <c r="A374" s="577"/>
      <c r="B374" s="581"/>
      <c r="C374" s="569"/>
      <c r="D374" s="583" t="s">
        <v>347</v>
      </c>
      <c r="E374" s="1255"/>
      <c r="F374" s="730"/>
      <c r="G374" s="584"/>
      <c r="H374" s="584"/>
      <c r="I374" s="584"/>
      <c r="J374" s="584"/>
      <c r="K374" s="584"/>
      <c r="L374" s="584"/>
      <c r="M374" s="584"/>
      <c r="N374" s="584"/>
      <c r="O374" s="584"/>
      <c r="P374" s="584"/>
      <c r="Q374" s="584"/>
      <c r="R374" s="584"/>
      <c r="S374" s="584"/>
      <c r="T374" s="584"/>
      <c r="U374" s="584"/>
      <c r="V374" s="584"/>
      <c r="W374" s="532"/>
      <c r="X374" s="532"/>
      <c r="Y374" s="532"/>
      <c r="Z374" s="532"/>
    </row>
    <row r="375" spans="1:26" ht="12.6" customHeight="1" x14ac:dyDescent="0.25">
      <c r="A375" s="577"/>
      <c r="B375" s="581"/>
      <c r="C375" s="569"/>
      <c r="D375" s="583" t="s">
        <v>348</v>
      </c>
      <c r="E375" s="1255">
        <f t="shared" ref="E375:V375" si="150">SUM(E369:E372)</f>
        <v>428437.36</v>
      </c>
      <c r="F375" s="730">
        <f t="shared" si="150"/>
        <v>200000</v>
      </c>
      <c r="G375" s="584">
        <f t="shared" si="150"/>
        <v>0</v>
      </c>
      <c r="H375" s="584">
        <f>SUM(H369:H372)</f>
        <v>0</v>
      </c>
      <c r="I375" s="584">
        <f t="shared" si="150"/>
        <v>0</v>
      </c>
      <c r="J375" s="584">
        <f>SUM(J369:J372)</f>
        <v>0</v>
      </c>
      <c r="K375" s="584">
        <f t="shared" si="150"/>
        <v>0</v>
      </c>
      <c r="L375" s="584">
        <f t="shared" si="150"/>
        <v>0</v>
      </c>
      <c r="M375" s="584">
        <f t="shared" si="150"/>
        <v>0</v>
      </c>
      <c r="N375" s="584">
        <f t="shared" si="150"/>
        <v>0</v>
      </c>
      <c r="O375" s="584">
        <f t="shared" si="150"/>
        <v>0</v>
      </c>
      <c r="P375" s="584">
        <f t="shared" si="150"/>
        <v>0</v>
      </c>
      <c r="Q375" s="584">
        <f t="shared" si="150"/>
        <v>0</v>
      </c>
      <c r="R375" s="584">
        <f t="shared" si="150"/>
        <v>0</v>
      </c>
      <c r="S375" s="584">
        <f t="shared" si="150"/>
        <v>0</v>
      </c>
      <c r="T375" s="584">
        <f t="shared" si="150"/>
        <v>628437.36</v>
      </c>
      <c r="U375" s="584">
        <f t="shared" si="150"/>
        <v>0</v>
      </c>
      <c r="V375" s="584">
        <f t="shared" si="150"/>
        <v>628437.36</v>
      </c>
      <c r="W375" s="532"/>
      <c r="X375" s="532"/>
      <c r="Y375" s="532"/>
      <c r="Z375" s="532"/>
    </row>
    <row r="376" spans="1:26" ht="12.6" customHeight="1" x14ac:dyDescent="0.25">
      <c r="A376" s="577"/>
      <c r="B376" s="581"/>
      <c r="C376" s="569"/>
      <c r="D376" s="686" t="s">
        <v>390</v>
      </c>
      <c r="E376" s="1255">
        <f>SUM(E374:E375)</f>
        <v>428437.36</v>
      </c>
      <c r="F376" s="730">
        <f t="shared" ref="F376:V376" si="151">SUM(F374:F375)</f>
        <v>200000</v>
      </c>
      <c r="G376" s="584">
        <f t="shared" si="151"/>
        <v>0</v>
      </c>
      <c r="H376" s="584">
        <f>SUM(H374:H375)</f>
        <v>0</v>
      </c>
      <c r="I376" s="584">
        <f t="shared" si="151"/>
        <v>0</v>
      </c>
      <c r="J376" s="584">
        <f>SUM(J374:J375)</f>
        <v>0</v>
      </c>
      <c r="K376" s="584">
        <f t="shared" si="151"/>
        <v>0</v>
      </c>
      <c r="L376" s="584">
        <f t="shared" si="151"/>
        <v>0</v>
      </c>
      <c r="M376" s="584">
        <f t="shared" si="151"/>
        <v>0</v>
      </c>
      <c r="N376" s="584">
        <f t="shared" si="151"/>
        <v>0</v>
      </c>
      <c r="O376" s="584">
        <f t="shared" si="151"/>
        <v>0</v>
      </c>
      <c r="P376" s="584">
        <f t="shared" si="151"/>
        <v>0</v>
      </c>
      <c r="Q376" s="584">
        <f t="shared" si="151"/>
        <v>0</v>
      </c>
      <c r="R376" s="584">
        <f t="shared" si="151"/>
        <v>0</v>
      </c>
      <c r="S376" s="584">
        <f t="shared" si="151"/>
        <v>0</v>
      </c>
      <c r="T376" s="584">
        <f t="shared" si="151"/>
        <v>628437.36</v>
      </c>
      <c r="U376" s="584">
        <f t="shared" si="151"/>
        <v>0</v>
      </c>
      <c r="V376" s="584">
        <f t="shared" si="151"/>
        <v>628437.36</v>
      </c>
      <c r="W376" s="532"/>
      <c r="X376" s="532"/>
      <c r="Y376" s="532"/>
      <c r="Z376" s="532"/>
    </row>
    <row r="377" spans="1:26" ht="12.6" customHeight="1" x14ac:dyDescent="0.25">
      <c r="A377" s="577"/>
      <c r="B377" s="569"/>
      <c r="C377" s="569"/>
      <c r="D377" s="580"/>
      <c r="E377" s="666">
        <f>E376-E373</f>
        <v>0</v>
      </c>
      <c r="F377" s="586">
        <f t="shared" ref="F377:V377" si="152">F376-F373</f>
        <v>0</v>
      </c>
      <c r="G377" s="586">
        <f t="shared" si="152"/>
        <v>0</v>
      </c>
      <c r="H377" s="586">
        <f>H376-H373</f>
        <v>0</v>
      </c>
      <c r="I377" s="586">
        <f t="shared" si="152"/>
        <v>0</v>
      </c>
      <c r="J377" s="586">
        <f>J376-J373</f>
        <v>0</v>
      </c>
      <c r="K377" s="586">
        <f t="shared" si="152"/>
        <v>0</v>
      </c>
      <c r="L377" s="586">
        <f t="shared" si="152"/>
        <v>0</v>
      </c>
      <c r="M377" s="586">
        <f t="shared" si="152"/>
        <v>0</v>
      </c>
      <c r="N377" s="586">
        <f t="shared" si="152"/>
        <v>0</v>
      </c>
      <c r="O377" s="586">
        <f t="shared" si="152"/>
        <v>0</v>
      </c>
      <c r="P377" s="586">
        <f t="shared" si="152"/>
        <v>0</v>
      </c>
      <c r="Q377" s="586">
        <f t="shared" si="152"/>
        <v>0</v>
      </c>
      <c r="R377" s="586">
        <f t="shared" si="152"/>
        <v>0</v>
      </c>
      <c r="S377" s="586">
        <f t="shared" si="152"/>
        <v>0</v>
      </c>
      <c r="T377" s="586">
        <f t="shared" si="152"/>
        <v>0</v>
      </c>
      <c r="U377" s="586">
        <f t="shared" si="152"/>
        <v>0</v>
      </c>
      <c r="V377" s="586">
        <f t="shared" si="152"/>
        <v>0</v>
      </c>
    </row>
    <row r="378" spans="1:26" ht="12.6" customHeight="1" x14ac:dyDescent="0.25">
      <c r="A378" s="573"/>
      <c r="B378" s="569"/>
      <c r="C378" s="569"/>
      <c r="D378" s="580"/>
      <c r="E378" s="599"/>
      <c r="F378" s="570"/>
      <c r="G378" s="570"/>
      <c r="H378" s="570"/>
      <c r="I378" s="570"/>
      <c r="J378" s="570"/>
      <c r="K378" s="570"/>
      <c r="L378" s="570"/>
      <c r="M378" s="570"/>
      <c r="N378" s="570"/>
      <c r="O378" s="570"/>
      <c r="P378" s="570"/>
      <c r="Q378" s="570"/>
      <c r="R378" s="570"/>
      <c r="S378" s="570"/>
      <c r="T378" s="570"/>
      <c r="U378" s="570"/>
      <c r="V378" s="599"/>
      <c r="W378" s="532"/>
      <c r="X378" s="532"/>
      <c r="Y378" s="532"/>
      <c r="Z378" s="532"/>
    </row>
    <row r="379" spans="1:26" ht="12.6" customHeight="1" x14ac:dyDescent="0.25">
      <c r="A379" s="573" t="s">
        <v>466</v>
      </c>
      <c r="B379" s="569" t="s">
        <v>467</v>
      </c>
      <c r="C379" s="569"/>
      <c r="D379" s="580"/>
      <c r="E379" s="599">
        <v>100000</v>
      </c>
      <c r="F379" s="570"/>
      <c r="G379" s="570"/>
      <c r="H379" s="570">
        <v>300000</v>
      </c>
      <c r="I379" s="570"/>
      <c r="J379" s="570"/>
      <c r="K379" s="570"/>
      <c r="L379" s="570"/>
      <c r="M379" s="570"/>
      <c r="N379" s="570"/>
      <c r="O379" s="570"/>
      <c r="P379" s="570"/>
      <c r="Q379" s="570"/>
      <c r="R379" s="570"/>
      <c r="S379" s="570"/>
      <c r="T379" s="570">
        <f>SUM(E379:S379)</f>
        <v>400000</v>
      </c>
      <c r="U379" s="603"/>
      <c r="V379" s="599">
        <f>T379-U379</f>
        <v>400000</v>
      </c>
      <c r="W379" s="532"/>
      <c r="X379" s="532"/>
      <c r="Y379" s="532"/>
      <c r="Z379" s="532"/>
    </row>
    <row r="380" spans="1:26" ht="12.6" customHeight="1" thickBot="1" x14ac:dyDescent="0.3">
      <c r="A380" s="573" t="s">
        <v>101</v>
      </c>
      <c r="B380" s="569" t="s">
        <v>263</v>
      </c>
      <c r="C380" s="569"/>
      <c r="D380" s="580"/>
      <c r="E380" s="601">
        <v>100000</v>
      </c>
      <c r="F380" s="601"/>
      <c r="G380" s="601"/>
      <c r="H380" s="601"/>
      <c r="I380" s="601"/>
      <c r="J380" s="601"/>
      <c r="K380" s="601"/>
      <c r="L380" s="601"/>
      <c r="M380" s="601"/>
      <c r="N380" s="601"/>
      <c r="O380" s="601"/>
      <c r="P380" s="601"/>
      <c r="Q380" s="601"/>
      <c r="R380" s="601"/>
      <c r="S380" s="601"/>
      <c r="T380" s="601"/>
      <c r="U380" s="606"/>
      <c r="V380" s="615"/>
      <c r="W380" s="532"/>
      <c r="X380" s="532"/>
      <c r="Y380" s="532"/>
      <c r="Z380" s="532"/>
    </row>
    <row r="381" spans="1:26" ht="12.6" customHeight="1" thickBot="1" x14ac:dyDescent="0.3">
      <c r="A381" s="604"/>
      <c r="B381" s="581" t="s">
        <v>346</v>
      </c>
      <c r="C381" s="569"/>
      <c r="D381" s="580"/>
      <c r="E381" s="582">
        <f>SUM(E379:E380)</f>
        <v>200000</v>
      </c>
      <c r="F381" s="582">
        <f t="shared" ref="F381:V381" si="153">SUM(F379)</f>
        <v>0</v>
      </c>
      <c r="G381" s="582">
        <f t="shared" si="153"/>
        <v>0</v>
      </c>
      <c r="H381" s="582">
        <f>SUM(H379)</f>
        <v>300000</v>
      </c>
      <c r="I381" s="582">
        <f t="shared" si="153"/>
        <v>0</v>
      </c>
      <c r="J381" s="582">
        <f>SUM(J379)</f>
        <v>0</v>
      </c>
      <c r="K381" s="582">
        <f t="shared" si="153"/>
        <v>0</v>
      </c>
      <c r="L381" s="582">
        <f t="shared" si="153"/>
        <v>0</v>
      </c>
      <c r="M381" s="582">
        <f t="shared" si="153"/>
        <v>0</v>
      </c>
      <c r="N381" s="582">
        <f t="shared" si="153"/>
        <v>0</v>
      </c>
      <c r="O381" s="582">
        <f t="shared" si="153"/>
        <v>0</v>
      </c>
      <c r="P381" s="582">
        <f t="shared" si="153"/>
        <v>0</v>
      </c>
      <c r="Q381" s="582">
        <f t="shared" si="153"/>
        <v>0</v>
      </c>
      <c r="R381" s="582">
        <f t="shared" si="153"/>
        <v>0</v>
      </c>
      <c r="S381" s="582">
        <f t="shared" si="153"/>
        <v>0</v>
      </c>
      <c r="T381" s="582">
        <f t="shared" si="153"/>
        <v>400000</v>
      </c>
      <c r="U381" s="582">
        <f t="shared" si="153"/>
        <v>0</v>
      </c>
      <c r="V381" s="616">
        <f t="shared" si="153"/>
        <v>400000</v>
      </c>
      <c r="W381" s="532"/>
      <c r="X381" s="532"/>
      <c r="Y381" s="532"/>
      <c r="Z381" s="532"/>
    </row>
    <row r="382" spans="1:26" ht="12.6" customHeight="1" x14ac:dyDescent="0.25">
      <c r="A382" s="577"/>
      <c r="B382" s="581"/>
      <c r="C382" s="569"/>
      <c r="D382" s="583" t="s">
        <v>347</v>
      </c>
      <c r="E382" s="730"/>
      <c r="F382" s="730"/>
      <c r="G382" s="584"/>
      <c r="H382" s="584"/>
      <c r="I382" s="584"/>
      <c r="J382" s="584"/>
      <c r="K382" s="584"/>
      <c r="L382" s="584"/>
      <c r="M382" s="584"/>
      <c r="N382" s="584"/>
      <c r="O382" s="584"/>
      <c r="P382" s="584"/>
      <c r="Q382" s="584"/>
      <c r="R382" s="584"/>
      <c r="S382" s="584"/>
      <c r="T382" s="584"/>
      <c r="U382" s="624"/>
      <c r="V382" s="625"/>
      <c r="W382" s="532"/>
      <c r="X382" s="532"/>
      <c r="Y382" s="532"/>
      <c r="Z382" s="532"/>
    </row>
    <row r="383" spans="1:26" ht="12.6" customHeight="1" x14ac:dyDescent="0.25">
      <c r="A383" s="577"/>
      <c r="B383" s="581"/>
      <c r="C383" s="569"/>
      <c r="D383" s="583" t="s">
        <v>348</v>
      </c>
      <c r="E383" s="730">
        <f>E379+E380</f>
        <v>200000</v>
      </c>
      <c r="F383" s="730">
        <f t="shared" ref="F383:V383" si="154">F379</f>
        <v>0</v>
      </c>
      <c r="G383" s="584">
        <f t="shared" si="154"/>
        <v>0</v>
      </c>
      <c r="H383" s="584">
        <f>H379</f>
        <v>300000</v>
      </c>
      <c r="I383" s="584">
        <f t="shared" si="154"/>
        <v>0</v>
      </c>
      <c r="J383" s="584">
        <f>J379</f>
        <v>0</v>
      </c>
      <c r="K383" s="584">
        <f t="shared" si="154"/>
        <v>0</v>
      </c>
      <c r="L383" s="584">
        <f t="shared" si="154"/>
        <v>0</v>
      </c>
      <c r="M383" s="584">
        <f t="shared" si="154"/>
        <v>0</v>
      </c>
      <c r="N383" s="584">
        <f t="shared" si="154"/>
        <v>0</v>
      </c>
      <c r="O383" s="584">
        <f t="shared" si="154"/>
        <v>0</v>
      </c>
      <c r="P383" s="584">
        <f t="shared" si="154"/>
        <v>0</v>
      </c>
      <c r="Q383" s="584">
        <f t="shared" si="154"/>
        <v>0</v>
      </c>
      <c r="R383" s="584">
        <f t="shared" si="154"/>
        <v>0</v>
      </c>
      <c r="S383" s="584">
        <f t="shared" si="154"/>
        <v>0</v>
      </c>
      <c r="T383" s="584">
        <f t="shared" si="154"/>
        <v>400000</v>
      </c>
      <c r="U383" s="624">
        <f t="shared" si="154"/>
        <v>0</v>
      </c>
      <c r="V383" s="584">
        <f t="shared" si="154"/>
        <v>400000</v>
      </c>
      <c r="W383" s="532"/>
      <c r="X383" s="532"/>
      <c r="Y383" s="532"/>
      <c r="Z383" s="532"/>
    </row>
    <row r="384" spans="1:26" ht="12.6" customHeight="1" x14ac:dyDescent="0.25">
      <c r="A384" s="577"/>
      <c r="B384" s="581"/>
      <c r="C384" s="569"/>
      <c r="D384" s="580"/>
      <c r="E384" s="730">
        <f>SUM(E382:E383)</f>
        <v>200000</v>
      </c>
      <c r="F384" s="730">
        <f t="shared" ref="F384:V384" si="155">SUM(F382:F383)</f>
        <v>0</v>
      </c>
      <c r="G384" s="584">
        <f t="shared" si="155"/>
        <v>0</v>
      </c>
      <c r="H384" s="584">
        <f>SUM(H382:H383)</f>
        <v>300000</v>
      </c>
      <c r="I384" s="584">
        <f t="shared" si="155"/>
        <v>0</v>
      </c>
      <c r="J384" s="584">
        <f>SUM(J382:J383)</f>
        <v>0</v>
      </c>
      <c r="K384" s="584">
        <f t="shared" si="155"/>
        <v>0</v>
      </c>
      <c r="L384" s="584">
        <f t="shared" si="155"/>
        <v>0</v>
      </c>
      <c r="M384" s="584">
        <f t="shared" si="155"/>
        <v>0</v>
      </c>
      <c r="N384" s="584">
        <f t="shared" si="155"/>
        <v>0</v>
      </c>
      <c r="O384" s="584">
        <f t="shared" si="155"/>
        <v>0</v>
      </c>
      <c r="P384" s="584">
        <f t="shared" si="155"/>
        <v>0</v>
      </c>
      <c r="Q384" s="584">
        <f t="shared" si="155"/>
        <v>0</v>
      </c>
      <c r="R384" s="584">
        <f t="shared" si="155"/>
        <v>0</v>
      </c>
      <c r="S384" s="584">
        <f t="shared" si="155"/>
        <v>0</v>
      </c>
      <c r="T384" s="584">
        <f t="shared" si="155"/>
        <v>400000</v>
      </c>
      <c r="U384" s="624">
        <f t="shared" si="155"/>
        <v>0</v>
      </c>
      <c r="V384" s="584">
        <f t="shared" si="155"/>
        <v>400000</v>
      </c>
      <c r="W384" s="532"/>
      <c r="X384" s="532"/>
      <c r="Y384" s="532"/>
      <c r="Z384" s="532"/>
    </row>
    <row r="385" spans="1:26" ht="12.6" customHeight="1" x14ac:dyDescent="0.25">
      <c r="A385" s="577"/>
      <c r="B385" s="569"/>
      <c r="C385" s="569"/>
      <c r="D385" s="580"/>
      <c r="E385" s="586">
        <f>E384-E381</f>
        <v>0</v>
      </c>
      <c r="F385" s="586">
        <f t="shared" ref="F385:V385" si="156">F384-F381</f>
        <v>0</v>
      </c>
      <c r="G385" s="586">
        <f t="shared" si="156"/>
        <v>0</v>
      </c>
      <c r="H385" s="586">
        <f>H384-H381</f>
        <v>0</v>
      </c>
      <c r="I385" s="586">
        <f t="shared" si="156"/>
        <v>0</v>
      </c>
      <c r="J385" s="586">
        <f>J384-J381</f>
        <v>0</v>
      </c>
      <c r="K385" s="586">
        <f t="shared" si="156"/>
        <v>0</v>
      </c>
      <c r="L385" s="586">
        <f t="shared" si="156"/>
        <v>0</v>
      </c>
      <c r="M385" s="586">
        <f t="shared" si="156"/>
        <v>0</v>
      </c>
      <c r="N385" s="586">
        <f t="shared" si="156"/>
        <v>0</v>
      </c>
      <c r="O385" s="586">
        <f t="shared" si="156"/>
        <v>0</v>
      </c>
      <c r="P385" s="586">
        <f t="shared" si="156"/>
        <v>0</v>
      </c>
      <c r="Q385" s="586">
        <f t="shared" si="156"/>
        <v>0</v>
      </c>
      <c r="R385" s="586">
        <f t="shared" si="156"/>
        <v>0</v>
      </c>
      <c r="S385" s="586">
        <f t="shared" si="156"/>
        <v>0</v>
      </c>
      <c r="T385" s="586">
        <f t="shared" si="156"/>
        <v>0</v>
      </c>
      <c r="U385" s="626">
        <f t="shared" si="156"/>
        <v>0</v>
      </c>
      <c r="V385" s="586">
        <f t="shared" si="156"/>
        <v>0</v>
      </c>
    </row>
    <row r="386" spans="1:26" ht="12.6" customHeight="1" x14ac:dyDescent="0.25">
      <c r="A386" s="824"/>
      <c r="B386" s="644"/>
      <c r="C386" s="644"/>
      <c r="D386" s="822"/>
      <c r="E386" s="1239"/>
      <c r="F386" s="1234"/>
      <c r="G386" s="1234"/>
      <c r="H386" s="1234"/>
      <c r="I386" s="1234"/>
      <c r="J386" s="1234"/>
      <c r="K386" s="1234"/>
      <c r="L386" s="1234"/>
      <c r="M386" s="1234"/>
      <c r="N386" s="1234"/>
      <c r="O386" s="1234"/>
      <c r="P386" s="1234"/>
      <c r="Q386" s="1234"/>
      <c r="R386" s="1234"/>
      <c r="S386" s="1234"/>
      <c r="T386" s="1234"/>
      <c r="U386" s="1235"/>
      <c r="V386" s="1234"/>
    </row>
    <row r="387" spans="1:26" ht="12.6" customHeight="1" x14ac:dyDescent="0.25">
      <c r="A387" s="573" t="s">
        <v>468</v>
      </c>
      <c r="B387" s="569" t="s">
        <v>462</v>
      </c>
      <c r="C387" s="569"/>
      <c r="D387" s="1241"/>
      <c r="E387" s="599">
        <v>300000</v>
      </c>
      <c r="F387" s="570"/>
      <c r="G387" s="570"/>
      <c r="H387" s="570"/>
      <c r="I387" s="570"/>
      <c r="J387" s="570"/>
      <c r="K387" s="570"/>
      <c r="L387" s="570"/>
      <c r="M387" s="570"/>
      <c r="N387" s="570"/>
      <c r="O387" s="570"/>
      <c r="P387" s="570"/>
      <c r="Q387" s="570"/>
      <c r="R387" s="570"/>
      <c r="S387" s="570"/>
      <c r="T387" s="570">
        <f>SUM(E387:S387)</f>
        <v>300000</v>
      </c>
      <c r="U387" s="603"/>
      <c r="V387" s="599">
        <f>T387-U387</f>
        <v>300000</v>
      </c>
      <c r="W387" s="532"/>
      <c r="X387" s="532"/>
      <c r="Y387" s="532"/>
      <c r="Z387" s="532"/>
    </row>
    <row r="388" spans="1:26" ht="12.6" customHeight="1" thickBot="1" x14ac:dyDescent="0.3">
      <c r="A388" s="573" t="s">
        <v>102</v>
      </c>
      <c r="B388" s="569" t="s">
        <v>263</v>
      </c>
      <c r="C388" s="569"/>
      <c r="D388" s="617"/>
      <c r="E388" s="615"/>
      <c r="F388" s="601"/>
      <c r="G388" s="601"/>
      <c r="H388" s="601"/>
      <c r="I388" s="601"/>
      <c r="J388" s="601"/>
      <c r="K388" s="601"/>
      <c r="L388" s="601"/>
      <c r="M388" s="601"/>
      <c r="N388" s="601"/>
      <c r="O388" s="601"/>
      <c r="P388" s="601"/>
      <c r="Q388" s="601"/>
      <c r="R388" s="601"/>
      <c r="S388" s="601"/>
      <c r="T388" s="601"/>
      <c r="U388" s="606"/>
      <c r="V388" s="615"/>
      <c r="W388" s="532"/>
      <c r="X388" s="532"/>
      <c r="Y388" s="532"/>
      <c r="Z388" s="532"/>
    </row>
    <row r="389" spans="1:26" ht="12.6" customHeight="1" thickBot="1" x14ac:dyDescent="0.3">
      <c r="A389" s="604"/>
      <c r="B389" s="581" t="s">
        <v>346</v>
      </c>
      <c r="C389" s="569"/>
      <c r="D389" s="580"/>
      <c r="E389" s="616">
        <f>SUM(E387:E388)</f>
        <v>300000</v>
      </c>
      <c r="F389" s="582">
        <f t="shared" ref="F389:G389" si="157">SUM(F387)</f>
        <v>0</v>
      </c>
      <c r="G389" s="582">
        <f t="shared" si="157"/>
        <v>0</v>
      </c>
      <c r="H389" s="582">
        <f>SUM(H387)</f>
        <v>0</v>
      </c>
      <c r="I389" s="582">
        <f t="shared" ref="I389" si="158">SUM(I387)</f>
        <v>0</v>
      </c>
      <c r="J389" s="582">
        <f>SUM(J387)</f>
        <v>0</v>
      </c>
      <c r="K389" s="582">
        <f t="shared" ref="K389:V389" si="159">SUM(K387)</f>
        <v>0</v>
      </c>
      <c r="L389" s="582">
        <f t="shared" si="159"/>
        <v>0</v>
      </c>
      <c r="M389" s="582">
        <f t="shared" si="159"/>
        <v>0</v>
      </c>
      <c r="N389" s="582">
        <f t="shared" si="159"/>
        <v>0</v>
      </c>
      <c r="O389" s="582">
        <f t="shared" si="159"/>
        <v>0</v>
      </c>
      <c r="P389" s="582">
        <f t="shared" si="159"/>
        <v>0</v>
      </c>
      <c r="Q389" s="582">
        <f t="shared" si="159"/>
        <v>0</v>
      </c>
      <c r="R389" s="582">
        <f t="shared" si="159"/>
        <v>0</v>
      </c>
      <c r="S389" s="582">
        <f t="shared" si="159"/>
        <v>0</v>
      </c>
      <c r="T389" s="582">
        <f t="shared" si="159"/>
        <v>300000</v>
      </c>
      <c r="U389" s="582">
        <f t="shared" si="159"/>
        <v>0</v>
      </c>
      <c r="V389" s="616">
        <f t="shared" si="159"/>
        <v>300000</v>
      </c>
      <c r="W389" s="532"/>
      <c r="X389" s="532"/>
      <c r="Y389" s="532"/>
      <c r="Z389" s="532"/>
    </row>
    <row r="390" spans="1:26" ht="12.6" customHeight="1" x14ac:dyDescent="0.25">
      <c r="A390" s="577"/>
      <c r="B390" s="581"/>
      <c r="C390" s="569"/>
      <c r="D390" s="583" t="s">
        <v>347</v>
      </c>
      <c r="E390" s="1255">
        <f>E387</f>
        <v>300000</v>
      </c>
      <c r="F390" s="730"/>
      <c r="G390" s="584"/>
      <c r="H390" s="584"/>
      <c r="I390" s="584"/>
      <c r="J390" s="584"/>
      <c r="K390" s="584"/>
      <c r="L390" s="584"/>
      <c r="M390" s="584"/>
      <c r="N390" s="584"/>
      <c r="O390" s="584"/>
      <c r="P390" s="584"/>
      <c r="Q390" s="584"/>
      <c r="R390" s="584"/>
      <c r="S390" s="584"/>
      <c r="T390" s="584"/>
      <c r="U390" s="624"/>
      <c r="V390" s="625"/>
      <c r="W390" s="532"/>
      <c r="X390" s="532"/>
      <c r="Y390" s="532"/>
      <c r="Z390" s="532"/>
    </row>
    <row r="391" spans="1:26" ht="12.6" customHeight="1" x14ac:dyDescent="0.25">
      <c r="A391" s="577"/>
      <c r="B391" s="581"/>
      <c r="C391" s="569"/>
      <c r="D391" s="583" t="s">
        <v>348</v>
      </c>
      <c r="E391" s="1255"/>
      <c r="F391" s="730">
        <f t="shared" ref="F391:G391" si="160">F387</f>
        <v>0</v>
      </c>
      <c r="G391" s="584">
        <f t="shared" si="160"/>
        <v>0</v>
      </c>
      <c r="H391" s="584">
        <f>H387</f>
        <v>0</v>
      </c>
      <c r="I391" s="584">
        <f t="shared" ref="I391" si="161">I387</f>
        <v>0</v>
      </c>
      <c r="J391" s="584">
        <f>J387</f>
        <v>0</v>
      </c>
      <c r="K391" s="584">
        <f t="shared" ref="K391:V391" si="162">K387</f>
        <v>0</v>
      </c>
      <c r="L391" s="584">
        <f t="shared" si="162"/>
        <v>0</v>
      </c>
      <c r="M391" s="584">
        <f t="shared" si="162"/>
        <v>0</v>
      </c>
      <c r="N391" s="584">
        <f t="shared" si="162"/>
        <v>0</v>
      </c>
      <c r="O391" s="584">
        <f t="shared" si="162"/>
        <v>0</v>
      </c>
      <c r="P391" s="584">
        <f t="shared" si="162"/>
        <v>0</v>
      </c>
      <c r="Q391" s="584">
        <f t="shared" si="162"/>
        <v>0</v>
      </c>
      <c r="R391" s="584">
        <f t="shared" si="162"/>
        <v>0</v>
      </c>
      <c r="S391" s="584">
        <f t="shared" si="162"/>
        <v>0</v>
      </c>
      <c r="T391" s="584">
        <f t="shared" si="162"/>
        <v>300000</v>
      </c>
      <c r="U391" s="624">
        <f t="shared" si="162"/>
        <v>0</v>
      </c>
      <c r="V391" s="584">
        <f t="shared" si="162"/>
        <v>300000</v>
      </c>
      <c r="W391" s="532"/>
      <c r="X391" s="532"/>
      <c r="Y391" s="532"/>
      <c r="Z391" s="532"/>
    </row>
    <row r="392" spans="1:26" ht="12.6" customHeight="1" x14ac:dyDescent="0.25">
      <c r="A392" s="577"/>
      <c r="B392" s="581"/>
      <c r="C392" s="569"/>
      <c r="D392" s="580"/>
      <c r="E392" s="1255">
        <f>SUM(E390:E391)</f>
        <v>300000</v>
      </c>
      <c r="F392" s="730">
        <f t="shared" ref="F392:G392" si="163">SUM(F390:F391)</f>
        <v>0</v>
      </c>
      <c r="G392" s="584">
        <f t="shared" si="163"/>
        <v>0</v>
      </c>
      <c r="H392" s="584">
        <f>SUM(H390:H391)</f>
        <v>0</v>
      </c>
      <c r="I392" s="584">
        <f t="shared" ref="I392" si="164">SUM(I390:I391)</f>
        <v>0</v>
      </c>
      <c r="J392" s="584">
        <f>SUM(J390:J391)</f>
        <v>0</v>
      </c>
      <c r="K392" s="584">
        <f t="shared" ref="K392:V392" si="165">SUM(K390:K391)</f>
        <v>0</v>
      </c>
      <c r="L392" s="584">
        <f t="shared" si="165"/>
        <v>0</v>
      </c>
      <c r="M392" s="584">
        <f t="shared" si="165"/>
        <v>0</v>
      </c>
      <c r="N392" s="584">
        <f t="shared" si="165"/>
        <v>0</v>
      </c>
      <c r="O392" s="584">
        <f t="shared" si="165"/>
        <v>0</v>
      </c>
      <c r="P392" s="584">
        <f t="shared" si="165"/>
        <v>0</v>
      </c>
      <c r="Q392" s="584">
        <f t="shared" si="165"/>
        <v>0</v>
      </c>
      <c r="R392" s="584">
        <f t="shared" si="165"/>
        <v>0</v>
      </c>
      <c r="S392" s="584">
        <f t="shared" si="165"/>
        <v>0</v>
      </c>
      <c r="T392" s="584">
        <f t="shared" si="165"/>
        <v>300000</v>
      </c>
      <c r="U392" s="624">
        <f t="shared" si="165"/>
        <v>0</v>
      </c>
      <c r="V392" s="584">
        <f t="shared" si="165"/>
        <v>300000</v>
      </c>
      <c r="W392" s="532"/>
      <c r="X392" s="532"/>
      <c r="Y392" s="532"/>
      <c r="Z392" s="532"/>
    </row>
    <row r="393" spans="1:26" ht="12.6" customHeight="1" x14ac:dyDescent="0.25">
      <c r="A393" s="824"/>
      <c r="B393" s="647"/>
      <c r="C393" s="644"/>
      <c r="D393" s="822"/>
      <c r="E393" s="1260"/>
      <c r="F393" s="825"/>
      <c r="G393" s="825"/>
      <c r="H393" s="825"/>
      <c r="I393" s="825"/>
      <c r="J393" s="825"/>
      <c r="K393" s="825"/>
      <c r="L393" s="825"/>
      <c r="M393" s="825"/>
      <c r="N393" s="825"/>
      <c r="O393" s="825"/>
      <c r="P393" s="825"/>
      <c r="Q393" s="825"/>
      <c r="R393" s="825"/>
      <c r="S393" s="825"/>
      <c r="T393" s="825"/>
      <c r="U393" s="826"/>
      <c r="V393" s="825"/>
      <c r="W393" s="532"/>
      <c r="X393" s="532"/>
      <c r="Y393" s="532"/>
      <c r="Z393" s="532"/>
    </row>
    <row r="394" spans="1:26" ht="12.6" customHeight="1" x14ac:dyDescent="0.25">
      <c r="A394" s="824"/>
      <c r="B394" s="644"/>
      <c r="C394" s="644"/>
      <c r="D394" s="822"/>
      <c r="E394" s="1239"/>
      <c r="F394" s="1234"/>
      <c r="G394" s="1234"/>
      <c r="H394" s="1234"/>
      <c r="I394" s="1234"/>
      <c r="J394" s="1234"/>
      <c r="K394" s="1234"/>
      <c r="L394" s="1234"/>
      <c r="M394" s="1234"/>
      <c r="N394" s="1234"/>
      <c r="O394" s="1234"/>
      <c r="P394" s="1234"/>
      <c r="Q394" s="1234"/>
      <c r="R394" s="1234"/>
      <c r="S394" s="1234"/>
      <c r="T394" s="1234"/>
      <c r="U394" s="1235"/>
      <c r="V394" s="1234"/>
    </row>
    <row r="395" spans="1:26" ht="12.6" customHeight="1" x14ac:dyDescent="0.25">
      <c r="A395" s="573" t="s">
        <v>469</v>
      </c>
      <c r="B395" s="569" t="s">
        <v>462</v>
      </c>
      <c r="C395" s="569"/>
      <c r="D395" s="580"/>
      <c r="E395" s="599">
        <v>1088385</v>
      </c>
      <c r="F395" s="570"/>
      <c r="G395" s="570"/>
      <c r="H395" s="570"/>
      <c r="I395" s="570"/>
      <c r="J395" s="570"/>
      <c r="K395" s="570"/>
      <c r="L395" s="570"/>
      <c r="M395" s="570"/>
      <c r="N395" s="570"/>
      <c r="O395" s="570"/>
      <c r="P395" s="570"/>
      <c r="Q395" s="570"/>
      <c r="R395" s="570"/>
      <c r="S395" s="570"/>
      <c r="T395" s="570">
        <f>SUM(E395:S395)</f>
        <v>1088385</v>
      </c>
      <c r="U395" s="603"/>
      <c r="V395" s="599">
        <f>T395-U395</f>
        <v>1088385</v>
      </c>
      <c r="W395" s="532"/>
      <c r="X395" s="532"/>
      <c r="Y395" s="532"/>
      <c r="Z395" s="532"/>
    </row>
    <row r="396" spans="1:26" ht="12.6" customHeight="1" thickBot="1" x14ac:dyDescent="0.3">
      <c r="A396" s="573" t="s">
        <v>103</v>
      </c>
      <c r="B396" s="569" t="s">
        <v>295</v>
      </c>
      <c r="C396" s="569"/>
      <c r="D396" s="580"/>
      <c r="E396" s="601"/>
      <c r="F396" s="601"/>
      <c r="G396" s="601"/>
      <c r="H396" s="601">
        <f>8500000</f>
        <v>8500000</v>
      </c>
      <c r="I396" s="601"/>
      <c r="J396" s="601"/>
      <c r="K396" s="601"/>
      <c r="L396" s="601"/>
      <c r="M396" s="601"/>
      <c r="N396" s="601"/>
      <c r="O396" s="601"/>
      <c r="P396" s="601"/>
      <c r="Q396" s="601"/>
      <c r="R396" s="601"/>
      <c r="S396" s="601"/>
      <c r="T396" s="570">
        <f>SUM(E396:S396)</f>
        <v>8500000</v>
      </c>
      <c r="U396" s="606"/>
      <c r="V396" s="615"/>
      <c r="W396" s="532"/>
      <c r="X396" s="532"/>
      <c r="Y396" s="532"/>
      <c r="Z396" s="532"/>
    </row>
    <row r="397" spans="1:26" ht="12.6" customHeight="1" thickBot="1" x14ac:dyDescent="0.3">
      <c r="A397" s="604"/>
      <c r="B397" s="581" t="s">
        <v>346</v>
      </c>
      <c r="C397" s="569"/>
      <c r="D397" s="580"/>
      <c r="E397" s="582">
        <f>SUM(E395:E396)</f>
        <v>1088385</v>
      </c>
      <c r="F397" s="582">
        <f t="shared" ref="F397:G397" si="166">SUM(F395)</f>
        <v>0</v>
      </c>
      <c r="G397" s="582">
        <f t="shared" si="166"/>
        <v>0</v>
      </c>
      <c r="H397" s="582">
        <f>SUM(H395)</f>
        <v>0</v>
      </c>
      <c r="I397" s="582">
        <f t="shared" ref="I397" si="167">SUM(I395)</f>
        <v>0</v>
      </c>
      <c r="J397" s="582">
        <f>SUM(J395)</f>
        <v>0</v>
      </c>
      <c r="K397" s="582">
        <f t="shared" ref="K397:V397" si="168">SUM(K395)</f>
        <v>0</v>
      </c>
      <c r="L397" s="582">
        <f t="shared" si="168"/>
        <v>0</v>
      </c>
      <c r="M397" s="582">
        <f t="shared" si="168"/>
        <v>0</v>
      </c>
      <c r="N397" s="582">
        <f t="shared" si="168"/>
        <v>0</v>
      </c>
      <c r="O397" s="582">
        <f t="shared" si="168"/>
        <v>0</v>
      </c>
      <c r="P397" s="582">
        <f t="shared" si="168"/>
        <v>0</v>
      </c>
      <c r="Q397" s="582">
        <f t="shared" si="168"/>
        <v>0</v>
      </c>
      <c r="R397" s="582">
        <f t="shared" si="168"/>
        <v>0</v>
      </c>
      <c r="S397" s="582">
        <f t="shared" si="168"/>
        <v>0</v>
      </c>
      <c r="T397" s="582">
        <f t="shared" si="168"/>
        <v>1088385</v>
      </c>
      <c r="U397" s="582">
        <f t="shared" si="168"/>
        <v>0</v>
      </c>
      <c r="V397" s="616">
        <f t="shared" si="168"/>
        <v>1088385</v>
      </c>
      <c r="W397" s="532"/>
      <c r="X397" s="532"/>
      <c r="Y397" s="532"/>
      <c r="Z397" s="532"/>
    </row>
    <row r="398" spans="1:26" ht="12.6" customHeight="1" x14ac:dyDescent="0.25">
      <c r="A398" s="577"/>
      <c r="B398" s="581"/>
      <c r="C398" s="569"/>
      <c r="D398" s="583" t="s">
        <v>347</v>
      </c>
      <c r="E398" s="730">
        <f>E395</f>
        <v>1088385</v>
      </c>
      <c r="F398" s="730"/>
      <c r="G398" s="584"/>
      <c r="H398" s="584"/>
      <c r="I398" s="584"/>
      <c r="J398" s="584"/>
      <c r="K398" s="584"/>
      <c r="L398" s="584"/>
      <c r="M398" s="584"/>
      <c r="N398" s="584"/>
      <c r="O398" s="584"/>
      <c r="P398" s="584"/>
      <c r="Q398" s="584"/>
      <c r="R398" s="584"/>
      <c r="S398" s="584"/>
      <c r="T398" s="584"/>
      <c r="U398" s="624"/>
      <c r="V398" s="625"/>
      <c r="W398" s="532"/>
      <c r="X398" s="532"/>
      <c r="Y398" s="532"/>
      <c r="Z398" s="532"/>
    </row>
    <row r="399" spans="1:26" ht="12.6" customHeight="1" x14ac:dyDescent="0.25">
      <c r="A399" s="577"/>
      <c r="B399" s="581"/>
      <c r="C399" s="569"/>
      <c r="D399" s="583" t="s">
        <v>348</v>
      </c>
      <c r="E399" s="730"/>
      <c r="F399" s="730">
        <f t="shared" ref="F399:G399" si="169">F395</f>
        <v>0</v>
      </c>
      <c r="G399" s="584">
        <f t="shared" si="169"/>
        <v>0</v>
      </c>
      <c r="H399" s="584">
        <f>H395</f>
        <v>0</v>
      </c>
      <c r="I399" s="584">
        <f t="shared" ref="I399" si="170">I395</f>
        <v>0</v>
      </c>
      <c r="J399" s="584">
        <f>J395</f>
        <v>0</v>
      </c>
      <c r="K399" s="584">
        <f t="shared" ref="K399:V399" si="171">K395</f>
        <v>0</v>
      </c>
      <c r="L399" s="584">
        <f t="shared" si="171"/>
        <v>0</v>
      </c>
      <c r="M399" s="584">
        <f t="shared" si="171"/>
        <v>0</v>
      </c>
      <c r="N399" s="584">
        <f t="shared" si="171"/>
        <v>0</v>
      </c>
      <c r="O399" s="584">
        <f t="shared" si="171"/>
        <v>0</v>
      </c>
      <c r="P399" s="584">
        <f t="shared" si="171"/>
        <v>0</v>
      </c>
      <c r="Q399" s="584">
        <f t="shared" si="171"/>
        <v>0</v>
      </c>
      <c r="R399" s="584">
        <f t="shared" si="171"/>
        <v>0</v>
      </c>
      <c r="S399" s="584">
        <f t="shared" si="171"/>
        <v>0</v>
      </c>
      <c r="T399" s="584">
        <f t="shared" si="171"/>
        <v>1088385</v>
      </c>
      <c r="U399" s="624">
        <f t="shared" si="171"/>
        <v>0</v>
      </c>
      <c r="V399" s="584">
        <f t="shared" si="171"/>
        <v>1088385</v>
      </c>
      <c r="W399" s="532"/>
      <c r="X399" s="532"/>
      <c r="Y399" s="532"/>
      <c r="Z399" s="532"/>
    </row>
    <row r="400" spans="1:26" ht="12.6" customHeight="1" x14ac:dyDescent="0.25">
      <c r="A400" s="577"/>
      <c r="B400" s="581"/>
      <c r="C400" s="569"/>
      <c r="D400" s="580"/>
      <c r="E400" s="730">
        <f>SUM(E398:E399)</f>
        <v>1088385</v>
      </c>
      <c r="F400" s="730">
        <f t="shared" ref="F400:G400" si="172">SUM(F398:F399)</f>
        <v>0</v>
      </c>
      <c r="G400" s="584">
        <f t="shared" si="172"/>
        <v>0</v>
      </c>
      <c r="H400" s="584">
        <f>SUM(H398:H399)</f>
        <v>0</v>
      </c>
      <c r="I400" s="584">
        <f t="shared" ref="I400" si="173">SUM(I398:I399)</f>
        <v>0</v>
      </c>
      <c r="J400" s="584">
        <f>SUM(J398:J399)</f>
        <v>0</v>
      </c>
      <c r="K400" s="584">
        <f t="shared" ref="K400:V400" si="174">SUM(K398:K399)</f>
        <v>0</v>
      </c>
      <c r="L400" s="584">
        <f t="shared" si="174"/>
        <v>0</v>
      </c>
      <c r="M400" s="584">
        <f t="shared" si="174"/>
        <v>0</v>
      </c>
      <c r="N400" s="584">
        <f t="shared" si="174"/>
        <v>0</v>
      </c>
      <c r="O400" s="584">
        <f t="shared" si="174"/>
        <v>0</v>
      </c>
      <c r="P400" s="584">
        <f t="shared" si="174"/>
        <v>0</v>
      </c>
      <c r="Q400" s="584">
        <f t="shared" si="174"/>
        <v>0</v>
      </c>
      <c r="R400" s="584">
        <f t="shared" si="174"/>
        <v>0</v>
      </c>
      <c r="S400" s="584">
        <f t="shared" si="174"/>
        <v>0</v>
      </c>
      <c r="T400" s="584">
        <f t="shared" si="174"/>
        <v>1088385</v>
      </c>
      <c r="U400" s="624">
        <f t="shared" si="174"/>
        <v>0</v>
      </c>
      <c r="V400" s="584">
        <f t="shared" si="174"/>
        <v>1088385</v>
      </c>
      <c r="W400" s="532"/>
      <c r="X400" s="532"/>
      <c r="Y400" s="532"/>
      <c r="Z400" s="532"/>
    </row>
    <row r="401" spans="1:26" ht="12.6" customHeight="1" x14ac:dyDescent="0.25">
      <c r="A401" s="824"/>
      <c r="B401" s="644"/>
      <c r="C401" s="644"/>
      <c r="D401" s="822"/>
      <c r="E401" s="1232"/>
      <c r="F401" s="1232"/>
      <c r="G401" s="1232"/>
      <c r="H401" s="1232"/>
      <c r="I401" s="1232"/>
      <c r="J401" s="1232"/>
      <c r="K401" s="1232"/>
      <c r="L401" s="1232"/>
      <c r="M401" s="1232"/>
      <c r="N401" s="1232"/>
      <c r="O401" s="1232"/>
      <c r="P401" s="1232"/>
      <c r="Q401" s="1232"/>
      <c r="R401" s="1232"/>
      <c r="S401" s="1232"/>
      <c r="T401" s="1232"/>
      <c r="U401" s="1233"/>
      <c r="V401" s="1232"/>
    </row>
    <row r="402" spans="1:26" ht="12.6" customHeight="1" x14ac:dyDescent="0.25">
      <c r="A402" s="824"/>
      <c r="B402" s="644"/>
      <c r="C402" s="644"/>
      <c r="D402" s="822"/>
      <c r="E402" s="1239"/>
      <c r="F402" s="1234"/>
      <c r="G402" s="1234"/>
      <c r="H402" s="1234"/>
      <c r="I402" s="1234"/>
      <c r="J402" s="1234"/>
      <c r="K402" s="1234"/>
      <c r="L402" s="1234"/>
      <c r="M402" s="1234"/>
      <c r="N402" s="1234"/>
      <c r="O402" s="1234"/>
      <c r="P402" s="1234"/>
      <c r="Q402" s="1234"/>
      <c r="R402" s="1234"/>
      <c r="S402" s="1234"/>
      <c r="T402" s="1234"/>
      <c r="U402" s="1235"/>
      <c r="V402" s="1234"/>
    </row>
    <row r="403" spans="1:26" ht="12.6" customHeight="1" x14ac:dyDescent="0.25">
      <c r="A403" s="658"/>
      <c r="B403" s="660"/>
      <c r="C403" s="660"/>
      <c r="D403" s="661"/>
      <c r="E403" s="599"/>
      <c r="F403" s="570"/>
      <c r="G403" s="570"/>
      <c r="H403" s="570"/>
      <c r="I403" s="570"/>
      <c r="J403" s="570"/>
      <c r="K403" s="570"/>
      <c r="L403" s="570"/>
      <c r="M403" s="570"/>
      <c r="N403" s="570"/>
      <c r="O403" s="570"/>
      <c r="P403" s="570"/>
      <c r="Q403" s="570"/>
      <c r="R403" s="570"/>
      <c r="S403" s="570"/>
      <c r="T403" s="570"/>
      <c r="U403" s="1236"/>
      <c r="V403" s="570"/>
      <c r="W403" s="532"/>
      <c r="X403" s="532"/>
      <c r="Y403" s="532"/>
      <c r="Z403" s="532"/>
    </row>
    <row r="404" spans="1:26" ht="12.6" customHeight="1" x14ac:dyDescent="0.25">
      <c r="A404" s="611" t="s">
        <v>391</v>
      </c>
      <c r="B404" s="612" t="s">
        <v>308</v>
      </c>
      <c r="C404" s="612"/>
      <c r="D404" s="617"/>
      <c r="E404" s="618"/>
      <c r="F404" s="613"/>
      <c r="G404" s="613"/>
      <c r="H404" s="613"/>
      <c r="I404" s="613"/>
      <c r="J404" s="613"/>
      <c r="K404" s="613"/>
      <c r="L404" s="613"/>
      <c r="M404" s="613"/>
      <c r="N404" s="613"/>
      <c r="O404" s="613"/>
      <c r="P404" s="613"/>
      <c r="Q404" s="613"/>
      <c r="R404" s="613"/>
      <c r="S404" s="613"/>
      <c r="T404" s="613">
        <f t="shared" ref="T404:T414" si="175">SUM(E404:S404)</f>
        <v>0</v>
      </c>
      <c r="U404" s="627"/>
      <c r="V404" s="613">
        <f>T404-U404</f>
        <v>0</v>
      </c>
      <c r="W404" s="532"/>
      <c r="X404" s="532"/>
      <c r="Y404" s="532"/>
      <c r="Z404" s="532"/>
    </row>
    <row r="405" spans="1:26" ht="12.6" customHeight="1" x14ac:dyDescent="0.25">
      <c r="A405" s="604" t="s">
        <v>30</v>
      </c>
      <c r="B405" s="734" t="s">
        <v>266</v>
      </c>
      <c r="C405" s="569"/>
      <c r="D405" s="569"/>
      <c r="E405" s="570"/>
      <c r="F405" s="570">
        <f>'CABAC Non-Fid 2025'!G143+'CABAC Non-Fid 2025'!G147</f>
        <v>0</v>
      </c>
      <c r="G405" s="570"/>
      <c r="H405" s="570"/>
      <c r="I405" s="570"/>
      <c r="J405" s="570"/>
      <c r="K405" s="570"/>
      <c r="L405" s="570"/>
      <c r="M405" s="570"/>
      <c r="N405" s="570"/>
      <c r="O405" s="570"/>
      <c r="P405" s="570"/>
      <c r="Q405" s="570"/>
      <c r="R405" s="570"/>
      <c r="S405" s="570"/>
      <c r="T405" s="613">
        <f t="shared" si="175"/>
        <v>0</v>
      </c>
      <c r="U405" s="574"/>
      <c r="V405" s="613">
        <f t="shared" ref="V405:V411" si="176">T405-U405</f>
        <v>0</v>
      </c>
      <c r="W405" s="532"/>
      <c r="X405" s="532"/>
      <c r="Y405" s="532"/>
      <c r="Z405" s="532"/>
    </row>
    <row r="406" spans="1:26" ht="12.6" customHeight="1" x14ac:dyDescent="0.25">
      <c r="B406" s="569" t="s">
        <v>376</v>
      </c>
      <c r="C406" s="569"/>
      <c r="D406" s="580"/>
      <c r="E406" s="602"/>
      <c r="F406" s="570">
        <f>'CABAC Non-Fid 2025'!G144</f>
        <v>0</v>
      </c>
      <c r="G406" s="570"/>
      <c r="H406" s="601">
        <v>4200000</v>
      </c>
      <c r="I406" s="570"/>
      <c r="J406" s="570"/>
      <c r="K406" s="570"/>
      <c r="L406" s="570"/>
      <c r="M406" s="570"/>
      <c r="N406" s="570"/>
      <c r="O406" s="570"/>
      <c r="P406" s="570"/>
      <c r="Q406" s="570"/>
      <c r="R406" s="570"/>
      <c r="S406" s="570"/>
      <c r="T406" s="613">
        <f t="shared" si="175"/>
        <v>4200000</v>
      </c>
      <c r="U406" s="628"/>
      <c r="V406" s="613">
        <f t="shared" si="176"/>
        <v>4200000</v>
      </c>
      <c r="W406" s="532"/>
      <c r="X406" s="532"/>
      <c r="Y406" s="532"/>
      <c r="Z406" s="532"/>
    </row>
    <row r="407" spans="1:26" ht="12.6" customHeight="1" x14ac:dyDescent="0.25">
      <c r="A407" s="577"/>
      <c r="B407" s="734" t="s">
        <v>353</v>
      </c>
      <c r="C407" s="569"/>
      <c r="D407" s="569"/>
      <c r="E407" s="570"/>
      <c r="F407" s="570">
        <f>'CABAC Non-Fid 2025'!G145</f>
        <v>0</v>
      </c>
      <c r="G407" s="570"/>
      <c r="H407" s="570"/>
      <c r="I407" s="570"/>
      <c r="J407" s="570"/>
      <c r="K407" s="570"/>
      <c r="L407" s="570"/>
      <c r="M407" s="570"/>
      <c r="N407" s="570"/>
      <c r="O407" s="570"/>
      <c r="P407" s="570"/>
      <c r="Q407" s="570"/>
      <c r="R407" s="570"/>
      <c r="S407" s="570"/>
      <c r="T407" s="613">
        <f t="shared" si="175"/>
        <v>0</v>
      </c>
      <c r="U407" s="574"/>
      <c r="V407" s="613">
        <f t="shared" si="176"/>
        <v>0</v>
      </c>
      <c r="W407" s="532"/>
      <c r="X407" s="532"/>
      <c r="Y407" s="532"/>
      <c r="Z407" s="532"/>
    </row>
    <row r="408" spans="1:26" ht="12.6" customHeight="1" x14ac:dyDescent="0.25">
      <c r="A408" s="573"/>
      <c r="B408" s="569" t="s">
        <v>392</v>
      </c>
      <c r="C408" s="569"/>
      <c r="D408" s="580"/>
      <c r="E408" s="602"/>
      <c r="F408" s="570"/>
      <c r="G408" s="570"/>
      <c r="H408" s="570"/>
      <c r="I408" s="570"/>
      <c r="J408" s="570"/>
      <c r="K408" s="570"/>
      <c r="L408" s="570"/>
      <c r="M408" s="570"/>
      <c r="N408" s="570"/>
      <c r="O408" s="570"/>
      <c r="P408" s="570"/>
      <c r="Q408" s="570"/>
      <c r="R408" s="570"/>
      <c r="S408" s="570"/>
      <c r="T408" s="613">
        <f t="shared" si="175"/>
        <v>0</v>
      </c>
      <c r="U408" s="628"/>
      <c r="V408" s="613">
        <f t="shared" si="176"/>
        <v>0</v>
      </c>
      <c r="W408" s="532"/>
      <c r="X408" s="532"/>
      <c r="Y408" s="532"/>
      <c r="Z408" s="532"/>
    </row>
    <row r="409" spans="1:26" ht="12.6" customHeight="1" x14ac:dyDescent="0.25">
      <c r="A409" s="573"/>
      <c r="B409" s="569" t="s">
        <v>457</v>
      </c>
      <c r="C409" s="569"/>
      <c r="D409" s="580"/>
      <c r="E409" s="602"/>
      <c r="F409" s="570">
        <f>'CABAC Non-Fid 2025'!G146</f>
        <v>0</v>
      </c>
      <c r="G409" s="570"/>
      <c r="H409" s="570"/>
      <c r="I409" s="570"/>
      <c r="J409" s="570"/>
      <c r="K409" s="599"/>
      <c r="L409" s="570"/>
      <c r="M409" s="570"/>
      <c r="N409" s="570"/>
      <c r="O409" s="570"/>
      <c r="P409" s="570"/>
      <c r="Q409" s="570"/>
      <c r="R409" s="570"/>
      <c r="S409" s="570"/>
      <c r="T409" s="614">
        <f t="shared" si="175"/>
        <v>0</v>
      </c>
      <c r="U409" s="628"/>
      <c r="V409" s="613">
        <f t="shared" si="176"/>
        <v>0</v>
      </c>
      <c r="W409" s="532"/>
      <c r="X409" s="532"/>
      <c r="Y409" s="532"/>
      <c r="Z409" s="532"/>
    </row>
    <row r="410" spans="1:26" ht="12.6" customHeight="1" x14ac:dyDescent="0.25">
      <c r="A410" s="573"/>
      <c r="B410" s="569" t="s">
        <v>145</v>
      </c>
      <c r="C410" s="569"/>
      <c r="D410" s="580"/>
      <c r="E410" s="602"/>
      <c r="F410" s="570">
        <f>'CABAC Fiduciary 2025'!F200</f>
        <v>0</v>
      </c>
      <c r="G410" s="601"/>
      <c r="H410" s="601"/>
      <c r="I410" s="601"/>
      <c r="J410" s="570"/>
      <c r="K410" s="614"/>
      <c r="L410" s="613"/>
      <c r="M410" s="613"/>
      <c r="N410" s="613"/>
      <c r="O410" s="613"/>
      <c r="P410" s="613"/>
      <c r="Q410" s="613"/>
      <c r="R410" s="613"/>
      <c r="S410" s="613"/>
      <c r="T410" s="614">
        <f t="shared" si="175"/>
        <v>0</v>
      </c>
      <c r="U410" s="628"/>
      <c r="V410" s="613">
        <f t="shared" si="176"/>
        <v>0</v>
      </c>
      <c r="W410" s="532"/>
      <c r="X410" s="532"/>
      <c r="Y410" s="532"/>
      <c r="Z410" s="532"/>
    </row>
    <row r="411" spans="1:26" ht="12.6" customHeight="1" x14ac:dyDescent="0.25">
      <c r="A411" s="573"/>
      <c r="B411" s="569" t="s">
        <v>179</v>
      </c>
      <c r="C411" s="569"/>
      <c r="D411" s="580"/>
      <c r="E411" s="605"/>
      <c r="F411" s="601"/>
      <c r="G411" s="570"/>
      <c r="H411" s="601"/>
      <c r="I411" s="570"/>
      <c r="J411" s="570"/>
      <c r="K411" s="601"/>
      <c r="L411" s="601"/>
      <c r="M411" s="601"/>
      <c r="N411" s="601"/>
      <c r="O411" s="601"/>
      <c r="P411" s="601"/>
      <c r="Q411" s="601"/>
      <c r="R411" s="601"/>
      <c r="S411" s="601"/>
      <c r="T411" s="613">
        <f t="shared" si="175"/>
        <v>0</v>
      </c>
      <c r="U411" s="628"/>
      <c r="V411" s="613">
        <f t="shared" si="176"/>
        <v>0</v>
      </c>
      <c r="W411" s="532"/>
      <c r="X411" s="532"/>
      <c r="Y411" s="532"/>
      <c r="Z411" s="532"/>
    </row>
    <row r="412" spans="1:26" ht="12.6" customHeight="1" x14ac:dyDescent="0.25">
      <c r="A412" s="573"/>
      <c r="B412" s="569" t="s">
        <v>340</v>
      </c>
      <c r="C412" s="569"/>
      <c r="D412" s="580"/>
      <c r="E412" s="602"/>
      <c r="F412" s="570">
        <f>'CABAC Fiduciary 2025'!F201</f>
        <v>0</v>
      </c>
      <c r="G412" s="570"/>
      <c r="H412" s="570"/>
      <c r="I412" s="570"/>
      <c r="J412" s="570"/>
      <c r="K412" s="570"/>
      <c r="L412" s="570"/>
      <c r="M412" s="570"/>
      <c r="N412" s="570"/>
      <c r="O412" s="570"/>
      <c r="P412" s="570"/>
      <c r="Q412" s="570"/>
      <c r="R412" s="570"/>
      <c r="S412" s="570"/>
      <c r="T412" s="570">
        <f t="shared" si="175"/>
        <v>0</v>
      </c>
      <c r="U412" s="628"/>
      <c r="V412" s="570">
        <f>T412-U412</f>
        <v>0</v>
      </c>
      <c r="W412" s="532"/>
      <c r="X412" s="532"/>
      <c r="Y412" s="532"/>
      <c r="Z412" s="532"/>
    </row>
    <row r="413" spans="1:26" ht="12.6" customHeight="1" x14ac:dyDescent="0.25">
      <c r="A413" s="573"/>
      <c r="B413" s="569" t="s">
        <v>358</v>
      </c>
      <c r="C413" s="569"/>
      <c r="D413" s="580"/>
      <c r="E413" s="602"/>
      <c r="F413" s="570"/>
      <c r="G413" s="570"/>
      <c r="H413" s="570"/>
      <c r="I413" s="570"/>
      <c r="J413" s="570"/>
      <c r="K413" s="570"/>
      <c r="L413" s="570"/>
      <c r="M413" s="570"/>
      <c r="N413" s="570"/>
      <c r="O413" s="570"/>
      <c r="P413" s="570"/>
      <c r="Q413" s="570"/>
      <c r="R413" s="570"/>
      <c r="S413" s="570"/>
      <c r="T413" s="570">
        <f t="shared" si="175"/>
        <v>0</v>
      </c>
      <c r="U413" s="628"/>
      <c r="V413" s="570">
        <f>T413-U413</f>
        <v>0</v>
      </c>
      <c r="W413" s="532"/>
      <c r="X413" s="532"/>
      <c r="Y413" s="532"/>
      <c r="Z413" s="532"/>
    </row>
    <row r="414" spans="1:26" ht="12.6" customHeight="1" thickBot="1" x14ac:dyDescent="0.3">
      <c r="A414" s="573"/>
      <c r="B414" s="569" t="s">
        <v>144</v>
      </c>
      <c r="C414" s="569"/>
      <c r="D414" s="580"/>
      <c r="E414" s="605">
        <v>744538.92</v>
      </c>
      <c r="F414" s="601"/>
      <c r="G414" s="570"/>
      <c r="H414" s="601"/>
      <c r="I414" s="570"/>
      <c r="J414" s="570"/>
      <c r="K414" s="601"/>
      <c r="L414" s="601"/>
      <c r="M414" s="601"/>
      <c r="N414" s="601"/>
      <c r="O414" s="601"/>
      <c r="P414" s="601"/>
      <c r="Q414" s="601"/>
      <c r="R414" s="601"/>
      <c r="S414" s="601"/>
      <c r="T414" s="570">
        <f t="shared" si="175"/>
        <v>744538.92</v>
      </c>
      <c r="U414" s="628"/>
      <c r="V414" s="570">
        <f t="shared" ref="V414" si="177">T414-U414</f>
        <v>744538.92</v>
      </c>
      <c r="W414" s="532"/>
      <c r="X414" s="532"/>
      <c r="Y414" s="532"/>
      <c r="Z414" s="532"/>
    </row>
    <row r="415" spans="1:26" ht="12.6" customHeight="1" thickBot="1" x14ac:dyDescent="0.3">
      <c r="A415" s="573"/>
      <c r="B415" s="581" t="s">
        <v>346</v>
      </c>
      <c r="C415" s="569"/>
      <c r="D415" s="580"/>
      <c r="E415" s="582">
        <f t="shared" ref="E415:V415" si="178">SUM(E404:E414)</f>
        <v>744538.92</v>
      </c>
      <c r="F415" s="582">
        <f t="shared" si="178"/>
        <v>0</v>
      </c>
      <c r="G415" s="582">
        <f t="shared" si="178"/>
        <v>0</v>
      </c>
      <c r="H415" s="582">
        <f t="shared" si="178"/>
        <v>4200000</v>
      </c>
      <c r="I415" s="582">
        <f t="shared" si="178"/>
        <v>0</v>
      </c>
      <c r="J415" s="582">
        <f t="shared" si="178"/>
        <v>0</v>
      </c>
      <c r="K415" s="582">
        <f t="shared" si="178"/>
        <v>0</v>
      </c>
      <c r="L415" s="582">
        <f t="shared" si="178"/>
        <v>0</v>
      </c>
      <c r="M415" s="582">
        <f t="shared" si="178"/>
        <v>0</v>
      </c>
      <c r="N415" s="582">
        <f t="shared" si="178"/>
        <v>0</v>
      </c>
      <c r="O415" s="582">
        <f t="shared" si="178"/>
        <v>0</v>
      </c>
      <c r="P415" s="582">
        <f t="shared" si="178"/>
        <v>0</v>
      </c>
      <c r="Q415" s="582">
        <f t="shared" si="178"/>
        <v>0</v>
      </c>
      <c r="R415" s="582">
        <f t="shared" si="178"/>
        <v>0</v>
      </c>
      <c r="S415" s="582">
        <f t="shared" si="178"/>
        <v>0</v>
      </c>
      <c r="T415" s="582">
        <f t="shared" si="178"/>
        <v>4944538.92</v>
      </c>
      <c r="U415" s="582">
        <f t="shared" si="178"/>
        <v>0</v>
      </c>
      <c r="V415" s="582">
        <f t="shared" si="178"/>
        <v>4944538.92</v>
      </c>
      <c r="W415" s="532"/>
      <c r="X415" s="532"/>
      <c r="Y415" s="532"/>
      <c r="Z415" s="532"/>
    </row>
    <row r="416" spans="1:26" ht="12.6" customHeight="1" x14ac:dyDescent="0.25">
      <c r="A416" s="577"/>
      <c r="B416" s="581"/>
      <c r="C416" s="569"/>
      <c r="D416" s="583" t="s">
        <v>347</v>
      </c>
      <c r="E416" s="730">
        <f t="shared" ref="E416:V416" si="179">SUM(E410:E414)</f>
        <v>744538.92</v>
      </c>
      <c r="F416" s="730">
        <f t="shared" si="179"/>
        <v>0</v>
      </c>
      <c r="G416" s="584">
        <f t="shared" si="179"/>
        <v>0</v>
      </c>
      <c r="H416" s="584">
        <f t="shared" si="179"/>
        <v>0</v>
      </c>
      <c r="I416" s="584">
        <f t="shared" si="179"/>
        <v>0</v>
      </c>
      <c r="J416" s="584">
        <f t="shared" si="179"/>
        <v>0</v>
      </c>
      <c r="K416" s="584">
        <f t="shared" si="179"/>
        <v>0</v>
      </c>
      <c r="L416" s="584">
        <f t="shared" si="179"/>
        <v>0</v>
      </c>
      <c r="M416" s="584">
        <f t="shared" si="179"/>
        <v>0</v>
      </c>
      <c r="N416" s="584">
        <f t="shared" si="179"/>
        <v>0</v>
      </c>
      <c r="O416" s="584">
        <f t="shared" si="179"/>
        <v>0</v>
      </c>
      <c r="P416" s="584">
        <f t="shared" si="179"/>
        <v>0</v>
      </c>
      <c r="Q416" s="584">
        <f t="shared" si="179"/>
        <v>0</v>
      </c>
      <c r="R416" s="584">
        <f t="shared" si="179"/>
        <v>0</v>
      </c>
      <c r="S416" s="584">
        <f t="shared" si="179"/>
        <v>0</v>
      </c>
      <c r="T416" s="584">
        <f t="shared" si="179"/>
        <v>744538.92</v>
      </c>
      <c r="U416" s="584">
        <f t="shared" si="179"/>
        <v>0</v>
      </c>
      <c r="V416" s="584">
        <f t="shared" si="179"/>
        <v>744538.92</v>
      </c>
      <c r="W416" s="532"/>
      <c r="X416" s="532"/>
      <c r="Y416" s="532"/>
      <c r="Z416" s="532"/>
    </row>
    <row r="417" spans="1:26" ht="12.6" customHeight="1" x14ac:dyDescent="0.25">
      <c r="A417" s="577"/>
      <c r="B417" s="581"/>
      <c r="C417" s="569"/>
      <c r="D417" s="583" t="s">
        <v>348</v>
      </c>
      <c r="E417" s="730">
        <f t="shared" ref="E417:V417" si="180">SUM(E404:E409)</f>
        <v>0</v>
      </c>
      <c r="F417" s="730">
        <f t="shared" si="180"/>
        <v>0</v>
      </c>
      <c r="G417" s="584">
        <f t="shared" si="180"/>
        <v>0</v>
      </c>
      <c r="H417" s="584">
        <f t="shared" si="180"/>
        <v>4200000</v>
      </c>
      <c r="I417" s="584">
        <f t="shared" si="180"/>
        <v>0</v>
      </c>
      <c r="J417" s="584">
        <f t="shared" si="180"/>
        <v>0</v>
      </c>
      <c r="K417" s="584">
        <f t="shared" si="180"/>
        <v>0</v>
      </c>
      <c r="L417" s="584">
        <f t="shared" si="180"/>
        <v>0</v>
      </c>
      <c r="M417" s="584">
        <f t="shared" si="180"/>
        <v>0</v>
      </c>
      <c r="N417" s="584">
        <f t="shared" si="180"/>
        <v>0</v>
      </c>
      <c r="O417" s="584">
        <f t="shared" si="180"/>
        <v>0</v>
      </c>
      <c r="P417" s="584">
        <f t="shared" si="180"/>
        <v>0</v>
      </c>
      <c r="Q417" s="584">
        <f t="shared" si="180"/>
        <v>0</v>
      </c>
      <c r="R417" s="584">
        <f t="shared" si="180"/>
        <v>0</v>
      </c>
      <c r="S417" s="584">
        <f t="shared" si="180"/>
        <v>0</v>
      </c>
      <c r="T417" s="584">
        <f t="shared" si="180"/>
        <v>4200000</v>
      </c>
      <c r="U417" s="584">
        <f t="shared" si="180"/>
        <v>0</v>
      </c>
      <c r="V417" s="584">
        <f t="shared" si="180"/>
        <v>4200000</v>
      </c>
      <c r="W417" s="532"/>
      <c r="X417" s="532"/>
      <c r="Y417" s="532"/>
      <c r="Z417" s="532"/>
    </row>
    <row r="418" spans="1:26" ht="12.6" customHeight="1" x14ac:dyDescent="0.25">
      <c r="A418" s="577"/>
      <c r="B418" s="581"/>
      <c r="C418" s="569"/>
      <c r="D418" s="580"/>
      <c r="E418" s="730">
        <f>SUM(E416:E417)</f>
        <v>744538.92</v>
      </c>
      <c r="F418" s="730">
        <f t="shared" ref="F418:V418" si="181">SUM(F416:F417)</f>
        <v>0</v>
      </c>
      <c r="G418" s="584">
        <f t="shared" si="181"/>
        <v>0</v>
      </c>
      <c r="H418" s="584">
        <f>SUM(H416:H417)</f>
        <v>4200000</v>
      </c>
      <c r="I418" s="584">
        <f t="shared" si="181"/>
        <v>0</v>
      </c>
      <c r="J418" s="584">
        <f>SUM(J416:J417)</f>
        <v>0</v>
      </c>
      <c r="K418" s="584">
        <f t="shared" si="181"/>
        <v>0</v>
      </c>
      <c r="L418" s="584">
        <f t="shared" si="181"/>
        <v>0</v>
      </c>
      <c r="M418" s="584">
        <f t="shared" si="181"/>
        <v>0</v>
      </c>
      <c r="N418" s="584">
        <f t="shared" si="181"/>
        <v>0</v>
      </c>
      <c r="O418" s="584">
        <f t="shared" si="181"/>
        <v>0</v>
      </c>
      <c r="P418" s="584">
        <f t="shared" si="181"/>
        <v>0</v>
      </c>
      <c r="Q418" s="584">
        <f t="shared" si="181"/>
        <v>0</v>
      </c>
      <c r="R418" s="584">
        <f t="shared" si="181"/>
        <v>0</v>
      </c>
      <c r="S418" s="584">
        <f t="shared" si="181"/>
        <v>0</v>
      </c>
      <c r="T418" s="584">
        <f t="shared" si="181"/>
        <v>4944538.92</v>
      </c>
      <c r="U418" s="584">
        <f t="shared" si="181"/>
        <v>0</v>
      </c>
      <c r="V418" s="584">
        <f t="shared" si="181"/>
        <v>4944538.92</v>
      </c>
      <c r="W418" s="532"/>
      <c r="X418" s="532"/>
      <c r="Y418" s="532"/>
      <c r="Z418" s="532"/>
    </row>
    <row r="419" spans="1:26" ht="12.6" customHeight="1" x14ac:dyDescent="0.25">
      <c r="A419" s="577"/>
      <c r="B419" s="569"/>
      <c r="C419" s="569"/>
      <c r="D419" s="580"/>
      <c r="E419" s="586">
        <f>E418-E415</f>
        <v>0</v>
      </c>
      <c r="F419" s="586">
        <f t="shared" ref="F419:V419" si="182">F418-F415</f>
        <v>0</v>
      </c>
      <c r="G419" s="586">
        <f t="shared" si="182"/>
        <v>0</v>
      </c>
      <c r="H419" s="586">
        <f>H418-H415</f>
        <v>0</v>
      </c>
      <c r="I419" s="586">
        <f t="shared" si="182"/>
        <v>0</v>
      </c>
      <c r="J419" s="586">
        <f>J418-J415</f>
        <v>0</v>
      </c>
      <c r="K419" s="586">
        <f t="shared" si="182"/>
        <v>0</v>
      </c>
      <c r="L419" s="586">
        <f t="shared" si="182"/>
        <v>0</v>
      </c>
      <c r="M419" s="586">
        <f t="shared" si="182"/>
        <v>0</v>
      </c>
      <c r="N419" s="586">
        <f t="shared" si="182"/>
        <v>0</v>
      </c>
      <c r="O419" s="586">
        <f t="shared" si="182"/>
        <v>0</v>
      </c>
      <c r="P419" s="586">
        <f t="shared" si="182"/>
        <v>0</v>
      </c>
      <c r="Q419" s="1232">
        <f t="shared" si="182"/>
        <v>0</v>
      </c>
      <c r="R419" s="586">
        <f t="shared" si="182"/>
        <v>0</v>
      </c>
      <c r="S419" s="586">
        <f t="shared" si="182"/>
        <v>0</v>
      </c>
      <c r="T419" s="586">
        <f t="shared" si="182"/>
        <v>0</v>
      </c>
      <c r="U419" s="1232">
        <f t="shared" si="182"/>
        <v>0</v>
      </c>
      <c r="V419" s="586">
        <f t="shared" si="182"/>
        <v>0</v>
      </c>
    </row>
    <row r="420" spans="1:26" ht="12.6" customHeight="1" x14ac:dyDescent="0.25">
      <c r="A420" s="573"/>
      <c r="B420" s="569"/>
      <c r="C420" s="569"/>
      <c r="D420" s="580"/>
      <c r="E420" s="570"/>
      <c r="F420" s="570"/>
      <c r="G420" s="570"/>
      <c r="H420" s="570"/>
      <c r="I420" s="570"/>
      <c r="J420" s="570"/>
      <c r="K420" s="570"/>
      <c r="L420" s="570"/>
      <c r="M420" s="570"/>
      <c r="N420" s="570"/>
      <c r="O420" s="570"/>
      <c r="P420" s="570"/>
      <c r="Q420" s="613"/>
      <c r="R420" s="570"/>
      <c r="S420" s="570"/>
      <c r="T420" s="570"/>
      <c r="U420" s="613"/>
      <c r="V420" s="570"/>
      <c r="W420" s="532"/>
      <c r="X420" s="532"/>
      <c r="Y420" s="532"/>
      <c r="Z420" s="532"/>
    </row>
    <row r="421" spans="1:26" ht="12.6" customHeight="1" x14ac:dyDescent="0.25">
      <c r="A421" s="573" t="s">
        <v>393</v>
      </c>
      <c r="B421" s="569" t="s">
        <v>394</v>
      </c>
      <c r="C421" s="569"/>
      <c r="D421" s="580"/>
      <c r="E421" s="605">
        <v>-75000</v>
      </c>
      <c r="F421" s="601">
        <f>'CABAC Non-Fid 2025'!G151</f>
        <v>523172.14</v>
      </c>
      <c r="G421" s="601"/>
      <c r="H421" s="601"/>
      <c r="I421" s="601">
        <v>2200000</v>
      </c>
      <c r="J421" s="601"/>
      <c r="K421" s="601"/>
      <c r="L421" s="601"/>
      <c r="M421" s="601"/>
      <c r="N421" s="601"/>
      <c r="O421" s="601"/>
      <c r="P421" s="601"/>
      <c r="Q421" s="601"/>
      <c r="R421" s="601"/>
      <c r="S421" s="601"/>
      <c r="T421" s="601">
        <f>SUM(E421:S421)</f>
        <v>2648172.14</v>
      </c>
      <c r="U421" s="606"/>
      <c r="V421" s="615">
        <f>T421-U421</f>
        <v>2648172.14</v>
      </c>
      <c r="W421" s="532"/>
      <c r="X421" s="532"/>
      <c r="Y421" s="532"/>
      <c r="Z421" s="532"/>
    </row>
    <row r="422" spans="1:26" ht="12.6" customHeight="1" x14ac:dyDescent="0.25">
      <c r="A422" s="604" t="s">
        <v>29</v>
      </c>
      <c r="B422" s="569" t="s">
        <v>266</v>
      </c>
      <c r="C422" s="569"/>
      <c r="D422" s="580"/>
      <c r="E422" s="640">
        <v>-75000</v>
      </c>
      <c r="F422" s="570">
        <f>'CABAC Non-Fid 2025'!G150</f>
        <v>200000</v>
      </c>
      <c r="G422" s="570"/>
      <c r="H422" s="570"/>
      <c r="I422" s="570"/>
      <c r="J422" s="570"/>
      <c r="K422" s="570"/>
      <c r="L422" s="570"/>
      <c r="M422" s="570"/>
      <c r="N422" s="570"/>
      <c r="O422" s="570"/>
      <c r="P422" s="570"/>
      <c r="Q422" s="570"/>
      <c r="R422" s="570"/>
      <c r="S422" s="570"/>
      <c r="T422" s="570">
        <f>SUM(E422:S422)</f>
        <v>125000</v>
      </c>
      <c r="U422" s="603"/>
      <c r="V422" s="599">
        <f>T422-U422</f>
        <v>125000</v>
      </c>
      <c r="W422" s="532"/>
      <c r="X422" s="532"/>
      <c r="Y422" s="532"/>
      <c r="Z422" s="532"/>
    </row>
    <row r="423" spans="1:26" ht="12.6" customHeight="1" x14ac:dyDescent="0.25">
      <c r="A423" s="604"/>
      <c r="B423" s="569" t="s">
        <v>340</v>
      </c>
      <c r="C423" s="569"/>
      <c r="D423" s="580"/>
      <c r="E423" s="1256"/>
      <c r="F423" s="601"/>
      <c r="G423" s="601"/>
      <c r="H423" s="601"/>
      <c r="I423" s="601"/>
      <c r="J423" s="601"/>
      <c r="K423" s="601"/>
      <c r="L423" s="601"/>
      <c r="M423" s="601"/>
      <c r="N423" s="601"/>
      <c r="O423" s="601"/>
      <c r="P423" s="601"/>
      <c r="Q423" s="601"/>
      <c r="R423" s="601"/>
      <c r="S423" s="601"/>
      <c r="T423" s="601"/>
      <c r="U423" s="606"/>
      <c r="V423" s="615"/>
      <c r="W423" s="532"/>
      <c r="X423" s="532"/>
      <c r="Y423" s="532"/>
      <c r="Z423" s="532"/>
    </row>
    <row r="424" spans="1:26" ht="12.6" customHeight="1" x14ac:dyDescent="0.25">
      <c r="A424" s="604"/>
      <c r="B424" s="569" t="s">
        <v>261</v>
      </c>
      <c r="C424" s="569"/>
      <c r="D424" s="580"/>
      <c r="E424" s="640">
        <v>-75000</v>
      </c>
      <c r="F424" s="570">
        <f>'CABAC Non-Fid 2025'!G152</f>
        <v>0</v>
      </c>
      <c r="G424" s="570"/>
      <c r="H424" s="570"/>
      <c r="I424" s="570"/>
      <c r="J424" s="570"/>
      <c r="K424" s="570"/>
      <c r="L424" s="570"/>
      <c r="M424" s="570"/>
      <c r="N424" s="570"/>
      <c r="O424" s="570"/>
      <c r="P424" s="570"/>
      <c r="Q424" s="570"/>
      <c r="R424" s="570"/>
      <c r="S424" s="570"/>
      <c r="T424" s="570"/>
      <c r="U424" s="603"/>
      <c r="V424" s="599"/>
      <c r="W424" s="532"/>
      <c r="X424" s="532"/>
      <c r="Y424" s="532"/>
      <c r="Z424" s="532"/>
    </row>
    <row r="425" spans="1:26" ht="12.6" customHeight="1" x14ac:dyDescent="0.25">
      <c r="A425" s="604"/>
      <c r="B425" s="569" t="s">
        <v>262</v>
      </c>
      <c r="C425" s="569"/>
      <c r="D425" s="580"/>
      <c r="E425" s="640">
        <v>-75000</v>
      </c>
      <c r="F425" s="570">
        <f>'CABAC Fiduciary 2025'!E222</f>
        <v>5000</v>
      </c>
      <c r="G425" s="570"/>
      <c r="H425" s="570"/>
      <c r="I425" s="570"/>
      <c r="J425" s="570"/>
      <c r="K425" s="570"/>
      <c r="L425" s="570"/>
      <c r="M425" s="570"/>
      <c r="N425" s="570"/>
      <c r="O425" s="570"/>
      <c r="P425" s="570"/>
      <c r="Q425" s="570"/>
      <c r="R425" s="570"/>
      <c r="S425" s="570"/>
      <c r="T425" s="570"/>
      <c r="U425" s="603"/>
      <c r="V425" s="599"/>
      <c r="W425" s="532"/>
      <c r="X425" s="532"/>
      <c r="Y425" s="532"/>
      <c r="Z425" s="532"/>
    </row>
    <row r="426" spans="1:26" ht="12.6" customHeight="1" thickBot="1" x14ac:dyDescent="0.3">
      <c r="A426" s="604"/>
      <c r="B426" s="569" t="s">
        <v>461</v>
      </c>
      <c r="C426" s="569"/>
      <c r="D426" s="580"/>
      <c r="E426" s="1256">
        <v>-437296.36</v>
      </c>
      <c r="F426" s="601">
        <f>'CABAC Fiduciary 2025'!F221</f>
        <v>300000</v>
      </c>
      <c r="G426" s="601"/>
      <c r="H426" s="601"/>
      <c r="I426" s="601"/>
      <c r="J426" s="601"/>
      <c r="K426" s="601"/>
      <c r="L426" s="601"/>
      <c r="M426" s="601"/>
      <c r="N426" s="601"/>
      <c r="O426" s="601"/>
      <c r="P426" s="601"/>
      <c r="Q426" s="601"/>
      <c r="R426" s="601"/>
      <c r="S426" s="601"/>
      <c r="T426" s="601"/>
      <c r="U426" s="606"/>
      <c r="V426" s="615"/>
      <c r="W426" s="532"/>
      <c r="X426" s="532"/>
      <c r="Y426" s="532"/>
      <c r="Z426" s="532"/>
    </row>
    <row r="427" spans="1:26" ht="12.6" customHeight="1" thickBot="1" x14ac:dyDescent="0.3">
      <c r="A427" s="604"/>
      <c r="B427" s="581" t="s">
        <v>346</v>
      </c>
      <c r="C427" s="569"/>
      <c r="D427" s="580"/>
      <c r="E427" s="582">
        <f>SUM(E421:E426)</f>
        <v>-737296.36</v>
      </c>
      <c r="F427" s="582">
        <f>SUM(F421:F426)</f>
        <v>1028172.14</v>
      </c>
      <c r="G427" s="582">
        <f t="shared" ref="G427:V427" si="183">SUM(G421:G422)</f>
        <v>0</v>
      </c>
      <c r="H427" s="582">
        <f>SUM(H421:H422)</f>
        <v>0</v>
      </c>
      <c r="I427" s="582">
        <f t="shared" si="183"/>
        <v>2200000</v>
      </c>
      <c r="J427" s="582">
        <f>SUM(J421:J422)</f>
        <v>0</v>
      </c>
      <c r="K427" s="582">
        <f t="shared" si="183"/>
        <v>0</v>
      </c>
      <c r="L427" s="582">
        <f t="shared" si="183"/>
        <v>0</v>
      </c>
      <c r="M427" s="582">
        <f t="shared" si="183"/>
        <v>0</v>
      </c>
      <c r="N427" s="582">
        <f t="shared" si="183"/>
        <v>0</v>
      </c>
      <c r="O427" s="582">
        <f t="shared" si="183"/>
        <v>0</v>
      </c>
      <c r="P427" s="582">
        <f t="shared" si="183"/>
        <v>0</v>
      </c>
      <c r="Q427" s="582">
        <f t="shared" si="183"/>
        <v>0</v>
      </c>
      <c r="R427" s="582">
        <f t="shared" si="183"/>
        <v>0</v>
      </c>
      <c r="S427" s="582">
        <f t="shared" si="183"/>
        <v>0</v>
      </c>
      <c r="T427" s="582">
        <f t="shared" si="183"/>
        <v>2773172.14</v>
      </c>
      <c r="U427" s="582">
        <f t="shared" si="183"/>
        <v>0</v>
      </c>
      <c r="V427" s="582">
        <f t="shared" si="183"/>
        <v>2773172.14</v>
      </c>
      <c r="W427" s="532"/>
      <c r="X427" s="532"/>
      <c r="Y427" s="532"/>
      <c r="Z427" s="532"/>
    </row>
    <row r="428" spans="1:26" ht="12.6" customHeight="1" x14ac:dyDescent="0.25">
      <c r="A428" s="577"/>
      <c r="B428" s="581"/>
      <c r="C428" s="569"/>
      <c r="D428" s="583" t="s">
        <v>347</v>
      </c>
      <c r="E428" s="730">
        <f>E423+E426</f>
        <v>-437296.36</v>
      </c>
      <c r="F428" s="730">
        <f>F425+F426</f>
        <v>305000</v>
      </c>
      <c r="G428" s="584"/>
      <c r="H428" s="584"/>
      <c r="I428" s="584"/>
      <c r="J428" s="584"/>
      <c r="K428" s="584"/>
      <c r="L428" s="584"/>
      <c r="M428" s="584"/>
      <c r="N428" s="584"/>
      <c r="O428" s="584"/>
      <c r="P428" s="584"/>
      <c r="Q428" s="584"/>
      <c r="R428" s="584"/>
      <c r="S428" s="584"/>
      <c r="T428" s="584"/>
      <c r="U428" s="584"/>
      <c r="V428" s="584"/>
      <c r="W428" s="532"/>
      <c r="X428" s="532"/>
      <c r="Y428" s="532"/>
      <c r="Z428" s="532"/>
    </row>
    <row r="429" spans="1:26" ht="12.6" customHeight="1" x14ac:dyDescent="0.25">
      <c r="A429" s="577"/>
      <c r="B429" s="581"/>
      <c r="C429" s="569"/>
      <c r="D429" s="583" t="s">
        <v>348</v>
      </c>
      <c r="E429" s="730">
        <f>E421+E422+E424+E425</f>
        <v>-300000</v>
      </c>
      <c r="F429" s="730">
        <f t="shared" ref="F429:V429" si="184">SUM(F421:F422)</f>
        <v>723172.14</v>
      </c>
      <c r="G429" s="584">
        <f t="shared" si="184"/>
        <v>0</v>
      </c>
      <c r="H429" s="584">
        <f>SUM(H421:H422)</f>
        <v>0</v>
      </c>
      <c r="I429" s="584">
        <f t="shared" si="184"/>
        <v>2200000</v>
      </c>
      <c r="J429" s="584">
        <f>SUM(J421:J422)</f>
        <v>0</v>
      </c>
      <c r="K429" s="584">
        <f t="shared" si="184"/>
        <v>0</v>
      </c>
      <c r="L429" s="584">
        <f t="shared" si="184"/>
        <v>0</v>
      </c>
      <c r="M429" s="584">
        <f t="shared" si="184"/>
        <v>0</v>
      </c>
      <c r="N429" s="584">
        <f t="shared" si="184"/>
        <v>0</v>
      </c>
      <c r="O429" s="584">
        <f t="shared" si="184"/>
        <v>0</v>
      </c>
      <c r="P429" s="584">
        <f t="shared" si="184"/>
        <v>0</v>
      </c>
      <c r="Q429" s="584">
        <f t="shared" si="184"/>
        <v>0</v>
      </c>
      <c r="R429" s="584">
        <f t="shared" si="184"/>
        <v>0</v>
      </c>
      <c r="S429" s="584">
        <f t="shared" si="184"/>
        <v>0</v>
      </c>
      <c r="T429" s="584">
        <f t="shared" si="184"/>
        <v>2773172.14</v>
      </c>
      <c r="U429" s="584">
        <f t="shared" si="184"/>
        <v>0</v>
      </c>
      <c r="V429" s="584">
        <f t="shared" si="184"/>
        <v>2773172.14</v>
      </c>
      <c r="W429" s="532"/>
      <c r="X429" s="532"/>
      <c r="Y429" s="532"/>
      <c r="Z429" s="532"/>
    </row>
    <row r="430" spans="1:26" ht="12.6" customHeight="1" x14ac:dyDescent="0.25">
      <c r="A430" s="577"/>
      <c r="B430" s="581"/>
      <c r="C430" s="569"/>
      <c r="D430" s="580"/>
      <c r="E430" s="730">
        <f>E427</f>
        <v>-737296.36</v>
      </c>
      <c r="F430" s="730">
        <f t="shared" ref="F430:V430" si="185">SUM(F428:F429)</f>
        <v>1028172.14</v>
      </c>
      <c r="G430" s="584">
        <f t="shared" si="185"/>
        <v>0</v>
      </c>
      <c r="H430" s="584">
        <f>SUM(H428:H429)</f>
        <v>0</v>
      </c>
      <c r="I430" s="584">
        <f t="shared" si="185"/>
        <v>2200000</v>
      </c>
      <c r="J430" s="584">
        <f>SUM(J428:J429)</f>
        <v>0</v>
      </c>
      <c r="K430" s="584">
        <f t="shared" si="185"/>
        <v>0</v>
      </c>
      <c r="L430" s="584">
        <f t="shared" si="185"/>
        <v>0</v>
      </c>
      <c r="M430" s="584">
        <f t="shared" si="185"/>
        <v>0</v>
      </c>
      <c r="N430" s="584">
        <f t="shared" si="185"/>
        <v>0</v>
      </c>
      <c r="O430" s="584">
        <f t="shared" si="185"/>
        <v>0</v>
      </c>
      <c r="P430" s="584">
        <f t="shared" si="185"/>
        <v>0</v>
      </c>
      <c r="Q430" s="584">
        <f t="shared" si="185"/>
        <v>0</v>
      </c>
      <c r="R430" s="584">
        <f t="shared" si="185"/>
        <v>0</v>
      </c>
      <c r="S430" s="584">
        <f t="shared" si="185"/>
        <v>0</v>
      </c>
      <c r="T430" s="584">
        <f t="shared" si="185"/>
        <v>2773172.14</v>
      </c>
      <c r="U430" s="584">
        <f t="shared" si="185"/>
        <v>0</v>
      </c>
      <c r="V430" s="584">
        <f t="shared" si="185"/>
        <v>2773172.14</v>
      </c>
      <c r="W430" s="532"/>
      <c r="X430" s="532"/>
      <c r="Y430" s="532"/>
      <c r="Z430" s="532"/>
    </row>
    <row r="431" spans="1:26" ht="12.6" customHeight="1" x14ac:dyDescent="0.25">
      <c r="A431" s="577"/>
      <c r="B431" s="569"/>
      <c r="C431" s="569"/>
      <c r="D431" s="580"/>
      <c r="E431" s="1232">
        <f>E430-E427</f>
        <v>0</v>
      </c>
      <c r="F431" s="1232"/>
      <c r="G431" s="1232">
        <f t="shared" ref="G431:V431" si="186">G430-G427</f>
        <v>0</v>
      </c>
      <c r="H431" s="1232">
        <f>H430-H427</f>
        <v>0</v>
      </c>
      <c r="I431" s="1232">
        <f t="shared" si="186"/>
        <v>0</v>
      </c>
      <c r="J431" s="1232">
        <f>J430-J427</f>
        <v>0</v>
      </c>
      <c r="K431" s="1232">
        <f t="shared" si="186"/>
        <v>0</v>
      </c>
      <c r="L431" s="1232">
        <f t="shared" si="186"/>
        <v>0</v>
      </c>
      <c r="M431" s="1232">
        <f t="shared" si="186"/>
        <v>0</v>
      </c>
      <c r="N431" s="1232">
        <f t="shared" si="186"/>
        <v>0</v>
      </c>
      <c r="O431" s="1232">
        <f t="shared" si="186"/>
        <v>0</v>
      </c>
      <c r="P431" s="1232">
        <f t="shared" si="186"/>
        <v>0</v>
      </c>
      <c r="Q431" s="1232">
        <f t="shared" si="186"/>
        <v>0</v>
      </c>
      <c r="R431" s="1232">
        <f t="shared" si="186"/>
        <v>0</v>
      </c>
      <c r="S431" s="1232">
        <f t="shared" si="186"/>
        <v>0</v>
      </c>
      <c r="T431" s="1232">
        <f t="shared" si="186"/>
        <v>0</v>
      </c>
      <c r="U431" s="1232">
        <f t="shared" si="186"/>
        <v>0</v>
      </c>
      <c r="V431" s="1232">
        <f t="shared" si="186"/>
        <v>0</v>
      </c>
    </row>
    <row r="432" spans="1:26" ht="12.6" customHeight="1" x14ac:dyDescent="0.25">
      <c r="A432" s="573"/>
      <c r="B432" s="569"/>
      <c r="C432" s="569"/>
      <c r="D432" s="580"/>
      <c r="E432" s="601"/>
      <c r="F432" s="601"/>
      <c r="G432" s="601"/>
      <c r="H432" s="601"/>
      <c r="I432" s="601"/>
      <c r="J432" s="601"/>
      <c r="K432" s="601"/>
      <c r="L432" s="601"/>
      <c r="M432" s="601"/>
      <c r="N432" s="601"/>
      <c r="O432" s="601"/>
      <c r="P432" s="601"/>
      <c r="Q432" s="601"/>
      <c r="R432" s="601"/>
      <c r="S432" s="601"/>
      <c r="T432" s="601"/>
      <c r="U432" s="601"/>
      <c r="V432" s="615"/>
      <c r="W432" s="532"/>
      <c r="X432" s="532"/>
      <c r="Y432" s="532"/>
      <c r="Z432" s="532"/>
    </row>
    <row r="433" spans="1:26" ht="12.6" customHeight="1" x14ac:dyDescent="0.25">
      <c r="A433" s="573" t="s">
        <v>395</v>
      </c>
      <c r="B433" s="569" t="s">
        <v>392</v>
      </c>
      <c r="C433" s="569"/>
      <c r="D433" s="580"/>
      <c r="E433" s="602"/>
      <c r="F433" s="570"/>
      <c r="G433" s="570"/>
      <c r="H433" s="570"/>
      <c r="I433" s="570"/>
      <c r="J433" s="570"/>
      <c r="K433" s="570"/>
      <c r="L433" s="570"/>
      <c r="M433" s="570"/>
      <c r="N433" s="570"/>
      <c r="O433" s="570"/>
      <c r="P433" s="570"/>
      <c r="Q433" s="570"/>
      <c r="R433" s="570"/>
      <c r="S433" s="570"/>
      <c r="T433" s="570">
        <f>SUM(E433:S433)</f>
        <v>0</v>
      </c>
      <c r="U433" s="603"/>
      <c r="V433" s="599">
        <f t="shared" ref="V433:V434" si="187">T433-U433</f>
        <v>0</v>
      </c>
    </row>
    <row r="434" spans="1:26" ht="12.6" customHeight="1" x14ac:dyDescent="0.25">
      <c r="A434" s="604" t="s">
        <v>78</v>
      </c>
      <c r="B434" s="569" t="s">
        <v>389</v>
      </c>
      <c r="C434" s="569"/>
      <c r="D434" s="580"/>
      <c r="E434" s="605"/>
      <c r="F434" s="601"/>
      <c r="G434" s="601"/>
      <c r="H434" s="601"/>
      <c r="I434" s="601"/>
      <c r="J434" s="601"/>
      <c r="K434" s="601"/>
      <c r="L434" s="601"/>
      <c r="M434" s="601"/>
      <c r="N434" s="601"/>
      <c r="O434" s="601"/>
      <c r="P434" s="601"/>
      <c r="Q434" s="601"/>
      <c r="R434" s="601"/>
      <c r="S434" s="601"/>
      <c r="T434" s="601">
        <f>SUM(E434:S434)</f>
        <v>0</v>
      </c>
      <c r="U434" s="606"/>
      <c r="V434" s="599">
        <f t="shared" si="187"/>
        <v>0</v>
      </c>
    </row>
    <row r="435" spans="1:26" ht="12.6" customHeight="1" thickBot="1" x14ac:dyDescent="0.3">
      <c r="A435" s="573"/>
      <c r="B435" s="569" t="s">
        <v>340</v>
      </c>
      <c r="C435" s="569"/>
      <c r="D435" s="580"/>
      <c r="E435" s="602">
        <v>802556</v>
      </c>
      <c r="F435" s="570"/>
      <c r="G435" s="570"/>
      <c r="H435" s="570"/>
      <c r="I435" s="570"/>
      <c r="J435" s="570"/>
      <c r="K435" s="570"/>
      <c r="L435" s="570"/>
      <c r="M435" s="570"/>
      <c r="N435" s="570"/>
      <c r="O435" s="570"/>
      <c r="P435" s="570"/>
      <c r="Q435" s="570"/>
      <c r="R435" s="570"/>
      <c r="S435" s="570"/>
      <c r="T435" s="570">
        <f>SUM(E435:S435)</f>
        <v>802556</v>
      </c>
      <c r="U435" s="603"/>
      <c r="V435" s="599">
        <f>T435-U435</f>
        <v>802556</v>
      </c>
    </row>
    <row r="436" spans="1:26" ht="12.6" customHeight="1" thickBot="1" x14ac:dyDescent="0.3">
      <c r="A436" s="573"/>
      <c r="B436" s="581" t="s">
        <v>346</v>
      </c>
      <c r="C436" s="569"/>
      <c r="D436" s="580"/>
      <c r="E436" s="582">
        <f>SUM(E433:E435)</f>
        <v>802556</v>
      </c>
      <c r="F436" s="582">
        <f t="shared" ref="F436:V436" si="188">SUM(F433:F435)</f>
        <v>0</v>
      </c>
      <c r="G436" s="582">
        <f t="shared" si="188"/>
        <v>0</v>
      </c>
      <c r="H436" s="582">
        <f>SUM(H433:H435)</f>
        <v>0</v>
      </c>
      <c r="I436" s="582">
        <f t="shared" si="188"/>
        <v>0</v>
      </c>
      <c r="J436" s="582">
        <f>SUM(J433:J435)</f>
        <v>0</v>
      </c>
      <c r="K436" s="582">
        <f t="shared" si="188"/>
        <v>0</v>
      </c>
      <c r="L436" s="582">
        <f t="shared" si="188"/>
        <v>0</v>
      </c>
      <c r="M436" s="582">
        <f t="shared" si="188"/>
        <v>0</v>
      </c>
      <c r="N436" s="582">
        <f t="shared" si="188"/>
        <v>0</v>
      </c>
      <c r="O436" s="582">
        <f t="shared" si="188"/>
        <v>0</v>
      </c>
      <c r="P436" s="582">
        <f t="shared" si="188"/>
        <v>0</v>
      </c>
      <c r="Q436" s="582">
        <f t="shared" si="188"/>
        <v>0</v>
      </c>
      <c r="R436" s="582">
        <f t="shared" si="188"/>
        <v>0</v>
      </c>
      <c r="S436" s="582">
        <f t="shared" si="188"/>
        <v>0</v>
      </c>
      <c r="T436" s="582">
        <f t="shared" si="188"/>
        <v>802556</v>
      </c>
      <c r="U436" s="582">
        <f t="shared" si="188"/>
        <v>0</v>
      </c>
      <c r="V436" s="582">
        <f t="shared" si="188"/>
        <v>802556</v>
      </c>
    </row>
    <row r="437" spans="1:26" ht="12.6" customHeight="1" x14ac:dyDescent="0.25">
      <c r="A437" s="577"/>
      <c r="B437" s="581"/>
      <c r="C437" s="569"/>
      <c r="D437" s="583" t="s">
        <v>347</v>
      </c>
      <c r="E437" s="730">
        <f>E435</f>
        <v>802556</v>
      </c>
      <c r="F437" s="730">
        <f t="shared" ref="F437:V437" si="189">F435</f>
        <v>0</v>
      </c>
      <c r="G437" s="584">
        <f t="shared" si="189"/>
        <v>0</v>
      </c>
      <c r="H437" s="584">
        <f>H435</f>
        <v>0</v>
      </c>
      <c r="I437" s="584">
        <f t="shared" si="189"/>
        <v>0</v>
      </c>
      <c r="J437" s="584">
        <f>J435</f>
        <v>0</v>
      </c>
      <c r="K437" s="584">
        <f t="shared" si="189"/>
        <v>0</v>
      </c>
      <c r="L437" s="584">
        <f t="shared" si="189"/>
        <v>0</v>
      </c>
      <c r="M437" s="584">
        <f t="shared" si="189"/>
        <v>0</v>
      </c>
      <c r="N437" s="584">
        <f t="shared" si="189"/>
        <v>0</v>
      </c>
      <c r="O437" s="584">
        <f t="shared" si="189"/>
        <v>0</v>
      </c>
      <c r="P437" s="584">
        <f t="shared" si="189"/>
        <v>0</v>
      </c>
      <c r="Q437" s="584">
        <f t="shared" si="189"/>
        <v>0</v>
      </c>
      <c r="R437" s="584">
        <f t="shared" si="189"/>
        <v>0</v>
      </c>
      <c r="S437" s="584">
        <f t="shared" si="189"/>
        <v>0</v>
      </c>
      <c r="T437" s="584">
        <f t="shared" si="189"/>
        <v>802556</v>
      </c>
      <c r="U437" s="584">
        <f t="shared" si="189"/>
        <v>0</v>
      </c>
      <c r="V437" s="584">
        <f t="shared" si="189"/>
        <v>802556</v>
      </c>
      <c r="W437" s="532"/>
      <c r="X437" s="532"/>
      <c r="Y437" s="532"/>
      <c r="Z437" s="532"/>
    </row>
    <row r="438" spans="1:26" ht="12.6" customHeight="1" x14ac:dyDescent="0.25">
      <c r="A438" s="577"/>
      <c r="B438" s="581"/>
      <c r="C438" s="569"/>
      <c r="D438" s="583" t="s">
        <v>348</v>
      </c>
      <c r="E438" s="730">
        <f>SUM(E433:E434)</f>
        <v>0</v>
      </c>
      <c r="F438" s="730">
        <f t="shared" ref="F438:V438" si="190">SUM(F433:F434)</f>
        <v>0</v>
      </c>
      <c r="G438" s="584">
        <f t="shared" si="190"/>
        <v>0</v>
      </c>
      <c r="H438" s="584">
        <f>SUM(H433:H434)</f>
        <v>0</v>
      </c>
      <c r="I438" s="584">
        <f t="shared" si="190"/>
        <v>0</v>
      </c>
      <c r="J438" s="584">
        <f>SUM(J433:J434)</f>
        <v>0</v>
      </c>
      <c r="K438" s="584">
        <f t="shared" si="190"/>
        <v>0</v>
      </c>
      <c r="L438" s="584">
        <f t="shared" si="190"/>
        <v>0</v>
      </c>
      <c r="M438" s="584">
        <f t="shared" si="190"/>
        <v>0</v>
      </c>
      <c r="N438" s="584">
        <f t="shared" si="190"/>
        <v>0</v>
      </c>
      <c r="O438" s="584">
        <f t="shared" si="190"/>
        <v>0</v>
      </c>
      <c r="P438" s="584">
        <f t="shared" si="190"/>
        <v>0</v>
      </c>
      <c r="Q438" s="584">
        <f t="shared" si="190"/>
        <v>0</v>
      </c>
      <c r="R438" s="584">
        <f t="shared" si="190"/>
        <v>0</v>
      </c>
      <c r="S438" s="584">
        <f t="shared" si="190"/>
        <v>0</v>
      </c>
      <c r="T438" s="584">
        <f t="shared" si="190"/>
        <v>0</v>
      </c>
      <c r="U438" s="584">
        <f t="shared" si="190"/>
        <v>0</v>
      </c>
      <c r="V438" s="584">
        <f t="shared" si="190"/>
        <v>0</v>
      </c>
      <c r="W438" s="532"/>
      <c r="X438" s="532"/>
      <c r="Y438" s="532"/>
      <c r="Z438" s="532"/>
    </row>
    <row r="439" spans="1:26" ht="12.6" customHeight="1" x14ac:dyDescent="0.25">
      <c r="A439" s="577"/>
      <c r="B439" s="581"/>
      <c r="C439" s="569"/>
      <c r="D439" s="580"/>
      <c r="E439" s="730">
        <f>SUM(E437:E438)</f>
        <v>802556</v>
      </c>
      <c r="F439" s="730">
        <f t="shared" ref="F439:V439" si="191">SUM(F437:F438)</f>
        <v>0</v>
      </c>
      <c r="G439" s="584">
        <f t="shared" si="191"/>
        <v>0</v>
      </c>
      <c r="H439" s="584">
        <f>SUM(H437:H438)</f>
        <v>0</v>
      </c>
      <c r="I439" s="584">
        <f t="shared" si="191"/>
        <v>0</v>
      </c>
      <c r="J439" s="584">
        <f>SUM(J437:J438)</f>
        <v>0</v>
      </c>
      <c r="K439" s="584">
        <f t="shared" si="191"/>
        <v>0</v>
      </c>
      <c r="L439" s="584">
        <f t="shared" si="191"/>
        <v>0</v>
      </c>
      <c r="M439" s="584">
        <f t="shared" si="191"/>
        <v>0</v>
      </c>
      <c r="N439" s="584">
        <f t="shared" si="191"/>
        <v>0</v>
      </c>
      <c r="O439" s="584">
        <f t="shared" si="191"/>
        <v>0</v>
      </c>
      <c r="P439" s="584">
        <f t="shared" si="191"/>
        <v>0</v>
      </c>
      <c r="Q439" s="584">
        <f t="shared" si="191"/>
        <v>0</v>
      </c>
      <c r="R439" s="584">
        <f t="shared" si="191"/>
        <v>0</v>
      </c>
      <c r="S439" s="584">
        <f t="shared" si="191"/>
        <v>0</v>
      </c>
      <c r="T439" s="584">
        <f t="shared" si="191"/>
        <v>802556</v>
      </c>
      <c r="U439" s="584">
        <f t="shared" si="191"/>
        <v>0</v>
      </c>
      <c r="V439" s="584">
        <f t="shared" si="191"/>
        <v>802556</v>
      </c>
      <c r="W439" s="532"/>
      <c r="X439" s="532"/>
      <c r="Y439" s="532"/>
      <c r="Z439" s="532"/>
    </row>
    <row r="440" spans="1:26" ht="12.6" customHeight="1" x14ac:dyDescent="0.25">
      <c r="A440" s="577"/>
      <c r="B440" s="569"/>
      <c r="C440" s="569"/>
      <c r="D440" s="580"/>
      <c r="E440" s="1232">
        <f>E439-E436</f>
        <v>0</v>
      </c>
      <c r="F440" s="1232">
        <f t="shared" ref="F440:V440" si="192">F439-F436</f>
        <v>0</v>
      </c>
      <c r="G440" s="1232">
        <f t="shared" si="192"/>
        <v>0</v>
      </c>
      <c r="H440" s="1232">
        <f>H439-H436</f>
        <v>0</v>
      </c>
      <c r="I440" s="1232">
        <f t="shared" si="192"/>
        <v>0</v>
      </c>
      <c r="J440" s="1232">
        <f>J439-J436</f>
        <v>0</v>
      </c>
      <c r="K440" s="1232">
        <f t="shared" si="192"/>
        <v>0</v>
      </c>
      <c r="L440" s="1232">
        <f t="shared" si="192"/>
        <v>0</v>
      </c>
      <c r="M440" s="1232">
        <f t="shared" si="192"/>
        <v>0</v>
      </c>
      <c r="N440" s="1232">
        <f t="shared" si="192"/>
        <v>0</v>
      </c>
      <c r="O440" s="1232">
        <f t="shared" si="192"/>
        <v>0</v>
      </c>
      <c r="P440" s="1232">
        <f t="shared" si="192"/>
        <v>0</v>
      </c>
      <c r="Q440" s="1232">
        <f t="shared" si="192"/>
        <v>0</v>
      </c>
      <c r="R440" s="1232">
        <f t="shared" si="192"/>
        <v>0</v>
      </c>
      <c r="S440" s="1232">
        <f t="shared" si="192"/>
        <v>0</v>
      </c>
      <c r="T440" s="1232">
        <f t="shared" si="192"/>
        <v>0</v>
      </c>
      <c r="U440" s="1232">
        <f t="shared" si="192"/>
        <v>0</v>
      </c>
      <c r="V440" s="1232">
        <f t="shared" si="192"/>
        <v>0</v>
      </c>
    </row>
    <row r="441" spans="1:26" ht="12.6" customHeight="1" x14ac:dyDescent="0.25">
      <c r="A441" s="573"/>
      <c r="B441" s="569"/>
      <c r="C441" s="569"/>
      <c r="D441" s="580"/>
      <c r="E441" s="613"/>
      <c r="F441" s="613"/>
      <c r="G441" s="613"/>
      <c r="H441" s="613"/>
      <c r="I441" s="613"/>
      <c r="J441" s="613"/>
      <c r="K441" s="613"/>
      <c r="L441" s="613"/>
      <c r="M441" s="613"/>
      <c r="N441" s="613"/>
      <c r="O441" s="613"/>
      <c r="P441" s="613"/>
      <c r="Q441" s="613"/>
      <c r="R441" s="613"/>
      <c r="S441" s="613"/>
      <c r="T441" s="613"/>
      <c r="U441" s="613"/>
      <c r="V441" s="614"/>
    </row>
    <row r="442" spans="1:26" ht="12.6" customHeight="1" x14ac:dyDescent="0.25">
      <c r="A442" s="573" t="s">
        <v>396</v>
      </c>
      <c r="B442" s="569" t="s">
        <v>263</v>
      </c>
      <c r="C442" s="569"/>
      <c r="D442" s="580"/>
      <c r="E442" s="640"/>
      <c r="F442" s="570">
        <f>'CABAC Non-Fid 2025'!G155</f>
        <v>0</v>
      </c>
      <c r="G442" s="570"/>
      <c r="H442" s="570"/>
      <c r="I442" s="570"/>
      <c r="J442" s="570"/>
      <c r="K442" s="570"/>
      <c r="L442" s="570"/>
      <c r="M442" s="570"/>
      <c r="N442" s="570"/>
      <c r="O442" s="570"/>
      <c r="P442" s="570"/>
      <c r="Q442" s="570"/>
      <c r="R442" s="570"/>
      <c r="S442" s="570"/>
      <c r="T442" s="570">
        <f>SUM(E442:S442)</f>
        <v>0</v>
      </c>
      <c r="U442" s="603"/>
      <c r="V442" s="570">
        <f>T442-U442</f>
        <v>0</v>
      </c>
    </row>
    <row r="443" spans="1:26" ht="12.6" customHeight="1" thickBot="1" x14ac:dyDescent="0.3">
      <c r="A443" s="604" t="s">
        <v>31</v>
      </c>
      <c r="B443" s="569" t="s">
        <v>144</v>
      </c>
      <c r="C443" s="569"/>
      <c r="D443" s="580"/>
      <c r="E443" s="605"/>
      <c r="F443" s="601">
        <f>'CABAC Fiduciary 2025'!F218</f>
        <v>96000</v>
      </c>
      <c r="G443" s="601"/>
      <c r="H443" s="601"/>
      <c r="I443" s="601"/>
      <c r="J443" s="601"/>
      <c r="K443" s="601"/>
      <c r="L443" s="601"/>
      <c r="M443" s="601"/>
      <c r="N443" s="601"/>
      <c r="O443" s="601"/>
      <c r="P443" s="601"/>
      <c r="Q443" s="601"/>
      <c r="R443" s="601"/>
      <c r="S443" s="601"/>
      <c r="T443" s="601">
        <f>SUM(E443:S443)</f>
        <v>96000</v>
      </c>
      <c r="U443" s="606"/>
      <c r="V443" s="615">
        <f>T443-U443</f>
        <v>96000</v>
      </c>
      <c r="W443" s="532"/>
      <c r="X443" s="532"/>
      <c r="Y443" s="532"/>
      <c r="Z443" s="532"/>
    </row>
    <row r="444" spans="1:26" ht="12.6" customHeight="1" thickBot="1" x14ac:dyDescent="0.3">
      <c r="A444" s="604"/>
      <c r="B444" s="581" t="s">
        <v>346</v>
      </c>
      <c r="C444" s="569"/>
      <c r="D444" s="580"/>
      <c r="E444" s="582">
        <f>SUM(E442:E443)</f>
        <v>0</v>
      </c>
      <c r="F444" s="582">
        <f t="shared" ref="F444:V444" si="193">SUM(F442:F443)</f>
        <v>96000</v>
      </c>
      <c r="G444" s="582">
        <f t="shared" si="193"/>
        <v>0</v>
      </c>
      <c r="H444" s="582">
        <f>SUM(H442:H443)</f>
        <v>0</v>
      </c>
      <c r="I444" s="582">
        <f t="shared" si="193"/>
        <v>0</v>
      </c>
      <c r="J444" s="582">
        <f>SUM(J442:J443)</f>
        <v>0</v>
      </c>
      <c r="K444" s="582">
        <f t="shared" si="193"/>
        <v>0</v>
      </c>
      <c r="L444" s="582">
        <f t="shared" si="193"/>
        <v>0</v>
      </c>
      <c r="M444" s="582">
        <f t="shared" si="193"/>
        <v>0</v>
      </c>
      <c r="N444" s="582">
        <f t="shared" si="193"/>
        <v>0</v>
      </c>
      <c r="O444" s="582">
        <f t="shared" si="193"/>
        <v>0</v>
      </c>
      <c r="P444" s="582">
        <f t="shared" si="193"/>
        <v>0</v>
      </c>
      <c r="Q444" s="582">
        <f t="shared" si="193"/>
        <v>0</v>
      </c>
      <c r="R444" s="582">
        <f t="shared" si="193"/>
        <v>0</v>
      </c>
      <c r="S444" s="582">
        <f t="shared" si="193"/>
        <v>0</v>
      </c>
      <c r="T444" s="582">
        <f t="shared" si="193"/>
        <v>96000</v>
      </c>
      <c r="U444" s="582">
        <f t="shared" si="193"/>
        <v>0</v>
      </c>
      <c r="V444" s="663">
        <f t="shared" si="193"/>
        <v>96000</v>
      </c>
    </row>
    <row r="445" spans="1:26" ht="12.6" customHeight="1" x14ac:dyDescent="0.25">
      <c r="A445" s="577"/>
      <c r="B445" s="581"/>
      <c r="C445" s="569"/>
      <c r="D445" s="583" t="s">
        <v>347</v>
      </c>
      <c r="E445" s="584">
        <f>E443</f>
        <v>0</v>
      </c>
      <c r="F445" s="584">
        <f>F443</f>
        <v>96000</v>
      </c>
      <c r="G445" s="584"/>
      <c r="H445" s="584"/>
      <c r="I445" s="584"/>
      <c r="J445" s="584"/>
      <c r="K445" s="584"/>
      <c r="L445" s="584"/>
      <c r="M445" s="584"/>
      <c r="N445" s="584"/>
      <c r="O445" s="584"/>
      <c r="P445" s="584"/>
      <c r="Q445" s="584"/>
      <c r="R445" s="584"/>
      <c r="S445" s="584"/>
      <c r="T445" s="584"/>
      <c r="U445" s="624"/>
      <c r="V445" s="625"/>
      <c r="W445" s="532"/>
      <c r="X445" s="532"/>
      <c r="Y445" s="532"/>
      <c r="Z445" s="532"/>
    </row>
    <row r="446" spans="1:26" ht="12.6" customHeight="1" x14ac:dyDescent="0.25">
      <c r="A446" s="577"/>
      <c r="B446" s="581"/>
      <c r="C446" s="569"/>
      <c r="D446" s="583" t="s">
        <v>348</v>
      </c>
      <c r="E446" s="584">
        <f>SUM(E442:E443)</f>
        <v>0</v>
      </c>
      <c r="F446" s="584">
        <f>SUM(F442:F443)</f>
        <v>96000</v>
      </c>
      <c r="G446" s="584">
        <f t="shared" ref="G446:V446" si="194">SUM(G442:G443)</f>
        <v>0</v>
      </c>
      <c r="H446" s="584">
        <f>SUM(H442:H443)</f>
        <v>0</v>
      </c>
      <c r="I446" s="584">
        <f t="shared" si="194"/>
        <v>0</v>
      </c>
      <c r="J446" s="584">
        <f>SUM(J442:J443)</f>
        <v>0</v>
      </c>
      <c r="K446" s="584">
        <f t="shared" si="194"/>
        <v>0</v>
      </c>
      <c r="L446" s="584">
        <f t="shared" si="194"/>
        <v>0</v>
      </c>
      <c r="M446" s="584">
        <f t="shared" si="194"/>
        <v>0</v>
      </c>
      <c r="N446" s="584">
        <f t="shared" si="194"/>
        <v>0</v>
      </c>
      <c r="O446" s="584">
        <f t="shared" si="194"/>
        <v>0</v>
      </c>
      <c r="P446" s="584">
        <f t="shared" si="194"/>
        <v>0</v>
      </c>
      <c r="Q446" s="584">
        <f t="shared" si="194"/>
        <v>0</v>
      </c>
      <c r="R446" s="584">
        <f t="shared" si="194"/>
        <v>0</v>
      </c>
      <c r="S446" s="584">
        <f t="shared" si="194"/>
        <v>0</v>
      </c>
      <c r="T446" s="584">
        <f t="shared" si="194"/>
        <v>96000</v>
      </c>
      <c r="U446" s="624">
        <f t="shared" si="194"/>
        <v>0</v>
      </c>
      <c r="V446" s="584">
        <f t="shared" si="194"/>
        <v>96000</v>
      </c>
      <c r="W446" s="532"/>
      <c r="X446" s="532"/>
      <c r="Y446" s="532"/>
      <c r="Z446" s="532"/>
    </row>
    <row r="447" spans="1:26" ht="12.6" customHeight="1" x14ac:dyDescent="0.25">
      <c r="A447" s="577"/>
      <c r="B447" s="581"/>
      <c r="C447" s="569"/>
      <c r="D447" s="580"/>
      <c r="E447" s="584">
        <f>SUM(E445:E446)</f>
        <v>0</v>
      </c>
      <c r="F447" s="584">
        <f t="shared" ref="F447:V447" si="195">SUM(F445:F446)</f>
        <v>192000</v>
      </c>
      <c r="G447" s="584">
        <f t="shared" si="195"/>
        <v>0</v>
      </c>
      <c r="H447" s="584">
        <f>SUM(H445:H446)</f>
        <v>0</v>
      </c>
      <c r="I447" s="584">
        <f t="shared" si="195"/>
        <v>0</v>
      </c>
      <c r="J447" s="584">
        <f>SUM(J445:J446)</f>
        <v>0</v>
      </c>
      <c r="K447" s="584">
        <f t="shared" si="195"/>
        <v>0</v>
      </c>
      <c r="L447" s="584">
        <f t="shared" si="195"/>
        <v>0</v>
      </c>
      <c r="M447" s="584">
        <f t="shared" si="195"/>
        <v>0</v>
      </c>
      <c r="N447" s="584">
        <f t="shared" si="195"/>
        <v>0</v>
      </c>
      <c r="O447" s="584">
        <f t="shared" si="195"/>
        <v>0</v>
      </c>
      <c r="P447" s="584">
        <f t="shared" si="195"/>
        <v>0</v>
      </c>
      <c r="Q447" s="584">
        <f t="shared" si="195"/>
        <v>0</v>
      </c>
      <c r="R447" s="584">
        <f t="shared" si="195"/>
        <v>0</v>
      </c>
      <c r="S447" s="584">
        <f t="shared" si="195"/>
        <v>0</v>
      </c>
      <c r="T447" s="584">
        <f t="shared" si="195"/>
        <v>96000</v>
      </c>
      <c r="U447" s="624">
        <f t="shared" si="195"/>
        <v>0</v>
      </c>
      <c r="V447" s="584">
        <f t="shared" si="195"/>
        <v>96000</v>
      </c>
      <c r="W447" s="532"/>
      <c r="X447" s="532"/>
      <c r="Y447" s="532"/>
      <c r="Z447" s="532"/>
    </row>
    <row r="448" spans="1:26" ht="12.6" customHeight="1" x14ac:dyDescent="0.25">
      <c r="A448" s="577"/>
      <c r="B448" s="569"/>
      <c r="C448" s="569"/>
      <c r="D448" s="580"/>
      <c r="E448" s="1239">
        <f>E447-E444</f>
        <v>0</v>
      </c>
      <c r="F448" s="1234">
        <f t="shared" ref="F448:V448" si="196">F447-F444</f>
        <v>96000</v>
      </c>
      <c r="G448" s="1234">
        <f t="shared" si="196"/>
        <v>0</v>
      </c>
      <c r="H448" s="1234">
        <f>H447-H444</f>
        <v>0</v>
      </c>
      <c r="I448" s="1234">
        <f t="shared" si="196"/>
        <v>0</v>
      </c>
      <c r="J448" s="1234">
        <f>J447-J444</f>
        <v>0</v>
      </c>
      <c r="K448" s="1234">
        <f t="shared" si="196"/>
        <v>0</v>
      </c>
      <c r="L448" s="1234">
        <f t="shared" si="196"/>
        <v>0</v>
      </c>
      <c r="M448" s="1234">
        <f t="shared" si="196"/>
        <v>0</v>
      </c>
      <c r="N448" s="1234">
        <f t="shared" si="196"/>
        <v>0</v>
      </c>
      <c r="O448" s="1234">
        <f t="shared" si="196"/>
        <v>0</v>
      </c>
      <c r="P448" s="1234">
        <f t="shared" si="196"/>
        <v>0</v>
      </c>
      <c r="Q448" s="1234">
        <f t="shared" si="196"/>
        <v>0</v>
      </c>
      <c r="R448" s="1234">
        <f t="shared" si="196"/>
        <v>0</v>
      </c>
      <c r="S448" s="1234">
        <f t="shared" si="196"/>
        <v>0</v>
      </c>
      <c r="T448" s="1234">
        <f t="shared" si="196"/>
        <v>0</v>
      </c>
      <c r="U448" s="1235">
        <f t="shared" si="196"/>
        <v>0</v>
      </c>
      <c r="V448" s="1234">
        <f t="shared" si="196"/>
        <v>0</v>
      </c>
    </row>
    <row r="449" spans="1:26" ht="12.6" customHeight="1" x14ac:dyDescent="0.25">
      <c r="A449" s="687"/>
      <c r="B449" s="685"/>
      <c r="C449" s="685"/>
      <c r="D449" s="1259"/>
      <c r="E449" s="599"/>
      <c r="F449" s="570"/>
      <c r="G449" s="570"/>
      <c r="H449" s="570"/>
      <c r="I449" s="570"/>
      <c r="J449" s="570"/>
      <c r="K449" s="570"/>
      <c r="L449" s="570"/>
      <c r="M449" s="570"/>
      <c r="N449" s="570"/>
      <c r="O449" s="570"/>
      <c r="P449" s="570"/>
      <c r="Q449" s="570"/>
      <c r="R449" s="570"/>
      <c r="S449" s="570"/>
      <c r="T449" s="570"/>
      <c r="U449" s="1236"/>
      <c r="V449" s="570"/>
    </row>
    <row r="450" spans="1:26" ht="12.6" customHeight="1" x14ac:dyDescent="0.25">
      <c r="A450" s="688" t="s">
        <v>397</v>
      </c>
      <c r="B450" s="612" t="s">
        <v>263</v>
      </c>
      <c r="C450" s="612"/>
      <c r="D450" s="617"/>
      <c r="E450" s="605"/>
      <c r="F450" s="601">
        <f>'CABAC Non-Fid 2025'!G168</f>
        <v>0</v>
      </c>
      <c r="G450" s="601"/>
      <c r="H450" s="601"/>
      <c r="I450" s="601"/>
      <c r="J450" s="601"/>
      <c r="K450" s="601"/>
      <c r="L450" s="601"/>
      <c r="M450" s="601"/>
      <c r="N450" s="601"/>
      <c r="O450" s="601"/>
      <c r="P450" s="601"/>
      <c r="Q450" s="601"/>
      <c r="R450" s="601"/>
      <c r="S450" s="601"/>
      <c r="T450" s="601">
        <f>SUM(E450:S450)</f>
        <v>0</v>
      </c>
      <c r="U450" s="629"/>
      <c r="V450" s="601">
        <f>T450-U450</f>
        <v>0</v>
      </c>
    </row>
    <row r="451" spans="1:26" ht="12.6" customHeight="1" x14ac:dyDescent="0.25">
      <c r="A451" s="689" t="s">
        <v>32</v>
      </c>
      <c r="B451" s="734" t="s">
        <v>261</v>
      </c>
      <c r="C451" s="569"/>
      <c r="D451" s="569"/>
      <c r="E451" s="570"/>
      <c r="F451" s="570">
        <f>'CABAC Non-Fid 2025'!G167</f>
        <v>0</v>
      </c>
      <c r="G451" s="570"/>
      <c r="H451" s="570"/>
      <c r="I451" s="570"/>
      <c r="J451" s="570"/>
      <c r="K451" s="570"/>
      <c r="L451" s="570"/>
      <c r="M451" s="570"/>
      <c r="N451" s="570"/>
      <c r="O451" s="570"/>
      <c r="P451" s="570"/>
      <c r="Q451" s="570"/>
      <c r="R451" s="570"/>
      <c r="S451" s="570"/>
      <c r="T451" s="570">
        <f t="shared" ref="T451:T454" si="197">SUM(E451:S451)</f>
        <v>0</v>
      </c>
      <c r="U451" s="574"/>
      <c r="V451" s="621">
        <f>T451-U451</f>
        <v>0</v>
      </c>
      <c r="W451" s="532"/>
      <c r="X451" s="532"/>
      <c r="Y451" s="532"/>
      <c r="Z451" s="532"/>
    </row>
    <row r="452" spans="1:26" ht="12.6" customHeight="1" x14ac:dyDescent="0.25">
      <c r="A452" s="690"/>
      <c r="B452" s="734" t="s">
        <v>145</v>
      </c>
      <c r="C452" s="569"/>
      <c r="D452" s="569"/>
      <c r="E452" s="570"/>
      <c r="F452" s="570">
        <f>'CABAC Fiduciary 2025'!F211</f>
        <v>0</v>
      </c>
      <c r="G452" s="570"/>
      <c r="H452" s="570"/>
      <c r="I452" s="570"/>
      <c r="J452" s="570"/>
      <c r="K452" s="570"/>
      <c r="L452" s="570"/>
      <c r="M452" s="570"/>
      <c r="N452" s="570"/>
      <c r="O452" s="570"/>
      <c r="P452" s="570"/>
      <c r="Q452" s="570"/>
      <c r="R452" s="570"/>
      <c r="S452" s="570"/>
      <c r="T452" s="570">
        <f t="shared" si="197"/>
        <v>0</v>
      </c>
      <c r="U452" s="574"/>
      <c r="V452" s="621">
        <f>T452-U452</f>
        <v>0</v>
      </c>
      <c r="W452" s="532"/>
      <c r="X452" s="532"/>
      <c r="Y452" s="532"/>
      <c r="Z452" s="532"/>
    </row>
    <row r="453" spans="1:26" ht="12.6" customHeight="1" x14ac:dyDescent="0.25">
      <c r="A453" s="690"/>
      <c r="B453" s="734" t="s">
        <v>142</v>
      </c>
      <c r="C453" s="569"/>
      <c r="D453" s="569"/>
      <c r="E453" s="570"/>
      <c r="F453" s="570">
        <f>'CABAC Fiduciary 2025'!F212</f>
        <v>0</v>
      </c>
      <c r="G453" s="570"/>
      <c r="H453" s="570"/>
      <c r="I453" s="570"/>
      <c r="J453" s="570"/>
      <c r="K453" s="570"/>
      <c r="L453" s="570"/>
      <c r="M453" s="570"/>
      <c r="N453" s="570"/>
      <c r="O453" s="570"/>
      <c r="P453" s="570"/>
      <c r="Q453" s="570"/>
      <c r="R453" s="570"/>
      <c r="S453" s="570"/>
      <c r="T453" s="570"/>
      <c r="U453" s="574"/>
      <c r="V453" s="570"/>
      <c r="W453" s="532"/>
      <c r="X453" s="532"/>
      <c r="Y453" s="532"/>
      <c r="Z453" s="532"/>
    </row>
    <row r="454" spans="1:26" ht="12.6" customHeight="1" thickBot="1" x14ac:dyDescent="0.3">
      <c r="A454" s="691"/>
      <c r="B454" s="734" t="s">
        <v>452</v>
      </c>
      <c r="C454" s="569"/>
      <c r="D454" s="569"/>
      <c r="E454" s="570"/>
      <c r="F454" s="570">
        <f>'CABAC Fiduciary 2025'!F213</f>
        <v>0</v>
      </c>
      <c r="G454" s="570"/>
      <c r="H454" s="570"/>
      <c r="I454" s="570"/>
      <c r="J454" s="570"/>
      <c r="K454" s="570"/>
      <c r="L454" s="570"/>
      <c r="M454" s="570"/>
      <c r="N454" s="570"/>
      <c r="O454" s="570"/>
      <c r="P454" s="570"/>
      <c r="Q454" s="570"/>
      <c r="R454" s="570"/>
      <c r="S454" s="570"/>
      <c r="T454" s="601">
        <f t="shared" si="197"/>
        <v>0</v>
      </c>
      <c r="U454" s="574"/>
      <c r="V454" s="631">
        <f t="shared" ref="V454" si="198">T454-U454</f>
        <v>0</v>
      </c>
      <c r="W454" s="532"/>
      <c r="X454" s="532"/>
      <c r="Y454" s="532"/>
      <c r="Z454" s="532"/>
    </row>
    <row r="455" spans="1:26" ht="12.6" customHeight="1" thickBot="1" x14ac:dyDescent="0.3">
      <c r="A455" s="690"/>
      <c r="B455" s="581" t="s">
        <v>346</v>
      </c>
      <c r="C455" s="569"/>
      <c r="D455" s="580"/>
      <c r="E455" s="582">
        <f>SUM(E450:E454)</f>
        <v>0</v>
      </c>
      <c r="F455" s="582">
        <f t="shared" ref="F455:S455" si="199">SUM(F450:F454)</f>
        <v>0</v>
      </c>
      <c r="G455" s="582">
        <f t="shared" si="199"/>
        <v>0</v>
      </c>
      <c r="H455" s="582">
        <f>SUM(H450:H454)</f>
        <v>0</v>
      </c>
      <c r="I455" s="582">
        <f t="shared" si="199"/>
        <v>0</v>
      </c>
      <c r="J455" s="582">
        <f>SUM(J450:J454)</f>
        <v>0</v>
      </c>
      <c r="K455" s="582">
        <f t="shared" si="199"/>
        <v>0</v>
      </c>
      <c r="L455" s="582">
        <f t="shared" si="199"/>
        <v>0</v>
      </c>
      <c r="M455" s="582">
        <f t="shared" si="199"/>
        <v>0</v>
      </c>
      <c r="N455" s="582">
        <f t="shared" si="199"/>
        <v>0</v>
      </c>
      <c r="O455" s="582">
        <f t="shared" si="199"/>
        <v>0</v>
      </c>
      <c r="P455" s="582">
        <f t="shared" si="199"/>
        <v>0</v>
      </c>
      <c r="Q455" s="582">
        <f t="shared" si="199"/>
        <v>0</v>
      </c>
      <c r="R455" s="582">
        <f t="shared" si="199"/>
        <v>0</v>
      </c>
      <c r="S455" s="582">
        <f t="shared" si="199"/>
        <v>0</v>
      </c>
      <c r="T455" s="582">
        <f>SUM(T450:T454)</f>
        <v>0</v>
      </c>
      <c r="U455" s="582">
        <f>SUM(U450:U454)</f>
        <v>0</v>
      </c>
      <c r="V455" s="683">
        <f>SUM(V450:V454)</f>
        <v>0</v>
      </c>
    </row>
    <row r="456" spans="1:26" ht="12.6" customHeight="1" x14ac:dyDescent="0.25">
      <c r="A456" s="691"/>
      <c r="B456" s="581"/>
      <c r="C456" s="569"/>
      <c r="D456" s="583" t="s">
        <v>347</v>
      </c>
      <c r="E456" s="584">
        <f>SUM(E452:E454)</f>
        <v>0</v>
      </c>
      <c r="F456" s="584">
        <f t="shared" ref="F456:U456" si="200">SUM(F452:F454)</f>
        <v>0</v>
      </c>
      <c r="G456" s="584">
        <f t="shared" si="200"/>
        <v>0</v>
      </c>
      <c r="H456" s="584">
        <f>SUM(H452:H454)</f>
        <v>0</v>
      </c>
      <c r="I456" s="584">
        <f t="shared" si="200"/>
        <v>0</v>
      </c>
      <c r="J456" s="584">
        <f>SUM(J452:J454)</f>
        <v>0</v>
      </c>
      <c r="K456" s="584">
        <f t="shared" si="200"/>
        <v>0</v>
      </c>
      <c r="L456" s="584">
        <f t="shared" si="200"/>
        <v>0</v>
      </c>
      <c r="M456" s="584">
        <f t="shared" si="200"/>
        <v>0</v>
      </c>
      <c r="N456" s="584">
        <f t="shared" si="200"/>
        <v>0</v>
      </c>
      <c r="O456" s="584">
        <f t="shared" si="200"/>
        <v>0</v>
      </c>
      <c r="P456" s="584">
        <f t="shared" si="200"/>
        <v>0</v>
      </c>
      <c r="Q456" s="584">
        <f t="shared" si="200"/>
        <v>0</v>
      </c>
      <c r="R456" s="584">
        <f t="shared" si="200"/>
        <v>0</v>
      </c>
      <c r="S456" s="584">
        <f t="shared" si="200"/>
        <v>0</v>
      </c>
      <c r="T456" s="584">
        <f>SUM(T452:T454)</f>
        <v>0</v>
      </c>
      <c r="U456" s="584">
        <f t="shared" si="200"/>
        <v>0</v>
      </c>
      <c r="V456" s="584">
        <f>SUM(V452:V454)</f>
        <v>0</v>
      </c>
      <c r="W456" s="532"/>
      <c r="X456" s="532"/>
      <c r="Y456" s="532"/>
      <c r="Z456" s="532"/>
    </row>
    <row r="457" spans="1:26" ht="12.6" customHeight="1" x14ac:dyDescent="0.25">
      <c r="A457" s="691"/>
      <c r="B457" s="581"/>
      <c r="C457" s="569"/>
      <c r="D457" s="583" t="s">
        <v>348</v>
      </c>
      <c r="E457" s="584">
        <f>E450+E451</f>
        <v>0</v>
      </c>
      <c r="F457" s="584">
        <f>F450+F451</f>
        <v>0</v>
      </c>
      <c r="G457" s="584">
        <f t="shared" ref="G457:Q457" si="201">G450+G451</f>
        <v>0</v>
      </c>
      <c r="H457" s="584">
        <f t="shared" si="201"/>
        <v>0</v>
      </c>
      <c r="I457" s="584">
        <f t="shared" si="201"/>
        <v>0</v>
      </c>
      <c r="J457" s="584">
        <f t="shared" si="201"/>
        <v>0</v>
      </c>
      <c r="K457" s="584">
        <f t="shared" si="201"/>
        <v>0</v>
      </c>
      <c r="L457" s="584">
        <f t="shared" si="201"/>
        <v>0</v>
      </c>
      <c r="M457" s="584">
        <f t="shared" si="201"/>
        <v>0</v>
      </c>
      <c r="N457" s="584">
        <f t="shared" si="201"/>
        <v>0</v>
      </c>
      <c r="O457" s="584">
        <f t="shared" si="201"/>
        <v>0</v>
      </c>
      <c r="P457" s="584">
        <f t="shared" si="201"/>
        <v>0</v>
      </c>
      <c r="Q457" s="584">
        <f t="shared" si="201"/>
        <v>0</v>
      </c>
      <c r="R457" s="584">
        <f t="shared" ref="R457:U457" si="202">R450</f>
        <v>0</v>
      </c>
      <c r="S457" s="584">
        <f t="shared" si="202"/>
        <v>0</v>
      </c>
      <c r="T457" s="584">
        <f>T450+T451</f>
        <v>0</v>
      </c>
      <c r="U457" s="584">
        <f t="shared" si="202"/>
        <v>0</v>
      </c>
      <c r="V457" s="584">
        <f>V450+V451</f>
        <v>0</v>
      </c>
      <c r="W457" s="532"/>
      <c r="X457" s="532"/>
      <c r="Y457" s="532"/>
      <c r="Z457" s="532"/>
    </row>
    <row r="458" spans="1:26" ht="12.6" customHeight="1" x14ac:dyDescent="0.25">
      <c r="A458" s="691"/>
      <c r="B458" s="581"/>
      <c r="C458" s="569"/>
      <c r="D458" s="580"/>
      <c r="E458" s="584">
        <f>SUM(E456:E457)</f>
        <v>0</v>
      </c>
      <c r="F458" s="584">
        <f t="shared" ref="F458:V458" si="203">SUM(F456:F457)</f>
        <v>0</v>
      </c>
      <c r="G458" s="584">
        <f t="shared" si="203"/>
        <v>0</v>
      </c>
      <c r="H458" s="584">
        <f>SUM(H456:H457)</f>
        <v>0</v>
      </c>
      <c r="I458" s="584">
        <f t="shared" si="203"/>
        <v>0</v>
      </c>
      <c r="J458" s="584">
        <f>SUM(J456:J457)</f>
        <v>0</v>
      </c>
      <c r="K458" s="584">
        <f t="shared" si="203"/>
        <v>0</v>
      </c>
      <c r="L458" s="584">
        <f t="shared" si="203"/>
        <v>0</v>
      </c>
      <c r="M458" s="584">
        <f t="shared" si="203"/>
        <v>0</v>
      </c>
      <c r="N458" s="584">
        <f t="shared" si="203"/>
        <v>0</v>
      </c>
      <c r="O458" s="584">
        <f t="shared" si="203"/>
        <v>0</v>
      </c>
      <c r="P458" s="584">
        <f t="shared" si="203"/>
        <v>0</v>
      </c>
      <c r="Q458" s="584">
        <f t="shared" si="203"/>
        <v>0</v>
      </c>
      <c r="R458" s="584">
        <f t="shared" si="203"/>
        <v>0</v>
      </c>
      <c r="S458" s="584">
        <f t="shared" si="203"/>
        <v>0</v>
      </c>
      <c r="T458" s="584">
        <f t="shared" si="203"/>
        <v>0</v>
      </c>
      <c r="U458" s="584">
        <f t="shared" si="203"/>
        <v>0</v>
      </c>
      <c r="V458" s="584">
        <f t="shared" si="203"/>
        <v>0</v>
      </c>
      <c r="W458" s="532"/>
      <c r="X458" s="532"/>
      <c r="Y458" s="532"/>
      <c r="Z458" s="532"/>
    </row>
    <row r="459" spans="1:26" ht="12.6" customHeight="1" x14ac:dyDescent="0.25">
      <c r="A459" s="691"/>
      <c r="B459" s="569"/>
      <c r="C459" s="569"/>
      <c r="D459" s="580"/>
      <c r="E459" s="586">
        <f>E458-E455</f>
        <v>0</v>
      </c>
      <c r="F459" s="586">
        <f t="shared" ref="F459:V459" si="204">F458-F455</f>
        <v>0</v>
      </c>
      <c r="G459" s="586">
        <f t="shared" si="204"/>
        <v>0</v>
      </c>
      <c r="H459" s="586">
        <f>H458-H455</f>
        <v>0</v>
      </c>
      <c r="I459" s="586">
        <f t="shared" si="204"/>
        <v>0</v>
      </c>
      <c r="J459" s="586">
        <f>J458-J455</f>
        <v>0</v>
      </c>
      <c r="K459" s="586">
        <f t="shared" si="204"/>
        <v>0</v>
      </c>
      <c r="L459" s="586">
        <f t="shared" si="204"/>
        <v>0</v>
      </c>
      <c r="M459" s="586">
        <f t="shared" si="204"/>
        <v>0</v>
      </c>
      <c r="N459" s="586">
        <f t="shared" si="204"/>
        <v>0</v>
      </c>
      <c r="O459" s="586">
        <f t="shared" si="204"/>
        <v>0</v>
      </c>
      <c r="P459" s="586">
        <f t="shared" si="204"/>
        <v>0</v>
      </c>
      <c r="Q459" s="586">
        <f t="shared" si="204"/>
        <v>0</v>
      </c>
      <c r="R459" s="586">
        <f t="shared" si="204"/>
        <v>0</v>
      </c>
      <c r="S459" s="586">
        <f t="shared" si="204"/>
        <v>0</v>
      </c>
      <c r="T459" s="586">
        <f t="shared" si="204"/>
        <v>0</v>
      </c>
      <c r="U459" s="586">
        <f t="shared" si="204"/>
        <v>0</v>
      </c>
      <c r="V459" s="586">
        <f t="shared" si="204"/>
        <v>0</v>
      </c>
    </row>
    <row r="460" spans="1:26" ht="12.6" customHeight="1" x14ac:dyDescent="0.25">
      <c r="A460" s="687"/>
      <c r="B460" s="685"/>
      <c r="C460" s="685"/>
      <c r="D460" s="1257"/>
      <c r="E460" s="599"/>
      <c r="F460" s="570"/>
      <c r="G460" s="570"/>
      <c r="H460" s="570"/>
      <c r="I460" s="570"/>
      <c r="J460" s="570"/>
      <c r="K460" s="570"/>
      <c r="L460" s="570"/>
      <c r="M460" s="570"/>
      <c r="N460" s="570"/>
      <c r="O460" s="570"/>
      <c r="P460" s="570"/>
      <c r="Q460" s="570"/>
      <c r="R460" s="570"/>
      <c r="S460" s="570"/>
      <c r="T460" s="570"/>
      <c r="U460" s="570"/>
      <c r="V460" s="599"/>
    </row>
    <row r="461" spans="1:26" ht="12.6" customHeight="1" x14ac:dyDescent="0.25">
      <c r="A461" s="694"/>
      <c r="D461" s="1258"/>
      <c r="E461" s="615"/>
      <c r="F461" s="601"/>
      <c r="G461" s="601"/>
      <c r="H461" s="601"/>
      <c r="I461" s="601"/>
      <c r="J461" s="601"/>
      <c r="K461" s="601"/>
      <c r="L461" s="601"/>
      <c r="M461" s="601"/>
      <c r="N461" s="601"/>
      <c r="O461" s="601"/>
      <c r="P461" s="601"/>
      <c r="Q461" s="601"/>
      <c r="R461" s="601"/>
      <c r="S461" s="601"/>
      <c r="T461" s="601"/>
      <c r="U461" s="601"/>
      <c r="V461" s="615"/>
    </row>
    <row r="462" spans="1:26" ht="12.6" customHeight="1" x14ac:dyDescent="0.25">
      <c r="A462" s="688" t="s">
        <v>398</v>
      </c>
      <c r="B462" s="612" t="s">
        <v>174</v>
      </c>
      <c r="C462" s="612"/>
      <c r="D462" s="617"/>
      <c r="E462" s="640"/>
      <c r="F462" s="570">
        <f>'CABAC Fiduciary 2025'!F225</f>
        <v>0</v>
      </c>
      <c r="G462" s="570"/>
      <c r="H462" s="570"/>
      <c r="I462" s="570"/>
      <c r="J462" s="570"/>
      <c r="K462" s="570"/>
      <c r="L462" s="570"/>
      <c r="M462" s="570"/>
      <c r="N462" s="570"/>
      <c r="O462" s="570"/>
      <c r="P462" s="570"/>
      <c r="Q462" s="570"/>
      <c r="R462" s="570"/>
      <c r="S462" s="570"/>
      <c r="T462" s="570">
        <f>SUM(E462:S462)</f>
        <v>0</v>
      </c>
      <c r="U462" s="603"/>
      <c r="V462" s="599">
        <f>T462-U462</f>
        <v>0</v>
      </c>
    </row>
    <row r="463" spans="1:26" ht="12.6" customHeight="1" thickBot="1" x14ac:dyDescent="0.3">
      <c r="A463" s="689" t="s">
        <v>399</v>
      </c>
      <c r="B463" s="612" t="s">
        <v>173</v>
      </c>
      <c r="C463" s="612"/>
      <c r="D463" s="617"/>
      <c r="E463" s="1256"/>
      <c r="F463" s="601">
        <f>'CABAC Fiduciary 2025'!F226</f>
        <v>0</v>
      </c>
      <c r="G463" s="601"/>
      <c r="H463" s="601"/>
      <c r="I463" s="601"/>
      <c r="J463" s="601"/>
      <c r="K463" s="601"/>
      <c r="L463" s="601"/>
      <c r="M463" s="601"/>
      <c r="N463" s="601"/>
      <c r="O463" s="601"/>
      <c r="P463" s="601"/>
      <c r="Q463" s="601"/>
      <c r="R463" s="601"/>
      <c r="S463" s="601"/>
      <c r="T463" s="601">
        <f>SUM(E463:S463)</f>
        <v>0</v>
      </c>
      <c r="U463" s="606"/>
      <c r="V463" s="615">
        <f>T463-U463</f>
        <v>0</v>
      </c>
    </row>
    <row r="464" spans="1:26" ht="12.6" customHeight="1" thickBot="1" x14ac:dyDescent="0.3">
      <c r="A464" s="689"/>
      <c r="B464" s="581" t="s">
        <v>346</v>
      </c>
      <c r="C464" s="569"/>
      <c r="D464" s="580"/>
      <c r="E464" s="616">
        <f>SUM(E462:E463)</f>
        <v>0</v>
      </c>
      <c r="F464" s="582">
        <f t="shared" ref="F464:V464" si="205">SUM(F462:F463)</f>
        <v>0</v>
      </c>
      <c r="G464" s="582">
        <f t="shared" si="205"/>
        <v>0</v>
      </c>
      <c r="H464" s="582">
        <f>SUM(H462:H463)</f>
        <v>0</v>
      </c>
      <c r="I464" s="582">
        <f t="shared" si="205"/>
        <v>0</v>
      </c>
      <c r="J464" s="582">
        <f>SUM(J462:J463)</f>
        <v>0</v>
      </c>
      <c r="K464" s="582">
        <f t="shared" si="205"/>
        <v>0</v>
      </c>
      <c r="L464" s="582">
        <f t="shared" si="205"/>
        <v>0</v>
      </c>
      <c r="M464" s="582">
        <f t="shared" si="205"/>
        <v>0</v>
      </c>
      <c r="N464" s="582">
        <f t="shared" si="205"/>
        <v>0</v>
      </c>
      <c r="O464" s="582">
        <f t="shared" si="205"/>
        <v>0</v>
      </c>
      <c r="P464" s="582">
        <f t="shared" si="205"/>
        <v>0</v>
      </c>
      <c r="Q464" s="582">
        <f t="shared" si="205"/>
        <v>0</v>
      </c>
      <c r="R464" s="582">
        <f t="shared" si="205"/>
        <v>0</v>
      </c>
      <c r="S464" s="582">
        <f t="shared" si="205"/>
        <v>0</v>
      </c>
      <c r="T464" s="582">
        <f t="shared" si="205"/>
        <v>0</v>
      </c>
      <c r="U464" s="582">
        <f t="shared" si="205"/>
        <v>0</v>
      </c>
      <c r="V464" s="582">
        <f t="shared" si="205"/>
        <v>0</v>
      </c>
    </row>
    <row r="465" spans="1:26" ht="12.6" customHeight="1" x14ac:dyDescent="0.25">
      <c r="A465" s="691"/>
      <c r="B465" s="581"/>
      <c r="C465" s="569"/>
      <c r="D465" s="583" t="s">
        <v>347</v>
      </c>
      <c r="E465" s="664">
        <f>SUM(E462:E463)</f>
        <v>0</v>
      </c>
      <c r="F465" s="584">
        <f>SUM(F462:F463)</f>
        <v>0</v>
      </c>
      <c r="G465" s="584">
        <f t="shared" ref="G465:V465" si="206">SUM(G462:G463)</f>
        <v>0</v>
      </c>
      <c r="H465" s="584">
        <f>SUM(H462:H463)</f>
        <v>0</v>
      </c>
      <c r="I465" s="584">
        <f t="shared" si="206"/>
        <v>0</v>
      </c>
      <c r="J465" s="584">
        <f>SUM(J462:J463)</f>
        <v>0</v>
      </c>
      <c r="K465" s="584">
        <f t="shared" si="206"/>
        <v>0</v>
      </c>
      <c r="L465" s="584">
        <f t="shared" si="206"/>
        <v>0</v>
      </c>
      <c r="M465" s="584">
        <f t="shared" si="206"/>
        <v>0</v>
      </c>
      <c r="N465" s="584">
        <f t="shared" si="206"/>
        <v>0</v>
      </c>
      <c r="O465" s="584">
        <f t="shared" si="206"/>
        <v>0</v>
      </c>
      <c r="P465" s="584">
        <f t="shared" si="206"/>
        <v>0</v>
      </c>
      <c r="Q465" s="584">
        <f t="shared" si="206"/>
        <v>0</v>
      </c>
      <c r="R465" s="584">
        <f t="shared" si="206"/>
        <v>0</v>
      </c>
      <c r="S465" s="584">
        <f t="shared" si="206"/>
        <v>0</v>
      </c>
      <c r="T465" s="584">
        <f t="shared" si="206"/>
        <v>0</v>
      </c>
      <c r="U465" s="584">
        <f t="shared" si="206"/>
        <v>0</v>
      </c>
      <c r="V465" s="584">
        <f t="shared" si="206"/>
        <v>0</v>
      </c>
      <c r="W465" s="532"/>
      <c r="X465" s="532"/>
      <c r="Y465" s="532"/>
      <c r="Z465" s="532"/>
    </row>
    <row r="466" spans="1:26" ht="12.6" customHeight="1" x14ac:dyDescent="0.25">
      <c r="A466" s="691"/>
      <c r="B466" s="581"/>
      <c r="C466" s="569"/>
      <c r="D466" s="583" t="s">
        <v>348</v>
      </c>
      <c r="E466" s="664"/>
      <c r="F466" s="584"/>
      <c r="G466" s="584"/>
      <c r="H466" s="584"/>
      <c r="I466" s="584"/>
      <c r="J466" s="584"/>
      <c r="K466" s="584"/>
      <c r="L466" s="584"/>
      <c r="M466" s="584"/>
      <c r="N466" s="584"/>
      <c r="O466" s="584"/>
      <c r="P466" s="584"/>
      <c r="Q466" s="584"/>
      <c r="R466" s="584"/>
      <c r="S466" s="584"/>
      <c r="T466" s="584"/>
      <c r="U466" s="584"/>
      <c r="V466" s="584"/>
      <c r="W466" s="532"/>
      <c r="X466" s="532"/>
      <c r="Y466" s="532"/>
      <c r="Z466" s="532"/>
    </row>
    <row r="467" spans="1:26" ht="12.6" customHeight="1" x14ac:dyDescent="0.25">
      <c r="A467" s="691"/>
      <c r="B467" s="581"/>
      <c r="C467" s="569"/>
      <c r="D467" s="580"/>
      <c r="E467" s="664">
        <f>SUM(E465:E466)</f>
        <v>0</v>
      </c>
      <c r="F467" s="584">
        <f t="shared" ref="F467:V467" si="207">SUM(F465:F466)</f>
        <v>0</v>
      </c>
      <c r="G467" s="584">
        <f t="shared" si="207"/>
        <v>0</v>
      </c>
      <c r="H467" s="584">
        <f>SUM(H465:H466)</f>
        <v>0</v>
      </c>
      <c r="I467" s="584">
        <f t="shared" si="207"/>
        <v>0</v>
      </c>
      <c r="J467" s="584">
        <f>SUM(J465:J466)</f>
        <v>0</v>
      </c>
      <c r="K467" s="584">
        <f t="shared" si="207"/>
        <v>0</v>
      </c>
      <c r="L467" s="584">
        <f t="shared" si="207"/>
        <v>0</v>
      </c>
      <c r="M467" s="584">
        <f t="shared" si="207"/>
        <v>0</v>
      </c>
      <c r="N467" s="584">
        <f t="shared" si="207"/>
        <v>0</v>
      </c>
      <c r="O467" s="584">
        <f t="shared" si="207"/>
        <v>0</v>
      </c>
      <c r="P467" s="584">
        <f t="shared" si="207"/>
        <v>0</v>
      </c>
      <c r="Q467" s="584">
        <f t="shared" si="207"/>
        <v>0</v>
      </c>
      <c r="R467" s="584">
        <f t="shared" si="207"/>
        <v>0</v>
      </c>
      <c r="S467" s="584">
        <f t="shared" si="207"/>
        <v>0</v>
      </c>
      <c r="T467" s="584">
        <f t="shared" si="207"/>
        <v>0</v>
      </c>
      <c r="U467" s="584">
        <f t="shared" si="207"/>
        <v>0</v>
      </c>
      <c r="V467" s="584">
        <f t="shared" si="207"/>
        <v>0</v>
      </c>
      <c r="W467" s="532"/>
      <c r="X467" s="532"/>
      <c r="Y467" s="532"/>
      <c r="Z467" s="532"/>
    </row>
    <row r="468" spans="1:26" ht="12.6" customHeight="1" x14ac:dyDescent="0.25">
      <c r="A468" s="691"/>
      <c r="B468" s="569"/>
      <c r="C468" s="569"/>
      <c r="D468" s="580"/>
      <c r="E468" s="666">
        <f>E467-E464</f>
        <v>0</v>
      </c>
      <c r="F468" s="586">
        <f t="shared" ref="F468:V468" si="208">F467-F464</f>
        <v>0</v>
      </c>
      <c r="G468" s="586">
        <f t="shared" si="208"/>
        <v>0</v>
      </c>
      <c r="H468" s="586">
        <f>H467-H464</f>
        <v>0</v>
      </c>
      <c r="I468" s="586">
        <f t="shared" si="208"/>
        <v>0</v>
      </c>
      <c r="J468" s="586">
        <f>J467-J464</f>
        <v>0</v>
      </c>
      <c r="K468" s="586">
        <f t="shared" si="208"/>
        <v>0</v>
      </c>
      <c r="L468" s="586">
        <f t="shared" si="208"/>
        <v>0</v>
      </c>
      <c r="M468" s="586">
        <f t="shared" si="208"/>
        <v>0</v>
      </c>
      <c r="N468" s="586">
        <f t="shared" si="208"/>
        <v>0</v>
      </c>
      <c r="O468" s="586">
        <f t="shared" si="208"/>
        <v>0</v>
      </c>
      <c r="P468" s="586">
        <f t="shared" si="208"/>
        <v>0</v>
      </c>
      <c r="Q468" s="586">
        <f t="shared" si="208"/>
        <v>0</v>
      </c>
      <c r="R468" s="586">
        <f t="shared" si="208"/>
        <v>0</v>
      </c>
      <c r="S468" s="586">
        <f t="shared" si="208"/>
        <v>0</v>
      </c>
      <c r="T468" s="586">
        <f t="shared" si="208"/>
        <v>0</v>
      </c>
      <c r="U468" s="586">
        <f t="shared" si="208"/>
        <v>0</v>
      </c>
      <c r="V468" s="586">
        <f t="shared" si="208"/>
        <v>0</v>
      </c>
    </row>
    <row r="469" spans="1:26" ht="12.6" customHeight="1" x14ac:dyDescent="0.25">
      <c r="A469" s="692"/>
      <c r="B469" s="569"/>
      <c r="C469" s="569"/>
      <c r="D469" s="580"/>
      <c r="E469" s="599"/>
      <c r="F469" s="570"/>
      <c r="G469" s="570"/>
      <c r="H469" s="570"/>
      <c r="I469" s="570"/>
      <c r="J469" s="570"/>
      <c r="K469" s="570"/>
      <c r="L469" s="570"/>
      <c r="M469" s="570"/>
      <c r="N469" s="570"/>
      <c r="O469" s="570"/>
      <c r="P469" s="570"/>
      <c r="Q469" s="570"/>
      <c r="R469" s="570"/>
      <c r="S469" s="570"/>
      <c r="T469" s="570"/>
      <c r="U469" s="603"/>
      <c r="V469" s="599"/>
    </row>
    <row r="470" spans="1:26" ht="12.6" customHeight="1" thickBot="1" x14ac:dyDescent="0.3">
      <c r="A470" s="692" t="s">
        <v>400</v>
      </c>
      <c r="B470" s="569" t="s">
        <v>266</v>
      </c>
      <c r="C470" s="569"/>
      <c r="D470" s="580"/>
      <c r="E470" s="1256"/>
      <c r="F470" s="601">
        <f>'CABAC Non-Fid 2025'!G143</f>
        <v>0</v>
      </c>
      <c r="G470" s="601"/>
      <c r="H470" s="601"/>
      <c r="I470" s="601"/>
      <c r="J470" s="601"/>
      <c r="K470" s="601"/>
      <c r="L470" s="601"/>
      <c r="M470" s="601"/>
      <c r="N470" s="601"/>
      <c r="O470" s="601"/>
      <c r="P470" s="601"/>
      <c r="Q470" s="601"/>
      <c r="R470" s="601"/>
      <c r="S470" s="601"/>
      <c r="T470" s="601">
        <f>SUM(E470:S470)</f>
        <v>0</v>
      </c>
      <c r="U470" s="606"/>
      <c r="V470" s="615">
        <f>T470-U470</f>
        <v>0</v>
      </c>
    </row>
    <row r="471" spans="1:26" ht="12.6" customHeight="1" thickBot="1" x14ac:dyDescent="0.3">
      <c r="A471" s="689" t="s">
        <v>96</v>
      </c>
      <c r="B471" s="581" t="s">
        <v>346</v>
      </c>
      <c r="C471" s="569"/>
      <c r="D471" s="580"/>
      <c r="E471" s="582">
        <f>SUM(E470)</f>
        <v>0</v>
      </c>
      <c r="F471" s="582">
        <f t="shared" ref="F471:V471" si="209">SUM(F470)</f>
        <v>0</v>
      </c>
      <c r="G471" s="582">
        <f t="shared" si="209"/>
        <v>0</v>
      </c>
      <c r="H471" s="582">
        <f>SUM(H470)</f>
        <v>0</v>
      </c>
      <c r="I471" s="582">
        <f t="shared" si="209"/>
        <v>0</v>
      </c>
      <c r="J471" s="582">
        <f>SUM(J470)</f>
        <v>0</v>
      </c>
      <c r="K471" s="582">
        <f t="shared" si="209"/>
        <v>0</v>
      </c>
      <c r="L471" s="582">
        <f t="shared" si="209"/>
        <v>0</v>
      </c>
      <c r="M471" s="582">
        <f t="shared" si="209"/>
        <v>0</v>
      </c>
      <c r="N471" s="582">
        <f t="shared" si="209"/>
        <v>0</v>
      </c>
      <c r="O471" s="582">
        <f t="shared" si="209"/>
        <v>0</v>
      </c>
      <c r="P471" s="582">
        <f t="shared" si="209"/>
        <v>0</v>
      </c>
      <c r="Q471" s="582">
        <f t="shared" si="209"/>
        <v>0</v>
      </c>
      <c r="R471" s="582">
        <f t="shared" si="209"/>
        <v>0</v>
      </c>
      <c r="S471" s="582">
        <f t="shared" si="209"/>
        <v>0</v>
      </c>
      <c r="T471" s="582">
        <f t="shared" si="209"/>
        <v>0</v>
      </c>
      <c r="U471" s="582">
        <f t="shared" si="209"/>
        <v>0</v>
      </c>
      <c r="V471" s="616">
        <f t="shared" si="209"/>
        <v>0</v>
      </c>
    </row>
    <row r="472" spans="1:26" ht="12.6" customHeight="1" x14ac:dyDescent="0.25">
      <c r="A472" s="691"/>
      <c r="B472" s="581"/>
      <c r="C472" s="569"/>
      <c r="D472" s="583" t="s">
        <v>347</v>
      </c>
      <c r="E472" s="584"/>
      <c r="F472" s="584"/>
      <c r="G472" s="584"/>
      <c r="H472" s="584"/>
      <c r="I472" s="584"/>
      <c r="J472" s="584"/>
      <c r="K472" s="584"/>
      <c r="L472" s="584"/>
      <c r="M472" s="584"/>
      <c r="N472" s="584"/>
      <c r="O472" s="584"/>
      <c r="P472" s="584"/>
      <c r="Q472" s="584"/>
      <c r="R472" s="584"/>
      <c r="S472" s="584"/>
      <c r="T472" s="584"/>
      <c r="U472" s="584"/>
      <c r="V472" s="584"/>
      <c r="W472" s="532"/>
      <c r="X472" s="532"/>
      <c r="Y472" s="532"/>
      <c r="Z472" s="532"/>
    </row>
    <row r="473" spans="1:26" ht="12.6" customHeight="1" x14ac:dyDescent="0.25">
      <c r="A473" s="691"/>
      <c r="B473" s="581"/>
      <c r="C473" s="569"/>
      <c r="D473" s="583" t="s">
        <v>348</v>
      </c>
      <c r="E473" s="584">
        <f>E470</f>
        <v>0</v>
      </c>
      <c r="F473" s="584">
        <f t="shared" ref="F473:V473" si="210">F470</f>
        <v>0</v>
      </c>
      <c r="G473" s="584">
        <f t="shared" si="210"/>
        <v>0</v>
      </c>
      <c r="H473" s="584">
        <f>H470</f>
        <v>0</v>
      </c>
      <c r="I473" s="584">
        <f t="shared" si="210"/>
        <v>0</v>
      </c>
      <c r="J473" s="584">
        <f>J470</f>
        <v>0</v>
      </c>
      <c r="K473" s="584">
        <f t="shared" si="210"/>
        <v>0</v>
      </c>
      <c r="L473" s="584">
        <f t="shared" si="210"/>
        <v>0</v>
      </c>
      <c r="M473" s="584">
        <f t="shared" si="210"/>
        <v>0</v>
      </c>
      <c r="N473" s="584">
        <f t="shared" si="210"/>
        <v>0</v>
      </c>
      <c r="O473" s="584">
        <f t="shared" si="210"/>
        <v>0</v>
      </c>
      <c r="P473" s="584">
        <f t="shared" si="210"/>
        <v>0</v>
      </c>
      <c r="Q473" s="584">
        <f t="shared" si="210"/>
        <v>0</v>
      </c>
      <c r="R473" s="584">
        <f t="shared" si="210"/>
        <v>0</v>
      </c>
      <c r="S473" s="584">
        <f t="shared" si="210"/>
        <v>0</v>
      </c>
      <c r="T473" s="584">
        <f t="shared" si="210"/>
        <v>0</v>
      </c>
      <c r="U473" s="584">
        <f t="shared" si="210"/>
        <v>0</v>
      </c>
      <c r="V473" s="584">
        <f t="shared" si="210"/>
        <v>0</v>
      </c>
      <c r="W473" s="532"/>
      <c r="X473" s="532"/>
      <c r="Y473" s="532"/>
      <c r="Z473" s="532"/>
    </row>
    <row r="474" spans="1:26" ht="12.6" customHeight="1" x14ac:dyDescent="0.25">
      <c r="A474" s="691"/>
      <c r="B474" s="581"/>
      <c r="C474" s="569"/>
      <c r="D474" s="580"/>
      <c r="E474" s="584">
        <f>SUM(E472:E473)</f>
        <v>0</v>
      </c>
      <c r="F474" s="584">
        <f t="shared" ref="F474:V474" si="211">SUM(F472:F473)</f>
        <v>0</v>
      </c>
      <c r="G474" s="584">
        <f t="shared" si="211"/>
        <v>0</v>
      </c>
      <c r="H474" s="584">
        <f>SUM(H472:H473)</f>
        <v>0</v>
      </c>
      <c r="I474" s="584">
        <f t="shared" si="211"/>
        <v>0</v>
      </c>
      <c r="J474" s="584">
        <f>SUM(J472:J473)</f>
        <v>0</v>
      </c>
      <c r="K474" s="584">
        <f t="shared" si="211"/>
        <v>0</v>
      </c>
      <c r="L474" s="584">
        <f t="shared" si="211"/>
        <v>0</v>
      </c>
      <c r="M474" s="584">
        <f t="shared" si="211"/>
        <v>0</v>
      </c>
      <c r="N474" s="584">
        <f t="shared" si="211"/>
        <v>0</v>
      </c>
      <c r="O474" s="584">
        <f t="shared" si="211"/>
        <v>0</v>
      </c>
      <c r="P474" s="584">
        <f t="shared" si="211"/>
        <v>0</v>
      </c>
      <c r="Q474" s="584">
        <f t="shared" si="211"/>
        <v>0</v>
      </c>
      <c r="R474" s="584">
        <f t="shared" si="211"/>
        <v>0</v>
      </c>
      <c r="S474" s="584">
        <f t="shared" si="211"/>
        <v>0</v>
      </c>
      <c r="T474" s="584">
        <f t="shared" si="211"/>
        <v>0</v>
      </c>
      <c r="U474" s="584">
        <f t="shared" si="211"/>
        <v>0</v>
      </c>
      <c r="V474" s="584">
        <f t="shared" si="211"/>
        <v>0</v>
      </c>
      <c r="W474" s="532"/>
      <c r="X474" s="532"/>
      <c r="Y474" s="532"/>
      <c r="Z474" s="532"/>
    </row>
    <row r="475" spans="1:26" ht="12.6" customHeight="1" x14ac:dyDescent="0.25">
      <c r="A475" s="691"/>
      <c r="B475" s="569"/>
      <c r="C475" s="569"/>
      <c r="D475" s="569"/>
      <c r="E475" s="1234">
        <f>E474-E471</f>
        <v>0</v>
      </c>
      <c r="F475" s="1234">
        <f t="shared" ref="F475:V475" si="212">F474-F471</f>
        <v>0</v>
      </c>
      <c r="G475" s="1234">
        <f t="shared" si="212"/>
        <v>0</v>
      </c>
      <c r="H475" s="1234">
        <f>H474-H471</f>
        <v>0</v>
      </c>
      <c r="I475" s="1234">
        <f t="shared" si="212"/>
        <v>0</v>
      </c>
      <c r="J475" s="1234">
        <f>J474-J471</f>
        <v>0</v>
      </c>
      <c r="K475" s="1234">
        <f t="shared" si="212"/>
        <v>0</v>
      </c>
      <c r="L475" s="1234">
        <f t="shared" si="212"/>
        <v>0</v>
      </c>
      <c r="M475" s="1234">
        <f t="shared" si="212"/>
        <v>0</v>
      </c>
      <c r="N475" s="1234">
        <f t="shared" si="212"/>
        <v>0</v>
      </c>
      <c r="O475" s="1234">
        <f t="shared" si="212"/>
        <v>0</v>
      </c>
      <c r="P475" s="1234">
        <f t="shared" si="212"/>
        <v>0</v>
      </c>
      <c r="Q475" s="1234">
        <f t="shared" si="212"/>
        <v>0</v>
      </c>
      <c r="R475" s="1234">
        <f t="shared" si="212"/>
        <v>0</v>
      </c>
      <c r="S475" s="1234">
        <f t="shared" si="212"/>
        <v>0</v>
      </c>
      <c r="T475" s="1234">
        <f t="shared" si="212"/>
        <v>0</v>
      </c>
      <c r="U475" s="1234">
        <f t="shared" si="212"/>
        <v>0</v>
      </c>
      <c r="V475" s="1234">
        <f t="shared" si="212"/>
        <v>0</v>
      </c>
    </row>
    <row r="476" spans="1:26" ht="12.6" customHeight="1" x14ac:dyDescent="0.25">
      <c r="A476" s="692"/>
      <c r="B476" s="569"/>
      <c r="C476" s="569"/>
      <c r="D476" s="580"/>
      <c r="E476" s="601"/>
      <c r="F476" s="601"/>
      <c r="G476" s="601"/>
      <c r="H476" s="601"/>
      <c r="I476" s="601"/>
      <c r="J476" s="601"/>
      <c r="K476" s="601"/>
      <c r="L476" s="601"/>
      <c r="M476" s="601"/>
      <c r="N476" s="601"/>
      <c r="O476" s="601"/>
      <c r="P476" s="601"/>
      <c r="Q476" s="601"/>
      <c r="R476" s="601"/>
      <c r="S476" s="601"/>
      <c r="T476" s="601"/>
      <c r="U476" s="606"/>
      <c r="V476" s="615"/>
    </row>
    <row r="477" spans="1:26" ht="12.6" customHeight="1" x14ac:dyDescent="0.25">
      <c r="A477" s="692" t="s">
        <v>401</v>
      </c>
      <c r="B477" s="569" t="s">
        <v>295</v>
      </c>
      <c r="C477" s="569"/>
      <c r="D477" s="580"/>
      <c r="E477" s="602">
        <v>3000000</v>
      </c>
      <c r="F477" s="570"/>
      <c r="G477" s="570"/>
      <c r="H477" s="570"/>
      <c r="I477" s="570"/>
      <c r="J477" s="570"/>
      <c r="K477" s="570"/>
      <c r="L477" s="570"/>
      <c r="M477" s="570"/>
      <c r="N477" s="570"/>
      <c r="O477" s="570"/>
      <c r="P477" s="570"/>
      <c r="Q477" s="570"/>
      <c r="R477" s="570"/>
      <c r="S477" s="570"/>
      <c r="T477" s="570">
        <f>SUM(E477:S477)</f>
        <v>3000000</v>
      </c>
      <c r="U477" s="603"/>
      <c r="V477" s="599">
        <f>T477-U477</f>
        <v>3000000</v>
      </c>
    </row>
    <row r="478" spans="1:26" s="533" customFormat="1" ht="12.6" customHeight="1" thickBot="1" x14ac:dyDescent="0.3">
      <c r="A478" s="689" t="s">
        <v>34</v>
      </c>
      <c r="B478" s="569" t="s">
        <v>142</v>
      </c>
      <c r="C478" s="569"/>
      <c r="D478" s="580"/>
      <c r="E478" s="605">
        <v>3000000</v>
      </c>
      <c r="F478" s="601"/>
      <c r="G478" s="601"/>
      <c r="H478" s="601"/>
      <c r="I478" s="601"/>
      <c r="J478" s="601"/>
      <c r="K478" s="601"/>
      <c r="L478" s="601"/>
      <c r="M478" s="601"/>
      <c r="N478" s="601"/>
      <c r="O478" s="601"/>
      <c r="P478" s="601"/>
      <c r="Q478" s="601"/>
      <c r="R478" s="601"/>
      <c r="S478" s="601"/>
      <c r="T478" s="601">
        <f>SUM(E478:S478)</f>
        <v>3000000</v>
      </c>
      <c r="U478" s="606"/>
      <c r="V478" s="599">
        <f>T478-U478</f>
        <v>3000000</v>
      </c>
    </row>
    <row r="479" spans="1:26" s="533" customFormat="1" ht="12.6" customHeight="1" thickBot="1" x14ac:dyDescent="0.3">
      <c r="A479" s="693"/>
      <c r="B479" s="659" t="s">
        <v>346</v>
      </c>
      <c r="C479" s="660"/>
      <c r="D479" s="661"/>
      <c r="E479" s="582">
        <f>SUM(E477:E478)</f>
        <v>6000000</v>
      </c>
      <c r="F479" s="582">
        <f t="shared" ref="F479:V479" si="213">SUM(F477:F478)</f>
        <v>0</v>
      </c>
      <c r="G479" s="582">
        <f t="shared" si="213"/>
        <v>0</v>
      </c>
      <c r="H479" s="582">
        <f>SUM(H477:H478)</f>
        <v>0</v>
      </c>
      <c r="I479" s="582">
        <f t="shared" si="213"/>
        <v>0</v>
      </c>
      <c r="J479" s="582">
        <f>SUM(J477:J478)</f>
        <v>0</v>
      </c>
      <c r="K479" s="582">
        <f t="shared" si="213"/>
        <v>0</v>
      </c>
      <c r="L479" s="582">
        <f t="shared" si="213"/>
        <v>0</v>
      </c>
      <c r="M479" s="582">
        <f t="shared" si="213"/>
        <v>0</v>
      </c>
      <c r="N479" s="582">
        <f t="shared" si="213"/>
        <v>0</v>
      </c>
      <c r="O479" s="582">
        <f t="shared" si="213"/>
        <v>0</v>
      </c>
      <c r="P479" s="582">
        <f t="shared" si="213"/>
        <v>0</v>
      </c>
      <c r="Q479" s="582">
        <f t="shared" si="213"/>
        <v>0</v>
      </c>
      <c r="R479" s="582">
        <f t="shared" si="213"/>
        <v>0</v>
      </c>
      <c r="S479" s="582">
        <f t="shared" si="213"/>
        <v>0</v>
      </c>
      <c r="T479" s="582">
        <f t="shared" si="213"/>
        <v>6000000</v>
      </c>
      <c r="U479" s="582">
        <f t="shared" si="213"/>
        <v>0</v>
      </c>
      <c r="V479" s="616">
        <f t="shared" si="213"/>
        <v>6000000</v>
      </c>
    </row>
    <row r="480" spans="1:26" ht="12.6" customHeight="1" x14ac:dyDescent="0.25">
      <c r="A480" s="691"/>
      <c r="B480" s="581"/>
      <c r="C480" s="569"/>
      <c r="D480" s="583" t="s">
        <v>347</v>
      </c>
      <c r="E480" s="730">
        <f>E478</f>
        <v>3000000</v>
      </c>
      <c r="F480" s="730">
        <f>F478</f>
        <v>0</v>
      </c>
      <c r="G480" s="584"/>
      <c r="H480" s="584"/>
      <c r="I480" s="584"/>
      <c r="J480" s="584"/>
      <c r="K480" s="584"/>
      <c r="L480" s="584"/>
      <c r="M480" s="584"/>
      <c r="N480" s="584"/>
      <c r="O480" s="584"/>
      <c r="P480" s="584"/>
      <c r="Q480" s="584"/>
      <c r="R480" s="584"/>
      <c r="S480" s="584"/>
      <c r="T480" s="584"/>
      <c r="U480" s="624"/>
      <c r="V480" s="625"/>
      <c r="W480" s="532"/>
      <c r="X480" s="532"/>
      <c r="Y480" s="532"/>
      <c r="Z480" s="532"/>
    </row>
    <row r="481" spans="1:26" ht="12.6" customHeight="1" x14ac:dyDescent="0.25">
      <c r="A481" s="691"/>
      <c r="B481" s="581"/>
      <c r="C481" s="569"/>
      <c r="D481" s="583" t="s">
        <v>348</v>
      </c>
      <c r="E481" s="730">
        <f>E477</f>
        <v>3000000</v>
      </c>
      <c r="F481" s="730">
        <f t="shared" ref="F481:V481" si="214">SUM(F477:F478)</f>
        <v>0</v>
      </c>
      <c r="G481" s="584">
        <f t="shared" si="214"/>
        <v>0</v>
      </c>
      <c r="H481" s="584">
        <f>SUM(H477:H478)</f>
        <v>0</v>
      </c>
      <c r="I481" s="584">
        <f t="shared" si="214"/>
        <v>0</v>
      </c>
      <c r="J481" s="584">
        <f>SUM(J477:J478)</f>
        <v>0</v>
      </c>
      <c r="K481" s="584">
        <f t="shared" si="214"/>
        <v>0</v>
      </c>
      <c r="L481" s="584">
        <f t="shared" si="214"/>
        <v>0</v>
      </c>
      <c r="M481" s="584">
        <f t="shared" si="214"/>
        <v>0</v>
      </c>
      <c r="N481" s="584">
        <f t="shared" si="214"/>
        <v>0</v>
      </c>
      <c r="O481" s="584">
        <f t="shared" si="214"/>
        <v>0</v>
      </c>
      <c r="P481" s="584">
        <f t="shared" si="214"/>
        <v>0</v>
      </c>
      <c r="Q481" s="584">
        <f t="shared" si="214"/>
        <v>0</v>
      </c>
      <c r="R481" s="584">
        <f t="shared" si="214"/>
        <v>0</v>
      </c>
      <c r="S481" s="584">
        <f t="shared" si="214"/>
        <v>0</v>
      </c>
      <c r="T481" s="584">
        <f t="shared" si="214"/>
        <v>6000000</v>
      </c>
      <c r="U481" s="624">
        <f t="shared" si="214"/>
        <v>0</v>
      </c>
      <c r="V481" s="584">
        <f t="shared" si="214"/>
        <v>6000000</v>
      </c>
      <c r="W481" s="532"/>
      <c r="X481" s="532"/>
      <c r="Y481" s="532"/>
      <c r="Z481" s="532"/>
    </row>
    <row r="482" spans="1:26" ht="12.6" customHeight="1" x14ac:dyDescent="0.25">
      <c r="A482" s="691"/>
      <c r="B482" s="581"/>
      <c r="C482" s="569"/>
      <c r="D482" s="580"/>
      <c r="E482" s="730">
        <f>E479</f>
        <v>6000000</v>
      </c>
      <c r="F482" s="730">
        <f t="shared" ref="F482:V482" si="215">SUM(F480:F481)</f>
        <v>0</v>
      </c>
      <c r="G482" s="584">
        <f t="shared" si="215"/>
        <v>0</v>
      </c>
      <c r="H482" s="584">
        <f>SUM(H480:H481)</f>
        <v>0</v>
      </c>
      <c r="I482" s="584">
        <f t="shared" si="215"/>
        <v>0</v>
      </c>
      <c r="J482" s="584">
        <f>SUM(J480:J481)</f>
        <v>0</v>
      </c>
      <c r="K482" s="584">
        <f t="shared" si="215"/>
        <v>0</v>
      </c>
      <c r="L482" s="584">
        <f t="shared" si="215"/>
        <v>0</v>
      </c>
      <c r="M482" s="584">
        <f t="shared" si="215"/>
        <v>0</v>
      </c>
      <c r="N482" s="584">
        <f t="shared" si="215"/>
        <v>0</v>
      </c>
      <c r="O482" s="584">
        <f t="shared" si="215"/>
        <v>0</v>
      </c>
      <c r="P482" s="584">
        <f t="shared" si="215"/>
        <v>0</v>
      </c>
      <c r="Q482" s="584">
        <f t="shared" si="215"/>
        <v>0</v>
      </c>
      <c r="R482" s="584">
        <f t="shared" si="215"/>
        <v>0</v>
      </c>
      <c r="S482" s="584">
        <f t="shared" si="215"/>
        <v>0</v>
      </c>
      <c r="T482" s="584">
        <f t="shared" si="215"/>
        <v>6000000</v>
      </c>
      <c r="U482" s="624">
        <f t="shared" si="215"/>
        <v>0</v>
      </c>
      <c r="V482" s="584">
        <f t="shared" si="215"/>
        <v>6000000</v>
      </c>
      <c r="W482" s="532"/>
      <c r="X482" s="532"/>
      <c r="Y482" s="532"/>
      <c r="Z482" s="532"/>
    </row>
    <row r="483" spans="1:26" ht="12.6" customHeight="1" x14ac:dyDescent="0.25">
      <c r="A483" s="691"/>
      <c r="B483" s="569"/>
      <c r="C483" s="569"/>
      <c r="D483" s="580"/>
      <c r="E483" s="1232">
        <f>E482-E479</f>
        <v>0</v>
      </c>
      <c r="F483" s="1232">
        <f t="shared" ref="F483:V483" si="216">F482-F479</f>
        <v>0</v>
      </c>
      <c r="G483" s="1232">
        <f t="shared" si="216"/>
        <v>0</v>
      </c>
      <c r="H483" s="1232">
        <f>H482-H479</f>
        <v>0</v>
      </c>
      <c r="I483" s="1232">
        <f t="shared" si="216"/>
        <v>0</v>
      </c>
      <c r="J483" s="1232">
        <f>J482-J479</f>
        <v>0</v>
      </c>
      <c r="K483" s="1232">
        <f t="shared" si="216"/>
        <v>0</v>
      </c>
      <c r="L483" s="1232">
        <f t="shared" si="216"/>
        <v>0</v>
      </c>
      <c r="M483" s="1232">
        <f t="shared" si="216"/>
        <v>0</v>
      </c>
      <c r="N483" s="1232">
        <f t="shared" si="216"/>
        <v>0</v>
      </c>
      <c r="O483" s="1232">
        <f t="shared" si="216"/>
        <v>0</v>
      </c>
      <c r="P483" s="1232">
        <f t="shared" si="216"/>
        <v>0</v>
      </c>
      <c r="Q483" s="1232">
        <f t="shared" si="216"/>
        <v>0</v>
      </c>
      <c r="R483" s="1232">
        <f t="shared" si="216"/>
        <v>0</v>
      </c>
      <c r="S483" s="1232">
        <f t="shared" si="216"/>
        <v>0</v>
      </c>
      <c r="T483" s="1232">
        <f t="shared" si="216"/>
        <v>0</v>
      </c>
      <c r="U483" s="1233">
        <f t="shared" si="216"/>
        <v>0</v>
      </c>
      <c r="V483" s="1232">
        <f t="shared" si="216"/>
        <v>0</v>
      </c>
    </row>
    <row r="484" spans="1:26" ht="12.6" customHeight="1" x14ac:dyDescent="0.25">
      <c r="A484" s="694"/>
      <c r="E484" s="601"/>
      <c r="F484" s="601"/>
      <c r="G484" s="601"/>
      <c r="H484" s="601"/>
      <c r="I484" s="601"/>
      <c r="J484" s="601"/>
      <c r="K484" s="601"/>
      <c r="L484" s="601"/>
      <c r="M484" s="601"/>
      <c r="N484" s="601"/>
      <c r="O484" s="601"/>
      <c r="P484" s="601"/>
      <c r="Q484" s="601"/>
      <c r="R484" s="601"/>
      <c r="S484" s="601"/>
      <c r="T484" s="601"/>
      <c r="U484" s="630"/>
      <c r="V484" s="601"/>
      <c r="W484" s="532"/>
      <c r="X484" s="532"/>
      <c r="Y484" s="532"/>
      <c r="Z484" s="532"/>
    </row>
    <row r="485" spans="1:26" s="533" customFormat="1" ht="12.6" customHeight="1" x14ac:dyDescent="0.25">
      <c r="A485" s="692" t="s">
        <v>402</v>
      </c>
      <c r="B485" s="569" t="s">
        <v>308</v>
      </c>
      <c r="C485" s="569"/>
      <c r="D485" s="580"/>
      <c r="E485" s="602"/>
      <c r="F485" s="570"/>
      <c r="G485" s="570"/>
      <c r="H485" s="570"/>
      <c r="I485" s="570"/>
      <c r="J485" s="570"/>
      <c r="K485" s="570"/>
      <c r="L485" s="570"/>
      <c r="M485" s="570"/>
      <c r="N485" s="570"/>
      <c r="O485" s="570"/>
      <c r="P485" s="570"/>
      <c r="Q485" s="570"/>
      <c r="R485" s="570"/>
      <c r="S485" s="570"/>
      <c r="T485" s="570">
        <f t="shared" ref="T485:T493" si="217">SUM(E485:S485)</f>
        <v>0</v>
      </c>
      <c r="U485" s="628"/>
      <c r="V485" s="570">
        <f t="shared" ref="V485:V492" si="218">T485-U485</f>
        <v>0</v>
      </c>
    </row>
    <row r="486" spans="1:26" s="533" customFormat="1" ht="12.6" customHeight="1" x14ac:dyDescent="0.25">
      <c r="A486" s="689" t="s">
        <v>33</v>
      </c>
      <c r="B486" s="569" t="s">
        <v>266</v>
      </c>
      <c r="C486" s="569"/>
      <c r="D486" s="580"/>
      <c r="E486" s="602"/>
      <c r="F486" s="570">
        <f>'CABAC Non-Fid 2025'!G159</f>
        <v>0</v>
      </c>
      <c r="G486" s="570"/>
      <c r="H486" s="570"/>
      <c r="I486" s="570"/>
      <c r="J486" s="570"/>
      <c r="K486" s="570"/>
      <c r="L486" s="570"/>
      <c r="M486" s="570"/>
      <c r="N486" s="570"/>
      <c r="O486" s="570"/>
      <c r="P486" s="570"/>
      <c r="Q486" s="570"/>
      <c r="R486" s="570"/>
      <c r="S486" s="570"/>
      <c r="T486" s="570">
        <f t="shared" si="217"/>
        <v>0</v>
      </c>
      <c r="U486" s="628"/>
      <c r="V486" s="570">
        <f t="shared" si="218"/>
        <v>0</v>
      </c>
    </row>
    <row r="487" spans="1:26" s="533" customFormat="1" ht="12.6" customHeight="1" x14ac:dyDescent="0.25">
      <c r="A487" s="689"/>
      <c r="B487" s="569" t="s">
        <v>261</v>
      </c>
      <c r="C487" s="569"/>
      <c r="D487" s="580"/>
      <c r="E487" s="602"/>
      <c r="F487" s="570"/>
      <c r="G487" s="570"/>
      <c r="H487" s="570"/>
      <c r="I487" s="570"/>
      <c r="J487" s="570"/>
      <c r="K487" s="570"/>
      <c r="L487" s="570"/>
      <c r="M487" s="570"/>
      <c r="N487" s="570"/>
      <c r="O487" s="570"/>
      <c r="P487" s="570"/>
      <c r="Q487" s="570"/>
      <c r="R487" s="570"/>
      <c r="S487" s="570"/>
      <c r="T487" s="570">
        <f t="shared" si="217"/>
        <v>0</v>
      </c>
      <c r="U487" s="628"/>
      <c r="V487" s="570">
        <f t="shared" si="218"/>
        <v>0</v>
      </c>
    </row>
    <row r="488" spans="1:26" s="533" customFormat="1" x14ac:dyDescent="0.25">
      <c r="A488" s="692"/>
      <c r="B488" s="569" t="s">
        <v>262</v>
      </c>
      <c r="C488" s="569"/>
      <c r="D488" s="580"/>
      <c r="E488" s="602"/>
      <c r="F488" s="570">
        <f>'CABAC Non-Fid 2025'!G158</f>
        <v>0</v>
      </c>
      <c r="G488" s="570"/>
      <c r="H488" s="570"/>
      <c r="I488" s="570"/>
      <c r="J488" s="570"/>
      <c r="K488" s="570"/>
      <c r="L488" s="570"/>
      <c r="M488" s="570"/>
      <c r="N488" s="570"/>
      <c r="O488" s="570"/>
      <c r="P488" s="570"/>
      <c r="Q488" s="570"/>
      <c r="R488" s="570"/>
      <c r="S488" s="570"/>
      <c r="T488" s="570">
        <f t="shared" si="217"/>
        <v>0</v>
      </c>
      <c r="U488" s="628"/>
      <c r="V488" s="570">
        <f t="shared" si="218"/>
        <v>0</v>
      </c>
    </row>
    <row r="489" spans="1:26" ht="12.6" customHeight="1" x14ac:dyDescent="0.25">
      <c r="A489" s="691"/>
      <c r="B489" s="734" t="s">
        <v>145</v>
      </c>
      <c r="C489" s="569"/>
      <c r="D489" s="569"/>
      <c r="E489" s="570"/>
      <c r="F489" s="570">
        <f>'CABAC Fiduciary 2025'!F207</f>
        <v>0</v>
      </c>
      <c r="G489" s="570"/>
      <c r="H489" s="570"/>
      <c r="I489" s="570"/>
      <c r="J489" s="570"/>
      <c r="K489" s="570"/>
      <c r="L489" s="570"/>
      <c r="M489" s="570"/>
      <c r="N489" s="570"/>
      <c r="O489" s="570"/>
      <c r="P489" s="570"/>
      <c r="Q489" s="570"/>
      <c r="R489" s="570"/>
      <c r="S489" s="570"/>
      <c r="T489" s="570">
        <f t="shared" si="217"/>
        <v>0</v>
      </c>
      <c r="U489" s="574"/>
      <c r="V489" s="570">
        <f t="shared" si="218"/>
        <v>0</v>
      </c>
      <c r="W489" s="532"/>
      <c r="X489" s="532"/>
      <c r="Y489" s="532"/>
      <c r="Z489" s="532"/>
    </row>
    <row r="490" spans="1:26" s="533" customFormat="1" ht="12.6" customHeight="1" x14ac:dyDescent="0.25">
      <c r="A490" s="692"/>
      <c r="B490" s="569" t="s">
        <v>174</v>
      </c>
      <c r="C490" s="569"/>
      <c r="D490" s="580"/>
      <c r="E490" s="605"/>
      <c r="F490" s="570">
        <f>'CABAC Fiduciary 2025'!F209</f>
        <v>0</v>
      </c>
      <c r="G490" s="570"/>
      <c r="H490" s="570"/>
      <c r="I490" s="570"/>
      <c r="J490" s="570"/>
      <c r="K490" s="570"/>
      <c r="L490" s="570"/>
      <c r="M490" s="570"/>
      <c r="N490" s="570"/>
      <c r="O490" s="570"/>
      <c r="P490" s="570"/>
      <c r="Q490" s="570"/>
      <c r="R490" s="570"/>
      <c r="S490" s="570"/>
      <c r="T490" s="570">
        <f t="shared" si="217"/>
        <v>0</v>
      </c>
      <c r="U490" s="628"/>
      <c r="V490" s="570">
        <f t="shared" si="218"/>
        <v>0</v>
      </c>
    </row>
    <row r="491" spans="1:26" s="533" customFormat="1" ht="12.6" customHeight="1" x14ac:dyDescent="0.25">
      <c r="A491" s="692"/>
      <c r="B491" s="569" t="s">
        <v>173</v>
      </c>
      <c r="C491" s="569"/>
      <c r="D491" s="580"/>
      <c r="E491" s="602"/>
      <c r="F491" s="570">
        <f>'CABAC Fiduciary 2025'!F208</f>
        <v>0</v>
      </c>
      <c r="G491" s="570"/>
      <c r="H491" s="570"/>
      <c r="I491" s="570"/>
      <c r="J491" s="570"/>
      <c r="K491" s="570"/>
      <c r="L491" s="570"/>
      <c r="M491" s="570"/>
      <c r="N491" s="570"/>
      <c r="O491" s="570"/>
      <c r="P491" s="570"/>
      <c r="Q491" s="570"/>
      <c r="R491" s="570"/>
      <c r="S491" s="570"/>
      <c r="T491" s="570">
        <f t="shared" si="217"/>
        <v>0</v>
      </c>
      <c r="U491" s="628"/>
      <c r="V491" s="570">
        <f t="shared" si="218"/>
        <v>0</v>
      </c>
    </row>
    <row r="492" spans="1:26" s="533" customFormat="1" ht="12.6" customHeight="1" x14ac:dyDescent="0.25">
      <c r="A492" s="573"/>
      <c r="B492" s="569" t="s">
        <v>340</v>
      </c>
      <c r="C492" s="569"/>
      <c r="D492" s="580"/>
      <c r="E492" s="602"/>
      <c r="F492" s="613">
        <f>'CABAC Fiduciary 2025'!F206</f>
        <v>0</v>
      </c>
      <c r="G492" s="613"/>
      <c r="H492" s="613"/>
      <c r="I492" s="613"/>
      <c r="J492" s="613"/>
      <c r="K492" s="613"/>
      <c r="L492" s="613"/>
      <c r="M492" s="613"/>
      <c r="N492" s="613"/>
      <c r="O492" s="613"/>
      <c r="P492" s="613"/>
      <c r="Q492" s="613"/>
      <c r="R492" s="613"/>
      <c r="S492" s="613"/>
      <c r="T492" s="601">
        <f t="shared" si="217"/>
        <v>0</v>
      </c>
      <c r="U492" s="603"/>
      <c r="V492" s="570">
        <f t="shared" si="218"/>
        <v>0</v>
      </c>
    </row>
    <row r="493" spans="1:26" ht="15" customHeight="1" thickBot="1" x14ac:dyDescent="0.3">
      <c r="A493" s="577"/>
      <c r="B493" s="569" t="s">
        <v>144</v>
      </c>
      <c r="C493" s="569"/>
      <c r="D493" s="569"/>
      <c r="E493" s="605"/>
      <c r="F493" s="601">
        <f>'CABAC Fiduciary 2025'!F205</f>
        <v>0</v>
      </c>
      <c r="G493" s="601"/>
      <c r="H493" s="601"/>
      <c r="I493" s="601"/>
      <c r="J493" s="601"/>
      <c r="K493" s="601"/>
      <c r="L493" s="601"/>
      <c r="M493" s="601"/>
      <c r="N493" s="601"/>
      <c r="O493" s="601"/>
      <c r="P493" s="601"/>
      <c r="Q493" s="601"/>
      <c r="R493" s="601"/>
      <c r="S493" s="601"/>
      <c r="T493" s="570">
        <f t="shared" si="217"/>
        <v>0</v>
      </c>
      <c r="U493" s="629"/>
      <c r="V493" s="631">
        <f>T493-U493</f>
        <v>0</v>
      </c>
      <c r="W493" s="532"/>
      <c r="X493" s="532"/>
      <c r="Y493" s="532"/>
      <c r="Z493" s="532"/>
    </row>
    <row r="494" spans="1:26" s="533" customFormat="1" ht="12.6" customHeight="1" thickBot="1" x14ac:dyDescent="0.3">
      <c r="A494" s="573"/>
      <c r="B494" s="581" t="s">
        <v>346</v>
      </c>
      <c r="C494" s="569"/>
      <c r="D494" s="580"/>
      <c r="E494" s="582">
        <f>SUM(E485:E493)</f>
        <v>0</v>
      </c>
      <c r="F494" s="582">
        <f t="shared" ref="F494:G494" si="219">SUM(F485:F493)</f>
        <v>0</v>
      </c>
      <c r="G494" s="582">
        <f t="shared" si="219"/>
        <v>0</v>
      </c>
      <c r="H494" s="582">
        <f>SUM(H485:H493)</f>
        <v>0</v>
      </c>
      <c r="I494" s="582">
        <f t="shared" ref="I494:V494" si="220">SUM(I485:I493)</f>
        <v>0</v>
      </c>
      <c r="J494" s="582">
        <f>SUM(J485:J493)</f>
        <v>0</v>
      </c>
      <c r="K494" s="582">
        <f t="shared" si="220"/>
        <v>0</v>
      </c>
      <c r="L494" s="582">
        <f t="shared" si="220"/>
        <v>0</v>
      </c>
      <c r="M494" s="582">
        <f t="shared" si="220"/>
        <v>0</v>
      </c>
      <c r="N494" s="582">
        <f t="shared" si="220"/>
        <v>0</v>
      </c>
      <c r="O494" s="582">
        <f t="shared" si="220"/>
        <v>0</v>
      </c>
      <c r="P494" s="582">
        <f t="shared" si="220"/>
        <v>0</v>
      </c>
      <c r="Q494" s="582">
        <f t="shared" si="220"/>
        <v>0</v>
      </c>
      <c r="R494" s="582">
        <f t="shared" si="220"/>
        <v>0</v>
      </c>
      <c r="S494" s="582">
        <f t="shared" si="220"/>
        <v>0</v>
      </c>
      <c r="T494" s="582">
        <f t="shared" si="220"/>
        <v>0</v>
      </c>
      <c r="U494" s="582">
        <f t="shared" si="220"/>
        <v>0</v>
      </c>
      <c r="V494" s="582">
        <f t="shared" si="220"/>
        <v>0</v>
      </c>
    </row>
    <row r="495" spans="1:26" ht="12.6" customHeight="1" x14ac:dyDescent="0.25">
      <c r="A495" s="577"/>
      <c r="B495" s="581"/>
      <c r="C495" s="569"/>
      <c r="D495" s="583" t="s">
        <v>347</v>
      </c>
      <c r="E495" s="584">
        <f>SUM(E489:E493)</f>
        <v>0</v>
      </c>
      <c r="F495" s="584">
        <f t="shared" ref="F495:G495" si="221">SUM(F489:F493)</f>
        <v>0</v>
      </c>
      <c r="G495" s="584">
        <f t="shared" si="221"/>
        <v>0</v>
      </c>
      <c r="H495" s="584">
        <f>SUM(H489:H493)</f>
        <v>0</v>
      </c>
      <c r="I495" s="584">
        <f t="shared" ref="I495:V495" si="222">SUM(I489:I493)</f>
        <v>0</v>
      </c>
      <c r="J495" s="584">
        <f>SUM(J489:J493)</f>
        <v>0</v>
      </c>
      <c r="K495" s="584">
        <f t="shared" si="222"/>
        <v>0</v>
      </c>
      <c r="L495" s="584">
        <f t="shared" si="222"/>
        <v>0</v>
      </c>
      <c r="M495" s="584">
        <f t="shared" si="222"/>
        <v>0</v>
      </c>
      <c r="N495" s="584">
        <f t="shared" si="222"/>
        <v>0</v>
      </c>
      <c r="O495" s="584">
        <f t="shared" si="222"/>
        <v>0</v>
      </c>
      <c r="P495" s="584">
        <f t="shared" si="222"/>
        <v>0</v>
      </c>
      <c r="Q495" s="584">
        <f t="shared" si="222"/>
        <v>0</v>
      </c>
      <c r="R495" s="584">
        <f t="shared" si="222"/>
        <v>0</v>
      </c>
      <c r="S495" s="584">
        <f t="shared" si="222"/>
        <v>0</v>
      </c>
      <c r="T495" s="584">
        <f t="shared" si="222"/>
        <v>0</v>
      </c>
      <c r="U495" s="584">
        <f t="shared" si="222"/>
        <v>0</v>
      </c>
      <c r="V495" s="584">
        <f t="shared" si="222"/>
        <v>0</v>
      </c>
      <c r="W495" s="532"/>
      <c r="X495" s="532"/>
      <c r="Y495" s="532"/>
      <c r="Z495" s="532"/>
    </row>
    <row r="496" spans="1:26" ht="12.6" customHeight="1" x14ac:dyDescent="0.25">
      <c r="A496" s="577"/>
      <c r="B496" s="581"/>
      <c r="C496" s="569"/>
      <c r="D496" s="583" t="s">
        <v>348</v>
      </c>
      <c r="E496" s="584">
        <f>SUM(E485:E488)</f>
        <v>0</v>
      </c>
      <c r="F496" s="584">
        <f t="shared" ref="F496:G496" si="223">SUM(F485:F488)</f>
        <v>0</v>
      </c>
      <c r="G496" s="584">
        <f t="shared" si="223"/>
        <v>0</v>
      </c>
      <c r="H496" s="584">
        <f>SUM(H485:H488)</f>
        <v>0</v>
      </c>
      <c r="I496" s="584">
        <f t="shared" ref="I496:V496" si="224">SUM(I485:I488)</f>
        <v>0</v>
      </c>
      <c r="J496" s="584">
        <f>SUM(J485:J488)</f>
        <v>0</v>
      </c>
      <c r="K496" s="584">
        <f t="shared" si="224"/>
        <v>0</v>
      </c>
      <c r="L496" s="584">
        <f t="shared" si="224"/>
        <v>0</v>
      </c>
      <c r="M496" s="584">
        <f t="shared" si="224"/>
        <v>0</v>
      </c>
      <c r="N496" s="584">
        <f t="shared" si="224"/>
        <v>0</v>
      </c>
      <c r="O496" s="584">
        <f t="shared" si="224"/>
        <v>0</v>
      </c>
      <c r="P496" s="584">
        <f t="shared" si="224"/>
        <v>0</v>
      </c>
      <c r="Q496" s="584">
        <f t="shared" si="224"/>
        <v>0</v>
      </c>
      <c r="R496" s="584">
        <f t="shared" si="224"/>
        <v>0</v>
      </c>
      <c r="S496" s="584">
        <f t="shared" si="224"/>
        <v>0</v>
      </c>
      <c r="T496" s="584">
        <f t="shared" si="224"/>
        <v>0</v>
      </c>
      <c r="U496" s="584">
        <f t="shared" si="224"/>
        <v>0</v>
      </c>
      <c r="V496" s="584">
        <f t="shared" si="224"/>
        <v>0</v>
      </c>
      <c r="W496" s="532"/>
      <c r="X496" s="532"/>
      <c r="Y496" s="532"/>
      <c r="Z496" s="532"/>
    </row>
    <row r="497" spans="1:26" ht="12.6" customHeight="1" x14ac:dyDescent="0.25">
      <c r="A497" s="577"/>
      <c r="B497" s="581"/>
      <c r="C497" s="569"/>
      <c r="D497" s="580"/>
      <c r="E497" s="584">
        <f>SUM(E495:E496)</f>
        <v>0</v>
      </c>
      <c r="F497" s="584">
        <f t="shared" ref="F497:V497" si="225">SUM(F495:F496)</f>
        <v>0</v>
      </c>
      <c r="G497" s="584">
        <f t="shared" si="225"/>
        <v>0</v>
      </c>
      <c r="H497" s="584">
        <f>SUM(H495:H496)</f>
        <v>0</v>
      </c>
      <c r="I497" s="584">
        <f t="shared" si="225"/>
        <v>0</v>
      </c>
      <c r="J497" s="584">
        <f>SUM(J495:J496)</f>
        <v>0</v>
      </c>
      <c r="K497" s="584">
        <f t="shared" si="225"/>
        <v>0</v>
      </c>
      <c r="L497" s="584">
        <f t="shared" si="225"/>
        <v>0</v>
      </c>
      <c r="M497" s="584">
        <f t="shared" si="225"/>
        <v>0</v>
      </c>
      <c r="N497" s="584">
        <f t="shared" si="225"/>
        <v>0</v>
      </c>
      <c r="O497" s="584">
        <f t="shared" si="225"/>
        <v>0</v>
      </c>
      <c r="P497" s="584">
        <f t="shared" si="225"/>
        <v>0</v>
      </c>
      <c r="Q497" s="584">
        <f t="shared" si="225"/>
        <v>0</v>
      </c>
      <c r="R497" s="584">
        <f t="shared" si="225"/>
        <v>0</v>
      </c>
      <c r="S497" s="584">
        <f t="shared" si="225"/>
        <v>0</v>
      </c>
      <c r="T497" s="584">
        <f t="shared" si="225"/>
        <v>0</v>
      </c>
      <c r="U497" s="584">
        <f t="shared" si="225"/>
        <v>0</v>
      </c>
      <c r="V497" s="584">
        <f t="shared" si="225"/>
        <v>0</v>
      </c>
      <c r="W497" s="532"/>
      <c r="X497" s="532"/>
      <c r="Y497" s="532"/>
      <c r="Z497" s="532"/>
    </row>
    <row r="498" spans="1:26" ht="12.6" customHeight="1" x14ac:dyDescent="0.25">
      <c r="A498" s="577"/>
      <c r="B498" s="569"/>
      <c r="C498" s="569"/>
      <c r="D498" s="569"/>
      <c r="E498" s="1234">
        <f>E497-E494</f>
        <v>0</v>
      </c>
      <c r="F498" s="1234">
        <f t="shared" ref="F498:V498" si="226">F497-F494</f>
        <v>0</v>
      </c>
      <c r="G498" s="1234">
        <f t="shared" si="226"/>
        <v>0</v>
      </c>
      <c r="H498" s="1234">
        <f>H497-H494</f>
        <v>0</v>
      </c>
      <c r="I498" s="1234">
        <f t="shared" si="226"/>
        <v>0</v>
      </c>
      <c r="J498" s="1234">
        <f>J497-J494</f>
        <v>0</v>
      </c>
      <c r="K498" s="1234">
        <f t="shared" si="226"/>
        <v>0</v>
      </c>
      <c r="L498" s="1234">
        <f t="shared" si="226"/>
        <v>0</v>
      </c>
      <c r="M498" s="1234">
        <f t="shared" si="226"/>
        <v>0</v>
      </c>
      <c r="N498" s="1234">
        <f t="shared" si="226"/>
        <v>0</v>
      </c>
      <c r="O498" s="1234">
        <f t="shared" si="226"/>
        <v>0</v>
      </c>
      <c r="P498" s="1234">
        <f t="shared" si="226"/>
        <v>0</v>
      </c>
      <c r="Q498" s="1234">
        <f t="shared" si="226"/>
        <v>0</v>
      </c>
      <c r="R498" s="1234">
        <f t="shared" si="226"/>
        <v>0</v>
      </c>
      <c r="S498" s="1234">
        <f t="shared" si="226"/>
        <v>0</v>
      </c>
      <c r="T498" s="1234">
        <f t="shared" si="226"/>
        <v>0</v>
      </c>
      <c r="U498" s="1234">
        <f t="shared" si="226"/>
        <v>0</v>
      </c>
      <c r="V498" s="1234">
        <f t="shared" si="226"/>
        <v>0</v>
      </c>
    </row>
    <row r="499" spans="1:26" s="533" customFormat="1" ht="12.6" customHeight="1" x14ac:dyDescent="0.25">
      <c r="A499" s="573"/>
      <c r="B499" s="569"/>
      <c r="C499" s="569"/>
      <c r="D499" s="580"/>
      <c r="E499" s="613"/>
      <c r="F499" s="613"/>
      <c r="G499" s="613"/>
      <c r="H499" s="613"/>
      <c r="I499" s="613"/>
      <c r="J499" s="613"/>
      <c r="K499" s="613"/>
      <c r="L499" s="613"/>
      <c r="M499" s="613"/>
      <c r="N499" s="613"/>
      <c r="O499" s="613"/>
      <c r="P499" s="613"/>
      <c r="Q499" s="613"/>
      <c r="R499" s="613"/>
      <c r="S499" s="613"/>
      <c r="T499" s="613"/>
      <c r="U499" s="619"/>
      <c r="V499" s="614"/>
    </row>
    <row r="500" spans="1:26" s="533" customFormat="1" ht="12.6" customHeight="1" x14ac:dyDescent="0.25">
      <c r="A500" s="573" t="s">
        <v>403</v>
      </c>
      <c r="B500" s="569" t="s">
        <v>394</v>
      </c>
      <c r="C500" s="569"/>
      <c r="D500" s="580"/>
      <c r="E500" s="602">
        <v>259857</v>
      </c>
      <c r="F500" s="613">
        <f>'CABAC Non-Fid 2025'!G163</f>
        <v>150000</v>
      </c>
      <c r="G500" s="613"/>
      <c r="H500" s="613"/>
      <c r="I500" s="613"/>
      <c r="J500" s="601"/>
      <c r="K500" s="613"/>
      <c r="L500" s="601"/>
      <c r="M500" s="601"/>
      <c r="N500" s="601"/>
      <c r="O500" s="601"/>
      <c r="P500" s="601"/>
      <c r="Q500" s="601"/>
      <c r="R500" s="601"/>
      <c r="S500" s="601"/>
      <c r="T500" s="601">
        <f>SUM(E500:S500)</f>
        <v>409857</v>
      </c>
      <c r="U500" s="606"/>
      <c r="V500" s="615">
        <f>T500-U500</f>
        <v>409857</v>
      </c>
    </row>
    <row r="501" spans="1:26" s="533" customFormat="1" ht="12.6" customHeight="1" x14ac:dyDescent="0.25">
      <c r="A501" s="604" t="s">
        <v>36</v>
      </c>
      <c r="B501" s="569" t="s">
        <v>266</v>
      </c>
      <c r="C501" s="569"/>
      <c r="D501" s="580"/>
      <c r="E501" s="605"/>
      <c r="F501" s="613">
        <f>'CABAC Non-Fid 2025'!G164</f>
        <v>0</v>
      </c>
      <c r="G501" s="613"/>
      <c r="H501" s="613"/>
      <c r="I501" s="613"/>
      <c r="J501" s="601"/>
      <c r="K501" s="1242"/>
      <c r="L501" s="570"/>
      <c r="M501" s="570"/>
      <c r="N501" s="570"/>
      <c r="O501" s="570"/>
      <c r="P501" s="570"/>
      <c r="Q501" s="570"/>
      <c r="R501" s="570"/>
      <c r="S501" s="570"/>
      <c r="T501" s="570"/>
      <c r="U501" s="603"/>
      <c r="V501" s="599"/>
    </row>
    <row r="502" spans="1:26" s="533" customFormat="1" ht="12.6" customHeight="1" thickBot="1" x14ac:dyDescent="0.3">
      <c r="A502" s="604"/>
      <c r="B502" s="569" t="s">
        <v>263</v>
      </c>
      <c r="C502" s="569"/>
      <c r="D502" s="580"/>
      <c r="E502" s="1280">
        <v>259857</v>
      </c>
      <c r="F502" s="613">
        <f>'CABAC Fiduciary 2025'!F219</f>
        <v>0</v>
      </c>
      <c r="G502" s="613"/>
      <c r="H502" s="613"/>
      <c r="I502" s="613"/>
      <c r="J502" s="601"/>
      <c r="K502" s="613"/>
      <c r="L502" s="601"/>
      <c r="M502" s="601"/>
      <c r="N502" s="601"/>
      <c r="O502" s="601"/>
      <c r="P502" s="601"/>
      <c r="Q502" s="601"/>
      <c r="R502" s="601"/>
      <c r="S502" s="601"/>
      <c r="T502" s="601">
        <f>SUM(E502:S502)</f>
        <v>259857</v>
      </c>
      <c r="U502" s="606"/>
      <c r="V502" s="615">
        <f>T502-U502</f>
        <v>259857</v>
      </c>
    </row>
    <row r="503" spans="1:26" s="533" customFormat="1" ht="12.6" customHeight="1" thickBot="1" x14ac:dyDescent="0.3">
      <c r="A503" s="573"/>
      <c r="B503" s="581" t="s">
        <v>346</v>
      </c>
      <c r="C503" s="569"/>
      <c r="D503" s="580"/>
      <c r="E503" s="582">
        <f>SUM(E500:E502)</f>
        <v>519714</v>
      </c>
      <c r="F503" s="582">
        <f>SUM(F500:F502)</f>
        <v>150000</v>
      </c>
      <c r="G503" s="582">
        <f>SUM(G500:G502)</f>
        <v>0</v>
      </c>
      <c r="H503" s="582">
        <f>SUM(H500:H502)</f>
        <v>0</v>
      </c>
      <c r="I503" s="582">
        <f t="shared" ref="I503:V503" si="227">SUM(I500:I502)</f>
        <v>0</v>
      </c>
      <c r="J503" s="582">
        <f>SUM(J500:J502)</f>
        <v>0</v>
      </c>
      <c r="K503" s="582">
        <f t="shared" si="227"/>
        <v>0</v>
      </c>
      <c r="L503" s="582">
        <f t="shared" si="227"/>
        <v>0</v>
      </c>
      <c r="M503" s="582">
        <f t="shared" si="227"/>
        <v>0</v>
      </c>
      <c r="N503" s="582">
        <f t="shared" si="227"/>
        <v>0</v>
      </c>
      <c r="O503" s="582">
        <f t="shared" si="227"/>
        <v>0</v>
      </c>
      <c r="P503" s="582">
        <f t="shared" si="227"/>
        <v>0</v>
      </c>
      <c r="Q503" s="582">
        <f t="shared" si="227"/>
        <v>0</v>
      </c>
      <c r="R503" s="582">
        <f t="shared" si="227"/>
        <v>0</v>
      </c>
      <c r="S503" s="582">
        <f t="shared" si="227"/>
        <v>0</v>
      </c>
      <c r="T503" s="582">
        <f t="shared" si="227"/>
        <v>669714</v>
      </c>
      <c r="U503" s="582">
        <f t="shared" si="227"/>
        <v>0</v>
      </c>
      <c r="V503" s="582">
        <f t="shared" si="227"/>
        <v>669714</v>
      </c>
    </row>
    <row r="504" spans="1:26" ht="12.6" customHeight="1" x14ac:dyDescent="0.25">
      <c r="A504" s="577"/>
      <c r="B504" s="581"/>
      <c r="C504" s="569"/>
      <c r="D504" s="583" t="s">
        <v>347</v>
      </c>
      <c r="E504" s="730"/>
      <c r="F504" s="730"/>
      <c r="G504" s="584"/>
      <c r="H504" s="584"/>
      <c r="I504" s="584"/>
      <c r="J504" s="584"/>
      <c r="K504" s="584"/>
      <c r="L504" s="584"/>
      <c r="M504" s="584"/>
      <c r="N504" s="584"/>
      <c r="O504" s="584"/>
      <c r="P504" s="584"/>
      <c r="Q504" s="584"/>
      <c r="R504" s="584"/>
      <c r="S504" s="584"/>
      <c r="T504" s="584"/>
      <c r="U504" s="584"/>
      <c r="V504" s="584"/>
      <c r="W504" s="532"/>
      <c r="X504" s="532"/>
      <c r="Y504" s="532"/>
      <c r="Z504" s="532"/>
    </row>
    <row r="505" spans="1:26" ht="12.6" customHeight="1" x14ac:dyDescent="0.25">
      <c r="A505" s="577"/>
      <c r="B505" s="581"/>
      <c r="C505" s="569"/>
      <c r="D505" s="583" t="s">
        <v>348</v>
      </c>
      <c r="E505" s="730">
        <f>SUM(E500:E502)</f>
        <v>519714</v>
      </c>
      <c r="F505" s="730">
        <f t="shared" ref="F505:G505" si="228">SUM(F500:F502)</f>
        <v>150000</v>
      </c>
      <c r="G505" s="584">
        <f t="shared" si="228"/>
        <v>0</v>
      </c>
      <c r="H505" s="584">
        <f>SUM(H500:H502)</f>
        <v>0</v>
      </c>
      <c r="I505" s="584">
        <f t="shared" ref="I505:V505" si="229">SUM(I500:I502)</f>
        <v>0</v>
      </c>
      <c r="J505" s="584">
        <f>SUM(J500:J502)</f>
        <v>0</v>
      </c>
      <c r="K505" s="584">
        <f t="shared" si="229"/>
        <v>0</v>
      </c>
      <c r="L505" s="584">
        <f t="shared" si="229"/>
        <v>0</v>
      </c>
      <c r="M505" s="584">
        <f t="shared" si="229"/>
        <v>0</v>
      </c>
      <c r="N505" s="584">
        <f t="shared" si="229"/>
        <v>0</v>
      </c>
      <c r="O505" s="584">
        <f t="shared" si="229"/>
        <v>0</v>
      </c>
      <c r="P505" s="584">
        <f t="shared" si="229"/>
        <v>0</v>
      </c>
      <c r="Q505" s="584">
        <f t="shared" si="229"/>
        <v>0</v>
      </c>
      <c r="R505" s="584">
        <f t="shared" si="229"/>
        <v>0</v>
      </c>
      <c r="S505" s="584">
        <f t="shared" si="229"/>
        <v>0</v>
      </c>
      <c r="T505" s="584">
        <f t="shared" si="229"/>
        <v>669714</v>
      </c>
      <c r="U505" s="584">
        <f t="shared" si="229"/>
        <v>0</v>
      </c>
      <c r="V505" s="584">
        <f t="shared" si="229"/>
        <v>669714</v>
      </c>
      <c r="W505" s="532"/>
      <c r="X505" s="532"/>
      <c r="Y505" s="532"/>
      <c r="Z505" s="532"/>
    </row>
    <row r="506" spans="1:26" ht="12.6" customHeight="1" x14ac:dyDescent="0.25">
      <c r="A506" s="577"/>
      <c r="B506" s="581"/>
      <c r="C506" s="569"/>
      <c r="D506" s="580"/>
      <c r="E506" s="730">
        <f>SUM(E504:E505)</f>
        <v>519714</v>
      </c>
      <c r="F506" s="730">
        <f t="shared" ref="F506:V506" si="230">SUM(F504:F505)</f>
        <v>150000</v>
      </c>
      <c r="G506" s="584">
        <f t="shared" si="230"/>
        <v>0</v>
      </c>
      <c r="H506" s="584">
        <f>SUM(H504:H505)</f>
        <v>0</v>
      </c>
      <c r="I506" s="584">
        <f t="shared" si="230"/>
        <v>0</v>
      </c>
      <c r="J506" s="584">
        <f>SUM(J504:J505)</f>
        <v>0</v>
      </c>
      <c r="K506" s="584">
        <f t="shared" si="230"/>
        <v>0</v>
      </c>
      <c r="L506" s="584">
        <f t="shared" si="230"/>
        <v>0</v>
      </c>
      <c r="M506" s="584">
        <f t="shared" si="230"/>
        <v>0</v>
      </c>
      <c r="N506" s="584">
        <f t="shared" si="230"/>
        <v>0</v>
      </c>
      <c r="O506" s="584">
        <f t="shared" si="230"/>
        <v>0</v>
      </c>
      <c r="P506" s="584">
        <f t="shared" si="230"/>
        <v>0</v>
      </c>
      <c r="Q506" s="584">
        <f t="shared" si="230"/>
        <v>0</v>
      </c>
      <c r="R506" s="584">
        <f t="shared" si="230"/>
        <v>0</v>
      </c>
      <c r="S506" s="584">
        <f t="shared" si="230"/>
        <v>0</v>
      </c>
      <c r="T506" s="584">
        <f t="shared" si="230"/>
        <v>669714</v>
      </c>
      <c r="U506" s="584">
        <f t="shared" si="230"/>
        <v>0</v>
      </c>
      <c r="V506" s="584">
        <f t="shared" si="230"/>
        <v>669714</v>
      </c>
      <c r="W506" s="532"/>
      <c r="X506" s="532"/>
      <c r="Y506" s="532"/>
      <c r="Z506" s="532"/>
    </row>
    <row r="507" spans="1:26" ht="12.6" customHeight="1" x14ac:dyDescent="0.25">
      <c r="A507" s="577"/>
      <c r="B507" s="569"/>
      <c r="C507" s="569"/>
      <c r="D507" s="580"/>
      <c r="E507" s="586">
        <f>E506-E503</f>
        <v>0</v>
      </c>
      <c r="F507" s="586">
        <f t="shared" ref="F507:V507" si="231">F506-F503</f>
        <v>0</v>
      </c>
      <c r="G507" s="586">
        <f t="shared" si="231"/>
        <v>0</v>
      </c>
      <c r="H507" s="586">
        <f>H506-H503</f>
        <v>0</v>
      </c>
      <c r="I507" s="586">
        <f t="shared" si="231"/>
        <v>0</v>
      </c>
      <c r="J507" s="586">
        <f>J506-J503</f>
        <v>0</v>
      </c>
      <c r="K507" s="586">
        <f t="shared" si="231"/>
        <v>0</v>
      </c>
      <c r="L507" s="586">
        <f t="shared" si="231"/>
        <v>0</v>
      </c>
      <c r="M507" s="586">
        <f t="shared" si="231"/>
        <v>0</v>
      </c>
      <c r="N507" s="586">
        <f t="shared" si="231"/>
        <v>0</v>
      </c>
      <c r="O507" s="586">
        <f t="shared" si="231"/>
        <v>0</v>
      </c>
      <c r="P507" s="586">
        <f t="shared" si="231"/>
        <v>0</v>
      </c>
      <c r="Q507" s="586">
        <f t="shared" si="231"/>
        <v>0</v>
      </c>
      <c r="R507" s="586">
        <f t="shared" si="231"/>
        <v>0</v>
      </c>
      <c r="S507" s="586">
        <f t="shared" si="231"/>
        <v>0</v>
      </c>
      <c r="T507" s="586">
        <f t="shared" si="231"/>
        <v>0</v>
      </c>
      <c r="U507" s="586">
        <f t="shared" si="231"/>
        <v>0</v>
      </c>
      <c r="V507" s="586">
        <f t="shared" si="231"/>
        <v>0</v>
      </c>
    </row>
    <row r="508" spans="1:26" s="533" customFormat="1" ht="12.6" customHeight="1" x14ac:dyDescent="0.25">
      <c r="A508" s="573"/>
      <c r="B508" s="569"/>
      <c r="C508" s="569"/>
      <c r="D508" s="580"/>
      <c r="E508" s="599"/>
      <c r="F508" s="570"/>
      <c r="G508" s="570"/>
      <c r="H508" s="570"/>
      <c r="I508" s="570"/>
      <c r="J508" s="570"/>
      <c r="K508" s="570"/>
      <c r="L508" s="570"/>
      <c r="M508" s="570"/>
      <c r="N508" s="570"/>
      <c r="O508" s="570"/>
      <c r="P508" s="570"/>
      <c r="Q508" s="570"/>
      <c r="R508" s="570"/>
      <c r="S508" s="570"/>
      <c r="T508" s="570"/>
      <c r="U508" s="603"/>
      <c r="V508" s="599"/>
    </row>
    <row r="509" spans="1:26" s="533" customFormat="1" ht="12.6" customHeight="1" x14ac:dyDescent="0.25">
      <c r="A509" s="573" t="s">
        <v>404</v>
      </c>
      <c r="B509" s="569" t="s">
        <v>308</v>
      </c>
      <c r="C509" s="569"/>
      <c r="D509" s="580"/>
      <c r="E509" s="602"/>
      <c r="F509" s="570"/>
      <c r="G509" s="570"/>
      <c r="H509" s="570"/>
      <c r="I509" s="570"/>
      <c r="J509" s="570"/>
      <c r="K509" s="570"/>
      <c r="L509" s="570"/>
      <c r="M509" s="570"/>
      <c r="N509" s="570"/>
      <c r="O509" s="570"/>
      <c r="P509" s="570"/>
      <c r="Q509" s="570"/>
      <c r="R509" s="570"/>
      <c r="S509" s="570"/>
      <c r="T509" s="570">
        <f>SUM(E509:S509)</f>
        <v>0</v>
      </c>
      <c r="U509" s="603"/>
      <c r="V509" s="599">
        <f t="shared" ref="V509:V510" si="232">T509-U509</f>
        <v>0</v>
      </c>
    </row>
    <row r="510" spans="1:26" s="533" customFormat="1" ht="12.6" customHeight="1" thickBot="1" x14ac:dyDescent="0.3">
      <c r="A510" s="604" t="s">
        <v>35</v>
      </c>
      <c r="B510" s="569" t="s">
        <v>358</v>
      </c>
      <c r="C510" s="569"/>
      <c r="D510" s="580"/>
      <c r="E510" s="605"/>
      <c r="F510" s="601"/>
      <c r="G510" s="601"/>
      <c r="H510" s="601"/>
      <c r="I510" s="601"/>
      <c r="J510" s="601"/>
      <c r="K510" s="601"/>
      <c r="L510" s="601"/>
      <c r="M510" s="601"/>
      <c r="N510" s="601"/>
      <c r="O510" s="601"/>
      <c r="P510" s="601"/>
      <c r="Q510" s="601"/>
      <c r="R510" s="601"/>
      <c r="S510" s="601"/>
      <c r="T510" s="601">
        <f>SUM(E510:S510)</f>
        <v>0</v>
      </c>
      <c r="U510" s="606"/>
      <c r="V510" s="599">
        <f t="shared" si="232"/>
        <v>0</v>
      </c>
    </row>
    <row r="511" spans="1:26" s="533" customFormat="1" ht="12.6" customHeight="1" thickBot="1" x14ac:dyDescent="0.3">
      <c r="A511" s="573"/>
      <c r="B511" s="581" t="s">
        <v>346</v>
      </c>
      <c r="C511" s="569"/>
      <c r="D511" s="580"/>
      <c r="E511" s="582">
        <f>SUM(E509:E510)</f>
        <v>0</v>
      </c>
      <c r="F511" s="582">
        <f t="shared" ref="F511:V511" si="233">SUM(F509:F510)</f>
        <v>0</v>
      </c>
      <c r="G511" s="582">
        <f t="shared" si="233"/>
        <v>0</v>
      </c>
      <c r="H511" s="582">
        <f>SUM(H509:H510)</f>
        <v>0</v>
      </c>
      <c r="I511" s="582">
        <f t="shared" si="233"/>
        <v>0</v>
      </c>
      <c r="J511" s="582">
        <f>SUM(J509:J510)</f>
        <v>0</v>
      </c>
      <c r="K511" s="582">
        <f t="shared" si="233"/>
        <v>0</v>
      </c>
      <c r="L511" s="582">
        <f t="shared" si="233"/>
        <v>0</v>
      </c>
      <c r="M511" s="582">
        <f t="shared" si="233"/>
        <v>0</v>
      </c>
      <c r="N511" s="582">
        <f t="shared" si="233"/>
        <v>0</v>
      </c>
      <c r="O511" s="582">
        <f t="shared" si="233"/>
        <v>0</v>
      </c>
      <c r="P511" s="582">
        <f t="shared" si="233"/>
        <v>0</v>
      </c>
      <c r="Q511" s="582">
        <f t="shared" si="233"/>
        <v>0</v>
      </c>
      <c r="R511" s="582">
        <f t="shared" si="233"/>
        <v>0</v>
      </c>
      <c r="S511" s="582">
        <f t="shared" si="233"/>
        <v>0</v>
      </c>
      <c r="T511" s="582">
        <f t="shared" si="233"/>
        <v>0</v>
      </c>
      <c r="U511" s="582">
        <f t="shared" si="233"/>
        <v>0</v>
      </c>
      <c r="V511" s="616">
        <f t="shared" si="233"/>
        <v>0</v>
      </c>
    </row>
    <row r="512" spans="1:26" ht="12.6" customHeight="1" x14ac:dyDescent="0.25">
      <c r="A512" s="577"/>
      <c r="B512" s="581"/>
      <c r="C512" s="569"/>
      <c r="D512" s="583" t="s">
        <v>347</v>
      </c>
      <c r="E512" s="584">
        <f>E510</f>
        <v>0</v>
      </c>
      <c r="F512" s="584">
        <f t="shared" ref="F512:V512" si="234">F510</f>
        <v>0</v>
      </c>
      <c r="G512" s="584">
        <f t="shared" si="234"/>
        <v>0</v>
      </c>
      <c r="H512" s="584">
        <f>H510</f>
        <v>0</v>
      </c>
      <c r="I512" s="584">
        <f t="shared" si="234"/>
        <v>0</v>
      </c>
      <c r="J512" s="584">
        <f>J510</f>
        <v>0</v>
      </c>
      <c r="K512" s="584">
        <f t="shared" si="234"/>
        <v>0</v>
      </c>
      <c r="L512" s="584">
        <f t="shared" si="234"/>
        <v>0</v>
      </c>
      <c r="M512" s="584">
        <f t="shared" si="234"/>
        <v>0</v>
      </c>
      <c r="N512" s="584">
        <f t="shared" si="234"/>
        <v>0</v>
      </c>
      <c r="O512" s="584">
        <f t="shared" si="234"/>
        <v>0</v>
      </c>
      <c r="P512" s="584">
        <f t="shared" si="234"/>
        <v>0</v>
      </c>
      <c r="Q512" s="584">
        <f t="shared" si="234"/>
        <v>0</v>
      </c>
      <c r="R512" s="584">
        <f t="shared" si="234"/>
        <v>0</v>
      </c>
      <c r="S512" s="584">
        <f t="shared" si="234"/>
        <v>0</v>
      </c>
      <c r="T512" s="584">
        <f t="shared" si="234"/>
        <v>0</v>
      </c>
      <c r="U512" s="584">
        <f t="shared" si="234"/>
        <v>0</v>
      </c>
      <c r="V512" s="584">
        <f t="shared" si="234"/>
        <v>0</v>
      </c>
      <c r="W512" s="532"/>
      <c r="X512" s="532"/>
      <c r="Y512" s="532"/>
      <c r="Z512" s="532"/>
    </row>
    <row r="513" spans="1:26" ht="12.6" customHeight="1" x14ac:dyDescent="0.25">
      <c r="A513" s="577"/>
      <c r="B513" s="581"/>
      <c r="C513" s="569"/>
      <c r="D513" s="583" t="s">
        <v>348</v>
      </c>
      <c r="E513" s="584">
        <f>E509</f>
        <v>0</v>
      </c>
      <c r="F513" s="584">
        <f t="shared" ref="F513:V513" si="235">F509</f>
        <v>0</v>
      </c>
      <c r="G513" s="584">
        <f t="shared" si="235"/>
        <v>0</v>
      </c>
      <c r="H513" s="584">
        <f>H509</f>
        <v>0</v>
      </c>
      <c r="I513" s="584">
        <f t="shared" si="235"/>
        <v>0</v>
      </c>
      <c r="J513" s="584">
        <f>J509</f>
        <v>0</v>
      </c>
      <c r="K513" s="584">
        <f t="shared" si="235"/>
        <v>0</v>
      </c>
      <c r="L513" s="584">
        <f t="shared" si="235"/>
        <v>0</v>
      </c>
      <c r="M513" s="584">
        <f t="shared" si="235"/>
        <v>0</v>
      </c>
      <c r="N513" s="584">
        <f t="shared" si="235"/>
        <v>0</v>
      </c>
      <c r="O513" s="584">
        <f t="shared" si="235"/>
        <v>0</v>
      </c>
      <c r="P513" s="584">
        <f t="shared" si="235"/>
        <v>0</v>
      </c>
      <c r="Q513" s="584">
        <f t="shared" si="235"/>
        <v>0</v>
      </c>
      <c r="R513" s="584">
        <f t="shared" si="235"/>
        <v>0</v>
      </c>
      <c r="S513" s="584">
        <f t="shared" si="235"/>
        <v>0</v>
      </c>
      <c r="T513" s="584">
        <f t="shared" si="235"/>
        <v>0</v>
      </c>
      <c r="U513" s="584">
        <f t="shared" si="235"/>
        <v>0</v>
      </c>
      <c r="V513" s="584">
        <f t="shared" si="235"/>
        <v>0</v>
      </c>
      <c r="W513" s="532"/>
      <c r="X513" s="532"/>
      <c r="Y513" s="532"/>
      <c r="Z513" s="532"/>
    </row>
    <row r="514" spans="1:26" ht="12.6" customHeight="1" x14ac:dyDescent="0.25">
      <c r="A514" s="577"/>
      <c r="B514" s="581"/>
      <c r="C514" s="569"/>
      <c r="D514" s="580"/>
      <c r="E514" s="584">
        <f>SUM(E512:E513)</f>
        <v>0</v>
      </c>
      <c r="F514" s="584">
        <f t="shared" ref="F514:V514" si="236">SUM(F512:F513)</f>
        <v>0</v>
      </c>
      <c r="G514" s="584">
        <f t="shared" si="236"/>
        <v>0</v>
      </c>
      <c r="H514" s="584">
        <f>SUM(H512:H513)</f>
        <v>0</v>
      </c>
      <c r="I514" s="584">
        <f t="shared" si="236"/>
        <v>0</v>
      </c>
      <c r="J514" s="584">
        <f>SUM(J512:J513)</f>
        <v>0</v>
      </c>
      <c r="K514" s="584">
        <f t="shared" si="236"/>
        <v>0</v>
      </c>
      <c r="L514" s="584">
        <f t="shared" si="236"/>
        <v>0</v>
      </c>
      <c r="M514" s="584">
        <f t="shared" si="236"/>
        <v>0</v>
      </c>
      <c r="N514" s="584">
        <f t="shared" si="236"/>
        <v>0</v>
      </c>
      <c r="O514" s="584">
        <f t="shared" si="236"/>
        <v>0</v>
      </c>
      <c r="P514" s="584">
        <f t="shared" si="236"/>
        <v>0</v>
      </c>
      <c r="Q514" s="584">
        <f t="shared" si="236"/>
        <v>0</v>
      </c>
      <c r="R514" s="584">
        <f t="shared" si="236"/>
        <v>0</v>
      </c>
      <c r="S514" s="584">
        <f t="shared" si="236"/>
        <v>0</v>
      </c>
      <c r="T514" s="584">
        <f t="shared" si="236"/>
        <v>0</v>
      </c>
      <c r="U514" s="584">
        <f t="shared" si="236"/>
        <v>0</v>
      </c>
      <c r="V514" s="584">
        <f t="shared" si="236"/>
        <v>0</v>
      </c>
      <c r="W514" s="532"/>
      <c r="X514" s="532"/>
      <c r="Y514" s="532"/>
      <c r="Z514" s="532"/>
    </row>
    <row r="515" spans="1:26" ht="12.6" customHeight="1" x14ac:dyDescent="0.25">
      <c r="A515" s="577"/>
      <c r="B515" s="569"/>
      <c r="C515" s="569"/>
      <c r="D515" s="580"/>
      <c r="E515" s="586">
        <f>E514-E511</f>
        <v>0</v>
      </c>
      <c r="F515" s="586">
        <f t="shared" ref="F515:V515" si="237">F514-F511</f>
        <v>0</v>
      </c>
      <c r="G515" s="586">
        <f t="shared" si="237"/>
        <v>0</v>
      </c>
      <c r="H515" s="586">
        <f>H514-H511</f>
        <v>0</v>
      </c>
      <c r="I515" s="586">
        <f t="shared" si="237"/>
        <v>0</v>
      </c>
      <c r="J515" s="586">
        <f>J514-J511</f>
        <v>0</v>
      </c>
      <c r="K515" s="586">
        <f t="shared" si="237"/>
        <v>0</v>
      </c>
      <c r="L515" s="586">
        <f t="shared" si="237"/>
        <v>0</v>
      </c>
      <c r="M515" s="586">
        <f t="shared" si="237"/>
        <v>0</v>
      </c>
      <c r="N515" s="586">
        <f t="shared" si="237"/>
        <v>0</v>
      </c>
      <c r="O515" s="586">
        <f t="shared" si="237"/>
        <v>0</v>
      </c>
      <c r="P515" s="586">
        <f t="shared" si="237"/>
        <v>0</v>
      </c>
      <c r="Q515" s="586">
        <f t="shared" si="237"/>
        <v>0</v>
      </c>
      <c r="R515" s="586">
        <f t="shared" si="237"/>
        <v>0</v>
      </c>
      <c r="S515" s="586">
        <f t="shared" si="237"/>
        <v>0</v>
      </c>
      <c r="T515" s="586">
        <f t="shared" si="237"/>
        <v>0</v>
      </c>
      <c r="U515" s="586">
        <f t="shared" si="237"/>
        <v>0</v>
      </c>
      <c r="V515" s="586">
        <f t="shared" si="237"/>
        <v>0</v>
      </c>
    </row>
    <row r="516" spans="1:26" s="533" customFormat="1" ht="12.6" customHeight="1" x14ac:dyDescent="0.25">
      <c r="A516" s="573"/>
      <c r="B516" s="569"/>
      <c r="C516" s="569"/>
      <c r="D516" s="569"/>
      <c r="E516" s="570"/>
      <c r="F516" s="570"/>
      <c r="G516" s="570"/>
      <c r="H516" s="570"/>
      <c r="I516" s="570"/>
      <c r="J516" s="570"/>
      <c r="K516" s="570"/>
      <c r="L516" s="570"/>
      <c r="M516" s="570"/>
      <c r="N516" s="570"/>
      <c r="O516" s="570"/>
      <c r="P516" s="570"/>
      <c r="Q516" s="570"/>
      <c r="R516" s="570"/>
      <c r="S516" s="570"/>
      <c r="T516" s="570"/>
      <c r="U516" s="603"/>
      <c r="V516" s="599"/>
    </row>
    <row r="517" spans="1:26" s="533" customFormat="1" ht="12.6" customHeight="1" x14ac:dyDescent="0.25">
      <c r="A517" s="573" t="s">
        <v>19</v>
      </c>
      <c r="B517" s="569" t="s">
        <v>263</v>
      </c>
      <c r="C517" s="569"/>
      <c r="D517" s="580"/>
      <c r="E517" s="602"/>
      <c r="F517" s="570">
        <f>'CABAC Non-Fid 2025'!G113</f>
        <v>0</v>
      </c>
      <c r="G517" s="570"/>
      <c r="H517" s="570"/>
      <c r="I517" s="570"/>
      <c r="J517" s="570"/>
      <c r="K517" s="570"/>
      <c r="L517" s="570"/>
      <c r="M517" s="570"/>
      <c r="N517" s="570"/>
      <c r="O517" s="570"/>
      <c r="P517" s="570"/>
      <c r="Q517" s="570"/>
      <c r="R517" s="570"/>
      <c r="S517" s="570"/>
      <c r="T517" s="570">
        <f>SUM(E517:S517)</f>
        <v>0</v>
      </c>
      <c r="U517" s="603"/>
      <c r="V517" s="599">
        <f t="shared" ref="V517:V518" si="238">T517-U517</f>
        <v>0</v>
      </c>
    </row>
    <row r="518" spans="1:26" s="533" customFormat="1" ht="12.6" customHeight="1" thickBot="1" x14ac:dyDescent="0.3">
      <c r="A518" s="604" t="s">
        <v>59</v>
      </c>
      <c r="B518" s="569" t="s">
        <v>405</v>
      </c>
      <c r="C518" s="569"/>
      <c r="D518" s="580"/>
      <c r="E518" s="605">
        <v>1476732</v>
      </c>
      <c r="F518" s="601">
        <f>'CABAC Fiduciary 2025'!F228</f>
        <v>426280</v>
      </c>
      <c r="G518" s="601"/>
      <c r="H518" s="601"/>
      <c r="I518" s="601"/>
      <c r="J518" s="601"/>
      <c r="K518" s="570"/>
      <c r="L518" s="570"/>
      <c r="M518" s="570"/>
      <c r="N518" s="570"/>
      <c r="O518" s="570"/>
      <c r="P518" s="570"/>
      <c r="Q518" s="570"/>
      <c r="R518" s="570"/>
      <c r="S518" s="570"/>
      <c r="T518" s="601">
        <f>SUM(E518:S518)</f>
        <v>1903012</v>
      </c>
      <c r="U518" s="603"/>
      <c r="V518" s="599">
        <f t="shared" si="238"/>
        <v>1903012</v>
      </c>
    </row>
    <row r="519" spans="1:26" s="533" customFormat="1" ht="12.6" customHeight="1" thickBot="1" x14ac:dyDescent="0.3">
      <c r="A519" s="573"/>
      <c r="B519" s="581" t="s">
        <v>346</v>
      </c>
      <c r="C519" s="569"/>
      <c r="D519" s="580"/>
      <c r="E519" s="582">
        <f t="shared" ref="E519:V519" si="239">SUM(E517:E518)</f>
        <v>1476732</v>
      </c>
      <c r="F519" s="582">
        <f t="shared" si="239"/>
        <v>426280</v>
      </c>
      <c r="G519" s="582">
        <f t="shared" si="239"/>
        <v>0</v>
      </c>
      <c r="H519" s="582">
        <f>SUM(H517:H518)</f>
        <v>0</v>
      </c>
      <c r="I519" s="582">
        <f t="shared" si="239"/>
        <v>0</v>
      </c>
      <c r="J519" s="582">
        <f>SUM(J517:J518)</f>
        <v>0</v>
      </c>
      <c r="K519" s="582">
        <f t="shared" si="239"/>
        <v>0</v>
      </c>
      <c r="L519" s="582">
        <f t="shared" si="239"/>
        <v>0</v>
      </c>
      <c r="M519" s="582">
        <f t="shared" si="239"/>
        <v>0</v>
      </c>
      <c r="N519" s="582">
        <f t="shared" si="239"/>
        <v>0</v>
      </c>
      <c r="O519" s="582">
        <f t="shared" si="239"/>
        <v>0</v>
      </c>
      <c r="P519" s="582">
        <f t="shared" si="239"/>
        <v>0</v>
      </c>
      <c r="Q519" s="582">
        <f t="shared" si="239"/>
        <v>0</v>
      </c>
      <c r="R519" s="582">
        <f t="shared" si="239"/>
        <v>0</v>
      </c>
      <c r="S519" s="582">
        <f t="shared" si="239"/>
        <v>0</v>
      </c>
      <c r="T519" s="582">
        <f t="shared" si="239"/>
        <v>1903012</v>
      </c>
      <c r="U519" s="582">
        <f t="shared" si="239"/>
        <v>0</v>
      </c>
      <c r="V519" s="616">
        <f t="shared" si="239"/>
        <v>1903012</v>
      </c>
    </row>
    <row r="520" spans="1:26" ht="12.6" customHeight="1" x14ac:dyDescent="0.25">
      <c r="A520" s="577"/>
      <c r="B520" s="581"/>
      <c r="C520" s="569"/>
      <c r="D520" s="583" t="s">
        <v>347</v>
      </c>
      <c r="E520" s="730">
        <f t="shared" ref="E520:V520" si="240">SUM(E518:E518)</f>
        <v>1476732</v>
      </c>
      <c r="F520" s="730">
        <f t="shared" si="240"/>
        <v>426280</v>
      </c>
      <c r="G520" s="584">
        <f t="shared" si="240"/>
        <v>0</v>
      </c>
      <c r="H520" s="584">
        <f>SUM(H518:H518)</f>
        <v>0</v>
      </c>
      <c r="I520" s="584">
        <f t="shared" si="240"/>
        <v>0</v>
      </c>
      <c r="J520" s="584">
        <f>SUM(J518:J518)</f>
        <v>0</v>
      </c>
      <c r="K520" s="584">
        <f t="shared" si="240"/>
        <v>0</v>
      </c>
      <c r="L520" s="584">
        <f t="shared" si="240"/>
        <v>0</v>
      </c>
      <c r="M520" s="584">
        <f t="shared" si="240"/>
        <v>0</v>
      </c>
      <c r="N520" s="584">
        <f t="shared" si="240"/>
        <v>0</v>
      </c>
      <c r="O520" s="584">
        <f t="shared" si="240"/>
        <v>0</v>
      </c>
      <c r="P520" s="584">
        <f t="shared" si="240"/>
        <v>0</v>
      </c>
      <c r="Q520" s="584">
        <f t="shared" si="240"/>
        <v>0</v>
      </c>
      <c r="R520" s="584">
        <f t="shared" si="240"/>
        <v>0</v>
      </c>
      <c r="S520" s="584">
        <f t="shared" si="240"/>
        <v>0</v>
      </c>
      <c r="T520" s="584">
        <f t="shared" si="240"/>
        <v>1903012</v>
      </c>
      <c r="U520" s="584">
        <f t="shared" si="240"/>
        <v>0</v>
      </c>
      <c r="V520" s="584">
        <f t="shared" si="240"/>
        <v>1903012</v>
      </c>
      <c r="W520" s="532"/>
      <c r="X520" s="532"/>
      <c r="Y520" s="532"/>
      <c r="Z520" s="532"/>
    </row>
    <row r="521" spans="1:26" ht="12.6" customHeight="1" x14ac:dyDescent="0.25">
      <c r="A521" s="577"/>
      <c r="B521" s="581"/>
      <c r="C521" s="569"/>
      <c r="D521" s="583" t="s">
        <v>348</v>
      </c>
      <c r="E521" s="730">
        <f t="shared" ref="E521:V521" si="241">E517</f>
        <v>0</v>
      </c>
      <c r="F521" s="730">
        <f t="shared" si="241"/>
        <v>0</v>
      </c>
      <c r="G521" s="584">
        <f t="shared" si="241"/>
        <v>0</v>
      </c>
      <c r="H521" s="584">
        <f>H517</f>
        <v>0</v>
      </c>
      <c r="I521" s="584">
        <f t="shared" si="241"/>
        <v>0</v>
      </c>
      <c r="J521" s="584">
        <f>J517</f>
        <v>0</v>
      </c>
      <c r="K521" s="584">
        <f t="shared" si="241"/>
        <v>0</v>
      </c>
      <c r="L521" s="584">
        <f t="shared" si="241"/>
        <v>0</v>
      </c>
      <c r="M521" s="584">
        <f t="shared" si="241"/>
        <v>0</v>
      </c>
      <c r="N521" s="584">
        <f t="shared" si="241"/>
        <v>0</v>
      </c>
      <c r="O521" s="584">
        <f t="shared" si="241"/>
        <v>0</v>
      </c>
      <c r="P521" s="584">
        <f t="shared" si="241"/>
        <v>0</v>
      </c>
      <c r="Q521" s="584">
        <f t="shared" si="241"/>
        <v>0</v>
      </c>
      <c r="R521" s="584">
        <f t="shared" si="241"/>
        <v>0</v>
      </c>
      <c r="S521" s="584">
        <f t="shared" si="241"/>
        <v>0</v>
      </c>
      <c r="T521" s="584">
        <f t="shared" si="241"/>
        <v>0</v>
      </c>
      <c r="U521" s="584">
        <f t="shared" si="241"/>
        <v>0</v>
      </c>
      <c r="V521" s="584">
        <f t="shared" si="241"/>
        <v>0</v>
      </c>
      <c r="W521" s="532"/>
      <c r="X521" s="532"/>
      <c r="Y521" s="532"/>
      <c r="Z521" s="532"/>
    </row>
    <row r="522" spans="1:26" ht="12.6" customHeight="1" x14ac:dyDescent="0.25">
      <c r="A522" s="577"/>
      <c r="B522" s="581"/>
      <c r="C522" s="569"/>
      <c r="D522" s="580"/>
      <c r="E522" s="730">
        <f>SUM(E520:E521)</f>
        <v>1476732</v>
      </c>
      <c r="F522" s="730">
        <f t="shared" ref="F522:V522" si="242">SUM(F520:F521)</f>
        <v>426280</v>
      </c>
      <c r="G522" s="584">
        <f t="shared" si="242"/>
        <v>0</v>
      </c>
      <c r="H522" s="584">
        <f>SUM(H520:H521)</f>
        <v>0</v>
      </c>
      <c r="I522" s="584">
        <f t="shared" si="242"/>
        <v>0</v>
      </c>
      <c r="J522" s="584">
        <f>SUM(J520:J521)</f>
        <v>0</v>
      </c>
      <c r="K522" s="584">
        <f t="shared" si="242"/>
        <v>0</v>
      </c>
      <c r="L522" s="584">
        <f t="shared" si="242"/>
        <v>0</v>
      </c>
      <c r="M522" s="584">
        <f t="shared" si="242"/>
        <v>0</v>
      </c>
      <c r="N522" s="584">
        <f t="shared" si="242"/>
        <v>0</v>
      </c>
      <c r="O522" s="584">
        <f t="shared" si="242"/>
        <v>0</v>
      </c>
      <c r="P522" s="584">
        <f t="shared" si="242"/>
        <v>0</v>
      </c>
      <c r="Q522" s="584">
        <f t="shared" si="242"/>
        <v>0</v>
      </c>
      <c r="R522" s="584">
        <f t="shared" si="242"/>
        <v>0</v>
      </c>
      <c r="S522" s="584">
        <f t="shared" si="242"/>
        <v>0</v>
      </c>
      <c r="T522" s="584">
        <f t="shared" si="242"/>
        <v>1903012</v>
      </c>
      <c r="U522" s="584">
        <f t="shared" si="242"/>
        <v>0</v>
      </c>
      <c r="V522" s="584">
        <f t="shared" si="242"/>
        <v>1903012</v>
      </c>
      <c r="W522" s="532"/>
      <c r="X522" s="532"/>
      <c r="Y522" s="532"/>
      <c r="Z522" s="532"/>
    </row>
    <row r="523" spans="1:26" ht="12.6" customHeight="1" x14ac:dyDescent="0.25">
      <c r="A523" s="577"/>
      <c r="B523" s="569"/>
      <c r="C523" s="569"/>
      <c r="D523" s="580"/>
      <c r="E523" s="586">
        <f>E522-E519</f>
        <v>0</v>
      </c>
      <c r="F523" s="586">
        <f t="shared" ref="F523:V523" si="243">F522-F519</f>
        <v>0</v>
      </c>
      <c r="G523" s="586">
        <f t="shared" si="243"/>
        <v>0</v>
      </c>
      <c r="H523" s="586">
        <f>H522-H519</f>
        <v>0</v>
      </c>
      <c r="I523" s="586">
        <f t="shared" si="243"/>
        <v>0</v>
      </c>
      <c r="J523" s="586">
        <f>J522-J519</f>
        <v>0</v>
      </c>
      <c r="K523" s="586">
        <f t="shared" si="243"/>
        <v>0</v>
      </c>
      <c r="L523" s="586">
        <f t="shared" si="243"/>
        <v>0</v>
      </c>
      <c r="M523" s="586">
        <f t="shared" si="243"/>
        <v>0</v>
      </c>
      <c r="N523" s="586">
        <f t="shared" si="243"/>
        <v>0</v>
      </c>
      <c r="O523" s="586">
        <f t="shared" si="243"/>
        <v>0</v>
      </c>
      <c r="P523" s="586">
        <f t="shared" si="243"/>
        <v>0</v>
      </c>
      <c r="Q523" s="586">
        <f t="shared" si="243"/>
        <v>0</v>
      </c>
      <c r="R523" s="586">
        <f t="shared" si="243"/>
        <v>0</v>
      </c>
      <c r="S523" s="586">
        <f t="shared" si="243"/>
        <v>0</v>
      </c>
      <c r="T523" s="586">
        <f t="shared" si="243"/>
        <v>0</v>
      </c>
      <c r="U523" s="586">
        <f t="shared" si="243"/>
        <v>0</v>
      </c>
      <c r="V523" s="586">
        <f t="shared" si="243"/>
        <v>0</v>
      </c>
    </row>
    <row r="524" spans="1:26" s="533" customFormat="1" ht="12.6" customHeight="1" x14ac:dyDescent="0.25">
      <c r="A524" s="638"/>
      <c r="B524" s="608"/>
      <c r="C524" s="608"/>
      <c r="D524" s="661"/>
      <c r="E524" s="599"/>
      <c r="F524" s="570"/>
      <c r="G524" s="570"/>
      <c r="H524" s="570"/>
      <c r="I524" s="570"/>
      <c r="J524" s="570"/>
      <c r="K524" s="570"/>
      <c r="L524" s="570"/>
      <c r="M524" s="570"/>
      <c r="N524" s="570"/>
      <c r="O524" s="570"/>
      <c r="P524" s="570"/>
      <c r="Q524" s="570"/>
      <c r="R524" s="570"/>
      <c r="S524" s="570"/>
      <c r="T524" s="570"/>
      <c r="U524" s="570"/>
      <c r="V524" s="599"/>
    </row>
    <row r="525" spans="1:26" s="533" customFormat="1" ht="12.6" customHeight="1" x14ac:dyDescent="0.25">
      <c r="A525" s="611" t="s">
        <v>20</v>
      </c>
      <c r="B525" s="612" t="s">
        <v>263</v>
      </c>
      <c r="C525" s="612"/>
      <c r="D525" s="617"/>
      <c r="E525" s="618"/>
      <c r="F525" s="613">
        <f>'CABAC Non-Fid 2025'!G176</f>
        <v>200000</v>
      </c>
      <c r="G525" s="613"/>
      <c r="H525" s="613"/>
      <c r="I525" s="613"/>
      <c r="J525" s="613"/>
      <c r="K525" s="613"/>
      <c r="L525" s="613"/>
      <c r="M525" s="613"/>
      <c r="N525" s="613"/>
      <c r="O525" s="613"/>
      <c r="P525" s="613"/>
      <c r="Q525" s="613"/>
      <c r="R525" s="613"/>
      <c r="S525" s="613"/>
      <c r="T525" s="613">
        <f t="shared" ref="T525:T540" si="244">SUM(E525:S525)</f>
        <v>200000</v>
      </c>
      <c r="U525" s="619"/>
      <c r="V525" s="614">
        <f>T525-U525</f>
        <v>200000</v>
      </c>
    </row>
    <row r="526" spans="1:26" s="533" customFormat="1" ht="12.6" customHeight="1" x14ac:dyDescent="0.25">
      <c r="A526" s="604" t="s">
        <v>60</v>
      </c>
      <c r="B526" s="569" t="s">
        <v>266</v>
      </c>
      <c r="C526" s="569"/>
      <c r="D526" s="580"/>
      <c r="E526" s="602"/>
      <c r="F526" s="570">
        <f>'CABAC Non-Fid 2025'!G175</f>
        <v>200000</v>
      </c>
      <c r="G526" s="570"/>
      <c r="H526" s="570"/>
      <c r="I526" s="570"/>
      <c r="J526" s="570"/>
      <c r="K526" s="570"/>
      <c r="L526" s="570"/>
      <c r="M526" s="570"/>
      <c r="N526" s="570"/>
      <c r="O526" s="570"/>
      <c r="P526" s="570"/>
      <c r="Q526" s="570"/>
      <c r="R526" s="570"/>
      <c r="S526" s="570"/>
      <c r="T526" s="570">
        <f t="shared" si="244"/>
        <v>200000</v>
      </c>
      <c r="U526" s="603"/>
      <c r="V526" s="599">
        <f>T526-U526</f>
        <v>200000</v>
      </c>
    </row>
    <row r="527" spans="1:26" s="533" customFormat="1" ht="12.6" customHeight="1" x14ac:dyDescent="0.25">
      <c r="A527" s="573"/>
      <c r="B527" s="569" t="s">
        <v>406</v>
      </c>
      <c r="C527" s="569"/>
      <c r="D527" s="580"/>
      <c r="E527" s="602"/>
      <c r="F527" s="570"/>
      <c r="G527" s="570"/>
      <c r="H527" s="570"/>
      <c r="I527" s="570"/>
      <c r="J527" s="570"/>
      <c r="K527" s="570"/>
      <c r="L527" s="570"/>
      <c r="M527" s="570"/>
      <c r="N527" s="570"/>
      <c r="O527" s="570"/>
      <c r="P527" s="570"/>
      <c r="Q527" s="570"/>
      <c r="R527" s="570"/>
      <c r="S527" s="570"/>
      <c r="T527" s="570">
        <f t="shared" si="244"/>
        <v>0</v>
      </c>
      <c r="U527" s="603"/>
      <c r="V527" s="599">
        <f>T527-U527</f>
        <v>0</v>
      </c>
    </row>
    <row r="528" spans="1:26" s="533" customFormat="1" ht="12.6" customHeight="1" x14ac:dyDescent="0.25">
      <c r="A528" s="573"/>
      <c r="B528" s="569" t="s">
        <v>353</v>
      </c>
      <c r="C528" s="569"/>
      <c r="D528" s="580"/>
      <c r="E528" s="602"/>
      <c r="F528" s="570">
        <f>'CABAC Non-Fid 2025'!G174</f>
        <v>0</v>
      </c>
      <c r="G528" s="570"/>
      <c r="H528" s="570"/>
      <c r="I528" s="570"/>
      <c r="J528" s="570"/>
      <c r="K528" s="570"/>
      <c r="L528" s="570"/>
      <c r="M528" s="570"/>
      <c r="N528" s="570"/>
      <c r="O528" s="570"/>
      <c r="P528" s="570"/>
      <c r="Q528" s="570"/>
      <c r="R528" s="570"/>
      <c r="S528" s="570"/>
      <c r="T528" s="570">
        <f t="shared" si="244"/>
        <v>0</v>
      </c>
      <c r="U528" s="603"/>
      <c r="V528" s="599">
        <f t="shared" ref="V528:V539" si="245">T528-U528</f>
        <v>0</v>
      </c>
    </row>
    <row r="529" spans="1:26" s="533" customFormat="1" ht="12.6" customHeight="1" x14ac:dyDescent="0.25">
      <c r="A529" s="573"/>
      <c r="B529" s="569" t="s">
        <v>261</v>
      </c>
      <c r="C529" s="569"/>
      <c r="D529" s="580"/>
      <c r="E529" s="602"/>
      <c r="F529" s="570">
        <f>'CABAC Non-Fid 2025'!G171</f>
        <v>150000</v>
      </c>
      <c r="G529" s="570"/>
      <c r="H529" s="570"/>
      <c r="I529" s="570"/>
      <c r="J529" s="570"/>
      <c r="K529" s="570"/>
      <c r="L529" s="570"/>
      <c r="M529" s="570"/>
      <c r="N529" s="570"/>
      <c r="O529" s="570"/>
      <c r="P529" s="570"/>
      <c r="Q529" s="570"/>
      <c r="R529" s="570"/>
      <c r="S529" s="570"/>
      <c r="T529" s="570">
        <f t="shared" si="244"/>
        <v>150000</v>
      </c>
      <c r="U529" s="603"/>
      <c r="V529" s="599">
        <f>T529-U529</f>
        <v>150000</v>
      </c>
    </row>
    <row r="530" spans="1:26" s="533" customFormat="1" ht="12.6" customHeight="1" x14ac:dyDescent="0.25">
      <c r="A530" s="573" t="s">
        <v>100</v>
      </c>
      <c r="B530" s="569" t="s">
        <v>262</v>
      </c>
      <c r="C530" s="569"/>
      <c r="D530" s="580"/>
      <c r="E530" s="602"/>
      <c r="F530" s="570">
        <f>'CABAC Non-Fid 2025'!G172</f>
        <v>0</v>
      </c>
      <c r="G530" s="570"/>
      <c r="H530" s="570"/>
      <c r="I530" s="570"/>
      <c r="J530" s="570"/>
      <c r="K530" s="570"/>
      <c r="L530" s="570"/>
      <c r="M530" s="570"/>
      <c r="N530" s="570"/>
      <c r="O530" s="570"/>
      <c r="P530" s="570"/>
      <c r="Q530" s="570"/>
      <c r="R530" s="570"/>
      <c r="S530" s="570"/>
      <c r="T530" s="570">
        <f t="shared" si="244"/>
        <v>0</v>
      </c>
      <c r="U530" s="603"/>
      <c r="V530" s="599">
        <f>T530-U530</f>
        <v>0</v>
      </c>
    </row>
    <row r="531" spans="1:26" s="533" customFormat="1" ht="12.6" customHeight="1" x14ac:dyDescent="0.25">
      <c r="A531" s="573"/>
      <c r="B531" s="581" t="s">
        <v>355</v>
      </c>
      <c r="C531" s="569"/>
      <c r="D531" s="580"/>
      <c r="E531" s="602">
        <v>-38644.379999999997</v>
      </c>
      <c r="F531" s="570">
        <f>'CABAC Fiduciary 2025'!F232</f>
        <v>28800</v>
      </c>
      <c r="G531" s="570"/>
      <c r="H531" s="570"/>
      <c r="I531" s="570"/>
      <c r="J531" s="570"/>
      <c r="K531" s="570"/>
      <c r="L531" s="570"/>
      <c r="M531" s="570"/>
      <c r="N531" s="570"/>
      <c r="O531" s="570"/>
      <c r="P531" s="570"/>
      <c r="Q531" s="570"/>
      <c r="R531" s="570"/>
      <c r="S531" s="570"/>
      <c r="T531" s="570">
        <f t="shared" si="244"/>
        <v>-9844.3799999999974</v>
      </c>
      <c r="U531" s="603"/>
      <c r="V531" s="599">
        <f t="shared" si="245"/>
        <v>-9844.3799999999974</v>
      </c>
    </row>
    <row r="532" spans="1:26" s="533" customFormat="1" ht="12.6" customHeight="1" x14ac:dyDescent="0.25">
      <c r="A532" s="573"/>
      <c r="B532" s="569" t="s">
        <v>145</v>
      </c>
      <c r="C532" s="569"/>
      <c r="D532" s="580"/>
      <c r="E532" s="602">
        <v>-38644.379999999997</v>
      </c>
      <c r="F532" s="570">
        <f>'CABAC Fiduciary 2025'!F236</f>
        <v>0</v>
      </c>
      <c r="G532" s="570"/>
      <c r="H532" s="570"/>
      <c r="I532" s="570"/>
      <c r="J532" s="570"/>
      <c r="K532" s="570"/>
      <c r="L532" s="570"/>
      <c r="M532" s="570"/>
      <c r="N532" s="570"/>
      <c r="O532" s="570"/>
      <c r="P532" s="570"/>
      <c r="Q532" s="570"/>
      <c r="R532" s="570"/>
      <c r="S532" s="570"/>
      <c r="T532" s="570">
        <f t="shared" si="244"/>
        <v>-38644.379999999997</v>
      </c>
      <c r="U532" s="603"/>
      <c r="V532" s="599">
        <f t="shared" si="245"/>
        <v>-38644.379999999997</v>
      </c>
    </row>
    <row r="533" spans="1:26" s="533" customFormat="1" ht="12.6" customHeight="1" x14ac:dyDescent="0.25">
      <c r="A533" s="573"/>
      <c r="B533" s="569" t="s">
        <v>179</v>
      </c>
      <c r="C533" s="569"/>
      <c r="D533" s="580"/>
      <c r="E533" s="602">
        <v>-38644.379999999997</v>
      </c>
      <c r="F533" s="570">
        <f>'CABAC Fiduciary 2025'!F237</f>
        <v>150000</v>
      </c>
      <c r="G533" s="570"/>
      <c r="H533" s="570"/>
      <c r="I533" s="570"/>
      <c r="J533" s="570"/>
      <c r="K533" s="570"/>
      <c r="L533" s="570"/>
      <c r="M533" s="570"/>
      <c r="N533" s="570"/>
      <c r="O533" s="570"/>
      <c r="P533" s="570"/>
      <c r="Q533" s="570"/>
      <c r="R533" s="570"/>
      <c r="S533" s="570"/>
      <c r="T533" s="570">
        <f t="shared" si="244"/>
        <v>111355.62</v>
      </c>
      <c r="U533" s="603"/>
      <c r="V533" s="599">
        <f t="shared" si="245"/>
        <v>111355.62</v>
      </c>
    </row>
    <row r="534" spans="1:26" s="533" customFormat="1" ht="12.6" customHeight="1" x14ac:dyDescent="0.25">
      <c r="A534" s="573"/>
      <c r="B534" s="569" t="s">
        <v>458</v>
      </c>
      <c r="C534" s="569"/>
      <c r="D534" s="580"/>
      <c r="E534" s="602">
        <v>-38644.379999999997</v>
      </c>
      <c r="F534" s="570">
        <f>'CABAC Fiduciary 2025'!F243</f>
        <v>0</v>
      </c>
      <c r="G534" s="570"/>
      <c r="H534" s="570"/>
      <c r="I534" s="570"/>
      <c r="J534" s="570"/>
      <c r="K534" s="570"/>
      <c r="L534" s="570"/>
      <c r="M534" s="570"/>
      <c r="N534" s="570"/>
      <c r="O534" s="570"/>
      <c r="P534" s="570"/>
      <c r="Q534" s="570"/>
      <c r="R534" s="570"/>
      <c r="S534" s="570"/>
      <c r="T534" s="570">
        <f t="shared" si="244"/>
        <v>-38644.379999999997</v>
      </c>
      <c r="U534" s="603"/>
      <c r="V534" s="599">
        <f>T534-U534</f>
        <v>-38644.379999999997</v>
      </c>
    </row>
    <row r="535" spans="1:26" s="533" customFormat="1" ht="12.6" customHeight="1" x14ac:dyDescent="0.25">
      <c r="A535" s="573"/>
      <c r="B535" s="569" t="s">
        <v>342</v>
      </c>
      <c r="C535" s="569"/>
      <c r="D535" s="580"/>
      <c r="E535" s="605">
        <v>-38644.379999999997</v>
      </c>
      <c r="F535" s="601">
        <f>'CABAC Fiduciary 2025'!F240</f>
        <v>150000</v>
      </c>
      <c r="G535" s="601"/>
      <c r="H535" s="601"/>
      <c r="I535" s="601"/>
      <c r="J535" s="601"/>
      <c r="K535" s="601"/>
      <c r="L535" s="601"/>
      <c r="M535" s="601"/>
      <c r="N535" s="601"/>
      <c r="O535" s="601"/>
      <c r="P535" s="601"/>
      <c r="Q535" s="601"/>
      <c r="R535" s="601"/>
      <c r="S535" s="601"/>
      <c r="T535" s="601">
        <f t="shared" si="244"/>
        <v>111355.62</v>
      </c>
      <c r="U535" s="606"/>
      <c r="V535" s="599">
        <f>T535-U535</f>
        <v>111355.62</v>
      </c>
    </row>
    <row r="536" spans="1:26" ht="12.6" customHeight="1" x14ac:dyDescent="0.25">
      <c r="A536" s="573"/>
      <c r="B536" s="569" t="s">
        <v>340</v>
      </c>
      <c r="C536" s="569"/>
      <c r="D536" s="580"/>
      <c r="E536" s="602">
        <v>-38644.379999999997</v>
      </c>
      <c r="F536" s="570">
        <f>'CABAC Fiduciary 2025'!F241</f>
        <v>0</v>
      </c>
      <c r="G536" s="570"/>
      <c r="H536" s="570"/>
      <c r="I536" s="570"/>
      <c r="J536" s="570"/>
      <c r="K536" s="570"/>
      <c r="L536" s="570"/>
      <c r="M536" s="570"/>
      <c r="N536" s="570"/>
      <c r="O536" s="570"/>
      <c r="P536" s="570"/>
      <c r="Q536" s="570"/>
      <c r="R536" s="570"/>
      <c r="S536" s="570"/>
      <c r="T536" s="570">
        <f t="shared" si="244"/>
        <v>-38644.379999999997</v>
      </c>
      <c r="U536" s="603"/>
      <c r="V536" s="599">
        <f>T536-U536</f>
        <v>-38644.379999999997</v>
      </c>
      <c r="W536" s="532"/>
      <c r="X536" s="532"/>
      <c r="Y536" s="532"/>
      <c r="Z536" s="532"/>
    </row>
    <row r="537" spans="1:26" s="533" customFormat="1" ht="12.6" customHeight="1" x14ac:dyDescent="0.25">
      <c r="A537" s="573"/>
      <c r="B537" s="581" t="s">
        <v>358</v>
      </c>
      <c r="C537" s="569"/>
      <c r="D537" s="580"/>
      <c r="E537" s="602">
        <v>-38644.370000000003</v>
      </c>
      <c r="F537" s="570">
        <f>'CABAC Fiduciary 2025'!F242</f>
        <v>450000</v>
      </c>
      <c r="G537" s="570"/>
      <c r="H537" s="570"/>
      <c r="I537" s="570"/>
      <c r="J537" s="570"/>
      <c r="K537" s="570"/>
      <c r="L537" s="570"/>
      <c r="M537" s="570"/>
      <c r="N537" s="570"/>
      <c r="O537" s="570"/>
      <c r="P537" s="570"/>
      <c r="Q537" s="570"/>
      <c r="R537" s="570"/>
      <c r="S537" s="570"/>
      <c r="T537" s="570">
        <f t="shared" si="244"/>
        <v>411355.63</v>
      </c>
      <c r="U537" s="603"/>
      <c r="V537" s="599">
        <f>T537-U537</f>
        <v>411355.63</v>
      </c>
    </row>
    <row r="538" spans="1:26" s="533" customFormat="1" ht="12.6" customHeight="1" x14ac:dyDescent="0.25">
      <c r="A538" s="573"/>
      <c r="B538" s="569" t="s">
        <v>343</v>
      </c>
      <c r="C538" s="569"/>
      <c r="D538" s="580"/>
      <c r="E538" s="602">
        <v>-38644.370000000003</v>
      </c>
      <c r="F538" s="570">
        <f>'CABAC Fiduciary 2025'!F235</f>
        <v>140859.97999999998</v>
      </c>
      <c r="G538" s="570"/>
      <c r="H538" s="570"/>
      <c r="I538" s="570"/>
      <c r="J538" s="570"/>
      <c r="K538" s="570"/>
      <c r="L538" s="570"/>
      <c r="M538" s="570"/>
      <c r="N538" s="570"/>
      <c r="O538" s="570"/>
      <c r="P538" s="570"/>
      <c r="Q538" s="570"/>
      <c r="R538" s="570"/>
      <c r="S538" s="570"/>
      <c r="T538" s="570">
        <f t="shared" si="244"/>
        <v>102215.60999999999</v>
      </c>
      <c r="U538" s="603"/>
      <c r="V538" s="599">
        <f>T538-U538</f>
        <v>102215.60999999999</v>
      </c>
    </row>
    <row r="539" spans="1:26" s="533" customFormat="1" ht="12.6" customHeight="1" x14ac:dyDescent="0.25">
      <c r="A539" s="573"/>
      <c r="B539" s="569" t="s">
        <v>359</v>
      </c>
      <c r="C539" s="569"/>
      <c r="D539" s="580"/>
      <c r="E539" s="602">
        <v>-38644.370000000003</v>
      </c>
      <c r="F539" s="570">
        <f>'CABAC Fiduciary 2025'!F239</f>
        <v>234712.15</v>
      </c>
      <c r="G539" s="570"/>
      <c r="H539" s="570"/>
      <c r="I539" s="570"/>
      <c r="J539" s="570"/>
      <c r="K539" s="570"/>
      <c r="L539" s="570"/>
      <c r="M539" s="570"/>
      <c r="N539" s="570"/>
      <c r="O539" s="570"/>
      <c r="P539" s="570"/>
      <c r="Q539" s="570"/>
      <c r="R539" s="570"/>
      <c r="S539" s="570"/>
      <c r="T539" s="570">
        <f t="shared" si="244"/>
        <v>196067.78</v>
      </c>
      <c r="U539" s="603"/>
      <c r="V539" s="599">
        <f t="shared" si="245"/>
        <v>196067.78</v>
      </c>
    </row>
    <row r="540" spans="1:26" s="533" customFormat="1" ht="14.25" customHeight="1" thickBot="1" x14ac:dyDescent="0.3">
      <c r="A540" s="573"/>
      <c r="B540" s="569" t="s">
        <v>144</v>
      </c>
      <c r="C540" s="569"/>
      <c r="D540" s="580"/>
      <c r="E540" s="602">
        <v>-38644.370000000003</v>
      </c>
      <c r="F540" s="570">
        <f>'CABAC Fiduciary 2025'!F233</f>
        <v>400000</v>
      </c>
      <c r="G540" s="570"/>
      <c r="H540" s="570"/>
      <c r="I540" s="570"/>
      <c r="J540" s="570"/>
      <c r="K540" s="570"/>
      <c r="L540" s="570"/>
      <c r="M540" s="570"/>
      <c r="N540" s="570"/>
      <c r="O540" s="570"/>
      <c r="P540" s="570"/>
      <c r="Q540" s="570"/>
      <c r="R540" s="570"/>
      <c r="S540" s="570"/>
      <c r="T540" s="570">
        <f t="shared" si="244"/>
        <v>361355.63</v>
      </c>
      <c r="U540" s="603"/>
      <c r="V540" s="599">
        <f>T540-U540</f>
        <v>361355.63</v>
      </c>
    </row>
    <row r="541" spans="1:26" s="533" customFormat="1" ht="12.6" customHeight="1" thickBot="1" x14ac:dyDescent="0.3">
      <c r="A541" s="573"/>
      <c r="B541" s="581" t="s">
        <v>346</v>
      </c>
      <c r="C541" s="569"/>
      <c r="D541" s="580"/>
      <c r="E541" s="582">
        <f t="shared" ref="E541:V541" si="246">SUM(E525:E540)</f>
        <v>-386443.76</v>
      </c>
      <c r="F541" s="582">
        <f t="shared" si="246"/>
        <v>2104372.13</v>
      </c>
      <c r="G541" s="582">
        <f t="shared" si="246"/>
        <v>0</v>
      </c>
      <c r="H541" s="582">
        <f t="shared" si="246"/>
        <v>0</v>
      </c>
      <c r="I541" s="582">
        <f t="shared" si="246"/>
        <v>0</v>
      </c>
      <c r="J541" s="582">
        <f t="shared" si="246"/>
        <v>0</v>
      </c>
      <c r="K541" s="582">
        <f t="shared" si="246"/>
        <v>0</v>
      </c>
      <c r="L541" s="582">
        <f t="shared" si="246"/>
        <v>0</v>
      </c>
      <c r="M541" s="582">
        <f t="shared" si="246"/>
        <v>0</v>
      </c>
      <c r="N541" s="582">
        <f t="shared" si="246"/>
        <v>0</v>
      </c>
      <c r="O541" s="582">
        <f t="shared" si="246"/>
        <v>0</v>
      </c>
      <c r="P541" s="582">
        <f t="shared" si="246"/>
        <v>0</v>
      </c>
      <c r="Q541" s="582">
        <f t="shared" si="246"/>
        <v>0</v>
      </c>
      <c r="R541" s="582">
        <f t="shared" si="246"/>
        <v>0</v>
      </c>
      <c r="S541" s="582">
        <f t="shared" si="246"/>
        <v>0</v>
      </c>
      <c r="T541" s="582">
        <f t="shared" si="246"/>
        <v>1717928.37</v>
      </c>
      <c r="U541" s="582">
        <f t="shared" si="246"/>
        <v>0</v>
      </c>
      <c r="V541" s="582">
        <f t="shared" si="246"/>
        <v>1717928.37</v>
      </c>
    </row>
    <row r="542" spans="1:26" ht="12.6" customHeight="1" x14ac:dyDescent="0.25">
      <c r="A542" s="577"/>
      <c r="B542" s="581"/>
      <c r="C542" s="569"/>
      <c r="D542" s="583" t="s">
        <v>347</v>
      </c>
      <c r="E542" s="730">
        <f t="shared" ref="E542:V542" si="247">SUM(E531:E540)</f>
        <v>-386443.76</v>
      </c>
      <c r="F542" s="730">
        <f t="shared" si="247"/>
        <v>1554372.13</v>
      </c>
      <c r="G542" s="584">
        <f t="shared" si="247"/>
        <v>0</v>
      </c>
      <c r="H542" s="584">
        <f t="shared" si="247"/>
        <v>0</v>
      </c>
      <c r="I542" s="584">
        <f t="shared" si="247"/>
        <v>0</v>
      </c>
      <c r="J542" s="584">
        <f t="shared" si="247"/>
        <v>0</v>
      </c>
      <c r="K542" s="584">
        <f t="shared" si="247"/>
        <v>0</v>
      </c>
      <c r="L542" s="584">
        <f t="shared" si="247"/>
        <v>0</v>
      </c>
      <c r="M542" s="584">
        <f t="shared" si="247"/>
        <v>0</v>
      </c>
      <c r="N542" s="584">
        <f t="shared" si="247"/>
        <v>0</v>
      </c>
      <c r="O542" s="584">
        <f t="shared" si="247"/>
        <v>0</v>
      </c>
      <c r="P542" s="584">
        <f t="shared" si="247"/>
        <v>0</v>
      </c>
      <c r="Q542" s="584">
        <f t="shared" si="247"/>
        <v>0</v>
      </c>
      <c r="R542" s="584">
        <f t="shared" si="247"/>
        <v>0</v>
      </c>
      <c r="S542" s="584">
        <f t="shared" si="247"/>
        <v>0</v>
      </c>
      <c r="T542" s="584">
        <f t="shared" si="247"/>
        <v>1167928.3700000001</v>
      </c>
      <c r="U542" s="584">
        <f t="shared" si="247"/>
        <v>0</v>
      </c>
      <c r="V542" s="584">
        <f t="shared" si="247"/>
        <v>1167928.3700000001</v>
      </c>
      <c r="W542" s="532"/>
      <c r="X542" s="532"/>
      <c r="Y542" s="532"/>
      <c r="Z542" s="532"/>
    </row>
    <row r="543" spans="1:26" ht="12.6" customHeight="1" x14ac:dyDescent="0.25">
      <c r="A543" s="577"/>
      <c r="B543" s="581"/>
      <c r="C543" s="569"/>
      <c r="D543" s="583" t="s">
        <v>348</v>
      </c>
      <c r="E543" s="730">
        <f t="shared" ref="E543:V543" si="248">SUM(E525:E530)</f>
        <v>0</v>
      </c>
      <c r="F543" s="730">
        <f t="shared" si="248"/>
        <v>550000</v>
      </c>
      <c r="G543" s="584">
        <f t="shared" si="248"/>
        <v>0</v>
      </c>
      <c r="H543" s="584">
        <f t="shared" si="248"/>
        <v>0</v>
      </c>
      <c r="I543" s="584">
        <f t="shared" si="248"/>
        <v>0</v>
      </c>
      <c r="J543" s="584">
        <f t="shared" si="248"/>
        <v>0</v>
      </c>
      <c r="K543" s="584">
        <f t="shared" si="248"/>
        <v>0</v>
      </c>
      <c r="L543" s="584">
        <f t="shared" si="248"/>
        <v>0</v>
      </c>
      <c r="M543" s="584">
        <f t="shared" si="248"/>
        <v>0</v>
      </c>
      <c r="N543" s="584">
        <f t="shared" si="248"/>
        <v>0</v>
      </c>
      <c r="O543" s="584">
        <f t="shared" si="248"/>
        <v>0</v>
      </c>
      <c r="P543" s="584">
        <f t="shared" si="248"/>
        <v>0</v>
      </c>
      <c r="Q543" s="584">
        <f t="shared" si="248"/>
        <v>0</v>
      </c>
      <c r="R543" s="584">
        <f t="shared" si="248"/>
        <v>0</v>
      </c>
      <c r="S543" s="584">
        <f t="shared" si="248"/>
        <v>0</v>
      </c>
      <c r="T543" s="584">
        <f t="shared" si="248"/>
        <v>550000</v>
      </c>
      <c r="U543" s="584">
        <f t="shared" si="248"/>
        <v>0</v>
      </c>
      <c r="V543" s="584">
        <f t="shared" si="248"/>
        <v>550000</v>
      </c>
      <c r="W543" s="532"/>
      <c r="X543" s="532"/>
      <c r="Y543" s="532"/>
      <c r="Z543" s="532"/>
    </row>
    <row r="544" spans="1:26" ht="12.6" customHeight="1" x14ac:dyDescent="0.25">
      <c r="A544" s="577"/>
      <c r="B544" s="581"/>
      <c r="C544" s="569"/>
      <c r="D544" s="580"/>
      <c r="E544" s="730">
        <f>SUM(E542:E543)</f>
        <v>-386443.76</v>
      </c>
      <c r="F544" s="730">
        <f t="shared" ref="F544:V544" si="249">SUM(F542:F543)</f>
        <v>2104372.13</v>
      </c>
      <c r="G544" s="584">
        <f t="shared" si="249"/>
        <v>0</v>
      </c>
      <c r="H544" s="584">
        <f>SUM(H542:H543)</f>
        <v>0</v>
      </c>
      <c r="I544" s="584">
        <f t="shared" si="249"/>
        <v>0</v>
      </c>
      <c r="J544" s="584">
        <f>SUM(J542:J543)</f>
        <v>0</v>
      </c>
      <c r="K544" s="584">
        <f t="shared" si="249"/>
        <v>0</v>
      </c>
      <c r="L544" s="584">
        <f t="shared" si="249"/>
        <v>0</v>
      </c>
      <c r="M544" s="584">
        <f t="shared" si="249"/>
        <v>0</v>
      </c>
      <c r="N544" s="584">
        <f t="shared" si="249"/>
        <v>0</v>
      </c>
      <c r="O544" s="584">
        <f t="shared" si="249"/>
        <v>0</v>
      </c>
      <c r="P544" s="584">
        <f t="shared" si="249"/>
        <v>0</v>
      </c>
      <c r="Q544" s="584">
        <f t="shared" si="249"/>
        <v>0</v>
      </c>
      <c r="R544" s="584">
        <f t="shared" si="249"/>
        <v>0</v>
      </c>
      <c r="S544" s="584">
        <f t="shared" si="249"/>
        <v>0</v>
      </c>
      <c r="T544" s="584">
        <f t="shared" si="249"/>
        <v>1717928.37</v>
      </c>
      <c r="U544" s="584">
        <f t="shared" si="249"/>
        <v>0</v>
      </c>
      <c r="V544" s="584">
        <f t="shared" si="249"/>
        <v>1717928.37</v>
      </c>
      <c r="W544" s="532"/>
      <c r="X544" s="532"/>
      <c r="Y544" s="532"/>
      <c r="Z544" s="532"/>
    </row>
    <row r="545" spans="1:26" ht="12.6" customHeight="1" x14ac:dyDescent="0.25">
      <c r="A545" s="577"/>
      <c r="B545" s="569"/>
      <c r="C545" s="569"/>
      <c r="D545" s="580"/>
      <c r="E545" s="1232">
        <f>E544-E541</f>
        <v>0</v>
      </c>
      <c r="F545" s="1232">
        <f t="shared" ref="F545:V545" si="250">F544-F541</f>
        <v>0</v>
      </c>
      <c r="G545" s="1232">
        <f t="shared" si="250"/>
        <v>0</v>
      </c>
      <c r="H545" s="1232">
        <f>H544-H541</f>
        <v>0</v>
      </c>
      <c r="I545" s="1232">
        <f t="shared" si="250"/>
        <v>0</v>
      </c>
      <c r="J545" s="1232">
        <f>J544-J541</f>
        <v>0</v>
      </c>
      <c r="K545" s="1232">
        <f t="shared" si="250"/>
        <v>0</v>
      </c>
      <c r="L545" s="1232">
        <f t="shared" si="250"/>
        <v>0</v>
      </c>
      <c r="M545" s="1232">
        <f t="shared" si="250"/>
        <v>0</v>
      </c>
      <c r="N545" s="1232">
        <f t="shared" si="250"/>
        <v>0</v>
      </c>
      <c r="O545" s="1232">
        <f t="shared" si="250"/>
        <v>0</v>
      </c>
      <c r="P545" s="1232">
        <f t="shared" si="250"/>
        <v>0</v>
      </c>
      <c r="Q545" s="1232">
        <f t="shared" si="250"/>
        <v>0</v>
      </c>
      <c r="R545" s="1232">
        <f t="shared" si="250"/>
        <v>0</v>
      </c>
      <c r="S545" s="1232">
        <f t="shared" si="250"/>
        <v>0</v>
      </c>
      <c r="T545" s="1232">
        <f t="shared" si="250"/>
        <v>0</v>
      </c>
      <c r="U545" s="1232">
        <f t="shared" si="250"/>
        <v>0</v>
      </c>
      <c r="V545" s="1232">
        <f t="shared" si="250"/>
        <v>0</v>
      </c>
    </row>
    <row r="546" spans="1:26" s="533" customFormat="1" ht="12.6" customHeight="1" x14ac:dyDescent="0.25">
      <c r="A546" s="658"/>
      <c r="B546" s="660"/>
      <c r="C546" s="660"/>
      <c r="D546" s="661"/>
      <c r="E546" s="613"/>
      <c r="F546" s="613"/>
      <c r="G546" s="613"/>
      <c r="H546" s="613"/>
      <c r="I546" s="613"/>
      <c r="J546" s="613"/>
      <c r="K546" s="613"/>
      <c r="L546" s="613"/>
      <c r="M546" s="613"/>
      <c r="N546" s="613"/>
      <c r="O546" s="613"/>
      <c r="P546" s="613"/>
      <c r="Q546" s="613"/>
      <c r="R546" s="613"/>
      <c r="S546" s="613"/>
      <c r="T546" s="613"/>
      <c r="U546" s="613"/>
      <c r="V546" s="614"/>
    </row>
    <row r="547" spans="1:26" s="533" customFormat="1" ht="12.6" customHeight="1" x14ac:dyDescent="0.25">
      <c r="A547" s="611" t="s">
        <v>407</v>
      </c>
      <c r="B547" s="612" t="s">
        <v>263</v>
      </c>
      <c r="C547" s="612"/>
      <c r="D547" s="617"/>
      <c r="E547" s="618"/>
      <c r="F547" s="613">
        <f>'CABAC Non-Fid 2025'!G182</f>
        <v>0</v>
      </c>
      <c r="G547" s="613"/>
      <c r="H547" s="613"/>
      <c r="I547" s="613"/>
      <c r="J547" s="613"/>
      <c r="K547" s="613"/>
      <c r="L547" s="613"/>
      <c r="M547" s="613"/>
      <c r="N547" s="613"/>
      <c r="O547" s="613"/>
      <c r="P547" s="613"/>
      <c r="Q547" s="613"/>
      <c r="R547" s="613"/>
      <c r="S547" s="613"/>
      <c r="T547" s="613">
        <f t="shared" ref="T547:T555" si="251">SUM(E547:S547)</f>
        <v>0</v>
      </c>
      <c r="U547" s="619"/>
      <c r="V547" s="614">
        <f t="shared" ref="V547:V553" si="252">T547-U547</f>
        <v>0</v>
      </c>
    </row>
    <row r="548" spans="1:26" s="533" customFormat="1" ht="12.6" customHeight="1" x14ac:dyDescent="0.25">
      <c r="A548" s="604" t="s">
        <v>61</v>
      </c>
      <c r="B548" s="569" t="s">
        <v>261</v>
      </c>
      <c r="C548" s="569"/>
      <c r="D548" s="580"/>
      <c r="E548" s="602"/>
      <c r="F548" s="613">
        <f>'CABAC Non-Fid 2025'!G180</f>
        <v>0</v>
      </c>
      <c r="G548" s="570"/>
      <c r="H548" s="570"/>
      <c r="I548" s="570"/>
      <c r="J548" s="570"/>
      <c r="K548" s="570"/>
      <c r="L548" s="570"/>
      <c r="M548" s="570"/>
      <c r="N548" s="570"/>
      <c r="O548" s="570"/>
      <c r="P548" s="570"/>
      <c r="Q548" s="570"/>
      <c r="R548" s="570"/>
      <c r="S548" s="570"/>
      <c r="T548" s="570">
        <f t="shared" si="251"/>
        <v>0</v>
      </c>
      <c r="U548" s="603"/>
      <c r="V548" s="599">
        <f t="shared" si="252"/>
        <v>0</v>
      </c>
    </row>
    <row r="549" spans="1:26" s="533" customFormat="1" ht="12.6" customHeight="1" x14ac:dyDescent="0.25">
      <c r="A549" s="573"/>
      <c r="B549" s="569" t="s">
        <v>262</v>
      </c>
      <c r="C549" s="569"/>
      <c r="D549" s="580"/>
      <c r="E549" s="602"/>
      <c r="F549" s="613">
        <f>'CABAC Non-Fid 2025'!G181</f>
        <v>0</v>
      </c>
      <c r="G549" s="570"/>
      <c r="H549" s="570"/>
      <c r="I549" s="570"/>
      <c r="J549" s="570"/>
      <c r="K549" s="570"/>
      <c r="L549" s="570"/>
      <c r="M549" s="570"/>
      <c r="N549" s="570"/>
      <c r="O549" s="570"/>
      <c r="P549" s="570"/>
      <c r="Q549" s="570"/>
      <c r="R549" s="570"/>
      <c r="S549" s="570"/>
      <c r="T549" s="570">
        <f t="shared" si="251"/>
        <v>0</v>
      </c>
      <c r="U549" s="603"/>
      <c r="V549" s="599">
        <f t="shared" si="252"/>
        <v>0</v>
      </c>
    </row>
    <row r="550" spans="1:26" s="533" customFormat="1" ht="12.6" customHeight="1" x14ac:dyDescent="0.25">
      <c r="A550" s="573"/>
      <c r="B550" s="569" t="s">
        <v>232</v>
      </c>
      <c r="C550" s="569"/>
      <c r="D550" s="580"/>
      <c r="E550" s="605"/>
      <c r="F550" s="613">
        <f>'CABAC Fiduciary 2025'!F263</f>
        <v>0</v>
      </c>
      <c r="G550" s="601"/>
      <c r="H550" s="570"/>
      <c r="I550" s="601"/>
      <c r="J550" s="601"/>
      <c r="K550" s="601"/>
      <c r="L550" s="601"/>
      <c r="M550" s="601"/>
      <c r="N550" s="601"/>
      <c r="O550" s="601"/>
      <c r="P550" s="601"/>
      <c r="Q550" s="601"/>
      <c r="R550" s="601"/>
      <c r="S550" s="601"/>
      <c r="T550" s="570">
        <f t="shared" si="251"/>
        <v>0</v>
      </c>
      <c r="U550" s="603"/>
      <c r="V550" s="599">
        <f>T550-U550</f>
        <v>0</v>
      </c>
    </row>
    <row r="551" spans="1:26" s="533" customFormat="1" ht="12.6" customHeight="1" x14ac:dyDescent="0.25">
      <c r="A551" s="573"/>
      <c r="B551" s="569" t="s">
        <v>408</v>
      </c>
      <c r="C551" s="569"/>
      <c r="D551" s="580"/>
      <c r="E551" s="602"/>
      <c r="F551" s="613">
        <f>'CABAC Fiduciary 2025'!F260</f>
        <v>0</v>
      </c>
      <c r="G551" s="570"/>
      <c r="H551" s="570"/>
      <c r="I551" s="570"/>
      <c r="J551" s="570"/>
      <c r="K551" s="570"/>
      <c r="L551" s="570"/>
      <c r="M551" s="570"/>
      <c r="N551" s="570"/>
      <c r="O551" s="570"/>
      <c r="P551" s="570"/>
      <c r="Q551" s="570"/>
      <c r="R551" s="570"/>
      <c r="S551" s="570"/>
      <c r="T551" s="570">
        <f t="shared" si="251"/>
        <v>0</v>
      </c>
      <c r="U551" s="603"/>
      <c r="V551" s="599">
        <f>T551-U551</f>
        <v>0</v>
      </c>
    </row>
    <row r="552" spans="1:26" ht="12.6" customHeight="1" x14ac:dyDescent="0.25">
      <c r="A552" s="573"/>
      <c r="B552" s="569" t="s">
        <v>173</v>
      </c>
      <c r="C552" s="569"/>
      <c r="D552" s="569"/>
      <c r="E552" s="602"/>
      <c r="F552" s="613"/>
      <c r="G552" s="570"/>
      <c r="H552" s="570"/>
      <c r="I552" s="570"/>
      <c r="J552" s="570"/>
      <c r="K552" s="570"/>
      <c r="L552" s="570"/>
      <c r="M552" s="570"/>
      <c r="N552" s="570"/>
      <c r="O552" s="570"/>
      <c r="P552" s="570"/>
      <c r="Q552" s="570"/>
      <c r="R552" s="570"/>
      <c r="S552" s="570"/>
      <c r="T552" s="570">
        <f t="shared" si="251"/>
        <v>0</v>
      </c>
      <c r="U552" s="603"/>
      <c r="V552" s="599">
        <f t="shared" si="252"/>
        <v>0</v>
      </c>
      <c r="W552" s="532"/>
      <c r="X552" s="532"/>
      <c r="Y552" s="532"/>
      <c r="Z552" s="532"/>
    </row>
    <row r="553" spans="1:26" s="533" customFormat="1" ht="12.6" customHeight="1" x14ac:dyDescent="0.25">
      <c r="A553" s="573"/>
      <c r="B553" s="569" t="s">
        <v>154</v>
      </c>
      <c r="C553" s="569"/>
      <c r="D553" s="580"/>
      <c r="E553" s="605">
        <v>2000402</v>
      </c>
      <c r="F553" s="613">
        <f>'CABAC Fiduciary 2025'!F262</f>
        <v>235200</v>
      </c>
      <c r="G553" s="570"/>
      <c r="H553" s="570"/>
      <c r="I553" s="570"/>
      <c r="J553" s="570"/>
      <c r="K553" s="570"/>
      <c r="L553" s="570"/>
      <c r="M553" s="570"/>
      <c r="N553" s="570"/>
      <c r="O553" s="570"/>
      <c r="P553" s="570"/>
      <c r="Q553" s="570"/>
      <c r="R553" s="570"/>
      <c r="S553" s="570"/>
      <c r="T553" s="570">
        <f t="shared" si="251"/>
        <v>2235602</v>
      </c>
      <c r="U553" s="603"/>
      <c r="V553" s="599">
        <f t="shared" si="252"/>
        <v>2235602</v>
      </c>
    </row>
    <row r="554" spans="1:26" ht="12.6" customHeight="1" x14ac:dyDescent="0.25">
      <c r="A554" s="577"/>
      <c r="B554" s="569" t="s">
        <v>361</v>
      </c>
      <c r="C554" s="569"/>
      <c r="D554" s="569"/>
      <c r="E554" s="620"/>
      <c r="F554" s="613"/>
      <c r="G554" s="570"/>
      <c r="H554" s="570"/>
      <c r="I554" s="570"/>
      <c r="J554" s="570"/>
      <c r="K554" s="570"/>
      <c r="L554" s="570"/>
      <c r="M554" s="570"/>
      <c r="N554" s="570"/>
      <c r="O554" s="570"/>
      <c r="P554" s="570"/>
      <c r="Q554" s="570"/>
      <c r="R554" s="570"/>
      <c r="S554" s="570"/>
      <c r="T554" s="570">
        <f t="shared" si="251"/>
        <v>0</v>
      </c>
      <c r="U554" s="603"/>
      <c r="V554" s="599">
        <f>T554-U554</f>
        <v>0</v>
      </c>
      <c r="W554" s="532"/>
      <c r="X554" s="532"/>
      <c r="Y554" s="532"/>
      <c r="Z554" s="532"/>
    </row>
    <row r="555" spans="1:26" ht="12.6" customHeight="1" thickBot="1" x14ac:dyDescent="0.3">
      <c r="A555" s="577"/>
      <c r="B555" s="569" t="s">
        <v>362</v>
      </c>
      <c r="C555" s="569"/>
      <c r="D555" s="569"/>
      <c r="E555" s="1280"/>
      <c r="F555" s="613"/>
      <c r="G555" s="570"/>
      <c r="H555" s="570"/>
      <c r="I555" s="570"/>
      <c r="J555" s="570"/>
      <c r="K555" s="570"/>
      <c r="L555" s="570"/>
      <c r="M555" s="570"/>
      <c r="N555" s="570"/>
      <c r="O555" s="570"/>
      <c r="P555" s="570"/>
      <c r="Q555" s="570"/>
      <c r="R555" s="570"/>
      <c r="S555" s="570"/>
      <c r="T555" s="570">
        <f t="shared" si="251"/>
        <v>0</v>
      </c>
      <c r="U555" s="603"/>
      <c r="V555" s="599">
        <f>T555-U555</f>
        <v>0</v>
      </c>
      <c r="W555" s="532"/>
      <c r="X555" s="532"/>
      <c r="Y555" s="532"/>
      <c r="Z555" s="532"/>
    </row>
    <row r="556" spans="1:26" s="533" customFormat="1" ht="12.6" customHeight="1" thickBot="1" x14ac:dyDescent="0.3">
      <c r="A556" s="573"/>
      <c r="B556" s="581" t="s">
        <v>346</v>
      </c>
      <c r="C556" s="569"/>
      <c r="D556" s="580"/>
      <c r="E556" s="582">
        <f>SUM(E547:E555)</f>
        <v>2000402</v>
      </c>
      <c r="F556" s="582">
        <f t="shared" ref="F556:V556" si="253">SUM(F547:F555)</f>
        <v>235200</v>
      </c>
      <c r="G556" s="582">
        <f t="shared" si="253"/>
        <v>0</v>
      </c>
      <c r="H556" s="582">
        <f>SUM(H547:H555)</f>
        <v>0</v>
      </c>
      <c r="I556" s="582">
        <f t="shared" si="253"/>
        <v>0</v>
      </c>
      <c r="J556" s="582">
        <f>SUM(J547:J555)</f>
        <v>0</v>
      </c>
      <c r="K556" s="582">
        <f t="shared" si="253"/>
        <v>0</v>
      </c>
      <c r="L556" s="582">
        <f t="shared" si="253"/>
        <v>0</v>
      </c>
      <c r="M556" s="582">
        <f t="shared" si="253"/>
        <v>0</v>
      </c>
      <c r="N556" s="582">
        <f t="shared" si="253"/>
        <v>0</v>
      </c>
      <c r="O556" s="582">
        <f t="shared" si="253"/>
        <v>0</v>
      </c>
      <c r="P556" s="582">
        <f t="shared" si="253"/>
        <v>0</v>
      </c>
      <c r="Q556" s="582">
        <f t="shared" si="253"/>
        <v>0</v>
      </c>
      <c r="R556" s="582">
        <f t="shared" si="253"/>
        <v>0</v>
      </c>
      <c r="S556" s="582">
        <f t="shared" si="253"/>
        <v>0</v>
      </c>
      <c r="T556" s="582">
        <f t="shared" si="253"/>
        <v>2235602</v>
      </c>
      <c r="U556" s="582">
        <f t="shared" si="253"/>
        <v>0</v>
      </c>
      <c r="V556" s="582">
        <f t="shared" si="253"/>
        <v>2235602</v>
      </c>
    </row>
    <row r="557" spans="1:26" ht="12.6" customHeight="1" x14ac:dyDescent="0.25">
      <c r="A557" s="577"/>
      <c r="B557" s="581"/>
      <c r="C557" s="569"/>
      <c r="D557" s="583" t="s">
        <v>347</v>
      </c>
      <c r="E557" s="730">
        <f>SUM(E550:E555)</f>
        <v>2000402</v>
      </c>
      <c r="F557" s="730">
        <f t="shared" ref="F557:V557" si="254">SUM(F550:F555)</f>
        <v>235200</v>
      </c>
      <c r="G557" s="584">
        <f t="shared" si="254"/>
        <v>0</v>
      </c>
      <c r="H557" s="584">
        <f>SUM(H550:H555)</f>
        <v>0</v>
      </c>
      <c r="I557" s="584">
        <f t="shared" si="254"/>
        <v>0</v>
      </c>
      <c r="J557" s="584">
        <f>SUM(J550:J555)</f>
        <v>0</v>
      </c>
      <c r="K557" s="584">
        <f t="shared" si="254"/>
        <v>0</v>
      </c>
      <c r="L557" s="584">
        <f t="shared" si="254"/>
        <v>0</v>
      </c>
      <c r="M557" s="584">
        <f t="shared" si="254"/>
        <v>0</v>
      </c>
      <c r="N557" s="584">
        <f t="shared" si="254"/>
        <v>0</v>
      </c>
      <c r="O557" s="584">
        <f t="shared" si="254"/>
        <v>0</v>
      </c>
      <c r="P557" s="584">
        <f t="shared" si="254"/>
        <v>0</v>
      </c>
      <c r="Q557" s="584">
        <f t="shared" si="254"/>
        <v>0</v>
      </c>
      <c r="R557" s="584">
        <f t="shared" si="254"/>
        <v>0</v>
      </c>
      <c r="S557" s="584">
        <f t="shared" si="254"/>
        <v>0</v>
      </c>
      <c r="T557" s="584">
        <f t="shared" si="254"/>
        <v>2235602</v>
      </c>
      <c r="U557" s="584">
        <f t="shared" si="254"/>
        <v>0</v>
      </c>
      <c r="V557" s="584">
        <f t="shared" si="254"/>
        <v>2235602</v>
      </c>
      <c r="W557" s="532"/>
      <c r="X557" s="532"/>
      <c r="Y557" s="532"/>
      <c r="Z557" s="532"/>
    </row>
    <row r="558" spans="1:26" ht="12.6" customHeight="1" x14ac:dyDescent="0.25">
      <c r="A558" s="577"/>
      <c r="B558" s="581"/>
      <c r="C558" s="569"/>
      <c r="D558" s="583" t="s">
        <v>348</v>
      </c>
      <c r="E558" s="730">
        <f>SUM(E547:E549)</f>
        <v>0</v>
      </c>
      <c r="F558" s="730">
        <f t="shared" ref="F558:V558" si="255">SUM(F547:F549)</f>
        <v>0</v>
      </c>
      <c r="G558" s="584">
        <f t="shared" si="255"/>
        <v>0</v>
      </c>
      <c r="H558" s="584">
        <f>SUM(H547:H549)</f>
        <v>0</v>
      </c>
      <c r="I558" s="584">
        <f t="shared" si="255"/>
        <v>0</v>
      </c>
      <c r="J558" s="584">
        <f>SUM(J547:J549)</f>
        <v>0</v>
      </c>
      <c r="K558" s="584">
        <f t="shared" si="255"/>
        <v>0</v>
      </c>
      <c r="L558" s="584">
        <f t="shared" si="255"/>
        <v>0</v>
      </c>
      <c r="M558" s="584">
        <f t="shared" si="255"/>
        <v>0</v>
      </c>
      <c r="N558" s="584">
        <f t="shared" si="255"/>
        <v>0</v>
      </c>
      <c r="O558" s="584">
        <f t="shared" si="255"/>
        <v>0</v>
      </c>
      <c r="P558" s="584">
        <f t="shared" si="255"/>
        <v>0</v>
      </c>
      <c r="Q558" s="584">
        <f t="shared" si="255"/>
        <v>0</v>
      </c>
      <c r="R558" s="584">
        <f t="shared" si="255"/>
        <v>0</v>
      </c>
      <c r="S558" s="584">
        <f t="shared" si="255"/>
        <v>0</v>
      </c>
      <c r="T558" s="584">
        <f t="shared" si="255"/>
        <v>0</v>
      </c>
      <c r="U558" s="584">
        <f t="shared" si="255"/>
        <v>0</v>
      </c>
      <c r="V558" s="584">
        <f t="shared" si="255"/>
        <v>0</v>
      </c>
      <c r="W558" s="532"/>
      <c r="X558" s="532"/>
      <c r="Y558" s="532"/>
      <c r="Z558" s="532"/>
    </row>
    <row r="559" spans="1:26" ht="12.6" customHeight="1" x14ac:dyDescent="0.25">
      <c r="A559" s="577"/>
      <c r="B559" s="581"/>
      <c r="C559" s="569"/>
      <c r="D559" s="580"/>
      <c r="E559" s="730">
        <f>SUM(E557:E558)</f>
        <v>2000402</v>
      </c>
      <c r="F559" s="730">
        <f t="shared" ref="F559:V559" si="256">SUM(F557:F558)</f>
        <v>235200</v>
      </c>
      <c r="G559" s="584">
        <f t="shared" si="256"/>
        <v>0</v>
      </c>
      <c r="H559" s="584">
        <f>SUM(H557:H558)</f>
        <v>0</v>
      </c>
      <c r="I559" s="584">
        <f t="shared" si="256"/>
        <v>0</v>
      </c>
      <c r="J559" s="584">
        <f>SUM(J557:J558)</f>
        <v>0</v>
      </c>
      <c r="K559" s="584">
        <f t="shared" si="256"/>
        <v>0</v>
      </c>
      <c r="L559" s="584">
        <f t="shared" si="256"/>
        <v>0</v>
      </c>
      <c r="M559" s="584">
        <f t="shared" si="256"/>
        <v>0</v>
      </c>
      <c r="N559" s="584">
        <f t="shared" si="256"/>
        <v>0</v>
      </c>
      <c r="O559" s="584">
        <f t="shared" si="256"/>
        <v>0</v>
      </c>
      <c r="P559" s="584">
        <f t="shared" si="256"/>
        <v>0</v>
      </c>
      <c r="Q559" s="584">
        <f t="shared" si="256"/>
        <v>0</v>
      </c>
      <c r="R559" s="584">
        <f t="shared" si="256"/>
        <v>0</v>
      </c>
      <c r="S559" s="584">
        <f t="shared" si="256"/>
        <v>0</v>
      </c>
      <c r="T559" s="584">
        <f t="shared" si="256"/>
        <v>2235602</v>
      </c>
      <c r="U559" s="584">
        <f t="shared" si="256"/>
        <v>0</v>
      </c>
      <c r="V559" s="584">
        <f t="shared" si="256"/>
        <v>2235602</v>
      </c>
      <c r="W559" s="532"/>
      <c r="X559" s="532"/>
      <c r="Y559" s="532"/>
      <c r="Z559" s="532"/>
    </row>
    <row r="560" spans="1:26" ht="12.6" customHeight="1" x14ac:dyDescent="0.25">
      <c r="A560" s="577"/>
      <c r="B560" s="569"/>
      <c r="C560" s="569"/>
      <c r="D560" s="580"/>
      <c r="E560" s="586">
        <f>E559-E556</f>
        <v>0</v>
      </c>
      <c r="F560" s="586">
        <f t="shared" ref="F560:V560" si="257">F559-F556</f>
        <v>0</v>
      </c>
      <c r="G560" s="586">
        <f t="shared" si="257"/>
        <v>0</v>
      </c>
      <c r="H560" s="586">
        <f>H559-H556</f>
        <v>0</v>
      </c>
      <c r="I560" s="586">
        <f t="shared" si="257"/>
        <v>0</v>
      </c>
      <c r="J560" s="586">
        <f>J559-J556</f>
        <v>0</v>
      </c>
      <c r="K560" s="586">
        <f t="shared" si="257"/>
        <v>0</v>
      </c>
      <c r="L560" s="586">
        <f t="shared" si="257"/>
        <v>0</v>
      </c>
      <c r="M560" s="586">
        <f t="shared" si="257"/>
        <v>0</v>
      </c>
      <c r="N560" s="586">
        <f t="shared" si="257"/>
        <v>0</v>
      </c>
      <c r="O560" s="586">
        <f t="shared" si="257"/>
        <v>0</v>
      </c>
      <c r="P560" s="586">
        <f t="shared" si="257"/>
        <v>0</v>
      </c>
      <c r="Q560" s="586">
        <f t="shared" si="257"/>
        <v>0</v>
      </c>
      <c r="R560" s="586">
        <f t="shared" si="257"/>
        <v>0</v>
      </c>
      <c r="S560" s="586">
        <f t="shared" si="257"/>
        <v>0</v>
      </c>
      <c r="T560" s="586">
        <f t="shared" si="257"/>
        <v>0</v>
      </c>
      <c r="U560" s="586">
        <f t="shared" si="257"/>
        <v>0</v>
      </c>
      <c r="V560" s="586">
        <f t="shared" si="257"/>
        <v>0</v>
      </c>
    </row>
    <row r="561" spans="1:26" s="533" customFormat="1" ht="12.6" customHeight="1" x14ac:dyDescent="0.25">
      <c r="A561" s="658"/>
      <c r="B561" s="660"/>
      <c r="C561" s="660"/>
      <c r="D561" s="661"/>
      <c r="E561" s="599"/>
      <c r="F561" s="570"/>
      <c r="G561" s="570"/>
      <c r="H561" s="570"/>
      <c r="I561" s="570"/>
      <c r="J561" s="570"/>
      <c r="K561" s="570"/>
      <c r="L561" s="570"/>
      <c r="M561" s="570"/>
      <c r="N561" s="570"/>
      <c r="O561" s="570"/>
      <c r="P561" s="570"/>
      <c r="Q561" s="570"/>
      <c r="R561" s="570"/>
      <c r="S561" s="570"/>
      <c r="T561" s="570"/>
      <c r="U561" s="570"/>
      <c r="V561" s="599"/>
    </row>
    <row r="562" spans="1:26" ht="12.6" customHeight="1" x14ac:dyDescent="0.25">
      <c r="A562" s="611" t="s">
        <v>288</v>
      </c>
      <c r="B562" s="612" t="s">
        <v>308</v>
      </c>
      <c r="C562" s="612"/>
      <c r="D562" s="617"/>
      <c r="E562" s="618"/>
      <c r="F562" s="613"/>
      <c r="G562" s="613"/>
      <c r="H562" s="613"/>
      <c r="I562" s="613"/>
      <c r="J562" s="613"/>
      <c r="K562" s="613"/>
      <c r="L562" s="613"/>
      <c r="M562" s="613"/>
      <c r="N562" s="613"/>
      <c r="O562" s="613"/>
      <c r="P562" s="613"/>
      <c r="Q562" s="613"/>
      <c r="R562" s="613"/>
      <c r="S562" s="613"/>
      <c r="T562" s="613">
        <f t="shared" ref="T562:T567" si="258">SUM(E562:S562)</f>
        <v>0</v>
      </c>
      <c r="U562" s="619"/>
      <c r="V562" s="614">
        <f t="shared" ref="V562:V567" si="259">T562-U562</f>
        <v>0</v>
      </c>
    </row>
    <row r="563" spans="1:26" s="533" customFormat="1" ht="12.6" customHeight="1" x14ac:dyDescent="0.25">
      <c r="A563" s="604" t="s">
        <v>62</v>
      </c>
      <c r="B563" s="569" t="s">
        <v>261</v>
      </c>
      <c r="C563" s="569"/>
      <c r="D563" s="580"/>
      <c r="E563" s="602"/>
      <c r="F563" s="570"/>
      <c r="G563" s="570"/>
      <c r="H563" s="570"/>
      <c r="I563" s="570"/>
      <c r="J563" s="570"/>
      <c r="K563" s="570"/>
      <c r="L563" s="570"/>
      <c r="M563" s="570"/>
      <c r="N563" s="570"/>
      <c r="O563" s="570"/>
      <c r="P563" s="570"/>
      <c r="Q563" s="570"/>
      <c r="R563" s="570"/>
      <c r="S563" s="570"/>
      <c r="T563" s="570">
        <f t="shared" si="258"/>
        <v>0</v>
      </c>
      <c r="U563" s="603"/>
      <c r="V563" s="599">
        <f t="shared" si="259"/>
        <v>0</v>
      </c>
    </row>
    <row r="564" spans="1:26" s="533" customFormat="1" ht="12.6" customHeight="1" x14ac:dyDescent="0.25">
      <c r="A564" s="573"/>
      <c r="B564" s="695" t="s">
        <v>355</v>
      </c>
      <c r="C564" s="569"/>
      <c r="D564" s="580"/>
      <c r="E564" s="602"/>
      <c r="F564" s="570"/>
      <c r="G564" s="570"/>
      <c r="H564" s="570"/>
      <c r="I564" s="570"/>
      <c r="J564" s="570"/>
      <c r="K564" s="570"/>
      <c r="L564" s="570"/>
      <c r="M564" s="570"/>
      <c r="N564" s="570"/>
      <c r="O564" s="570"/>
      <c r="P564" s="570"/>
      <c r="Q564" s="570"/>
      <c r="R564" s="570"/>
      <c r="S564" s="570"/>
      <c r="T564" s="570">
        <f t="shared" si="258"/>
        <v>0</v>
      </c>
      <c r="U564" s="603"/>
      <c r="V564" s="599">
        <f>T564-U564</f>
        <v>0</v>
      </c>
    </row>
    <row r="565" spans="1:26" s="533" customFormat="1" ht="12.6" customHeight="1" x14ac:dyDescent="0.25">
      <c r="A565" s="573"/>
      <c r="B565" s="569" t="s">
        <v>145</v>
      </c>
      <c r="C565" s="569"/>
      <c r="D565" s="580"/>
      <c r="E565" s="602"/>
      <c r="F565" s="570"/>
      <c r="G565" s="570"/>
      <c r="H565" s="570"/>
      <c r="I565" s="570"/>
      <c r="J565" s="570"/>
      <c r="K565" s="570"/>
      <c r="L565" s="570"/>
      <c r="M565" s="570"/>
      <c r="N565" s="570"/>
      <c r="O565" s="570"/>
      <c r="P565" s="570"/>
      <c r="Q565" s="570"/>
      <c r="R565" s="570"/>
      <c r="S565" s="570"/>
      <c r="T565" s="570">
        <f t="shared" si="258"/>
        <v>0</v>
      </c>
      <c r="U565" s="603"/>
      <c r="V565" s="599">
        <f t="shared" si="259"/>
        <v>0</v>
      </c>
    </row>
    <row r="566" spans="1:26" s="533" customFormat="1" ht="12.6" customHeight="1" x14ac:dyDescent="0.25">
      <c r="A566" s="573"/>
      <c r="B566" s="569" t="s">
        <v>179</v>
      </c>
      <c r="C566" s="569"/>
      <c r="D566" s="580"/>
      <c r="E566" s="605"/>
      <c r="F566" s="601"/>
      <c r="G566" s="601"/>
      <c r="H566" s="601"/>
      <c r="I566" s="601"/>
      <c r="J566" s="601"/>
      <c r="K566" s="601"/>
      <c r="L566" s="601"/>
      <c r="M566" s="601"/>
      <c r="N566" s="601"/>
      <c r="O566" s="601"/>
      <c r="P566" s="601"/>
      <c r="Q566" s="601"/>
      <c r="R566" s="601"/>
      <c r="S566" s="601"/>
      <c r="T566" s="601">
        <f t="shared" si="258"/>
        <v>0</v>
      </c>
      <c r="U566" s="606"/>
      <c r="V566" s="599">
        <f>T566-U566</f>
        <v>0</v>
      </c>
    </row>
    <row r="567" spans="1:26" s="533" customFormat="1" ht="12.6" customHeight="1" thickBot="1" x14ac:dyDescent="0.3">
      <c r="A567" s="573"/>
      <c r="B567" s="569" t="s">
        <v>409</v>
      </c>
      <c r="C567" s="569"/>
      <c r="D567" s="580"/>
      <c r="E567" s="602"/>
      <c r="F567" s="570"/>
      <c r="G567" s="570"/>
      <c r="H567" s="570"/>
      <c r="I567" s="570"/>
      <c r="J567" s="570"/>
      <c r="K567" s="570"/>
      <c r="L567" s="570"/>
      <c r="M567" s="570"/>
      <c r="N567" s="570"/>
      <c r="O567" s="570"/>
      <c r="P567" s="570"/>
      <c r="Q567" s="570"/>
      <c r="R567" s="570"/>
      <c r="S567" s="570"/>
      <c r="T567" s="570">
        <f t="shared" si="258"/>
        <v>0</v>
      </c>
      <c r="U567" s="603"/>
      <c r="V567" s="599">
        <f t="shared" si="259"/>
        <v>0</v>
      </c>
    </row>
    <row r="568" spans="1:26" s="533" customFormat="1" ht="12.6" customHeight="1" thickBot="1" x14ac:dyDescent="0.3">
      <c r="A568" s="573"/>
      <c r="B568" s="581" t="s">
        <v>346</v>
      </c>
      <c r="C568" s="569"/>
      <c r="D568" s="580"/>
      <c r="E568" s="582">
        <f>SUM(E562:E567)</f>
        <v>0</v>
      </c>
      <c r="F568" s="582">
        <f t="shared" ref="F568:V568" si="260">SUM(F562:F567)</f>
        <v>0</v>
      </c>
      <c r="G568" s="582">
        <f t="shared" si="260"/>
        <v>0</v>
      </c>
      <c r="H568" s="582">
        <f>SUM(H562:H567)</f>
        <v>0</v>
      </c>
      <c r="I568" s="582">
        <f t="shared" si="260"/>
        <v>0</v>
      </c>
      <c r="J568" s="582">
        <f>SUM(J562:J567)</f>
        <v>0</v>
      </c>
      <c r="K568" s="582">
        <f t="shared" si="260"/>
        <v>0</v>
      </c>
      <c r="L568" s="582">
        <f t="shared" si="260"/>
        <v>0</v>
      </c>
      <c r="M568" s="582">
        <f t="shared" si="260"/>
        <v>0</v>
      </c>
      <c r="N568" s="582">
        <f t="shared" si="260"/>
        <v>0</v>
      </c>
      <c r="O568" s="582">
        <f t="shared" si="260"/>
        <v>0</v>
      </c>
      <c r="P568" s="582">
        <f t="shared" si="260"/>
        <v>0</v>
      </c>
      <c r="Q568" s="582">
        <f t="shared" si="260"/>
        <v>0</v>
      </c>
      <c r="R568" s="582">
        <f t="shared" si="260"/>
        <v>0</v>
      </c>
      <c r="S568" s="582">
        <f t="shared" si="260"/>
        <v>0</v>
      </c>
      <c r="T568" s="582">
        <f t="shared" si="260"/>
        <v>0</v>
      </c>
      <c r="U568" s="582">
        <f t="shared" si="260"/>
        <v>0</v>
      </c>
      <c r="V568" s="582">
        <f t="shared" si="260"/>
        <v>0</v>
      </c>
    </row>
    <row r="569" spans="1:26" ht="12.6" customHeight="1" x14ac:dyDescent="0.25">
      <c r="A569" s="577"/>
      <c r="B569" s="581"/>
      <c r="C569" s="569"/>
      <c r="D569" s="583" t="s">
        <v>347</v>
      </c>
      <c r="E569" s="584">
        <f>SUM(E564:E567)</f>
        <v>0</v>
      </c>
      <c r="F569" s="584">
        <f t="shared" ref="F569:V569" si="261">SUM(F564:F567)</f>
        <v>0</v>
      </c>
      <c r="G569" s="584">
        <f t="shared" si="261"/>
        <v>0</v>
      </c>
      <c r="H569" s="584">
        <f>SUM(H564:H567)</f>
        <v>0</v>
      </c>
      <c r="I569" s="584">
        <f t="shared" si="261"/>
        <v>0</v>
      </c>
      <c r="J569" s="584">
        <f>SUM(J564:J567)</f>
        <v>0</v>
      </c>
      <c r="K569" s="584">
        <f t="shared" si="261"/>
        <v>0</v>
      </c>
      <c r="L569" s="584">
        <f t="shared" si="261"/>
        <v>0</v>
      </c>
      <c r="M569" s="584">
        <f t="shared" si="261"/>
        <v>0</v>
      </c>
      <c r="N569" s="584">
        <f t="shared" si="261"/>
        <v>0</v>
      </c>
      <c r="O569" s="584">
        <f t="shared" si="261"/>
        <v>0</v>
      </c>
      <c r="P569" s="584">
        <f t="shared" si="261"/>
        <v>0</v>
      </c>
      <c r="Q569" s="584">
        <f t="shared" si="261"/>
        <v>0</v>
      </c>
      <c r="R569" s="584">
        <f t="shared" si="261"/>
        <v>0</v>
      </c>
      <c r="S569" s="584">
        <f t="shared" si="261"/>
        <v>0</v>
      </c>
      <c r="T569" s="584">
        <f t="shared" si="261"/>
        <v>0</v>
      </c>
      <c r="U569" s="584">
        <f t="shared" si="261"/>
        <v>0</v>
      </c>
      <c r="V569" s="584">
        <f t="shared" si="261"/>
        <v>0</v>
      </c>
      <c r="W569" s="532"/>
      <c r="X569" s="532"/>
      <c r="Y569" s="532"/>
      <c r="Z569" s="532"/>
    </row>
    <row r="570" spans="1:26" ht="12.6" customHeight="1" x14ac:dyDescent="0.25">
      <c r="A570" s="577"/>
      <c r="B570" s="581"/>
      <c r="C570" s="569"/>
      <c r="D570" s="583" t="s">
        <v>348</v>
      </c>
      <c r="E570" s="584">
        <f>SUM(E562:E563)</f>
        <v>0</v>
      </c>
      <c r="F570" s="584">
        <f t="shared" ref="F570:V570" si="262">SUM(F562:F563)</f>
        <v>0</v>
      </c>
      <c r="G570" s="584">
        <f t="shared" si="262"/>
        <v>0</v>
      </c>
      <c r="H570" s="584">
        <f>SUM(H562:H563)</f>
        <v>0</v>
      </c>
      <c r="I570" s="584">
        <f t="shared" si="262"/>
        <v>0</v>
      </c>
      <c r="J570" s="584">
        <f>SUM(J562:J563)</f>
        <v>0</v>
      </c>
      <c r="K570" s="584">
        <f t="shared" si="262"/>
        <v>0</v>
      </c>
      <c r="L570" s="584">
        <f t="shared" si="262"/>
        <v>0</v>
      </c>
      <c r="M570" s="584">
        <f t="shared" si="262"/>
        <v>0</v>
      </c>
      <c r="N570" s="584">
        <f t="shared" si="262"/>
        <v>0</v>
      </c>
      <c r="O570" s="584">
        <f t="shared" si="262"/>
        <v>0</v>
      </c>
      <c r="P570" s="584">
        <f t="shared" si="262"/>
        <v>0</v>
      </c>
      <c r="Q570" s="584">
        <f t="shared" si="262"/>
        <v>0</v>
      </c>
      <c r="R570" s="584">
        <f t="shared" si="262"/>
        <v>0</v>
      </c>
      <c r="S570" s="584">
        <f t="shared" si="262"/>
        <v>0</v>
      </c>
      <c r="T570" s="584">
        <f t="shared" si="262"/>
        <v>0</v>
      </c>
      <c r="U570" s="584">
        <f t="shared" si="262"/>
        <v>0</v>
      </c>
      <c r="V570" s="584">
        <f t="shared" si="262"/>
        <v>0</v>
      </c>
      <c r="W570" s="532"/>
      <c r="X570" s="532"/>
      <c r="Y570" s="532"/>
      <c r="Z570" s="532"/>
    </row>
    <row r="571" spans="1:26" ht="12.6" customHeight="1" x14ac:dyDescent="0.25">
      <c r="A571" s="577"/>
      <c r="B571" s="581"/>
      <c r="C571" s="569"/>
      <c r="D571" s="580"/>
      <c r="E571" s="584">
        <f>SUM(E569:E570)</f>
        <v>0</v>
      </c>
      <c r="F571" s="584">
        <f t="shared" ref="F571:V571" si="263">SUM(F569:F570)</f>
        <v>0</v>
      </c>
      <c r="G571" s="584">
        <f t="shared" si="263"/>
        <v>0</v>
      </c>
      <c r="H571" s="584">
        <f>SUM(H569:H570)</f>
        <v>0</v>
      </c>
      <c r="I571" s="584">
        <f t="shared" si="263"/>
        <v>0</v>
      </c>
      <c r="J571" s="584">
        <f>SUM(J569:J570)</f>
        <v>0</v>
      </c>
      <c r="K571" s="584">
        <f t="shared" si="263"/>
        <v>0</v>
      </c>
      <c r="L571" s="584">
        <f t="shared" si="263"/>
        <v>0</v>
      </c>
      <c r="M571" s="584">
        <f t="shared" si="263"/>
        <v>0</v>
      </c>
      <c r="N571" s="584">
        <f t="shared" si="263"/>
        <v>0</v>
      </c>
      <c r="O571" s="584">
        <f t="shared" si="263"/>
        <v>0</v>
      </c>
      <c r="P571" s="584">
        <f t="shared" si="263"/>
        <v>0</v>
      </c>
      <c r="Q571" s="584">
        <f t="shared" si="263"/>
        <v>0</v>
      </c>
      <c r="R571" s="584">
        <f t="shared" si="263"/>
        <v>0</v>
      </c>
      <c r="S571" s="584">
        <f t="shared" si="263"/>
        <v>0</v>
      </c>
      <c r="T571" s="584">
        <f t="shared" si="263"/>
        <v>0</v>
      </c>
      <c r="U571" s="584">
        <f t="shared" si="263"/>
        <v>0</v>
      </c>
      <c r="V571" s="584">
        <f t="shared" si="263"/>
        <v>0</v>
      </c>
      <c r="W571" s="532"/>
      <c r="X571" s="532"/>
      <c r="Y571" s="532"/>
      <c r="Z571" s="532"/>
    </row>
    <row r="572" spans="1:26" ht="12.6" customHeight="1" x14ac:dyDescent="0.25">
      <c r="A572" s="577"/>
      <c r="B572" s="569"/>
      <c r="C572" s="569"/>
      <c r="D572" s="580"/>
      <c r="E572" s="586"/>
      <c r="F572" s="586"/>
      <c r="G572" s="586">
        <f t="shared" ref="G572:V572" si="264">G571-G568</f>
        <v>0</v>
      </c>
      <c r="H572" s="586">
        <f>H571-H568</f>
        <v>0</v>
      </c>
      <c r="I572" s="586">
        <f t="shared" si="264"/>
        <v>0</v>
      </c>
      <c r="J572" s="586">
        <f>J571-J568</f>
        <v>0</v>
      </c>
      <c r="K572" s="586">
        <f t="shared" si="264"/>
        <v>0</v>
      </c>
      <c r="L572" s="586">
        <f t="shared" si="264"/>
        <v>0</v>
      </c>
      <c r="M572" s="586">
        <f t="shared" si="264"/>
        <v>0</v>
      </c>
      <c r="N572" s="586">
        <f t="shared" si="264"/>
        <v>0</v>
      </c>
      <c r="O572" s="586">
        <f t="shared" si="264"/>
        <v>0</v>
      </c>
      <c r="P572" s="586">
        <f t="shared" si="264"/>
        <v>0</v>
      </c>
      <c r="Q572" s="586">
        <f t="shared" si="264"/>
        <v>0</v>
      </c>
      <c r="R572" s="586">
        <f t="shared" si="264"/>
        <v>0</v>
      </c>
      <c r="S572" s="586">
        <f t="shared" si="264"/>
        <v>0</v>
      </c>
      <c r="T572" s="586">
        <f t="shared" si="264"/>
        <v>0</v>
      </c>
      <c r="U572" s="586">
        <f t="shared" si="264"/>
        <v>0</v>
      </c>
      <c r="V572" s="586">
        <f t="shared" si="264"/>
        <v>0</v>
      </c>
    </row>
    <row r="573" spans="1:26" ht="12.6" customHeight="1" x14ac:dyDescent="0.25">
      <c r="A573" s="611" t="s">
        <v>410</v>
      </c>
      <c r="B573" s="612" t="s">
        <v>263</v>
      </c>
      <c r="C573" s="612"/>
      <c r="D573" s="612"/>
      <c r="E573" s="602">
        <v>20000</v>
      </c>
      <c r="F573" s="570">
        <f>'CABAC Non-Fid 2025'!G204</f>
        <v>0</v>
      </c>
      <c r="G573" s="570"/>
      <c r="H573" s="570"/>
      <c r="I573" s="570"/>
      <c r="J573" s="1236"/>
      <c r="K573" s="570"/>
      <c r="L573" s="570"/>
      <c r="M573" s="570"/>
      <c r="N573" s="570"/>
      <c r="O573" s="570"/>
      <c r="P573" s="570"/>
      <c r="Q573" s="570"/>
      <c r="R573" s="570"/>
      <c r="S573" s="570"/>
      <c r="T573" s="613">
        <f t="shared" ref="T573:T578" si="265">SUM(E573:S573)</f>
        <v>20000</v>
      </c>
      <c r="U573" s="619"/>
      <c r="V573" s="614">
        <f t="shared" ref="V573:V574" si="266">T573-U573</f>
        <v>20000</v>
      </c>
    </row>
    <row r="574" spans="1:26" s="533" customFormat="1" ht="12.6" customHeight="1" x14ac:dyDescent="0.25">
      <c r="A574" s="604" t="s">
        <v>58</v>
      </c>
      <c r="B574" s="569" t="s">
        <v>261</v>
      </c>
      <c r="C574" s="569"/>
      <c r="D574" s="580"/>
      <c r="E574" s="602"/>
      <c r="F574" s="570"/>
      <c r="G574" s="570"/>
      <c r="H574" s="570"/>
      <c r="I574" s="570"/>
      <c r="J574" s="570"/>
      <c r="K574" s="570"/>
      <c r="L574" s="570"/>
      <c r="M574" s="570"/>
      <c r="N574" s="570"/>
      <c r="O574" s="570"/>
      <c r="P574" s="570"/>
      <c r="Q574" s="570"/>
      <c r="R574" s="570"/>
      <c r="S574" s="570"/>
      <c r="T574" s="570">
        <f t="shared" si="265"/>
        <v>0</v>
      </c>
      <c r="U574" s="603"/>
      <c r="V574" s="599">
        <f t="shared" si="266"/>
        <v>0</v>
      </c>
    </row>
    <row r="575" spans="1:26" s="533" customFormat="1" ht="12.6" customHeight="1" x14ac:dyDescent="0.25">
      <c r="A575" s="573"/>
      <c r="B575" s="695" t="s">
        <v>355</v>
      </c>
      <c r="C575" s="569"/>
      <c r="D575" s="580"/>
      <c r="E575" s="602"/>
      <c r="F575" s="570"/>
      <c r="G575" s="570"/>
      <c r="H575" s="570"/>
      <c r="I575" s="570"/>
      <c r="J575" s="570"/>
      <c r="K575" s="570"/>
      <c r="L575" s="570"/>
      <c r="M575" s="570"/>
      <c r="N575" s="570"/>
      <c r="O575" s="570"/>
      <c r="P575" s="570"/>
      <c r="Q575" s="570"/>
      <c r="R575" s="570"/>
      <c r="S575" s="570"/>
      <c r="T575" s="570">
        <f t="shared" si="265"/>
        <v>0</v>
      </c>
      <c r="U575" s="603"/>
      <c r="V575" s="599">
        <f>T575-U575</f>
        <v>0</v>
      </c>
    </row>
    <row r="576" spans="1:26" s="533" customFormat="1" ht="12.6" customHeight="1" x14ac:dyDescent="0.25">
      <c r="A576" s="573"/>
      <c r="B576" s="569" t="s">
        <v>145</v>
      </c>
      <c r="C576" s="569"/>
      <c r="D576" s="580"/>
      <c r="E576" s="602"/>
      <c r="F576" s="570"/>
      <c r="G576" s="570"/>
      <c r="H576" s="570"/>
      <c r="I576" s="570"/>
      <c r="J576" s="570"/>
      <c r="K576" s="570"/>
      <c r="L576" s="570"/>
      <c r="M576" s="570"/>
      <c r="N576" s="570"/>
      <c r="O576" s="570"/>
      <c r="P576" s="570"/>
      <c r="Q576" s="570"/>
      <c r="R576" s="570"/>
      <c r="S576" s="570"/>
      <c r="T576" s="570">
        <f t="shared" si="265"/>
        <v>0</v>
      </c>
      <c r="U576" s="603"/>
      <c r="V576" s="599">
        <f t="shared" ref="V576" si="267">T576-U576</f>
        <v>0</v>
      </c>
    </row>
    <row r="577" spans="1:26" s="533" customFormat="1" ht="12.6" customHeight="1" x14ac:dyDescent="0.25">
      <c r="A577" s="573"/>
      <c r="B577" s="569" t="s">
        <v>179</v>
      </c>
      <c r="C577" s="569"/>
      <c r="D577" s="580"/>
      <c r="E577" s="605"/>
      <c r="F577" s="601"/>
      <c r="G577" s="601"/>
      <c r="H577" s="601"/>
      <c r="I577" s="601"/>
      <c r="J577" s="601"/>
      <c r="K577" s="601"/>
      <c r="L577" s="601"/>
      <c r="M577" s="601"/>
      <c r="N577" s="601"/>
      <c r="O577" s="601"/>
      <c r="P577" s="601"/>
      <c r="Q577" s="601"/>
      <c r="R577" s="601"/>
      <c r="S577" s="601"/>
      <c r="T577" s="601">
        <f t="shared" si="265"/>
        <v>0</v>
      </c>
      <c r="U577" s="606"/>
      <c r="V577" s="599">
        <f>T577-U577</f>
        <v>0</v>
      </c>
    </row>
    <row r="578" spans="1:26" s="533" customFormat="1" ht="12.6" customHeight="1" thickBot="1" x14ac:dyDescent="0.3">
      <c r="A578" s="573"/>
      <c r="B578" s="569" t="s">
        <v>409</v>
      </c>
      <c r="C578" s="569"/>
      <c r="D578" s="580"/>
      <c r="E578" s="602"/>
      <c r="F578" s="570"/>
      <c r="G578" s="570"/>
      <c r="H578" s="570"/>
      <c r="I578" s="570"/>
      <c r="J578" s="570"/>
      <c r="K578" s="570"/>
      <c r="L578" s="570"/>
      <c r="M578" s="570"/>
      <c r="N578" s="570"/>
      <c r="O578" s="570"/>
      <c r="P578" s="570"/>
      <c r="Q578" s="570"/>
      <c r="R578" s="570"/>
      <c r="S578" s="570"/>
      <c r="T578" s="570">
        <f t="shared" si="265"/>
        <v>0</v>
      </c>
      <c r="U578" s="603"/>
      <c r="V578" s="599">
        <f t="shared" ref="V578" si="268">T578-U578</f>
        <v>0</v>
      </c>
    </row>
    <row r="579" spans="1:26" s="533" customFormat="1" ht="12.6" customHeight="1" thickBot="1" x14ac:dyDescent="0.3">
      <c r="A579" s="573"/>
      <c r="B579" s="581" t="s">
        <v>346</v>
      </c>
      <c r="C579" s="569"/>
      <c r="D579" s="580"/>
      <c r="E579" s="582">
        <f>SUM(E573:E578)</f>
        <v>20000</v>
      </c>
      <c r="F579" s="582">
        <f t="shared" ref="F579:G579" si="269">SUM(F573:F578)</f>
        <v>0</v>
      </c>
      <c r="G579" s="582">
        <f t="shared" si="269"/>
        <v>0</v>
      </c>
      <c r="H579" s="582">
        <f>SUM(H573:H578)</f>
        <v>0</v>
      </c>
      <c r="I579" s="582">
        <f t="shared" ref="I579" si="270">SUM(I573:I578)</f>
        <v>0</v>
      </c>
      <c r="J579" s="582">
        <f>SUM(J573:J578)</f>
        <v>0</v>
      </c>
      <c r="K579" s="582">
        <f t="shared" ref="K579:V579" si="271">SUM(K573:K578)</f>
        <v>0</v>
      </c>
      <c r="L579" s="582">
        <f t="shared" si="271"/>
        <v>0</v>
      </c>
      <c r="M579" s="582">
        <f t="shared" si="271"/>
        <v>0</v>
      </c>
      <c r="N579" s="582">
        <f t="shared" si="271"/>
        <v>0</v>
      </c>
      <c r="O579" s="582">
        <f t="shared" si="271"/>
        <v>0</v>
      </c>
      <c r="P579" s="582">
        <f t="shared" si="271"/>
        <v>0</v>
      </c>
      <c r="Q579" s="582">
        <f t="shared" si="271"/>
        <v>0</v>
      </c>
      <c r="R579" s="582">
        <f t="shared" si="271"/>
        <v>0</v>
      </c>
      <c r="S579" s="582">
        <f t="shared" si="271"/>
        <v>0</v>
      </c>
      <c r="T579" s="582">
        <f t="shared" si="271"/>
        <v>20000</v>
      </c>
      <c r="U579" s="582">
        <f t="shared" si="271"/>
        <v>0</v>
      </c>
      <c r="V579" s="582">
        <f t="shared" si="271"/>
        <v>20000</v>
      </c>
    </row>
    <row r="580" spans="1:26" ht="12.6" customHeight="1" x14ac:dyDescent="0.25">
      <c r="A580" s="577"/>
      <c r="B580" s="581"/>
      <c r="C580" s="569"/>
      <c r="D580" s="583" t="s">
        <v>347</v>
      </c>
      <c r="E580" s="730">
        <f>SUM(E575:E578)</f>
        <v>0</v>
      </c>
      <c r="F580" s="730">
        <f t="shared" ref="F580:G580" si="272">SUM(F575:F578)</f>
        <v>0</v>
      </c>
      <c r="G580" s="584">
        <f t="shared" si="272"/>
        <v>0</v>
      </c>
      <c r="H580" s="584">
        <f>SUM(H575:H578)</f>
        <v>0</v>
      </c>
      <c r="I580" s="584">
        <f t="shared" ref="I580" si="273">SUM(I575:I578)</f>
        <v>0</v>
      </c>
      <c r="J580" s="584">
        <f>SUM(J575:J578)</f>
        <v>0</v>
      </c>
      <c r="K580" s="584">
        <f t="shared" ref="K580:V580" si="274">SUM(K575:K578)</f>
        <v>0</v>
      </c>
      <c r="L580" s="584">
        <f t="shared" si="274"/>
        <v>0</v>
      </c>
      <c r="M580" s="584">
        <f t="shared" si="274"/>
        <v>0</v>
      </c>
      <c r="N580" s="584">
        <f t="shared" si="274"/>
        <v>0</v>
      </c>
      <c r="O580" s="584">
        <f t="shared" si="274"/>
        <v>0</v>
      </c>
      <c r="P580" s="584">
        <f t="shared" si="274"/>
        <v>0</v>
      </c>
      <c r="Q580" s="584">
        <f t="shared" si="274"/>
        <v>0</v>
      </c>
      <c r="R580" s="584">
        <f t="shared" si="274"/>
        <v>0</v>
      </c>
      <c r="S580" s="584">
        <f t="shared" si="274"/>
        <v>0</v>
      </c>
      <c r="T580" s="584">
        <f t="shared" si="274"/>
        <v>0</v>
      </c>
      <c r="U580" s="584">
        <f t="shared" si="274"/>
        <v>0</v>
      </c>
      <c r="V580" s="584">
        <f t="shared" si="274"/>
        <v>0</v>
      </c>
      <c r="W580" s="532"/>
      <c r="X580" s="532"/>
      <c r="Y580" s="532"/>
      <c r="Z580" s="532"/>
    </row>
    <row r="581" spans="1:26" ht="12.6" customHeight="1" x14ac:dyDescent="0.25">
      <c r="A581" s="577"/>
      <c r="B581" s="581"/>
      <c r="C581" s="569"/>
      <c r="D581" s="583" t="s">
        <v>348</v>
      </c>
      <c r="E581" s="730">
        <f>SUM(E573:E574)</f>
        <v>20000</v>
      </c>
      <c r="F581" s="730">
        <f t="shared" ref="F581:G581" si="275">SUM(F573:F574)</f>
        <v>0</v>
      </c>
      <c r="G581" s="584">
        <f t="shared" si="275"/>
        <v>0</v>
      </c>
      <c r="H581" s="584">
        <f>SUM(H573:H574)</f>
        <v>0</v>
      </c>
      <c r="I581" s="584">
        <f t="shared" ref="I581" si="276">SUM(I573:I574)</f>
        <v>0</v>
      </c>
      <c r="J581" s="584">
        <f>SUM(J573:J574)</f>
        <v>0</v>
      </c>
      <c r="K581" s="584">
        <f t="shared" ref="K581:V581" si="277">SUM(K573:K574)</f>
        <v>0</v>
      </c>
      <c r="L581" s="584">
        <f t="shared" si="277"/>
        <v>0</v>
      </c>
      <c r="M581" s="584">
        <f t="shared" si="277"/>
        <v>0</v>
      </c>
      <c r="N581" s="584">
        <f t="shared" si="277"/>
        <v>0</v>
      </c>
      <c r="O581" s="584">
        <f t="shared" si="277"/>
        <v>0</v>
      </c>
      <c r="P581" s="584">
        <f t="shared" si="277"/>
        <v>0</v>
      </c>
      <c r="Q581" s="584">
        <f t="shared" si="277"/>
        <v>0</v>
      </c>
      <c r="R581" s="584">
        <f t="shared" si="277"/>
        <v>0</v>
      </c>
      <c r="S581" s="584">
        <f t="shared" si="277"/>
        <v>0</v>
      </c>
      <c r="T581" s="584">
        <f t="shared" si="277"/>
        <v>20000</v>
      </c>
      <c r="U581" s="584">
        <f t="shared" si="277"/>
        <v>0</v>
      </c>
      <c r="V581" s="584">
        <f t="shared" si="277"/>
        <v>20000</v>
      </c>
      <c r="W581" s="532"/>
      <c r="X581" s="532"/>
      <c r="Y581" s="532"/>
      <c r="Z581" s="532"/>
    </row>
    <row r="582" spans="1:26" ht="12.6" customHeight="1" x14ac:dyDescent="0.25">
      <c r="A582" s="577"/>
      <c r="B582" s="581"/>
      <c r="C582" s="569"/>
      <c r="D582" s="580"/>
      <c r="E582" s="730">
        <f>SUM(E580:E581)</f>
        <v>20000</v>
      </c>
      <c r="F582" s="730">
        <f t="shared" ref="F582:G582" si="278">SUM(F580:F581)</f>
        <v>0</v>
      </c>
      <c r="G582" s="584">
        <f t="shared" si="278"/>
        <v>0</v>
      </c>
      <c r="H582" s="584">
        <f>SUM(H580:H581)</f>
        <v>0</v>
      </c>
      <c r="I582" s="584">
        <f t="shared" ref="I582" si="279">SUM(I580:I581)</f>
        <v>0</v>
      </c>
      <c r="J582" s="584">
        <f>SUM(J580:J581)</f>
        <v>0</v>
      </c>
      <c r="K582" s="584">
        <f t="shared" ref="K582:V582" si="280">SUM(K580:K581)</f>
        <v>0</v>
      </c>
      <c r="L582" s="584">
        <f t="shared" si="280"/>
        <v>0</v>
      </c>
      <c r="M582" s="584">
        <f t="shared" si="280"/>
        <v>0</v>
      </c>
      <c r="N582" s="584">
        <f t="shared" si="280"/>
        <v>0</v>
      </c>
      <c r="O582" s="584">
        <f t="shared" si="280"/>
        <v>0</v>
      </c>
      <c r="P582" s="584">
        <f t="shared" si="280"/>
        <v>0</v>
      </c>
      <c r="Q582" s="584">
        <f t="shared" si="280"/>
        <v>0</v>
      </c>
      <c r="R582" s="584">
        <f t="shared" si="280"/>
        <v>0</v>
      </c>
      <c r="S582" s="584">
        <f t="shared" si="280"/>
        <v>0</v>
      </c>
      <c r="T582" s="584">
        <f t="shared" si="280"/>
        <v>20000</v>
      </c>
      <c r="U582" s="584">
        <f t="shared" si="280"/>
        <v>0</v>
      </c>
      <c r="V582" s="584">
        <f t="shared" si="280"/>
        <v>20000</v>
      </c>
      <c r="W582" s="532"/>
      <c r="X582" s="532"/>
      <c r="Y582" s="532"/>
      <c r="Z582" s="532"/>
    </row>
    <row r="583" spans="1:26" ht="12.6" customHeight="1" x14ac:dyDescent="0.25">
      <c r="A583" s="577"/>
      <c r="B583" s="569"/>
      <c r="C583" s="569"/>
      <c r="D583" s="580"/>
      <c r="E583" s="1234">
        <f>E582-E579</f>
        <v>0</v>
      </c>
      <c r="F583" s="1234">
        <f t="shared" ref="F583:G583" si="281">F582-F579</f>
        <v>0</v>
      </c>
      <c r="G583" s="1234">
        <f t="shared" si="281"/>
        <v>0</v>
      </c>
      <c r="H583" s="1234">
        <f>H582-H579</f>
        <v>0</v>
      </c>
      <c r="I583" s="1234">
        <f t="shared" ref="I583" si="282">I582-I579</f>
        <v>0</v>
      </c>
      <c r="J583" s="1234">
        <f>J582-J579</f>
        <v>0</v>
      </c>
      <c r="K583" s="1234">
        <f t="shared" ref="K583:V583" si="283">K582-K579</f>
        <v>0</v>
      </c>
      <c r="L583" s="1234">
        <f t="shared" si="283"/>
        <v>0</v>
      </c>
      <c r="M583" s="1234">
        <f t="shared" si="283"/>
        <v>0</v>
      </c>
      <c r="N583" s="1234">
        <f t="shared" si="283"/>
        <v>0</v>
      </c>
      <c r="O583" s="1234">
        <f t="shared" si="283"/>
        <v>0</v>
      </c>
      <c r="P583" s="1234">
        <f t="shared" si="283"/>
        <v>0</v>
      </c>
      <c r="Q583" s="1234">
        <f t="shared" si="283"/>
        <v>0</v>
      </c>
      <c r="R583" s="1234">
        <f t="shared" si="283"/>
        <v>0</v>
      </c>
      <c r="S583" s="1234">
        <f t="shared" si="283"/>
        <v>0</v>
      </c>
      <c r="T583" s="1234">
        <f t="shared" si="283"/>
        <v>0</v>
      </c>
      <c r="U583" s="1234">
        <f t="shared" si="283"/>
        <v>0</v>
      </c>
      <c r="V583" s="1234">
        <f t="shared" si="283"/>
        <v>0</v>
      </c>
    </row>
    <row r="584" spans="1:26" s="533" customFormat="1" ht="12.6" customHeight="1" x14ac:dyDescent="0.25">
      <c r="A584" s="573"/>
      <c r="B584" s="569"/>
      <c r="C584" s="569"/>
      <c r="D584" s="617"/>
      <c r="E584" s="601"/>
      <c r="F584" s="601"/>
      <c r="G584" s="601"/>
      <c r="H584" s="601"/>
      <c r="I584" s="601"/>
      <c r="J584" s="601"/>
      <c r="K584" s="601"/>
      <c r="L584" s="601"/>
      <c r="M584" s="601"/>
      <c r="N584" s="601"/>
      <c r="O584" s="601"/>
      <c r="P584" s="601"/>
      <c r="Q584" s="601"/>
      <c r="R584" s="601"/>
      <c r="S584" s="601"/>
      <c r="T584" s="601"/>
      <c r="U584" s="606"/>
      <c r="V584" s="615"/>
    </row>
    <row r="585" spans="1:26" s="533" customFormat="1" ht="12.6" customHeight="1" x14ac:dyDescent="0.25">
      <c r="A585" s="573" t="s">
        <v>22</v>
      </c>
      <c r="B585" s="569" t="s">
        <v>261</v>
      </c>
      <c r="C585" s="569"/>
      <c r="D585" s="580"/>
      <c r="E585" s="602"/>
      <c r="F585" s="570">
        <f>'CABAC Non-Fid 2025'!G197</f>
        <v>0</v>
      </c>
      <c r="G585" s="570"/>
      <c r="H585" s="570"/>
      <c r="I585" s="570"/>
      <c r="J585" s="570"/>
      <c r="K585" s="570"/>
      <c r="L585" s="570"/>
      <c r="M585" s="570"/>
      <c r="N585" s="570"/>
      <c r="O585" s="570"/>
      <c r="P585" s="570"/>
      <c r="Q585" s="570"/>
      <c r="R585" s="570"/>
      <c r="S585" s="570"/>
      <c r="T585" s="570">
        <f>SUM(E585:S585)</f>
        <v>0</v>
      </c>
      <c r="U585" s="603"/>
      <c r="V585" s="599">
        <f>T585-U585</f>
        <v>0</v>
      </c>
    </row>
    <row r="586" spans="1:26" s="533" customFormat="1" ht="12.6" customHeight="1" x14ac:dyDescent="0.25">
      <c r="A586" s="604" t="s">
        <v>63</v>
      </c>
      <c r="B586" s="569" t="s">
        <v>145</v>
      </c>
      <c r="C586" s="569"/>
      <c r="D586" s="580"/>
      <c r="E586" s="605"/>
      <c r="F586" s="601">
        <f>'CABAC Fiduciary 2025'!F254</f>
        <v>0</v>
      </c>
      <c r="G586" s="601"/>
      <c r="H586" s="601"/>
      <c r="I586" s="601"/>
      <c r="J586" s="601"/>
      <c r="K586" s="601"/>
      <c r="L586" s="601"/>
      <c r="M586" s="601"/>
      <c r="N586" s="601"/>
      <c r="O586" s="601"/>
      <c r="P586" s="601"/>
      <c r="Q586" s="601"/>
      <c r="R586" s="601"/>
      <c r="S586" s="601"/>
      <c r="T586" s="601">
        <f>SUM(E586:S586)</f>
        <v>0</v>
      </c>
      <c r="U586" s="606"/>
      <c r="V586" s="599">
        <f>T586-U586</f>
        <v>0</v>
      </c>
    </row>
    <row r="587" spans="1:26" ht="12.6" customHeight="1" x14ac:dyDescent="0.25">
      <c r="A587" s="577"/>
      <c r="B587" s="569" t="s">
        <v>262</v>
      </c>
      <c r="C587" s="569"/>
      <c r="D587" s="569"/>
      <c r="E587" s="605"/>
      <c r="F587" s="601">
        <f>'CABAC Non-Fid 2025'!G198</f>
        <v>0</v>
      </c>
      <c r="G587" s="601"/>
      <c r="H587" s="601"/>
      <c r="I587" s="601"/>
      <c r="J587" s="601"/>
      <c r="K587" s="601"/>
      <c r="L587" s="601"/>
      <c r="M587" s="601"/>
      <c r="N587" s="601"/>
      <c r="O587" s="601"/>
      <c r="P587" s="601"/>
      <c r="Q587" s="601"/>
      <c r="R587" s="601"/>
      <c r="S587" s="601"/>
      <c r="T587" s="570">
        <f>SUM(E587:S587)</f>
        <v>0</v>
      </c>
      <c r="U587" s="606"/>
      <c r="V587" s="599">
        <f t="shared" ref="V587" si="284">T587-U587</f>
        <v>0</v>
      </c>
      <c r="W587" s="532"/>
      <c r="X587" s="532"/>
      <c r="Y587" s="532"/>
      <c r="Z587" s="532"/>
    </row>
    <row r="588" spans="1:26" s="533" customFormat="1" ht="12.6" customHeight="1" x14ac:dyDescent="0.25">
      <c r="A588" s="604"/>
      <c r="B588" s="569" t="s">
        <v>142</v>
      </c>
      <c r="C588" s="569"/>
      <c r="D588" s="580"/>
      <c r="E588" s="602"/>
      <c r="F588" s="570">
        <f>'CABAC Fiduciary 2025'!F256</f>
        <v>0</v>
      </c>
      <c r="G588" s="570"/>
      <c r="H588" s="570"/>
      <c r="I588" s="570"/>
      <c r="J588" s="570"/>
      <c r="K588" s="570"/>
      <c r="L588" s="570"/>
      <c r="M588" s="570"/>
      <c r="N588" s="570"/>
      <c r="O588" s="570"/>
      <c r="P588" s="570"/>
      <c r="Q588" s="570"/>
      <c r="R588" s="570"/>
      <c r="S588" s="570"/>
      <c r="T588" s="570">
        <f>SUM(E588:S588)</f>
        <v>0</v>
      </c>
      <c r="U588" s="603"/>
      <c r="V588" s="599">
        <f>T588-U588</f>
        <v>0</v>
      </c>
    </row>
    <row r="589" spans="1:26" s="533" customFormat="1" ht="12.6" customHeight="1" thickBot="1" x14ac:dyDescent="0.3">
      <c r="A589" s="573"/>
      <c r="B589" s="569" t="s">
        <v>172</v>
      </c>
      <c r="C589" s="569"/>
      <c r="D589" s="580"/>
      <c r="E589" s="602">
        <v>666618.36</v>
      </c>
      <c r="F589" s="570">
        <f>'CABAC Fiduciary 2025'!F257</f>
        <v>122166.44</v>
      </c>
      <c r="G589" s="570"/>
      <c r="H589" s="570"/>
      <c r="I589" s="570"/>
      <c r="J589" s="570"/>
      <c r="K589" s="570"/>
      <c r="L589" s="570"/>
      <c r="M589" s="570"/>
      <c r="N589" s="570"/>
      <c r="O589" s="570"/>
      <c r="P589" s="570"/>
      <c r="Q589" s="570"/>
      <c r="R589" s="570"/>
      <c r="S589" s="570"/>
      <c r="T589" s="570">
        <f>SUM(E589:S589)</f>
        <v>788784.8</v>
      </c>
      <c r="U589" s="603"/>
      <c r="V589" s="599">
        <f>T589-U589</f>
        <v>788784.8</v>
      </c>
    </row>
    <row r="590" spans="1:26" s="533" customFormat="1" ht="12.6" customHeight="1" thickBot="1" x14ac:dyDescent="0.3">
      <c r="A590" s="573"/>
      <c r="B590" s="581" t="s">
        <v>346</v>
      </c>
      <c r="C590" s="569"/>
      <c r="D590" s="580"/>
      <c r="E590" s="582">
        <f>SUM(E585:E589)</f>
        <v>666618.36</v>
      </c>
      <c r="F590" s="582">
        <f t="shared" ref="F590:V590" si="285">SUM(F585:F589)</f>
        <v>122166.44</v>
      </c>
      <c r="G590" s="582">
        <f t="shared" si="285"/>
        <v>0</v>
      </c>
      <c r="H590" s="582">
        <f>SUM(H585:H589)</f>
        <v>0</v>
      </c>
      <c r="I590" s="582">
        <f t="shared" si="285"/>
        <v>0</v>
      </c>
      <c r="J590" s="582">
        <f>SUM(J585:J589)</f>
        <v>0</v>
      </c>
      <c r="K590" s="582">
        <f t="shared" si="285"/>
        <v>0</v>
      </c>
      <c r="L590" s="582">
        <f t="shared" si="285"/>
        <v>0</v>
      </c>
      <c r="M590" s="582">
        <f t="shared" si="285"/>
        <v>0</v>
      </c>
      <c r="N590" s="582">
        <f t="shared" si="285"/>
        <v>0</v>
      </c>
      <c r="O590" s="582">
        <f t="shared" si="285"/>
        <v>0</v>
      </c>
      <c r="P590" s="582">
        <f t="shared" si="285"/>
        <v>0</v>
      </c>
      <c r="Q590" s="582">
        <f t="shared" si="285"/>
        <v>0</v>
      </c>
      <c r="R590" s="582">
        <f t="shared" si="285"/>
        <v>0</v>
      </c>
      <c r="S590" s="582">
        <f t="shared" si="285"/>
        <v>0</v>
      </c>
      <c r="T590" s="582">
        <f t="shared" si="285"/>
        <v>788784.8</v>
      </c>
      <c r="U590" s="582">
        <f t="shared" si="285"/>
        <v>0</v>
      </c>
      <c r="V590" s="582">
        <f t="shared" si="285"/>
        <v>788784.8</v>
      </c>
    </row>
    <row r="591" spans="1:26" ht="12.6" customHeight="1" x14ac:dyDescent="0.25">
      <c r="A591" s="577"/>
      <c r="B591" s="581"/>
      <c r="C591" s="569"/>
      <c r="D591" s="583" t="s">
        <v>347</v>
      </c>
      <c r="E591" s="730">
        <f>SUM(E587:E589)</f>
        <v>666618.36</v>
      </c>
      <c r="F591" s="730">
        <f t="shared" ref="F591:V591" si="286">SUM(F587:F589)</f>
        <v>122166.44</v>
      </c>
      <c r="G591" s="584">
        <f t="shared" si="286"/>
        <v>0</v>
      </c>
      <c r="H591" s="584">
        <f>SUM(H587:H589)</f>
        <v>0</v>
      </c>
      <c r="I591" s="584">
        <f t="shared" si="286"/>
        <v>0</v>
      </c>
      <c r="J591" s="584">
        <f>SUM(J587:J589)</f>
        <v>0</v>
      </c>
      <c r="K591" s="584">
        <f t="shared" si="286"/>
        <v>0</v>
      </c>
      <c r="L591" s="584">
        <f t="shared" si="286"/>
        <v>0</v>
      </c>
      <c r="M591" s="584">
        <f t="shared" si="286"/>
        <v>0</v>
      </c>
      <c r="N591" s="584">
        <f t="shared" si="286"/>
        <v>0</v>
      </c>
      <c r="O591" s="584">
        <f t="shared" si="286"/>
        <v>0</v>
      </c>
      <c r="P591" s="584">
        <f t="shared" si="286"/>
        <v>0</v>
      </c>
      <c r="Q591" s="584">
        <f t="shared" si="286"/>
        <v>0</v>
      </c>
      <c r="R591" s="584">
        <f t="shared" si="286"/>
        <v>0</v>
      </c>
      <c r="S591" s="584">
        <f t="shared" si="286"/>
        <v>0</v>
      </c>
      <c r="T591" s="584">
        <f t="shared" si="286"/>
        <v>788784.8</v>
      </c>
      <c r="U591" s="584">
        <f t="shared" si="286"/>
        <v>0</v>
      </c>
      <c r="V591" s="584">
        <f t="shared" si="286"/>
        <v>788784.8</v>
      </c>
      <c r="W591" s="532"/>
      <c r="X591" s="532"/>
      <c r="Y591" s="532"/>
      <c r="Z591" s="532"/>
    </row>
    <row r="592" spans="1:26" ht="12.6" customHeight="1" x14ac:dyDescent="0.25">
      <c r="A592" s="577"/>
      <c r="B592" s="581"/>
      <c r="C592" s="569"/>
      <c r="D592" s="583" t="s">
        <v>348</v>
      </c>
      <c r="E592" s="730">
        <f>SUM(E585:E586)</f>
        <v>0</v>
      </c>
      <c r="F592" s="730">
        <f t="shared" ref="F592:V592" si="287">SUM(F585:F586)</f>
        <v>0</v>
      </c>
      <c r="G592" s="584">
        <f t="shared" si="287"/>
        <v>0</v>
      </c>
      <c r="H592" s="584">
        <f>SUM(H585:H586)</f>
        <v>0</v>
      </c>
      <c r="I592" s="584">
        <f t="shared" si="287"/>
        <v>0</v>
      </c>
      <c r="J592" s="584">
        <f>SUM(J585:J586)</f>
        <v>0</v>
      </c>
      <c r="K592" s="584">
        <f t="shared" si="287"/>
        <v>0</v>
      </c>
      <c r="L592" s="584">
        <f t="shared" si="287"/>
        <v>0</v>
      </c>
      <c r="M592" s="584">
        <f t="shared" si="287"/>
        <v>0</v>
      </c>
      <c r="N592" s="584">
        <f t="shared" si="287"/>
        <v>0</v>
      </c>
      <c r="O592" s="584">
        <f t="shared" si="287"/>
        <v>0</v>
      </c>
      <c r="P592" s="584">
        <f t="shared" si="287"/>
        <v>0</v>
      </c>
      <c r="Q592" s="584">
        <f t="shared" si="287"/>
        <v>0</v>
      </c>
      <c r="R592" s="584">
        <f t="shared" si="287"/>
        <v>0</v>
      </c>
      <c r="S592" s="584">
        <f t="shared" si="287"/>
        <v>0</v>
      </c>
      <c r="T592" s="584">
        <f t="shared" si="287"/>
        <v>0</v>
      </c>
      <c r="U592" s="584">
        <f t="shared" si="287"/>
        <v>0</v>
      </c>
      <c r="V592" s="584">
        <f t="shared" si="287"/>
        <v>0</v>
      </c>
      <c r="W592" s="532"/>
      <c r="X592" s="532"/>
      <c r="Y592" s="532"/>
      <c r="Z592" s="532"/>
    </row>
    <row r="593" spans="1:26" ht="12.6" customHeight="1" x14ac:dyDescent="0.25">
      <c r="A593" s="577"/>
      <c r="B593" s="581"/>
      <c r="C593" s="569"/>
      <c r="D593" s="580"/>
      <c r="E593" s="730">
        <f>SUM(E591:E592)</f>
        <v>666618.36</v>
      </c>
      <c r="F593" s="730">
        <f t="shared" ref="F593:V593" si="288">SUM(F591:F592)</f>
        <v>122166.44</v>
      </c>
      <c r="G593" s="584">
        <f t="shared" si="288"/>
        <v>0</v>
      </c>
      <c r="H593" s="584">
        <f>SUM(H591:H592)</f>
        <v>0</v>
      </c>
      <c r="I593" s="584">
        <f t="shared" si="288"/>
        <v>0</v>
      </c>
      <c r="J593" s="584">
        <f>SUM(J591:J592)</f>
        <v>0</v>
      </c>
      <c r="K593" s="584">
        <f t="shared" si="288"/>
        <v>0</v>
      </c>
      <c r="L593" s="584">
        <f t="shared" si="288"/>
        <v>0</v>
      </c>
      <c r="M593" s="584">
        <f t="shared" si="288"/>
        <v>0</v>
      </c>
      <c r="N593" s="584">
        <f t="shared" si="288"/>
        <v>0</v>
      </c>
      <c r="O593" s="584">
        <f t="shared" si="288"/>
        <v>0</v>
      </c>
      <c r="P593" s="584">
        <f t="shared" si="288"/>
        <v>0</v>
      </c>
      <c r="Q593" s="584">
        <f t="shared" si="288"/>
        <v>0</v>
      </c>
      <c r="R593" s="584">
        <f t="shared" si="288"/>
        <v>0</v>
      </c>
      <c r="S593" s="584">
        <f t="shared" si="288"/>
        <v>0</v>
      </c>
      <c r="T593" s="584">
        <f t="shared" si="288"/>
        <v>788784.8</v>
      </c>
      <c r="U593" s="584">
        <f t="shared" si="288"/>
        <v>0</v>
      </c>
      <c r="V593" s="584">
        <f t="shared" si="288"/>
        <v>788784.8</v>
      </c>
      <c r="W593" s="532"/>
      <c r="X593" s="532"/>
      <c r="Y593" s="532"/>
      <c r="Z593" s="532"/>
    </row>
    <row r="594" spans="1:26" ht="12.6" customHeight="1" x14ac:dyDescent="0.25">
      <c r="A594" s="577"/>
      <c r="B594" s="569"/>
      <c r="C594" s="569"/>
      <c r="D594" s="580"/>
      <c r="E594" s="1232">
        <f>E593-E590</f>
        <v>0</v>
      </c>
      <c r="F594" s="1232">
        <f t="shared" ref="F594:V594" si="289">F593-F590</f>
        <v>0</v>
      </c>
      <c r="G594" s="1232">
        <f t="shared" si="289"/>
        <v>0</v>
      </c>
      <c r="H594" s="1232">
        <f>H593-H590</f>
        <v>0</v>
      </c>
      <c r="I594" s="1232">
        <f t="shared" si="289"/>
        <v>0</v>
      </c>
      <c r="J594" s="1232">
        <f>J593-J590</f>
        <v>0</v>
      </c>
      <c r="K594" s="1232">
        <f t="shared" si="289"/>
        <v>0</v>
      </c>
      <c r="L594" s="1232">
        <f t="shared" si="289"/>
        <v>0</v>
      </c>
      <c r="M594" s="1232">
        <f t="shared" si="289"/>
        <v>0</v>
      </c>
      <c r="N594" s="1232">
        <f t="shared" si="289"/>
        <v>0</v>
      </c>
      <c r="O594" s="1232">
        <f t="shared" si="289"/>
        <v>0</v>
      </c>
      <c r="P594" s="1232">
        <f t="shared" si="289"/>
        <v>0</v>
      </c>
      <c r="Q594" s="1232">
        <f t="shared" si="289"/>
        <v>0</v>
      </c>
      <c r="R594" s="1232">
        <f t="shared" si="289"/>
        <v>0</v>
      </c>
      <c r="S594" s="1232">
        <f t="shared" si="289"/>
        <v>0</v>
      </c>
      <c r="T594" s="1232">
        <f t="shared" si="289"/>
        <v>0</v>
      </c>
      <c r="U594" s="1232">
        <f t="shared" si="289"/>
        <v>0</v>
      </c>
      <c r="V594" s="1232">
        <f t="shared" si="289"/>
        <v>0</v>
      </c>
    </row>
    <row r="595" spans="1:26" s="533" customFormat="1" ht="12.6" customHeight="1" x14ac:dyDescent="0.25">
      <c r="A595" s="638"/>
      <c r="B595" s="608"/>
      <c r="C595" s="608"/>
      <c r="D595" s="608"/>
      <c r="E595" s="570"/>
      <c r="F595" s="570"/>
      <c r="G595" s="570"/>
      <c r="H595" s="570"/>
      <c r="I595" s="570"/>
      <c r="J595" s="570"/>
      <c r="K595" s="570"/>
      <c r="L595" s="570"/>
      <c r="M595" s="570"/>
      <c r="N595" s="570"/>
      <c r="O595" s="570"/>
      <c r="P595" s="570"/>
      <c r="Q595" s="570"/>
      <c r="R595" s="570"/>
      <c r="S595" s="570"/>
      <c r="T595" s="570"/>
      <c r="U595" s="570"/>
      <c r="V595" s="572"/>
      <c r="W595" s="1281"/>
    </row>
    <row r="596" spans="1:26" ht="12.6" customHeight="1" x14ac:dyDescent="0.25">
      <c r="A596" s="611" t="s">
        <v>233</v>
      </c>
      <c r="B596" s="612" t="s">
        <v>394</v>
      </c>
      <c r="C596" s="612"/>
      <c r="D596" s="617"/>
      <c r="E596" s="618">
        <v>500000</v>
      </c>
      <c r="F596" s="613">
        <f>'CABAC Non-Fid 2025'!G209</f>
        <v>60231</v>
      </c>
      <c r="G596" s="613"/>
      <c r="H596" s="613"/>
      <c r="I596" s="613"/>
      <c r="J596" s="613"/>
      <c r="K596" s="613"/>
      <c r="L596" s="613"/>
      <c r="M596" s="613"/>
      <c r="N596" s="613"/>
      <c r="O596" s="613"/>
      <c r="P596" s="613"/>
      <c r="Q596" s="613"/>
      <c r="R596" s="613"/>
      <c r="S596" s="613"/>
      <c r="T596" s="613">
        <f t="shared" ref="T596:T622" si="290">SUM(E596:S596)</f>
        <v>560231</v>
      </c>
      <c r="U596" s="619"/>
      <c r="V596" s="614">
        <f>T596-U596</f>
        <v>560231</v>
      </c>
    </row>
    <row r="597" spans="1:26" s="533" customFormat="1" ht="12.6" customHeight="1" x14ac:dyDescent="0.25">
      <c r="A597" s="604" t="s">
        <v>411</v>
      </c>
      <c r="B597" s="569" t="s">
        <v>266</v>
      </c>
      <c r="C597" s="569"/>
      <c r="D597" s="580"/>
      <c r="E597" s="602">
        <v>1000000</v>
      </c>
      <c r="F597" s="570">
        <f>'CABAC Non-Fid 2025'!G213</f>
        <v>200000</v>
      </c>
      <c r="G597" s="570"/>
      <c r="H597" s="570"/>
      <c r="I597" s="570"/>
      <c r="J597" s="570"/>
      <c r="K597" s="570"/>
      <c r="L597" s="570"/>
      <c r="M597" s="570"/>
      <c r="N597" s="570"/>
      <c r="O597" s="570"/>
      <c r="P597" s="570"/>
      <c r="Q597" s="570"/>
      <c r="R597" s="570"/>
      <c r="S597" s="570"/>
      <c r="T597" s="570">
        <f t="shared" si="290"/>
        <v>1200000</v>
      </c>
      <c r="U597" s="603"/>
      <c r="V597" s="599">
        <f t="shared" ref="V597:V622" si="291">T597-U597</f>
        <v>1200000</v>
      </c>
    </row>
    <row r="598" spans="1:26" s="533" customFormat="1" ht="12.6" customHeight="1" x14ac:dyDescent="0.25">
      <c r="A598" s="577"/>
      <c r="B598" s="569" t="s">
        <v>412</v>
      </c>
      <c r="C598" s="569"/>
      <c r="D598" s="580"/>
      <c r="E598" s="602">
        <v>2197763.54</v>
      </c>
      <c r="F598" s="570">
        <f>'CABAC Non-Fid 2025'!G214</f>
        <v>1399767</v>
      </c>
      <c r="G598" s="570"/>
      <c r="H598" s="570"/>
      <c r="I598" s="570"/>
      <c r="J598" s="570"/>
      <c r="K598" s="570"/>
      <c r="L598" s="570"/>
      <c r="M598" s="570"/>
      <c r="N598" s="570"/>
      <c r="O598" s="570"/>
      <c r="P598" s="570"/>
      <c r="Q598" s="570"/>
      <c r="R598" s="570"/>
      <c r="S598" s="570"/>
      <c r="T598" s="570">
        <f t="shared" si="290"/>
        <v>3597530.54</v>
      </c>
      <c r="U598" s="622"/>
      <c r="V598" s="599">
        <f t="shared" si="291"/>
        <v>3597530.54</v>
      </c>
      <c r="X598" s="696"/>
    </row>
    <row r="599" spans="1:26" s="533" customFormat="1" ht="12.6" customHeight="1" x14ac:dyDescent="0.25">
      <c r="A599" s="577"/>
      <c r="B599" s="569" t="s">
        <v>337</v>
      </c>
      <c r="C599" s="569"/>
      <c r="D599" s="580"/>
      <c r="E599" s="602">
        <f>2700000+2276476.8</f>
        <v>4976476.8</v>
      </c>
      <c r="F599" s="570">
        <f>'CABAC Non-Fid 2025'!G207+'CABAC Non-Fid 2025'!G208</f>
        <v>549702.77</v>
      </c>
      <c r="G599" s="570"/>
      <c r="H599" s="570"/>
      <c r="I599" s="570"/>
      <c r="J599" s="570"/>
      <c r="K599" s="570"/>
      <c r="L599" s="570"/>
      <c r="M599" s="570"/>
      <c r="N599" s="570"/>
      <c r="O599" s="570"/>
      <c r="P599" s="570"/>
      <c r="Q599" s="570"/>
      <c r="R599" s="570"/>
      <c r="S599" s="570"/>
      <c r="T599" s="570">
        <f t="shared" si="290"/>
        <v>5526179.5700000003</v>
      </c>
      <c r="U599" s="603"/>
      <c r="V599" s="599">
        <f t="shared" si="291"/>
        <v>5526179.5700000003</v>
      </c>
      <c r="X599" s="696"/>
    </row>
    <row r="600" spans="1:26" s="533" customFormat="1" ht="12.6" customHeight="1" x14ac:dyDescent="0.25">
      <c r="A600" s="577"/>
      <c r="B600" s="569" t="s">
        <v>353</v>
      </c>
      <c r="C600" s="569"/>
      <c r="D600" s="580"/>
      <c r="E600" s="602">
        <v>600000</v>
      </c>
      <c r="F600" s="570">
        <f>'CABAC Non-Fid 2025'!G206</f>
        <v>68968.13</v>
      </c>
      <c r="G600" s="570"/>
      <c r="H600" s="570"/>
      <c r="I600" s="570"/>
      <c r="J600" s="570"/>
      <c r="K600" s="570"/>
      <c r="L600" s="570"/>
      <c r="M600" s="570"/>
      <c r="N600" s="570"/>
      <c r="O600" s="570"/>
      <c r="P600" s="570"/>
      <c r="Q600" s="570"/>
      <c r="R600" s="570"/>
      <c r="S600" s="570"/>
      <c r="T600" s="570">
        <f t="shared" si="290"/>
        <v>668968.13</v>
      </c>
      <c r="U600" s="603"/>
      <c r="V600" s="599">
        <f t="shared" si="291"/>
        <v>668968.13</v>
      </c>
      <c r="X600" s="696"/>
    </row>
    <row r="601" spans="1:26" s="533" customFormat="1" ht="12.6" customHeight="1" x14ac:dyDescent="0.25">
      <c r="A601" s="577"/>
      <c r="B601" s="569" t="s">
        <v>261</v>
      </c>
      <c r="C601" s="569"/>
      <c r="D601" s="580"/>
      <c r="E601" s="602">
        <v>800000</v>
      </c>
      <c r="F601" s="570">
        <f>'CABAC Non-Fid 2025'!G210</f>
        <v>494246</v>
      </c>
      <c r="G601" s="570"/>
      <c r="H601" s="570"/>
      <c r="I601" s="570"/>
      <c r="J601" s="570"/>
      <c r="K601" s="570"/>
      <c r="L601" s="570"/>
      <c r="M601" s="570"/>
      <c r="N601" s="570"/>
      <c r="O601" s="570"/>
      <c r="P601" s="570"/>
      <c r="Q601" s="570"/>
      <c r="R601" s="570"/>
      <c r="S601" s="570"/>
      <c r="T601" s="570">
        <f t="shared" si="290"/>
        <v>1294246</v>
      </c>
      <c r="U601" s="603"/>
      <c r="V601" s="599">
        <f>T601-U601</f>
        <v>1294246</v>
      </c>
    </row>
    <row r="602" spans="1:26" s="533" customFormat="1" ht="12.6" customHeight="1" x14ac:dyDescent="0.25">
      <c r="A602" s="577"/>
      <c r="B602" s="569" t="s">
        <v>262</v>
      </c>
      <c r="C602" s="569"/>
      <c r="D602" s="580"/>
      <c r="E602" s="602">
        <v>1000000</v>
      </c>
      <c r="F602" s="570">
        <f>'CABAC Non-Fid 2025'!G211</f>
        <v>410231</v>
      </c>
      <c r="G602" s="570"/>
      <c r="H602" s="570"/>
      <c r="I602" s="570"/>
      <c r="J602" s="570"/>
      <c r="K602" s="570"/>
      <c r="L602" s="570"/>
      <c r="M602" s="570"/>
      <c r="N602" s="570"/>
      <c r="O602" s="570"/>
      <c r="P602" s="570"/>
      <c r="Q602" s="570"/>
      <c r="R602" s="570"/>
      <c r="S602" s="570"/>
      <c r="T602" s="570">
        <f t="shared" si="290"/>
        <v>1410231</v>
      </c>
      <c r="U602" s="603"/>
      <c r="V602" s="599">
        <f>T602-U602</f>
        <v>1410231</v>
      </c>
    </row>
    <row r="603" spans="1:26" s="533" customFormat="1" ht="12.6" customHeight="1" x14ac:dyDescent="0.25">
      <c r="A603" s="577"/>
      <c r="B603" s="569" t="s">
        <v>263</v>
      </c>
      <c r="C603" s="569"/>
      <c r="D603" s="580"/>
      <c r="E603" s="605">
        <v>2000000</v>
      </c>
      <c r="F603" s="601">
        <f>'CABAC Non-Fid 2025'!G212</f>
        <v>60231</v>
      </c>
      <c r="G603" s="601"/>
      <c r="H603" s="601"/>
      <c r="I603" s="601"/>
      <c r="J603" s="601"/>
      <c r="K603" s="601"/>
      <c r="L603" s="601"/>
      <c r="M603" s="601"/>
      <c r="N603" s="601"/>
      <c r="O603" s="601"/>
      <c r="P603" s="601"/>
      <c r="Q603" s="601"/>
      <c r="R603" s="601"/>
      <c r="S603" s="601"/>
      <c r="T603" s="601">
        <f t="shared" si="290"/>
        <v>2060231</v>
      </c>
      <c r="U603" s="606"/>
      <c r="V603" s="615">
        <f>T603-U603</f>
        <v>2060231</v>
      </c>
    </row>
    <row r="604" spans="1:26" s="533" customFormat="1" ht="12.6" customHeight="1" x14ac:dyDescent="0.25">
      <c r="A604" s="577"/>
      <c r="B604" s="569" t="s">
        <v>147</v>
      </c>
      <c r="C604" s="569"/>
      <c r="D604" s="580"/>
      <c r="E604" s="602">
        <v>820659.16</v>
      </c>
      <c r="F604" s="570">
        <f>'CABAC Fiduciary 2025'!F276</f>
        <v>367426.54</v>
      </c>
      <c r="G604" s="570"/>
      <c r="H604" s="570"/>
      <c r="I604" s="570"/>
      <c r="J604" s="570"/>
      <c r="K604" s="570">
        <v>-1000000</v>
      </c>
      <c r="L604" s="570"/>
      <c r="M604" s="570"/>
      <c r="N604" s="570"/>
      <c r="O604" s="570"/>
      <c r="P604" s="570"/>
      <c r="Q604" s="570"/>
      <c r="R604" s="570"/>
      <c r="S604" s="570"/>
      <c r="T604" s="570">
        <f t="shared" si="290"/>
        <v>188085.69999999995</v>
      </c>
      <c r="U604" s="603"/>
      <c r="V604" s="599">
        <f t="shared" si="291"/>
        <v>188085.69999999995</v>
      </c>
      <c r="X604" s="696"/>
    </row>
    <row r="605" spans="1:26" s="533" customFormat="1" ht="12.6" customHeight="1" x14ac:dyDescent="0.25">
      <c r="A605" s="577"/>
      <c r="B605" s="569" t="s">
        <v>145</v>
      </c>
      <c r="C605" s="569"/>
      <c r="D605" s="580"/>
      <c r="E605" s="602"/>
      <c r="F605" s="570">
        <f>'CABAC Fiduciary 2025'!F277</f>
        <v>0</v>
      </c>
      <c r="G605" s="570"/>
      <c r="H605" s="570"/>
      <c r="I605" s="570"/>
      <c r="J605" s="570"/>
      <c r="K605" s="570"/>
      <c r="L605" s="570"/>
      <c r="M605" s="570"/>
      <c r="N605" s="570"/>
      <c r="O605" s="570"/>
      <c r="P605" s="570"/>
      <c r="Q605" s="570"/>
      <c r="R605" s="570"/>
      <c r="S605" s="570"/>
      <c r="T605" s="570">
        <f t="shared" si="290"/>
        <v>0</v>
      </c>
      <c r="U605" s="603"/>
      <c r="V605" s="599">
        <f>T605-U605</f>
        <v>0</v>
      </c>
    </row>
    <row r="606" spans="1:26" s="533" customFormat="1" ht="12.6" customHeight="1" x14ac:dyDescent="0.25">
      <c r="A606" s="577"/>
      <c r="B606" s="569" t="s">
        <v>179</v>
      </c>
      <c r="C606" s="569"/>
      <c r="D606" s="580"/>
      <c r="E606" s="602">
        <v>1500000</v>
      </c>
      <c r="F606" s="570">
        <f>'CABAC Fiduciary 2025'!F278</f>
        <v>467551.9</v>
      </c>
      <c r="G606" s="570"/>
      <c r="H606" s="570"/>
      <c r="I606" s="570"/>
      <c r="J606" s="570"/>
      <c r="K606" s="570"/>
      <c r="L606" s="570"/>
      <c r="M606" s="570"/>
      <c r="N606" s="570"/>
      <c r="O606" s="570"/>
      <c r="P606" s="570"/>
      <c r="Q606" s="570"/>
      <c r="R606" s="570"/>
      <c r="S606" s="570"/>
      <c r="T606" s="570">
        <f t="shared" si="290"/>
        <v>1967551.9</v>
      </c>
      <c r="U606" s="603"/>
      <c r="V606" s="599">
        <f>T606-U606</f>
        <v>1967551.9</v>
      </c>
    </row>
    <row r="607" spans="1:26" s="533" customFormat="1" ht="12.6" customHeight="1" x14ac:dyDescent="0.25">
      <c r="A607" s="577"/>
      <c r="B607" s="569" t="s">
        <v>458</v>
      </c>
      <c r="C607" s="569"/>
      <c r="D607" s="580"/>
      <c r="E607" s="602">
        <v>100000</v>
      </c>
      <c r="F607" s="570">
        <f>'CABAC Fiduciary 2025'!F283</f>
        <v>0</v>
      </c>
      <c r="G607" s="570"/>
      <c r="H607" s="570"/>
      <c r="I607" s="570"/>
      <c r="J607" s="570"/>
      <c r="K607" s="570"/>
      <c r="L607" s="570"/>
      <c r="M607" s="570"/>
      <c r="N607" s="570"/>
      <c r="O607" s="570"/>
      <c r="P607" s="570"/>
      <c r="Q607" s="570"/>
      <c r="R607" s="570"/>
      <c r="S607" s="570"/>
      <c r="T607" s="570">
        <f t="shared" si="290"/>
        <v>100000</v>
      </c>
      <c r="U607" s="603"/>
      <c r="V607" s="599">
        <f t="shared" si="291"/>
        <v>100000</v>
      </c>
    </row>
    <row r="608" spans="1:26" s="533" customFormat="1" ht="12.6" customHeight="1" x14ac:dyDescent="0.25">
      <c r="A608" s="577"/>
      <c r="B608" s="569" t="s">
        <v>342</v>
      </c>
      <c r="C608" s="569"/>
      <c r="D608" s="580"/>
      <c r="E608" s="602">
        <v>200000</v>
      </c>
      <c r="F608" s="570">
        <f>'CABAC Fiduciary 2025'!F289</f>
        <v>16993.29</v>
      </c>
      <c r="G608" s="570"/>
      <c r="H608" s="570"/>
      <c r="I608" s="570"/>
      <c r="J608" s="570"/>
      <c r="K608" s="570"/>
      <c r="L608" s="570"/>
      <c r="M608" s="570"/>
      <c r="N608" s="570"/>
      <c r="O608" s="570"/>
      <c r="P608" s="570"/>
      <c r="Q608" s="570"/>
      <c r="R608" s="570"/>
      <c r="S608" s="570"/>
      <c r="T608" s="570">
        <f t="shared" si="290"/>
        <v>216993.29</v>
      </c>
      <c r="U608" s="603"/>
      <c r="V608" s="599">
        <f>T608-U608</f>
        <v>216993.29</v>
      </c>
    </row>
    <row r="609" spans="1:26" s="533" customFormat="1" ht="12.6" customHeight="1" x14ac:dyDescent="0.25">
      <c r="A609" s="577"/>
      <c r="B609" s="569" t="s">
        <v>357</v>
      </c>
      <c r="C609" s="569"/>
      <c r="D609" s="580"/>
      <c r="E609" s="602"/>
      <c r="F609" s="570">
        <f>'CABAC Fiduciary 2025'!F288</f>
        <v>506378.5</v>
      </c>
      <c r="G609" s="570"/>
      <c r="H609" s="570"/>
      <c r="I609" s="570"/>
      <c r="J609" s="570"/>
      <c r="K609" s="570"/>
      <c r="L609" s="570"/>
      <c r="M609" s="570"/>
      <c r="N609" s="570"/>
      <c r="O609" s="570"/>
      <c r="P609" s="570"/>
      <c r="Q609" s="570"/>
      <c r="R609" s="570"/>
      <c r="S609" s="570"/>
      <c r="T609" s="570">
        <f t="shared" si="290"/>
        <v>506378.5</v>
      </c>
      <c r="U609" s="603"/>
      <c r="V609" s="599">
        <f>T609-U609</f>
        <v>506378.5</v>
      </c>
    </row>
    <row r="610" spans="1:26" s="533" customFormat="1" ht="12.6" customHeight="1" x14ac:dyDescent="0.25">
      <c r="A610" s="577"/>
      <c r="B610" s="569" t="s">
        <v>408</v>
      </c>
      <c r="C610" s="569"/>
      <c r="D610" s="580"/>
      <c r="E610" s="602"/>
      <c r="F610" s="570"/>
      <c r="G610" s="570"/>
      <c r="H610" s="570"/>
      <c r="I610" s="570"/>
      <c r="J610" s="570"/>
      <c r="K610" s="570"/>
      <c r="L610" s="570"/>
      <c r="M610" s="570"/>
      <c r="N610" s="570"/>
      <c r="O610" s="570"/>
      <c r="P610" s="570"/>
      <c r="Q610" s="570"/>
      <c r="R610" s="570"/>
      <c r="S610" s="570"/>
      <c r="T610" s="570">
        <f t="shared" si="290"/>
        <v>0</v>
      </c>
      <c r="U610" s="603"/>
      <c r="V610" s="599">
        <f>T610-U610</f>
        <v>0</v>
      </c>
      <c r="X610" s="696"/>
    </row>
    <row r="611" spans="1:26" ht="12.6" customHeight="1" x14ac:dyDescent="0.25">
      <c r="A611" s="577"/>
      <c r="B611" s="569" t="s">
        <v>142</v>
      </c>
      <c r="C611" s="569"/>
      <c r="D611" s="569"/>
      <c r="E611" s="605"/>
      <c r="F611" s="601">
        <f>'CABAC Fiduciary 2025'!F291</f>
        <v>0</v>
      </c>
      <c r="G611" s="601"/>
      <c r="H611" s="601"/>
      <c r="I611" s="601"/>
      <c r="J611" s="601"/>
      <c r="K611" s="601"/>
      <c r="L611" s="601"/>
      <c r="M611" s="601"/>
      <c r="N611" s="601"/>
      <c r="O611" s="601"/>
      <c r="P611" s="601"/>
      <c r="Q611" s="601"/>
      <c r="R611" s="601"/>
      <c r="S611" s="601"/>
      <c r="T611" s="570">
        <f t="shared" si="290"/>
        <v>0</v>
      </c>
      <c r="U611" s="606"/>
      <c r="V611" s="599">
        <f t="shared" ref="V611:V619" si="292">T611-U611</f>
        <v>0</v>
      </c>
      <c r="W611" s="532"/>
      <c r="X611" s="532"/>
      <c r="Y611" s="532"/>
      <c r="Z611" s="532"/>
    </row>
    <row r="612" spans="1:26" s="533" customFormat="1" ht="12.6" customHeight="1" x14ac:dyDescent="0.25">
      <c r="A612" s="577"/>
      <c r="B612" s="569" t="s">
        <v>172</v>
      </c>
      <c r="C612" s="569"/>
      <c r="D612" s="580"/>
      <c r="E612" s="602">
        <v>200000</v>
      </c>
      <c r="F612" s="570">
        <f>'CABAC Fiduciary 2025'!F290</f>
        <v>0</v>
      </c>
      <c r="G612" s="570"/>
      <c r="H612" s="570"/>
      <c r="I612" s="570"/>
      <c r="J612" s="570"/>
      <c r="K612" s="570"/>
      <c r="L612" s="570"/>
      <c r="M612" s="570"/>
      <c r="N612" s="570"/>
      <c r="O612" s="570"/>
      <c r="P612" s="570"/>
      <c r="Q612" s="570"/>
      <c r="R612" s="570"/>
      <c r="S612" s="570"/>
      <c r="T612" s="570">
        <f t="shared" si="290"/>
        <v>200000</v>
      </c>
      <c r="U612" s="603"/>
      <c r="V612" s="599">
        <f t="shared" si="292"/>
        <v>200000</v>
      </c>
      <c r="X612" s="696"/>
    </row>
    <row r="613" spans="1:26" s="533" customFormat="1" ht="12.6" customHeight="1" x14ac:dyDescent="0.25">
      <c r="A613" s="577"/>
      <c r="B613" s="569" t="s">
        <v>343</v>
      </c>
      <c r="C613" s="569"/>
      <c r="D613" s="580"/>
      <c r="E613" s="602">
        <v>200000</v>
      </c>
      <c r="F613" s="570"/>
      <c r="G613" s="570"/>
      <c r="H613" s="570"/>
      <c r="I613" s="570"/>
      <c r="J613" s="570"/>
      <c r="K613" s="570"/>
      <c r="L613" s="570"/>
      <c r="M613" s="570"/>
      <c r="N613" s="570"/>
      <c r="O613" s="570"/>
      <c r="P613" s="570"/>
      <c r="Q613" s="570"/>
      <c r="R613" s="570"/>
      <c r="S613" s="570"/>
      <c r="T613" s="570">
        <f t="shared" si="290"/>
        <v>200000</v>
      </c>
      <c r="U613" s="603"/>
      <c r="V613" s="599">
        <f t="shared" si="292"/>
        <v>200000</v>
      </c>
    </row>
    <row r="614" spans="1:26" s="533" customFormat="1" ht="12.6" customHeight="1" x14ac:dyDescent="0.25">
      <c r="A614" s="577"/>
      <c r="B614" s="569" t="s">
        <v>344</v>
      </c>
      <c r="C614" s="569"/>
      <c r="D614" s="580"/>
      <c r="E614" s="602">
        <v>200000</v>
      </c>
      <c r="F614" s="570">
        <f>'CABAC Fiduciary 2025'!F275</f>
        <v>0</v>
      </c>
      <c r="G614" s="570"/>
      <c r="H614" s="570"/>
      <c r="I614" s="570"/>
      <c r="J614" s="570"/>
      <c r="K614" s="570"/>
      <c r="L614" s="570"/>
      <c r="M614" s="570"/>
      <c r="N614" s="570"/>
      <c r="O614" s="570"/>
      <c r="P614" s="570"/>
      <c r="Q614" s="570"/>
      <c r="R614" s="570"/>
      <c r="S614" s="570"/>
      <c r="T614" s="570">
        <f t="shared" si="290"/>
        <v>200000</v>
      </c>
      <c r="U614" s="603"/>
      <c r="V614" s="599">
        <f t="shared" si="292"/>
        <v>200000</v>
      </c>
    </row>
    <row r="615" spans="1:26" s="533" customFormat="1" ht="12.6" customHeight="1" x14ac:dyDescent="0.25">
      <c r="A615" s="577"/>
      <c r="B615" s="569" t="s">
        <v>413</v>
      </c>
      <c r="C615" s="569"/>
      <c r="D615" s="580"/>
      <c r="E615" s="602"/>
      <c r="F615" s="570"/>
      <c r="G615" s="570"/>
      <c r="H615" s="570"/>
      <c r="I615" s="570"/>
      <c r="J615" s="570"/>
      <c r="K615" s="570"/>
      <c r="L615" s="570"/>
      <c r="M615" s="570"/>
      <c r="N615" s="570"/>
      <c r="O615" s="570"/>
      <c r="P615" s="570"/>
      <c r="Q615" s="570"/>
      <c r="R615" s="570"/>
      <c r="S615" s="570"/>
      <c r="T615" s="570">
        <f t="shared" si="290"/>
        <v>0</v>
      </c>
      <c r="U615" s="603"/>
      <c r="V615" s="599">
        <f t="shared" si="292"/>
        <v>0</v>
      </c>
    </row>
    <row r="616" spans="1:26" s="533" customFormat="1" ht="12.6" customHeight="1" x14ac:dyDescent="0.25">
      <c r="A616" s="577"/>
      <c r="B616" s="569" t="s">
        <v>188</v>
      </c>
      <c r="C616" s="569"/>
      <c r="D616" s="580"/>
      <c r="E616" s="602"/>
      <c r="F616" s="570"/>
      <c r="G616" s="570"/>
      <c r="H616" s="570"/>
      <c r="I616" s="570"/>
      <c r="J616" s="570"/>
      <c r="K616" s="570"/>
      <c r="L616" s="570"/>
      <c r="M616" s="570"/>
      <c r="N616" s="570"/>
      <c r="O616" s="570"/>
      <c r="P616" s="570"/>
      <c r="Q616" s="570"/>
      <c r="R616" s="570"/>
      <c r="S616" s="570"/>
      <c r="T616" s="570">
        <f t="shared" si="290"/>
        <v>0</v>
      </c>
      <c r="U616" s="603"/>
      <c r="V616" s="599">
        <f t="shared" si="292"/>
        <v>0</v>
      </c>
    </row>
    <row r="617" spans="1:26" s="533" customFormat="1" ht="12.6" customHeight="1" x14ac:dyDescent="0.25">
      <c r="A617" s="577"/>
      <c r="B617" s="569" t="s">
        <v>232</v>
      </c>
      <c r="C617" s="569"/>
      <c r="D617" s="580"/>
      <c r="E617" s="602"/>
      <c r="F617" s="570">
        <f>'CABAC Fiduciary 2025'!F287</f>
        <v>83085</v>
      </c>
      <c r="G617" s="570"/>
      <c r="H617" s="570"/>
      <c r="I617" s="570"/>
      <c r="J617" s="570"/>
      <c r="K617" s="570"/>
      <c r="L617" s="570"/>
      <c r="M617" s="570"/>
      <c r="N617" s="570"/>
      <c r="O617" s="570"/>
      <c r="P617" s="570"/>
      <c r="Q617" s="570"/>
      <c r="R617" s="570"/>
      <c r="S617" s="570"/>
      <c r="T617" s="570"/>
      <c r="U617" s="603"/>
      <c r="V617" s="599"/>
    </row>
    <row r="618" spans="1:26" s="533" customFormat="1" ht="12.6" customHeight="1" x14ac:dyDescent="0.25">
      <c r="A618" s="577"/>
      <c r="B618" s="569" t="s">
        <v>200</v>
      </c>
      <c r="C618" s="569"/>
      <c r="D618" s="580"/>
      <c r="E618" s="602"/>
      <c r="F618" s="570">
        <f>'CABAC Fiduciary 2025'!F285</f>
        <v>83085</v>
      </c>
      <c r="G618" s="570"/>
      <c r="H618" s="570"/>
      <c r="I618" s="570"/>
      <c r="J618" s="570"/>
      <c r="K618" s="570"/>
      <c r="L618" s="570"/>
      <c r="M618" s="570"/>
      <c r="N618" s="570"/>
      <c r="O618" s="570"/>
      <c r="P618" s="570"/>
      <c r="Q618" s="570"/>
      <c r="R618" s="570"/>
      <c r="S618" s="570"/>
      <c r="T618" s="570">
        <f t="shared" si="290"/>
        <v>83085</v>
      </c>
      <c r="U618" s="603"/>
      <c r="V618" s="599">
        <f t="shared" si="292"/>
        <v>83085</v>
      </c>
    </row>
    <row r="619" spans="1:26" s="533" customFormat="1" ht="12.6" customHeight="1" x14ac:dyDescent="0.25">
      <c r="A619" s="577"/>
      <c r="B619" s="569" t="s">
        <v>154</v>
      </c>
      <c r="C619" s="569"/>
      <c r="D619" s="580"/>
      <c r="E619" s="602">
        <v>300000</v>
      </c>
      <c r="F619" s="570">
        <f>'CABAC Fiduciary 2025'!F286</f>
        <v>112451.28</v>
      </c>
      <c r="G619" s="570"/>
      <c r="H619" s="570"/>
      <c r="I619" s="570"/>
      <c r="J619" s="570"/>
      <c r="K619" s="570"/>
      <c r="L619" s="570"/>
      <c r="M619" s="570"/>
      <c r="N619" s="570"/>
      <c r="O619" s="570"/>
      <c r="P619" s="570"/>
      <c r="Q619" s="570"/>
      <c r="R619" s="570"/>
      <c r="S619" s="570"/>
      <c r="T619" s="570">
        <f t="shared" si="290"/>
        <v>412451.28</v>
      </c>
      <c r="U619" s="603"/>
      <c r="V619" s="599">
        <f t="shared" si="292"/>
        <v>412451.28</v>
      </c>
    </row>
    <row r="620" spans="1:26" s="533" customFormat="1" ht="12.6" customHeight="1" x14ac:dyDescent="0.25">
      <c r="A620" s="577"/>
      <c r="B620" s="569" t="s">
        <v>359</v>
      </c>
      <c r="C620" s="569"/>
      <c r="D620" s="580"/>
      <c r="E620" s="602">
        <v>500000</v>
      </c>
      <c r="F620" s="570">
        <f>'CABAC Fiduciary 2025'!F281</f>
        <v>0</v>
      </c>
      <c r="G620" s="570"/>
      <c r="H620" s="570"/>
      <c r="I620" s="570"/>
      <c r="J620" s="570"/>
      <c r="K620" s="570"/>
      <c r="L620" s="570"/>
      <c r="M620" s="570"/>
      <c r="N620" s="570"/>
      <c r="O620" s="570"/>
      <c r="P620" s="570"/>
      <c r="Q620" s="570"/>
      <c r="R620" s="570"/>
      <c r="S620" s="570"/>
      <c r="T620" s="570">
        <f t="shared" si="290"/>
        <v>500000</v>
      </c>
      <c r="U620" s="603"/>
      <c r="V620" s="599">
        <f t="shared" si="291"/>
        <v>500000</v>
      </c>
    </row>
    <row r="621" spans="1:26" s="533" customFormat="1" ht="12.6" customHeight="1" x14ac:dyDescent="0.25">
      <c r="A621" s="577"/>
      <c r="B621" s="569" t="s">
        <v>360</v>
      </c>
      <c r="C621" s="569"/>
      <c r="D621" s="580"/>
      <c r="E621" s="602">
        <v>500000</v>
      </c>
      <c r="F621" s="570">
        <f>'CABAC Fiduciary 2025'!F282</f>
        <v>122712.15</v>
      </c>
      <c r="G621" s="570"/>
      <c r="H621" s="570"/>
      <c r="I621" s="570"/>
      <c r="J621" s="570"/>
      <c r="K621" s="570"/>
      <c r="L621" s="570"/>
      <c r="M621" s="570"/>
      <c r="N621" s="570"/>
      <c r="O621" s="570"/>
      <c r="P621" s="570"/>
      <c r="Q621" s="570"/>
      <c r="R621" s="570"/>
      <c r="S621" s="570"/>
      <c r="T621" s="570">
        <f t="shared" si="290"/>
        <v>622712.15</v>
      </c>
      <c r="U621" s="603"/>
      <c r="V621" s="599">
        <f t="shared" si="291"/>
        <v>622712.15</v>
      </c>
    </row>
    <row r="622" spans="1:26" s="533" customFormat="1" ht="13.5" customHeight="1" thickBot="1" x14ac:dyDescent="0.3">
      <c r="A622" s="577"/>
      <c r="B622" s="569" t="s">
        <v>144</v>
      </c>
      <c r="C622" s="569"/>
      <c r="D622" s="580"/>
      <c r="E622" s="602">
        <v>500000</v>
      </c>
      <c r="F622" s="570">
        <f>'CABAC Fiduciary 2025'!F279</f>
        <v>0</v>
      </c>
      <c r="G622" s="570"/>
      <c r="H622" s="570"/>
      <c r="I622" s="570"/>
      <c r="J622" s="570"/>
      <c r="K622" s="570"/>
      <c r="L622" s="570"/>
      <c r="M622" s="570"/>
      <c r="N622" s="570"/>
      <c r="O622" s="570"/>
      <c r="P622" s="570"/>
      <c r="Q622" s="570"/>
      <c r="R622" s="570"/>
      <c r="S622" s="570"/>
      <c r="T622" s="570">
        <f t="shared" si="290"/>
        <v>500000</v>
      </c>
      <c r="U622" s="603"/>
      <c r="V622" s="599">
        <f t="shared" si="291"/>
        <v>500000</v>
      </c>
    </row>
    <row r="623" spans="1:26" s="533" customFormat="1" ht="12.6" customHeight="1" thickBot="1" x14ac:dyDescent="0.3">
      <c r="A623" s="577"/>
      <c r="B623" s="581" t="s">
        <v>346</v>
      </c>
      <c r="C623" s="569"/>
      <c r="D623" s="580"/>
      <c r="E623" s="582">
        <f t="shared" ref="E623:V623" si="293">SUM(E596:E622)</f>
        <v>18094899.5</v>
      </c>
      <c r="F623" s="582">
        <f t="shared" si="293"/>
        <v>5003060.5600000005</v>
      </c>
      <c r="G623" s="582">
        <f t="shared" si="293"/>
        <v>0</v>
      </c>
      <c r="H623" s="582">
        <f t="shared" si="293"/>
        <v>0</v>
      </c>
      <c r="I623" s="582">
        <f t="shared" si="293"/>
        <v>0</v>
      </c>
      <c r="J623" s="582">
        <f t="shared" si="293"/>
        <v>0</v>
      </c>
      <c r="K623" s="582">
        <f t="shared" si="293"/>
        <v>-1000000</v>
      </c>
      <c r="L623" s="582">
        <f t="shared" si="293"/>
        <v>0</v>
      </c>
      <c r="M623" s="582">
        <f t="shared" si="293"/>
        <v>0</v>
      </c>
      <c r="N623" s="582">
        <f t="shared" si="293"/>
        <v>0</v>
      </c>
      <c r="O623" s="582">
        <f t="shared" si="293"/>
        <v>0</v>
      </c>
      <c r="P623" s="582">
        <f t="shared" si="293"/>
        <v>0</v>
      </c>
      <c r="Q623" s="582">
        <f t="shared" si="293"/>
        <v>0</v>
      </c>
      <c r="R623" s="582">
        <f t="shared" si="293"/>
        <v>0</v>
      </c>
      <c r="S623" s="582">
        <f t="shared" si="293"/>
        <v>0</v>
      </c>
      <c r="T623" s="582">
        <f t="shared" si="293"/>
        <v>22014875.059999999</v>
      </c>
      <c r="U623" s="582">
        <f t="shared" si="293"/>
        <v>0</v>
      </c>
      <c r="V623" s="582">
        <f t="shared" si="293"/>
        <v>22014875.059999999</v>
      </c>
    </row>
    <row r="624" spans="1:26" ht="12.6" customHeight="1" x14ac:dyDescent="0.25">
      <c r="A624" s="577"/>
      <c r="B624" s="581"/>
      <c r="C624" s="569"/>
      <c r="D624" s="583" t="s">
        <v>347</v>
      </c>
      <c r="E624" s="730">
        <f>E604+E606+E607+E608+E612+E613+E614+E619+E620+E621+E622</f>
        <v>5020659.16</v>
      </c>
      <c r="F624" s="730">
        <f>F604+F605+F606+F607+F608+F609+F611+F612+F614+F617+F618+F619+F620+F621</f>
        <v>1759683.66</v>
      </c>
      <c r="G624" s="584">
        <f t="shared" ref="G624:V624" si="294">SUM(G603:G622)</f>
        <v>0</v>
      </c>
      <c r="H624" s="584">
        <f t="shared" si="294"/>
        <v>0</v>
      </c>
      <c r="I624" s="584">
        <f t="shared" si="294"/>
        <v>0</v>
      </c>
      <c r="J624" s="584">
        <f t="shared" si="294"/>
        <v>0</v>
      </c>
      <c r="K624" s="584">
        <f t="shared" si="294"/>
        <v>-1000000</v>
      </c>
      <c r="L624" s="584">
        <f t="shared" si="294"/>
        <v>0</v>
      </c>
      <c r="M624" s="584">
        <f t="shared" si="294"/>
        <v>0</v>
      </c>
      <c r="N624" s="584">
        <f t="shared" si="294"/>
        <v>0</v>
      </c>
      <c r="O624" s="584">
        <f t="shared" si="294"/>
        <v>0</v>
      </c>
      <c r="P624" s="584">
        <f t="shared" si="294"/>
        <v>0</v>
      </c>
      <c r="Q624" s="584">
        <f t="shared" si="294"/>
        <v>0</v>
      </c>
      <c r="R624" s="584">
        <f t="shared" si="294"/>
        <v>0</v>
      </c>
      <c r="S624" s="584">
        <f t="shared" si="294"/>
        <v>0</v>
      </c>
      <c r="T624" s="584">
        <f t="shared" si="294"/>
        <v>7757488.8200000003</v>
      </c>
      <c r="U624" s="584">
        <f t="shared" si="294"/>
        <v>0</v>
      </c>
      <c r="V624" s="584">
        <f t="shared" si="294"/>
        <v>7757488.8200000003</v>
      </c>
      <c r="W624" s="532"/>
      <c r="X624" s="532"/>
      <c r="Y624" s="532"/>
      <c r="Z624" s="532"/>
    </row>
    <row r="625" spans="1:26" ht="12.6" customHeight="1" x14ac:dyDescent="0.25">
      <c r="A625" s="577"/>
      <c r="B625" s="581"/>
      <c r="C625" s="569"/>
      <c r="D625" s="583" t="s">
        <v>348</v>
      </c>
      <c r="E625" s="730">
        <f>E596+E597+E598+E599+E600+E601+E602+E603</f>
        <v>13074240.34</v>
      </c>
      <c r="F625" s="730">
        <f>F596+F597+F598+F599+F600+F601+F602+F603</f>
        <v>3243376.9</v>
      </c>
      <c r="G625" s="584">
        <f t="shared" ref="G625:V625" si="295">SUM(G596:G602)</f>
        <v>0</v>
      </c>
      <c r="H625" s="584">
        <f t="shared" si="295"/>
        <v>0</v>
      </c>
      <c r="I625" s="584">
        <f t="shared" si="295"/>
        <v>0</v>
      </c>
      <c r="J625" s="584">
        <f t="shared" si="295"/>
        <v>0</v>
      </c>
      <c r="K625" s="584">
        <f t="shared" si="295"/>
        <v>0</v>
      </c>
      <c r="L625" s="584">
        <f t="shared" si="295"/>
        <v>0</v>
      </c>
      <c r="M625" s="584">
        <f t="shared" si="295"/>
        <v>0</v>
      </c>
      <c r="N625" s="584">
        <f t="shared" si="295"/>
        <v>0</v>
      </c>
      <c r="O625" s="584">
        <f t="shared" si="295"/>
        <v>0</v>
      </c>
      <c r="P625" s="584">
        <f t="shared" si="295"/>
        <v>0</v>
      </c>
      <c r="Q625" s="584">
        <f t="shared" si="295"/>
        <v>0</v>
      </c>
      <c r="R625" s="584">
        <f t="shared" si="295"/>
        <v>0</v>
      </c>
      <c r="S625" s="584">
        <f t="shared" si="295"/>
        <v>0</v>
      </c>
      <c r="T625" s="584">
        <f t="shared" si="295"/>
        <v>14257386.24</v>
      </c>
      <c r="U625" s="584">
        <f t="shared" si="295"/>
        <v>0</v>
      </c>
      <c r="V625" s="584">
        <f t="shared" si="295"/>
        <v>14257386.24</v>
      </c>
      <c r="W625" s="532"/>
      <c r="X625" s="532"/>
      <c r="Y625" s="532"/>
      <c r="Z625" s="532"/>
    </row>
    <row r="626" spans="1:26" ht="12.6" customHeight="1" x14ac:dyDescent="0.25">
      <c r="A626" s="577"/>
      <c r="B626" s="823"/>
      <c r="C626" s="569"/>
      <c r="D626" s="580"/>
      <c r="E626" s="730">
        <f>SUM(E624:E625)</f>
        <v>18094899.5</v>
      </c>
      <c r="F626" s="730">
        <f t="shared" ref="F626:V626" si="296">SUM(F624:F625)</f>
        <v>5003060.5599999996</v>
      </c>
      <c r="G626" s="584">
        <f t="shared" si="296"/>
        <v>0</v>
      </c>
      <c r="H626" s="584">
        <f>SUM(H624:H625)</f>
        <v>0</v>
      </c>
      <c r="I626" s="584">
        <f t="shared" si="296"/>
        <v>0</v>
      </c>
      <c r="J626" s="584">
        <f>SUM(J624:J625)</f>
        <v>0</v>
      </c>
      <c r="K626" s="584">
        <f t="shared" si="296"/>
        <v>-1000000</v>
      </c>
      <c r="L626" s="584">
        <f t="shared" si="296"/>
        <v>0</v>
      </c>
      <c r="M626" s="584">
        <f t="shared" si="296"/>
        <v>0</v>
      </c>
      <c r="N626" s="584">
        <f t="shared" si="296"/>
        <v>0</v>
      </c>
      <c r="O626" s="584">
        <f t="shared" si="296"/>
        <v>0</v>
      </c>
      <c r="P626" s="584">
        <f t="shared" si="296"/>
        <v>0</v>
      </c>
      <c r="Q626" s="584">
        <f t="shared" si="296"/>
        <v>0</v>
      </c>
      <c r="R626" s="584">
        <f t="shared" si="296"/>
        <v>0</v>
      </c>
      <c r="S626" s="584">
        <f t="shared" si="296"/>
        <v>0</v>
      </c>
      <c r="T626" s="584">
        <f t="shared" si="296"/>
        <v>22014875.060000002</v>
      </c>
      <c r="U626" s="584">
        <f t="shared" si="296"/>
        <v>0</v>
      </c>
      <c r="V626" s="584">
        <f t="shared" si="296"/>
        <v>22014875.060000002</v>
      </c>
      <c r="W626" s="532"/>
      <c r="X626" s="532"/>
      <c r="Y626" s="532"/>
      <c r="Z626" s="532"/>
    </row>
    <row r="627" spans="1:26" ht="12.6" customHeight="1" x14ac:dyDescent="0.25">
      <c r="A627" s="577"/>
      <c r="B627" s="569"/>
      <c r="C627" s="569"/>
      <c r="D627" s="569"/>
      <c r="E627" s="1234">
        <f>E626-E623</f>
        <v>0</v>
      </c>
      <c r="F627" s="1234">
        <f t="shared" ref="F627:V627" si="297">F626-F623</f>
        <v>0</v>
      </c>
      <c r="G627" s="1234">
        <f t="shared" si="297"/>
        <v>0</v>
      </c>
      <c r="H627" s="1234">
        <f>H626-H623</f>
        <v>0</v>
      </c>
      <c r="I627" s="1234">
        <f t="shared" si="297"/>
        <v>0</v>
      </c>
      <c r="J627" s="1234">
        <f>J626-J623</f>
        <v>0</v>
      </c>
      <c r="K627" s="1234">
        <f t="shared" si="297"/>
        <v>0</v>
      </c>
      <c r="L627" s="1234">
        <f t="shared" si="297"/>
        <v>0</v>
      </c>
      <c r="M627" s="1234">
        <f t="shared" si="297"/>
        <v>0</v>
      </c>
      <c r="N627" s="1234">
        <f t="shared" si="297"/>
        <v>0</v>
      </c>
      <c r="O627" s="1234">
        <f t="shared" si="297"/>
        <v>0</v>
      </c>
      <c r="P627" s="1234">
        <f t="shared" si="297"/>
        <v>0</v>
      </c>
      <c r="Q627" s="1234">
        <f t="shared" si="297"/>
        <v>0</v>
      </c>
      <c r="R627" s="1234">
        <f t="shared" si="297"/>
        <v>0</v>
      </c>
      <c r="S627" s="1234">
        <f t="shared" si="297"/>
        <v>0</v>
      </c>
      <c r="T627" s="1234">
        <f t="shared" si="297"/>
        <v>0</v>
      </c>
      <c r="U627" s="1234">
        <f t="shared" si="297"/>
        <v>0</v>
      </c>
      <c r="V627" s="1234">
        <f t="shared" si="297"/>
        <v>0</v>
      </c>
    </row>
    <row r="628" spans="1:26" s="533" customFormat="1" ht="12.6" customHeight="1" thickBot="1" x14ac:dyDescent="0.3">
      <c r="A628" s="577"/>
      <c r="B628" s="569"/>
      <c r="C628" s="569"/>
      <c r="D628" s="580"/>
      <c r="E628" s="601"/>
      <c r="F628" s="601"/>
      <c r="G628" s="601"/>
      <c r="H628" s="601"/>
      <c r="I628" s="601"/>
      <c r="J628" s="601"/>
      <c r="K628" s="601"/>
      <c r="L628" s="601"/>
      <c r="M628" s="601"/>
      <c r="N628" s="601"/>
      <c r="O628" s="601"/>
      <c r="P628" s="601"/>
      <c r="Q628" s="601"/>
      <c r="R628" s="601"/>
      <c r="S628" s="601"/>
      <c r="T628" s="601"/>
      <c r="U628" s="601"/>
      <c r="V628" s="615"/>
    </row>
    <row r="629" spans="1:26" s="591" customFormat="1" ht="12.6" customHeight="1" thickBot="1" x14ac:dyDescent="0.3">
      <c r="A629" s="587" t="s">
        <v>415</v>
      </c>
      <c r="B629" s="588"/>
      <c r="C629" s="588"/>
      <c r="D629" s="589"/>
      <c r="E629" s="590">
        <f>E62+E75+E102+E110+E140+E169+E179+E191+E224+E235+E250+E280+E295+E312+E325+E338+E345+E353+E363+E373+E381+E389+E397+E415+E427+E436+E444+E455+E464+E471+E479+E494+E503+E511+E519+E541+E556+E568+E579+E590+E623</f>
        <v>57655883.880000003</v>
      </c>
      <c r="F629" s="590">
        <f>F62+F75+F102+F110+F140+F148+F161+F169+F179+F191+F224+F235+F250+F257+F280+F295+F312+F325+F338+F345+F353+F363+F373+F381+F415+F427+F436+F444+F455+F464+F471+F479+F494+F503+F511+F519+F541+F556+F568+F579+F590+F623</f>
        <v>18698606.289999999</v>
      </c>
      <c r="G629" s="590">
        <f t="shared" ref="G629:V629" si="298">G62+G75+G102+G110+G140+G148+G161+G179+G191+G224+G235+G250+G257+G280+G295+G312+G325+G338+G345+G353+G363+G373+G415+G427+G436+G444+G464+G479+G494+G503+G511+G519+G541+G556+G568+G590+G623+G471+G381+G455</f>
        <v>0</v>
      </c>
      <c r="H629" s="590">
        <f t="shared" si="298"/>
        <v>4500000</v>
      </c>
      <c r="I629" s="590">
        <f t="shared" si="298"/>
        <v>6442073.1600000001</v>
      </c>
      <c r="J629" s="590">
        <f t="shared" si="298"/>
        <v>0</v>
      </c>
      <c r="K629" s="590">
        <f t="shared" si="298"/>
        <v>0</v>
      </c>
      <c r="L629" s="590">
        <f t="shared" si="298"/>
        <v>0</v>
      </c>
      <c r="M629" s="590">
        <f t="shared" si="298"/>
        <v>0</v>
      </c>
      <c r="N629" s="590">
        <f t="shared" si="298"/>
        <v>0</v>
      </c>
      <c r="O629" s="590">
        <f t="shared" si="298"/>
        <v>0</v>
      </c>
      <c r="P629" s="590">
        <f t="shared" si="298"/>
        <v>0</v>
      </c>
      <c r="Q629" s="590">
        <f t="shared" si="298"/>
        <v>0</v>
      </c>
      <c r="R629" s="590">
        <f t="shared" si="298"/>
        <v>0</v>
      </c>
      <c r="S629" s="590">
        <f t="shared" si="298"/>
        <v>0</v>
      </c>
      <c r="T629" s="590">
        <f t="shared" si="298"/>
        <v>82797606.060000002</v>
      </c>
      <c r="U629" s="590">
        <f t="shared" si="298"/>
        <v>0</v>
      </c>
      <c r="V629" s="590">
        <f t="shared" si="298"/>
        <v>82797606.060000002</v>
      </c>
      <c r="W629" s="697"/>
      <c r="X629" s="697"/>
      <c r="Y629" s="697"/>
      <c r="Z629" s="697"/>
    </row>
    <row r="630" spans="1:26" ht="12.6" customHeight="1" x14ac:dyDescent="0.25">
      <c r="A630" s="577"/>
      <c r="B630" s="581"/>
      <c r="C630" s="569"/>
      <c r="D630" s="583" t="s">
        <v>347</v>
      </c>
      <c r="E630" s="730">
        <f>E63+E76+E103+E111+E141+E149+E162+E170+E180+E192+E225+E236+E251+E258+E281+E296+E313+E326+E339+E346+E354+E364+E374+E382+E390+E398+E416+E428+E437+E445+E456+E465+E472+E480+E495+E504+E512+E520+E542+E557+E569+E580+E591+E624</f>
        <v>28967193.650000002</v>
      </c>
      <c r="F630" s="730">
        <f>F63+F76+F103+F111+F141+F149+F162+F170+F180+F192+F225+F236+F251+F258+F281+F296+F313+F326+F339+F346+F354+F364+F374+F382+F416+F428+F437+F445+F456+F465+F472+F480+F495+F504+F512+F520+F542+F557+F569+F580+F591+F624</f>
        <v>7872648.75</v>
      </c>
      <c r="G630" s="584">
        <f t="shared" ref="G630:V630" si="299">G63+G76+G103+G111+G141+G149+G162+G180+G192+G225+G236+G251+G258+G281+G296+G313+G326+G339+G346+G354+G364+G374+G382+G416+G428+G437+G445+G456+G465+G472+G480+G495+G504+G512+G520+G542+G557+G569+G591+G624</f>
        <v>0</v>
      </c>
      <c r="H630" s="584">
        <f t="shared" si="299"/>
        <v>0</v>
      </c>
      <c r="I630" s="584">
        <f t="shared" si="299"/>
        <v>942073.16</v>
      </c>
      <c r="J630" s="584">
        <f t="shared" si="299"/>
        <v>0</v>
      </c>
      <c r="K630" s="584">
        <f t="shared" si="299"/>
        <v>0</v>
      </c>
      <c r="L630" s="584">
        <f t="shared" si="299"/>
        <v>0</v>
      </c>
      <c r="M630" s="584">
        <f t="shared" si="299"/>
        <v>0</v>
      </c>
      <c r="N630" s="584">
        <f t="shared" si="299"/>
        <v>0</v>
      </c>
      <c r="O630" s="584">
        <f t="shared" si="299"/>
        <v>0</v>
      </c>
      <c r="P630" s="584">
        <f t="shared" si="299"/>
        <v>0</v>
      </c>
      <c r="Q630" s="584">
        <f t="shared" si="299"/>
        <v>0</v>
      </c>
      <c r="R630" s="584">
        <f t="shared" si="299"/>
        <v>0</v>
      </c>
      <c r="S630" s="584">
        <f t="shared" si="299"/>
        <v>0</v>
      </c>
      <c r="T630" s="584">
        <f t="shared" si="299"/>
        <v>34129008.790000007</v>
      </c>
      <c r="U630" s="584">
        <f t="shared" si="299"/>
        <v>0</v>
      </c>
      <c r="V630" s="584">
        <f t="shared" si="299"/>
        <v>34129008.790000007</v>
      </c>
      <c r="W630" s="532"/>
      <c r="X630" s="532"/>
      <c r="Y630" s="532"/>
      <c r="Z630" s="532"/>
    </row>
    <row r="631" spans="1:26" ht="12.6" customHeight="1" x14ac:dyDescent="0.25">
      <c r="A631" s="577"/>
      <c r="B631" s="581"/>
      <c r="C631" s="569"/>
      <c r="D631" s="583" t="s">
        <v>348</v>
      </c>
      <c r="E631" s="730">
        <f>E64+E77+E104+E112+E142+E150+E163+E171+E181+E193+E226+E237+E252+E259+E282+E297+E314+E327+E340+E347+E355+E365+E375+E383+E417+E429+E438+E446+E457+E466+E473+E481+E496+E505+E513+E521+E543+E558+E570+E581+E592+E625</f>
        <v>28688690.229999997</v>
      </c>
      <c r="F631" s="730">
        <f>F64+F77+F104+F112+F142+F150+F163+F171+F181+F193+F226+F237+F252+F282+F297+F314+F327+F340+F347+F355+F365+F375+F383+F417+F429+F438+F446+F457+F466+F473+F481+F496+F505+F513+F521+F543+F558+F570+F581+F592+F625</f>
        <v>10921957.539999999</v>
      </c>
      <c r="G631" s="584">
        <f t="shared" ref="G631:V631" si="300">G64+G77+G104+G112+G142+G150+G163+G181+G193+G226+G237+G252+G259+G282+G297+G314+G327+G340+G347+G355+G365+G375+G383+G417+G429+G438+G446+G457+G466+G473+G481+G496+G505+G513+G521+G543+G558+G570+G592+G625</f>
        <v>0</v>
      </c>
      <c r="H631" s="584">
        <f t="shared" si="300"/>
        <v>4500000</v>
      </c>
      <c r="I631" s="584">
        <f t="shared" si="300"/>
        <v>5500000</v>
      </c>
      <c r="J631" s="584">
        <f t="shared" si="300"/>
        <v>0</v>
      </c>
      <c r="K631" s="584">
        <f t="shared" si="300"/>
        <v>0</v>
      </c>
      <c r="L631" s="584">
        <f t="shared" si="300"/>
        <v>0</v>
      </c>
      <c r="M631" s="584">
        <f t="shared" si="300"/>
        <v>0</v>
      </c>
      <c r="N631" s="584">
        <f t="shared" si="300"/>
        <v>0</v>
      </c>
      <c r="O631" s="584">
        <f t="shared" si="300"/>
        <v>0</v>
      </c>
      <c r="P631" s="584">
        <f t="shared" si="300"/>
        <v>0</v>
      </c>
      <c r="Q631" s="584">
        <f t="shared" si="300"/>
        <v>0</v>
      </c>
      <c r="R631" s="584">
        <f t="shared" si="300"/>
        <v>0</v>
      </c>
      <c r="S631" s="584">
        <f t="shared" si="300"/>
        <v>0</v>
      </c>
      <c r="T631" s="584">
        <f t="shared" si="300"/>
        <v>48668597.270000003</v>
      </c>
      <c r="U631" s="584">
        <f t="shared" si="300"/>
        <v>0</v>
      </c>
      <c r="V631" s="584">
        <f t="shared" si="300"/>
        <v>48668597.270000003</v>
      </c>
      <c r="W631" s="532"/>
      <c r="X631" s="532"/>
      <c r="Y631" s="532"/>
      <c r="Z631" s="532"/>
    </row>
    <row r="632" spans="1:26" ht="12.6" customHeight="1" x14ac:dyDescent="0.25">
      <c r="A632" s="577"/>
      <c r="B632" s="581"/>
      <c r="C632" s="569"/>
      <c r="D632" s="580"/>
      <c r="E632" s="730">
        <f>SUM(E630:E631)</f>
        <v>57655883.879999995</v>
      </c>
      <c r="F632" s="730">
        <f t="shared" ref="F632:V632" si="301">SUM(F630:F631)</f>
        <v>18794606.289999999</v>
      </c>
      <c r="G632" s="584">
        <f t="shared" si="301"/>
        <v>0</v>
      </c>
      <c r="H632" s="584">
        <f>SUM(H630:H631)</f>
        <v>4500000</v>
      </c>
      <c r="I632" s="584">
        <f t="shared" si="301"/>
        <v>6442073.1600000001</v>
      </c>
      <c r="J632" s="584">
        <f>SUM(J630:J631)</f>
        <v>0</v>
      </c>
      <c r="K632" s="584">
        <f t="shared" si="301"/>
        <v>0</v>
      </c>
      <c r="L632" s="584">
        <f t="shared" si="301"/>
        <v>0</v>
      </c>
      <c r="M632" s="584">
        <f t="shared" si="301"/>
        <v>0</v>
      </c>
      <c r="N632" s="584">
        <f t="shared" si="301"/>
        <v>0</v>
      </c>
      <c r="O632" s="584">
        <f t="shared" si="301"/>
        <v>0</v>
      </c>
      <c r="P632" s="584">
        <f t="shared" si="301"/>
        <v>0</v>
      </c>
      <c r="Q632" s="584">
        <f t="shared" si="301"/>
        <v>0</v>
      </c>
      <c r="R632" s="584">
        <f t="shared" si="301"/>
        <v>0</v>
      </c>
      <c r="S632" s="584">
        <f t="shared" si="301"/>
        <v>0</v>
      </c>
      <c r="T632" s="584">
        <f t="shared" si="301"/>
        <v>82797606.060000002</v>
      </c>
      <c r="U632" s="584">
        <f t="shared" si="301"/>
        <v>0</v>
      </c>
      <c r="V632" s="584">
        <f t="shared" si="301"/>
        <v>82797606.060000002</v>
      </c>
      <c r="W632" s="532"/>
      <c r="X632" s="532"/>
      <c r="Y632" s="532"/>
      <c r="Z632" s="532"/>
    </row>
    <row r="633" spans="1:26" ht="12.6" customHeight="1" x14ac:dyDescent="0.25">
      <c r="A633" s="577"/>
      <c r="B633" s="569"/>
      <c r="C633" s="569"/>
      <c r="D633" s="569"/>
      <c r="E633" s="1234">
        <f>E632-E629</f>
        <v>0</v>
      </c>
      <c r="F633" s="1234">
        <f t="shared" ref="F633:V633" si="302">F632-F629</f>
        <v>96000</v>
      </c>
      <c r="G633" s="1234">
        <f t="shared" si="302"/>
        <v>0</v>
      </c>
      <c r="H633" s="1234">
        <f>H632-H629</f>
        <v>0</v>
      </c>
      <c r="I633" s="1234">
        <f t="shared" si="302"/>
        <v>0</v>
      </c>
      <c r="J633" s="1234">
        <f>J632-J629</f>
        <v>0</v>
      </c>
      <c r="K633" s="1234">
        <f t="shared" si="302"/>
        <v>0</v>
      </c>
      <c r="L633" s="1234">
        <f t="shared" si="302"/>
        <v>0</v>
      </c>
      <c r="M633" s="1234">
        <f t="shared" si="302"/>
        <v>0</v>
      </c>
      <c r="N633" s="1234">
        <f t="shared" si="302"/>
        <v>0</v>
      </c>
      <c r="O633" s="1234">
        <f t="shared" si="302"/>
        <v>0</v>
      </c>
      <c r="P633" s="1234">
        <f t="shared" si="302"/>
        <v>0</v>
      </c>
      <c r="Q633" s="1234">
        <f t="shared" si="302"/>
        <v>0</v>
      </c>
      <c r="R633" s="1234">
        <f t="shared" si="302"/>
        <v>0</v>
      </c>
      <c r="S633" s="1234">
        <f t="shared" si="302"/>
        <v>0</v>
      </c>
      <c r="T633" s="1234">
        <f t="shared" si="302"/>
        <v>0</v>
      </c>
      <c r="U633" s="1234">
        <f t="shared" si="302"/>
        <v>0</v>
      </c>
      <c r="V633" s="1234">
        <f t="shared" si="302"/>
        <v>0</v>
      </c>
    </row>
    <row r="634" spans="1:26" ht="12.6" customHeight="1" thickBot="1" x14ac:dyDescent="0.3">
      <c r="A634" s="592"/>
      <c r="B634" s="593"/>
      <c r="C634" s="593"/>
      <c r="D634" s="593"/>
      <c r="E634" s="594"/>
      <c r="F634" s="594"/>
      <c r="G634" s="594"/>
      <c r="H634" s="594"/>
      <c r="I634" s="594"/>
      <c r="J634" s="594"/>
      <c r="K634" s="594"/>
      <c r="L634" s="594"/>
      <c r="M634" s="594"/>
      <c r="N634" s="594"/>
      <c r="O634" s="594"/>
      <c r="P634" s="594"/>
      <c r="Q634" s="594"/>
      <c r="R634" s="594"/>
      <c r="S634" s="594"/>
      <c r="T634" s="594"/>
      <c r="U634" s="594"/>
      <c r="V634" s="637"/>
    </row>
    <row r="635" spans="1:26" ht="12.6" customHeight="1" thickBot="1" x14ac:dyDescent="0.3">
      <c r="A635" s="596"/>
      <c r="B635" s="596"/>
      <c r="C635" s="596"/>
      <c r="D635" s="596"/>
      <c r="E635" s="1253"/>
      <c r="F635" s="1253"/>
      <c r="G635" s="1254"/>
      <c r="H635" s="598"/>
      <c r="I635" s="1254"/>
      <c r="J635" s="1254"/>
      <c r="K635" s="1254"/>
      <c r="L635" s="1254"/>
      <c r="M635" s="598"/>
      <c r="N635" s="1254"/>
      <c r="O635" s="1254"/>
      <c r="P635" s="598"/>
      <c r="Q635" s="1254"/>
      <c r="R635" s="1254"/>
      <c r="S635" s="1254"/>
      <c r="T635" s="598"/>
      <c r="U635" s="1254"/>
      <c r="V635" s="1254"/>
    </row>
    <row r="636" spans="1:26" ht="12.6" customHeight="1" x14ac:dyDescent="0.25">
      <c r="A636" s="698" t="s">
        <v>416</v>
      </c>
      <c r="B636" s="612"/>
      <c r="C636" s="612"/>
      <c r="D636" s="617"/>
      <c r="E636" s="613"/>
      <c r="F636" s="613"/>
      <c r="G636" s="613"/>
      <c r="H636" s="613"/>
      <c r="I636" s="613"/>
      <c r="J636" s="613"/>
      <c r="K636" s="613"/>
      <c r="L636" s="613"/>
      <c r="M636" s="613"/>
      <c r="N636" s="613"/>
      <c r="O636" s="613"/>
      <c r="P636" s="613"/>
      <c r="Q636" s="613"/>
      <c r="R636" s="613"/>
      <c r="S636" s="613"/>
      <c r="T636" s="613"/>
      <c r="U636" s="619"/>
      <c r="V636" s="614"/>
    </row>
    <row r="637" spans="1:26" ht="12.6" customHeight="1" x14ac:dyDescent="0.25">
      <c r="A637" s="698"/>
      <c r="B637" s="612"/>
      <c r="C637" s="612"/>
      <c r="D637" s="617"/>
      <c r="E637" s="570"/>
      <c r="F637" s="570"/>
      <c r="G637" s="570"/>
      <c r="H637" s="570"/>
      <c r="I637" s="570"/>
      <c r="J637" s="570"/>
      <c r="K637" s="570"/>
      <c r="L637" s="570"/>
      <c r="M637" s="570"/>
      <c r="N637" s="570"/>
      <c r="O637" s="570"/>
      <c r="P637" s="570"/>
      <c r="Q637" s="570"/>
      <c r="R637" s="570"/>
      <c r="S637" s="570"/>
      <c r="T637" s="570"/>
      <c r="U637" s="603"/>
      <c r="V637" s="599"/>
    </row>
    <row r="638" spans="1:26" s="533" customFormat="1" ht="12.6" customHeight="1" x14ac:dyDescent="0.25">
      <c r="A638" s="573" t="s">
        <v>417</v>
      </c>
      <c r="B638" s="569" t="s">
        <v>308</v>
      </c>
      <c r="C638" s="569"/>
      <c r="D638" s="580"/>
      <c r="E638" s="570"/>
      <c r="F638" s="570"/>
      <c r="G638" s="570"/>
      <c r="H638" s="570"/>
      <c r="I638" s="570"/>
      <c r="J638" s="570"/>
      <c r="K638" s="570"/>
      <c r="L638" s="570"/>
      <c r="M638" s="570"/>
      <c r="N638" s="570"/>
      <c r="O638" s="570"/>
      <c r="P638" s="570"/>
      <c r="Q638" s="570"/>
      <c r="R638" s="570"/>
      <c r="S638" s="570"/>
      <c r="T638" s="570">
        <f>SUM(E638:S638)</f>
        <v>0</v>
      </c>
      <c r="U638" s="603"/>
      <c r="V638" s="599">
        <f>T638-U638</f>
        <v>0</v>
      </c>
    </row>
    <row r="639" spans="1:26" s="533" customFormat="1" ht="12.6" customHeight="1" thickBot="1" x14ac:dyDescent="0.3">
      <c r="A639" s="604" t="s">
        <v>418</v>
      </c>
      <c r="B639" s="569" t="s">
        <v>419</v>
      </c>
      <c r="C639" s="569"/>
      <c r="D639" s="580"/>
      <c r="E639" s="601"/>
      <c r="F639" s="601"/>
      <c r="G639" s="601"/>
      <c r="H639" s="601"/>
      <c r="I639" s="601"/>
      <c r="J639" s="601"/>
      <c r="K639" s="601"/>
      <c r="L639" s="601"/>
      <c r="M639" s="601"/>
      <c r="N639" s="601"/>
      <c r="O639" s="601"/>
      <c r="P639" s="601"/>
      <c r="Q639" s="601"/>
      <c r="R639" s="601"/>
      <c r="S639" s="601"/>
      <c r="T639" s="601">
        <f>SUM(E639:S639)</f>
        <v>0</v>
      </c>
      <c r="U639" s="606"/>
      <c r="V639" s="615">
        <f>T639-U639</f>
        <v>0</v>
      </c>
    </row>
    <row r="640" spans="1:26" s="533" customFormat="1" ht="12.6" customHeight="1" thickBot="1" x14ac:dyDescent="0.3">
      <c r="A640" s="573"/>
      <c r="B640" s="581" t="s">
        <v>346</v>
      </c>
      <c r="C640" s="569"/>
      <c r="D640" s="580"/>
      <c r="E640" s="582">
        <f>SUM(E638:E639)</f>
        <v>0</v>
      </c>
      <c r="F640" s="582">
        <f t="shared" ref="F640:V640" si="303">SUM(F638:F639)</f>
        <v>0</v>
      </c>
      <c r="G640" s="582">
        <f t="shared" si="303"/>
        <v>0</v>
      </c>
      <c r="H640" s="582">
        <f>SUM(H638:H639)</f>
        <v>0</v>
      </c>
      <c r="I640" s="582">
        <f t="shared" si="303"/>
        <v>0</v>
      </c>
      <c r="J640" s="582">
        <f>SUM(J638:J639)</f>
        <v>0</v>
      </c>
      <c r="K640" s="582">
        <f t="shared" si="303"/>
        <v>0</v>
      </c>
      <c r="L640" s="582">
        <f t="shared" si="303"/>
        <v>0</v>
      </c>
      <c r="M640" s="582">
        <f t="shared" si="303"/>
        <v>0</v>
      </c>
      <c r="N640" s="582">
        <f t="shared" si="303"/>
        <v>0</v>
      </c>
      <c r="O640" s="582">
        <f t="shared" si="303"/>
        <v>0</v>
      </c>
      <c r="P640" s="582">
        <f t="shared" si="303"/>
        <v>0</v>
      </c>
      <c r="Q640" s="582">
        <f t="shared" si="303"/>
        <v>0</v>
      </c>
      <c r="R640" s="582">
        <f t="shared" si="303"/>
        <v>0</v>
      </c>
      <c r="S640" s="582">
        <f t="shared" si="303"/>
        <v>0</v>
      </c>
      <c r="T640" s="582">
        <f t="shared" si="303"/>
        <v>0</v>
      </c>
      <c r="U640" s="582">
        <f t="shared" si="303"/>
        <v>0</v>
      </c>
      <c r="V640" s="582">
        <f t="shared" si="303"/>
        <v>0</v>
      </c>
    </row>
    <row r="641" spans="1:26" ht="12.6" customHeight="1" x14ac:dyDescent="0.25">
      <c r="A641" s="577"/>
      <c r="B641" s="581"/>
      <c r="C641" s="569"/>
      <c r="D641" s="583" t="s">
        <v>347</v>
      </c>
      <c r="E641" s="584"/>
      <c r="F641" s="584"/>
      <c r="G641" s="584"/>
      <c r="H641" s="584"/>
      <c r="I641" s="584"/>
      <c r="J641" s="584"/>
      <c r="K641" s="584"/>
      <c r="L641" s="584"/>
      <c r="M641" s="584"/>
      <c r="N641" s="584"/>
      <c r="O641" s="584"/>
      <c r="P641" s="584"/>
      <c r="Q641" s="584"/>
      <c r="R641" s="584"/>
      <c r="S641" s="584"/>
      <c r="T641" s="584"/>
      <c r="U641" s="584"/>
      <c r="V641" s="584"/>
      <c r="W641" s="532"/>
      <c r="X641" s="532"/>
      <c r="Y641" s="532"/>
      <c r="Z641" s="532"/>
    </row>
    <row r="642" spans="1:26" ht="12.6" customHeight="1" x14ac:dyDescent="0.25">
      <c r="A642" s="577"/>
      <c r="B642" s="581"/>
      <c r="C642" s="569"/>
      <c r="D642" s="583" t="s">
        <v>348</v>
      </c>
      <c r="E642" s="584">
        <f>SUM(E638:E639)</f>
        <v>0</v>
      </c>
      <c r="F642" s="584">
        <f t="shared" ref="F642:V642" si="304">SUM(F638:F639)</f>
        <v>0</v>
      </c>
      <c r="G642" s="584">
        <f t="shared" si="304"/>
        <v>0</v>
      </c>
      <c r="H642" s="584">
        <f>SUM(H638:H639)</f>
        <v>0</v>
      </c>
      <c r="I642" s="584">
        <f t="shared" si="304"/>
        <v>0</v>
      </c>
      <c r="J642" s="584">
        <f>SUM(J638:J639)</f>
        <v>0</v>
      </c>
      <c r="K642" s="584">
        <f t="shared" si="304"/>
        <v>0</v>
      </c>
      <c r="L642" s="584">
        <f t="shared" si="304"/>
        <v>0</v>
      </c>
      <c r="M642" s="584">
        <f t="shared" si="304"/>
        <v>0</v>
      </c>
      <c r="N642" s="584">
        <f t="shared" si="304"/>
        <v>0</v>
      </c>
      <c r="O642" s="584">
        <f t="shared" si="304"/>
        <v>0</v>
      </c>
      <c r="P642" s="584">
        <f t="shared" si="304"/>
        <v>0</v>
      </c>
      <c r="Q642" s="584">
        <f t="shared" si="304"/>
        <v>0</v>
      </c>
      <c r="R642" s="584">
        <f t="shared" si="304"/>
        <v>0</v>
      </c>
      <c r="S642" s="584">
        <f t="shared" si="304"/>
        <v>0</v>
      </c>
      <c r="T642" s="584">
        <f t="shared" si="304"/>
        <v>0</v>
      </c>
      <c r="U642" s="584">
        <f t="shared" si="304"/>
        <v>0</v>
      </c>
      <c r="V642" s="584">
        <f t="shared" si="304"/>
        <v>0</v>
      </c>
      <c r="W642" s="532"/>
      <c r="X642" s="532"/>
      <c r="Y642" s="532"/>
      <c r="Z642" s="532"/>
    </row>
    <row r="643" spans="1:26" ht="12.6" customHeight="1" x14ac:dyDescent="0.25">
      <c r="A643" s="577"/>
      <c r="B643" s="581"/>
      <c r="C643" s="569"/>
      <c r="D643" s="580"/>
      <c r="E643" s="584">
        <f>SUM(E641:E642)</f>
        <v>0</v>
      </c>
      <c r="F643" s="584">
        <f t="shared" ref="F643:V643" si="305">SUM(F641:F642)</f>
        <v>0</v>
      </c>
      <c r="G643" s="584">
        <f t="shared" si="305"/>
        <v>0</v>
      </c>
      <c r="H643" s="584">
        <f>SUM(H641:H642)</f>
        <v>0</v>
      </c>
      <c r="I643" s="584">
        <f t="shared" si="305"/>
        <v>0</v>
      </c>
      <c r="J643" s="584">
        <f>SUM(J641:J642)</f>
        <v>0</v>
      </c>
      <c r="K643" s="584">
        <f t="shared" si="305"/>
        <v>0</v>
      </c>
      <c r="L643" s="584">
        <f t="shared" si="305"/>
        <v>0</v>
      </c>
      <c r="M643" s="584">
        <f t="shared" si="305"/>
        <v>0</v>
      </c>
      <c r="N643" s="584">
        <f t="shared" si="305"/>
        <v>0</v>
      </c>
      <c r="O643" s="584">
        <f t="shared" si="305"/>
        <v>0</v>
      </c>
      <c r="P643" s="584">
        <f t="shared" si="305"/>
        <v>0</v>
      </c>
      <c r="Q643" s="584">
        <f t="shared" si="305"/>
        <v>0</v>
      </c>
      <c r="R643" s="584">
        <f t="shared" si="305"/>
        <v>0</v>
      </c>
      <c r="S643" s="584">
        <f t="shared" si="305"/>
        <v>0</v>
      </c>
      <c r="T643" s="584">
        <f t="shared" si="305"/>
        <v>0</v>
      </c>
      <c r="U643" s="584">
        <f t="shared" si="305"/>
        <v>0</v>
      </c>
      <c r="V643" s="584">
        <f t="shared" si="305"/>
        <v>0</v>
      </c>
      <c r="W643" s="532"/>
      <c r="X643" s="532"/>
      <c r="Y643" s="532"/>
      <c r="Z643" s="532"/>
    </row>
    <row r="644" spans="1:26" ht="12.6" customHeight="1" x14ac:dyDescent="0.25">
      <c r="A644" s="577"/>
      <c r="B644" s="569"/>
      <c r="C644" s="569"/>
      <c r="D644" s="580"/>
      <c r="E644" s="586">
        <f>E643-E640</f>
        <v>0</v>
      </c>
      <c r="F644" s="586">
        <f t="shared" ref="F644:V644" si="306">F643-F640</f>
        <v>0</v>
      </c>
      <c r="G644" s="586">
        <f t="shared" si="306"/>
        <v>0</v>
      </c>
      <c r="H644" s="586">
        <f>H643-H640</f>
        <v>0</v>
      </c>
      <c r="I644" s="586">
        <f t="shared" si="306"/>
        <v>0</v>
      </c>
      <c r="J644" s="586">
        <f>J643-J640</f>
        <v>0</v>
      </c>
      <c r="K644" s="586">
        <f t="shared" si="306"/>
        <v>0</v>
      </c>
      <c r="L644" s="586">
        <f t="shared" si="306"/>
        <v>0</v>
      </c>
      <c r="M644" s="586">
        <f t="shared" si="306"/>
        <v>0</v>
      </c>
      <c r="N644" s="586">
        <f t="shared" si="306"/>
        <v>0</v>
      </c>
      <c r="O644" s="586">
        <f t="shared" si="306"/>
        <v>0</v>
      </c>
      <c r="P644" s="586">
        <f t="shared" si="306"/>
        <v>0</v>
      </c>
      <c r="Q644" s="586">
        <f t="shared" si="306"/>
        <v>0</v>
      </c>
      <c r="R644" s="586">
        <f t="shared" si="306"/>
        <v>0</v>
      </c>
      <c r="S644" s="586">
        <f t="shared" si="306"/>
        <v>0</v>
      </c>
      <c r="T644" s="586">
        <f t="shared" si="306"/>
        <v>0</v>
      </c>
      <c r="U644" s="586">
        <f t="shared" si="306"/>
        <v>0</v>
      </c>
      <c r="V644" s="586">
        <f t="shared" si="306"/>
        <v>0</v>
      </c>
    </row>
    <row r="645" spans="1:26" s="533" customFormat="1" ht="12.6" customHeight="1" x14ac:dyDescent="0.25">
      <c r="A645" s="573"/>
      <c r="B645" s="569"/>
      <c r="C645" s="569"/>
      <c r="D645" s="569"/>
      <c r="E645" s="570"/>
      <c r="F645" s="570"/>
      <c r="G645" s="570"/>
      <c r="H645" s="570"/>
      <c r="I645" s="570"/>
      <c r="J645" s="570"/>
      <c r="K645" s="570"/>
      <c r="L645" s="570"/>
      <c r="M645" s="570"/>
      <c r="N645" s="570"/>
      <c r="O645" s="570"/>
      <c r="P645" s="570"/>
      <c r="Q645" s="570"/>
      <c r="R645" s="570"/>
      <c r="S645" s="570"/>
      <c r="T645" s="570"/>
      <c r="U645" s="570"/>
      <c r="V645" s="599"/>
    </row>
    <row r="646" spans="1:26" s="533" customFormat="1" ht="12.6" customHeight="1" x14ac:dyDescent="0.25">
      <c r="A646" s="573" t="s">
        <v>87</v>
      </c>
      <c r="B646" s="569" t="s">
        <v>376</v>
      </c>
      <c r="C646" s="569"/>
      <c r="D646" s="580"/>
      <c r="E646" s="570"/>
      <c r="F646" s="570">
        <f>'CABAC Non-Fid 2025'!G242</f>
        <v>0</v>
      </c>
      <c r="G646" s="570"/>
      <c r="H646" s="570"/>
      <c r="I646" s="570"/>
      <c r="J646" s="570"/>
      <c r="K646" s="570"/>
      <c r="L646" s="570"/>
      <c r="M646" s="570"/>
      <c r="N646" s="570"/>
      <c r="O646" s="570"/>
      <c r="P646" s="570"/>
      <c r="Q646" s="570"/>
      <c r="R646" s="570"/>
      <c r="S646" s="570"/>
      <c r="T646" s="570">
        <f>SUM(E646:S646)</f>
        <v>0</v>
      </c>
      <c r="U646" s="603"/>
      <c r="V646" s="599">
        <f>T646-U646</f>
        <v>0</v>
      </c>
    </row>
    <row r="647" spans="1:26" s="533" customFormat="1" ht="12.6" customHeight="1" thickBot="1" x14ac:dyDescent="0.3">
      <c r="A647" s="604" t="s">
        <v>86</v>
      </c>
      <c r="B647" s="569" t="s">
        <v>340</v>
      </c>
      <c r="C647" s="569"/>
      <c r="D647" s="580"/>
      <c r="E647" s="601"/>
      <c r="F647" s="601">
        <f>'CABAC Fiduciary 2025'!F319</f>
        <v>0</v>
      </c>
      <c r="G647" s="601"/>
      <c r="H647" s="601"/>
      <c r="I647" s="601"/>
      <c r="J647" s="601"/>
      <c r="K647" s="601"/>
      <c r="L647" s="601"/>
      <c r="M647" s="601"/>
      <c r="N647" s="601"/>
      <c r="O647" s="601"/>
      <c r="P647" s="601"/>
      <c r="Q647" s="601"/>
      <c r="R647" s="601"/>
      <c r="S647" s="601"/>
      <c r="T647" s="601">
        <f>SUM(E647:S647)</f>
        <v>0</v>
      </c>
      <c r="U647" s="606"/>
      <c r="V647" s="599">
        <f>T647-U647</f>
        <v>0</v>
      </c>
    </row>
    <row r="648" spans="1:26" s="533" customFormat="1" ht="12.6" customHeight="1" thickBot="1" x14ac:dyDescent="0.3">
      <c r="A648" s="573"/>
      <c r="B648" s="581" t="s">
        <v>346</v>
      </c>
      <c r="C648" s="569"/>
      <c r="D648" s="580"/>
      <c r="E648" s="582">
        <f>SUM(E646:E647)</f>
        <v>0</v>
      </c>
      <c r="F648" s="582">
        <f t="shared" ref="F648:V648" si="307">SUM(F646:F647)</f>
        <v>0</v>
      </c>
      <c r="G648" s="582">
        <f t="shared" si="307"/>
        <v>0</v>
      </c>
      <c r="H648" s="582">
        <f>SUM(H646:H647)</f>
        <v>0</v>
      </c>
      <c r="I648" s="582">
        <f t="shared" si="307"/>
        <v>0</v>
      </c>
      <c r="J648" s="582">
        <f>SUM(J646:J647)</f>
        <v>0</v>
      </c>
      <c r="K648" s="582">
        <f t="shared" si="307"/>
        <v>0</v>
      </c>
      <c r="L648" s="582">
        <f t="shared" si="307"/>
        <v>0</v>
      </c>
      <c r="M648" s="582">
        <f t="shared" si="307"/>
        <v>0</v>
      </c>
      <c r="N648" s="582">
        <f t="shared" si="307"/>
        <v>0</v>
      </c>
      <c r="O648" s="582">
        <f t="shared" si="307"/>
        <v>0</v>
      </c>
      <c r="P648" s="582">
        <f t="shared" si="307"/>
        <v>0</v>
      </c>
      <c r="Q648" s="582">
        <f t="shared" si="307"/>
        <v>0</v>
      </c>
      <c r="R648" s="582">
        <f t="shared" si="307"/>
        <v>0</v>
      </c>
      <c r="S648" s="582">
        <f t="shared" si="307"/>
        <v>0</v>
      </c>
      <c r="T648" s="582">
        <f t="shared" si="307"/>
        <v>0</v>
      </c>
      <c r="U648" s="582">
        <f t="shared" si="307"/>
        <v>0</v>
      </c>
      <c r="V648" s="616">
        <f t="shared" si="307"/>
        <v>0</v>
      </c>
    </row>
    <row r="649" spans="1:26" ht="12.6" customHeight="1" x14ac:dyDescent="0.25">
      <c r="A649" s="577"/>
      <c r="B649" s="581"/>
      <c r="C649" s="569"/>
      <c r="D649" s="583" t="s">
        <v>347</v>
      </c>
      <c r="E649" s="584">
        <f>E647</f>
        <v>0</v>
      </c>
      <c r="F649" s="584">
        <f t="shared" ref="F649:V649" si="308">F647</f>
        <v>0</v>
      </c>
      <c r="G649" s="584">
        <f t="shared" si="308"/>
        <v>0</v>
      </c>
      <c r="H649" s="584">
        <f>H647</f>
        <v>0</v>
      </c>
      <c r="I649" s="584">
        <f t="shared" si="308"/>
        <v>0</v>
      </c>
      <c r="J649" s="584">
        <f>J647</f>
        <v>0</v>
      </c>
      <c r="K649" s="584">
        <f t="shared" si="308"/>
        <v>0</v>
      </c>
      <c r="L649" s="584">
        <f t="shared" si="308"/>
        <v>0</v>
      </c>
      <c r="M649" s="584">
        <f t="shared" si="308"/>
        <v>0</v>
      </c>
      <c r="N649" s="584">
        <f t="shared" si="308"/>
        <v>0</v>
      </c>
      <c r="O649" s="584">
        <f t="shared" si="308"/>
        <v>0</v>
      </c>
      <c r="P649" s="584">
        <f t="shared" si="308"/>
        <v>0</v>
      </c>
      <c r="Q649" s="584">
        <f t="shared" si="308"/>
        <v>0</v>
      </c>
      <c r="R649" s="584">
        <f t="shared" si="308"/>
        <v>0</v>
      </c>
      <c r="S649" s="584">
        <f t="shared" si="308"/>
        <v>0</v>
      </c>
      <c r="T649" s="584">
        <f t="shared" si="308"/>
        <v>0</v>
      </c>
      <c r="U649" s="624">
        <f t="shared" si="308"/>
        <v>0</v>
      </c>
      <c r="V649" s="625">
        <f t="shared" si="308"/>
        <v>0</v>
      </c>
      <c r="W649" s="532"/>
      <c r="X649" s="532"/>
      <c r="Y649" s="532"/>
      <c r="Z649" s="532"/>
    </row>
    <row r="650" spans="1:26" ht="12.6" customHeight="1" x14ac:dyDescent="0.25">
      <c r="A650" s="577"/>
      <c r="B650" s="581"/>
      <c r="C650" s="569"/>
      <c r="D650" s="583" t="s">
        <v>348</v>
      </c>
      <c r="E650" s="584">
        <f>SUM(E646)</f>
        <v>0</v>
      </c>
      <c r="F650" s="584">
        <f t="shared" ref="F650:V650" si="309">SUM(F646)</f>
        <v>0</v>
      </c>
      <c r="G650" s="584">
        <f t="shared" si="309"/>
        <v>0</v>
      </c>
      <c r="H650" s="584">
        <f>SUM(H646)</f>
        <v>0</v>
      </c>
      <c r="I650" s="584">
        <f t="shared" si="309"/>
        <v>0</v>
      </c>
      <c r="J650" s="584">
        <f>SUM(J646)</f>
        <v>0</v>
      </c>
      <c r="K650" s="584">
        <f t="shared" si="309"/>
        <v>0</v>
      </c>
      <c r="L650" s="584">
        <f t="shared" si="309"/>
        <v>0</v>
      </c>
      <c r="M650" s="584">
        <f t="shared" si="309"/>
        <v>0</v>
      </c>
      <c r="N650" s="584">
        <f t="shared" si="309"/>
        <v>0</v>
      </c>
      <c r="O650" s="584">
        <f t="shared" si="309"/>
        <v>0</v>
      </c>
      <c r="P650" s="584">
        <f t="shared" si="309"/>
        <v>0</v>
      </c>
      <c r="Q650" s="584">
        <f t="shared" si="309"/>
        <v>0</v>
      </c>
      <c r="R650" s="584">
        <f t="shared" si="309"/>
        <v>0</v>
      </c>
      <c r="S650" s="584">
        <f t="shared" si="309"/>
        <v>0</v>
      </c>
      <c r="T650" s="584">
        <f t="shared" si="309"/>
        <v>0</v>
      </c>
      <c r="U650" s="624">
        <f t="shared" si="309"/>
        <v>0</v>
      </c>
      <c r="V650" s="584">
        <f t="shared" si="309"/>
        <v>0</v>
      </c>
      <c r="W650" s="532"/>
      <c r="X650" s="532"/>
      <c r="Y650" s="532"/>
      <c r="Z650" s="532"/>
    </row>
    <row r="651" spans="1:26" ht="12.6" customHeight="1" x14ac:dyDescent="0.25">
      <c r="A651" s="577"/>
      <c r="B651" s="581"/>
      <c r="C651" s="569"/>
      <c r="D651" s="580"/>
      <c r="E651" s="584">
        <f>SUM(E649:E650)</f>
        <v>0</v>
      </c>
      <c r="F651" s="584">
        <f t="shared" ref="F651:V651" si="310">SUM(F649:F650)</f>
        <v>0</v>
      </c>
      <c r="G651" s="584">
        <f t="shared" si="310"/>
        <v>0</v>
      </c>
      <c r="H651" s="584">
        <f>SUM(H649:H650)</f>
        <v>0</v>
      </c>
      <c r="I651" s="584">
        <f t="shared" si="310"/>
        <v>0</v>
      </c>
      <c r="J651" s="584">
        <f>SUM(J649:J650)</f>
        <v>0</v>
      </c>
      <c r="K651" s="584">
        <f t="shared" si="310"/>
        <v>0</v>
      </c>
      <c r="L651" s="584">
        <f t="shared" si="310"/>
        <v>0</v>
      </c>
      <c r="M651" s="584">
        <f t="shared" si="310"/>
        <v>0</v>
      </c>
      <c r="N651" s="584">
        <f t="shared" si="310"/>
        <v>0</v>
      </c>
      <c r="O651" s="584">
        <f t="shared" si="310"/>
        <v>0</v>
      </c>
      <c r="P651" s="584">
        <f t="shared" si="310"/>
        <v>0</v>
      </c>
      <c r="Q651" s="584">
        <f t="shared" si="310"/>
        <v>0</v>
      </c>
      <c r="R651" s="584">
        <f t="shared" si="310"/>
        <v>0</v>
      </c>
      <c r="S651" s="584">
        <f t="shared" si="310"/>
        <v>0</v>
      </c>
      <c r="T651" s="584">
        <f t="shared" si="310"/>
        <v>0</v>
      </c>
      <c r="U651" s="624">
        <f t="shared" si="310"/>
        <v>0</v>
      </c>
      <c r="V651" s="584">
        <f t="shared" si="310"/>
        <v>0</v>
      </c>
      <c r="W651" s="532"/>
      <c r="X651" s="532"/>
      <c r="Y651" s="532"/>
      <c r="Z651" s="532"/>
    </row>
    <row r="652" spans="1:26" ht="12.6" customHeight="1" x14ac:dyDescent="0.25">
      <c r="A652" s="577"/>
      <c r="B652" s="569"/>
      <c r="C652" s="569"/>
      <c r="D652" s="580"/>
      <c r="E652" s="1232">
        <f>E651-E648</f>
        <v>0</v>
      </c>
      <c r="F652" s="1232">
        <f t="shared" ref="F652:V652" si="311">F651-F648</f>
        <v>0</v>
      </c>
      <c r="G652" s="1232">
        <f t="shared" si="311"/>
        <v>0</v>
      </c>
      <c r="H652" s="1232">
        <f>H651-H648</f>
        <v>0</v>
      </c>
      <c r="I652" s="1232">
        <f t="shared" si="311"/>
        <v>0</v>
      </c>
      <c r="J652" s="1232">
        <f>J651-J648</f>
        <v>0</v>
      </c>
      <c r="K652" s="1232">
        <f t="shared" si="311"/>
        <v>0</v>
      </c>
      <c r="L652" s="1232">
        <f t="shared" si="311"/>
        <v>0</v>
      </c>
      <c r="M652" s="1232">
        <f t="shared" si="311"/>
        <v>0</v>
      </c>
      <c r="N652" s="1232">
        <f t="shared" si="311"/>
        <v>0</v>
      </c>
      <c r="O652" s="1232">
        <f t="shared" si="311"/>
        <v>0</v>
      </c>
      <c r="P652" s="1232">
        <f t="shared" si="311"/>
        <v>0</v>
      </c>
      <c r="Q652" s="1232">
        <f t="shared" si="311"/>
        <v>0</v>
      </c>
      <c r="R652" s="1232">
        <f t="shared" si="311"/>
        <v>0</v>
      </c>
      <c r="S652" s="1232">
        <f t="shared" si="311"/>
        <v>0</v>
      </c>
      <c r="T652" s="1232">
        <f t="shared" si="311"/>
        <v>0</v>
      </c>
      <c r="U652" s="1233">
        <f t="shared" si="311"/>
        <v>0</v>
      </c>
      <c r="V652" s="1232">
        <f t="shared" si="311"/>
        <v>0</v>
      </c>
    </row>
    <row r="653" spans="1:26" s="533" customFormat="1" ht="12.6" customHeight="1" x14ac:dyDescent="0.25">
      <c r="A653" s="573"/>
      <c r="B653" s="569"/>
      <c r="C653" s="569"/>
      <c r="D653" s="580"/>
      <c r="E653" s="601"/>
      <c r="F653" s="601"/>
      <c r="G653" s="601"/>
      <c r="H653" s="601"/>
      <c r="I653" s="601"/>
      <c r="J653" s="601"/>
      <c r="K653" s="601"/>
      <c r="L653" s="601"/>
      <c r="M653" s="601"/>
      <c r="N653" s="601"/>
      <c r="O653" s="601"/>
      <c r="P653" s="601"/>
      <c r="Q653" s="601"/>
      <c r="R653" s="601"/>
      <c r="S653" s="601"/>
      <c r="T653" s="601"/>
      <c r="U653" s="630"/>
      <c r="V653" s="601"/>
    </row>
    <row r="654" spans="1:26" s="533" customFormat="1" ht="12.6" customHeight="1" x14ac:dyDescent="0.25">
      <c r="A654" s="573" t="s">
        <v>294</v>
      </c>
      <c r="B654" s="569" t="s">
        <v>295</v>
      </c>
      <c r="C654" s="569"/>
      <c r="D654" s="580"/>
      <c r="E654" s="599"/>
      <c r="F654" s="570">
        <f>'CABAC Non-Fid 2025'!G243</f>
        <v>0</v>
      </c>
      <c r="G654" s="570"/>
      <c r="H654" s="570"/>
      <c r="I654" s="570"/>
      <c r="J654" s="570"/>
      <c r="K654" s="570"/>
      <c r="L654" s="570"/>
      <c r="M654" s="570"/>
      <c r="N654" s="570"/>
      <c r="O654" s="570"/>
      <c r="P654" s="570"/>
      <c r="Q654" s="570"/>
      <c r="R654" s="570"/>
      <c r="S654" s="570"/>
      <c r="T654" s="570">
        <f>SUM(E654:S654)</f>
        <v>0</v>
      </c>
      <c r="U654" s="628"/>
      <c r="V654" s="570">
        <f>T654-U654</f>
        <v>0</v>
      </c>
    </row>
    <row r="655" spans="1:26" s="533" customFormat="1" ht="12.6" customHeight="1" x14ac:dyDescent="0.25">
      <c r="A655" s="604" t="s">
        <v>64</v>
      </c>
      <c r="B655" s="569" t="s">
        <v>266</v>
      </c>
      <c r="C655" s="569"/>
      <c r="D655" s="580"/>
      <c r="E655" s="601"/>
      <c r="F655" s="601">
        <f>'CABAC Fiduciary 2025'!F316</f>
        <v>0</v>
      </c>
      <c r="G655" s="601"/>
      <c r="H655" s="601"/>
      <c r="I655" s="601"/>
      <c r="J655" s="601"/>
      <c r="K655" s="601"/>
      <c r="L655" s="601"/>
      <c r="M655" s="601"/>
      <c r="N655" s="601"/>
      <c r="O655" s="601"/>
      <c r="P655" s="601"/>
      <c r="Q655" s="601"/>
      <c r="R655" s="601"/>
      <c r="S655" s="601"/>
      <c r="T655" s="613">
        <f>SUM(E655:S655)</f>
        <v>0</v>
      </c>
      <c r="U655" s="629"/>
      <c r="V655" s="570">
        <f t="shared" ref="V655:V656" si="312">T655-U655</f>
        <v>0</v>
      </c>
    </row>
    <row r="656" spans="1:26" ht="12.6" customHeight="1" thickBot="1" x14ac:dyDescent="0.3">
      <c r="A656" s="577"/>
      <c r="B656" s="734" t="s">
        <v>455</v>
      </c>
      <c r="C656" s="569"/>
      <c r="D656" s="569"/>
      <c r="E656" s="570"/>
      <c r="F656" s="570">
        <f>'CABAC Fiduciary 2025'!F315</f>
        <v>0</v>
      </c>
      <c r="G656" s="570"/>
      <c r="H656" s="570"/>
      <c r="I656" s="570"/>
      <c r="J656" s="570"/>
      <c r="K656" s="570"/>
      <c r="L656" s="570"/>
      <c r="M656" s="570"/>
      <c r="N656" s="570"/>
      <c r="O656" s="570"/>
      <c r="P656" s="570"/>
      <c r="Q656" s="570"/>
      <c r="R656" s="570"/>
      <c r="S656" s="570"/>
      <c r="T656" s="570">
        <f>SUM(E656:S656)</f>
        <v>0</v>
      </c>
      <c r="U656" s="574"/>
      <c r="V656" s="631">
        <f t="shared" si="312"/>
        <v>0</v>
      </c>
      <c r="W656" s="532"/>
      <c r="X656" s="532"/>
      <c r="Y656" s="532"/>
      <c r="Z656" s="532"/>
    </row>
    <row r="657" spans="1:26" s="533" customFormat="1" ht="12.6" customHeight="1" thickBot="1" x14ac:dyDescent="0.3">
      <c r="A657" s="573"/>
      <c r="B657" s="581" t="s">
        <v>346</v>
      </c>
      <c r="C657" s="569"/>
      <c r="D657" s="580"/>
      <c r="E657" s="582">
        <f>SUM(E654:E656)</f>
        <v>0</v>
      </c>
      <c r="F657" s="582">
        <f t="shared" ref="F657:V657" si="313">SUM(F654:F656)</f>
        <v>0</v>
      </c>
      <c r="G657" s="582">
        <f t="shared" si="313"/>
        <v>0</v>
      </c>
      <c r="H657" s="582">
        <f>SUM(H654:H656)</f>
        <v>0</v>
      </c>
      <c r="I657" s="582">
        <f t="shared" si="313"/>
        <v>0</v>
      </c>
      <c r="J657" s="582">
        <f>SUM(J654:J656)</f>
        <v>0</v>
      </c>
      <c r="K657" s="582">
        <f t="shared" si="313"/>
        <v>0</v>
      </c>
      <c r="L657" s="582">
        <f t="shared" si="313"/>
        <v>0</v>
      </c>
      <c r="M657" s="582">
        <f t="shared" si="313"/>
        <v>0</v>
      </c>
      <c r="N657" s="582">
        <f t="shared" si="313"/>
        <v>0</v>
      </c>
      <c r="O657" s="582">
        <f t="shared" si="313"/>
        <v>0</v>
      </c>
      <c r="P657" s="582">
        <f t="shared" si="313"/>
        <v>0</v>
      </c>
      <c r="Q657" s="582">
        <f t="shared" si="313"/>
        <v>0</v>
      </c>
      <c r="R657" s="582">
        <f t="shared" si="313"/>
        <v>0</v>
      </c>
      <c r="S657" s="582">
        <f t="shared" si="313"/>
        <v>0</v>
      </c>
      <c r="T657" s="582">
        <f t="shared" si="313"/>
        <v>0</v>
      </c>
      <c r="U657" s="582">
        <f t="shared" si="313"/>
        <v>0</v>
      </c>
      <c r="V657" s="582">
        <f t="shared" si="313"/>
        <v>0</v>
      </c>
    </row>
    <row r="658" spans="1:26" ht="12.6" customHeight="1" x14ac:dyDescent="0.25">
      <c r="A658" s="577"/>
      <c r="B658" s="581"/>
      <c r="C658" s="569"/>
      <c r="D658" s="583" t="s">
        <v>347</v>
      </c>
      <c r="E658" s="584">
        <f>E656</f>
        <v>0</v>
      </c>
      <c r="F658" s="584">
        <f t="shared" ref="F658:V658" si="314">SUM(F655:F656)</f>
        <v>0</v>
      </c>
      <c r="G658" s="584">
        <f t="shared" si="314"/>
        <v>0</v>
      </c>
      <c r="H658" s="584">
        <f>SUM(H655:H656)</f>
        <v>0</v>
      </c>
      <c r="I658" s="584">
        <f t="shared" si="314"/>
        <v>0</v>
      </c>
      <c r="J658" s="584">
        <f>SUM(J655:J656)</f>
        <v>0</v>
      </c>
      <c r="K658" s="584">
        <f t="shared" si="314"/>
        <v>0</v>
      </c>
      <c r="L658" s="584">
        <f t="shared" si="314"/>
        <v>0</v>
      </c>
      <c r="M658" s="584">
        <f t="shared" si="314"/>
        <v>0</v>
      </c>
      <c r="N658" s="584">
        <f t="shared" si="314"/>
        <v>0</v>
      </c>
      <c r="O658" s="584">
        <f t="shared" si="314"/>
        <v>0</v>
      </c>
      <c r="P658" s="584">
        <f t="shared" si="314"/>
        <v>0</v>
      </c>
      <c r="Q658" s="584">
        <f t="shared" si="314"/>
        <v>0</v>
      </c>
      <c r="R658" s="584">
        <f t="shared" si="314"/>
        <v>0</v>
      </c>
      <c r="S658" s="584">
        <f t="shared" si="314"/>
        <v>0</v>
      </c>
      <c r="T658" s="584">
        <f t="shared" si="314"/>
        <v>0</v>
      </c>
      <c r="U658" s="584">
        <f t="shared" si="314"/>
        <v>0</v>
      </c>
      <c r="V658" s="584">
        <f t="shared" si="314"/>
        <v>0</v>
      </c>
      <c r="W658" s="532"/>
      <c r="X658" s="532"/>
      <c r="Y658" s="532"/>
      <c r="Z658" s="532"/>
    </row>
    <row r="659" spans="1:26" ht="12.6" customHeight="1" x14ac:dyDescent="0.25">
      <c r="A659" s="577"/>
      <c r="B659" s="581"/>
      <c r="C659" s="569"/>
      <c r="D659" s="583" t="s">
        <v>348</v>
      </c>
      <c r="E659" s="584">
        <f>E654+E655</f>
        <v>0</v>
      </c>
      <c r="F659" s="584">
        <f t="shared" ref="F659:V659" si="315">F654</f>
        <v>0</v>
      </c>
      <c r="G659" s="584">
        <f t="shared" si="315"/>
        <v>0</v>
      </c>
      <c r="H659" s="584">
        <f>H654</f>
        <v>0</v>
      </c>
      <c r="I659" s="584">
        <f t="shared" si="315"/>
        <v>0</v>
      </c>
      <c r="J659" s="584">
        <f>J654</f>
        <v>0</v>
      </c>
      <c r="K659" s="584">
        <f t="shared" si="315"/>
        <v>0</v>
      </c>
      <c r="L659" s="584">
        <f t="shared" si="315"/>
        <v>0</v>
      </c>
      <c r="M659" s="584">
        <f t="shared" si="315"/>
        <v>0</v>
      </c>
      <c r="N659" s="584">
        <f t="shared" si="315"/>
        <v>0</v>
      </c>
      <c r="O659" s="584">
        <f t="shared" si="315"/>
        <v>0</v>
      </c>
      <c r="P659" s="584">
        <f t="shared" si="315"/>
        <v>0</v>
      </c>
      <c r="Q659" s="584">
        <f t="shared" si="315"/>
        <v>0</v>
      </c>
      <c r="R659" s="584">
        <f t="shared" si="315"/>
        <v>0</v>
      </c>
      <c r="S659" s="584">
        <f t="shared" si="315"/>
        <v>0</v>
      </c>
      <c r="T659" s="584">
        <f t="shared" si="315"/>
        <v>0</v>
      </c>
      <c r="U659" s="584">
        <f t="shared" si="315"/>
        <v>0</v>
      </c>
      <c r="V659" s="584">
        <f t="shared" si="315"/>
        <v>0</v>
      </c>
      <c r="W659" s="532"/>
      <c r="X659" s="532"/>
      <c r="Y659" s="532"/>
      <c r="Z659" s="532"/>
    </row>
    <row r="660" spans="1:26" ht="12.6" customHeight="1" x14ac:dyDescent="0.25">
      <c r="A660" s="577"/>
      <c r="B660" s="581"/>
      <c r="C660" s="569"/>
      <c r="D660" s="580"/>
      <c r="E660" s="584">
        <f>SUM(E658:E659)</f>
        <v>0</v>
      </c>
      <c r="F660" s="584">
        <f t="shared" ref="F660:V660" si="316">SUM(F658:F659)</f>
        <v>0</v>
      </c>
      <c r="G660" s="584">
        <f t="shared" si="316"/>
        <v>0</v>
      </c>
      <c r="H660" s="584">
        <f>SUM(H658:H659)</f>
        <v>0</v>
      </c>
      <c r="I660" s="584">
        <f t="shared" si="316"/>
        <v>0</v>
      </c>
      <c r="J660" s="584">
        <f>SUM(J658:J659)</f>
        <v>0</v>
      </c>
      <c r="K660" s="584">
        <f t="shared" si="316"/>
        <v>0</v>
      </c>
      <c r="L660" s="584">
        <f t="shared" si="316"/>
        <v>0</v>
      </c>
      <c r="M660" s="584">
        <f t="shared" si="316"/>
        <v>0</v>
      </c>
      <c r="N660" s="584">
        <f t="shared" si="316"/>
        <v>0</v>
      </c>
      <c r="O660" s="584">
        <f t="shared" si="316"/>
        <v>0</v>
      </c>
      <c r="P660" s="584">
        <f t="shared" si="316"/>
        <v>0</v>
      </c>
      <c r="Q660" s="584">
        <f t="shared" si="316"/>
        <v>0</v>
      </c>
      <c r="R660" s="584">
        <f t="shared" si="316"/>
        <v>0</v>
      </c>
      <c r="S660" s="584">
        <f t="shared" si="316"/>
        <v>0</v>
      </c>
      <c r="T660" s="584">
        <f t="shared" si="316"/>
        <v>0</v>
      </c>
      <c r="U660" s="584">
        <f t="shared" si="316"/>
        <v>0</v>
      </c>
      <c r="V660" s="584">
        <f t="shared" si="316"/>
        <v>0</v>
      </c>
      <c r="W660" s="532"/>
      <c r="X660" s="532"/>
      <c r="Y660" s="532"/>
      <c r="Z660" s="532"/>
    </row>
    <row r="661" spans="1:26" ht="12.6" customHeight="1" x14ac:dyDescent="0.25">
      <c r="A661" s="577"/>
      <c r="B661" s="569"/>
      <c r="C661" s="569"/>
      <c r="D661" s="580"/>
      <c r="E661" s="1232">
        <f>E660-E657</f>
        <v>0</v>
      </c>
      <c r="F661" s="1232">
        <f t="shared" ref="F661:V661" si="317">F660-F657</f>
        <v>0</v>
      </c>
      <c r="G661" s="1232">
        <f t="shared" si="317"/>
        <v>0</v>
      </c>
      <c r="H661" s="1232">
        <f>H660-H657</f>
        <v>0</v>
      </c>
      <c r="I661" s="1232">
        <f t="shared" si="317"/>
        <v>0</v>
      </c>
      <c r="J661" s="1232">
        <f>J660-J657</f>
        <v>0</v>
      </c>
      <c r="K661" s="1232">
        <f t="shared" si="317"/>
        <v>0</v>
      </c>
      <c r="L661" s="1232">
        <f t="shared" si="317"/>
        <v>0</v>
      </c>
      <c r="M661" s="1232">
        <f t="shared" si="317"/>
        <v>0</v>
      </c>
      <c r="N661" s="1232">
        <f t="shared" si="317"/>
        <v>0</v>
      </c>
      <c r="O661" s="1232">
        <f t="shared" si="317"/>
        <v>0</v>
      </c>
      <c r="P661" s="1232">
        <f t="shared" si="317"/>
        <v>0</v>
      </c>
      <c r="Q661" s="1232">
        <f t="shared" si="317"/>
        <v>0</v>
      </c>
      <c r="R661" s="1232">
        <f t="shared" si="317"/>
        <v>0</v>
      </c>
      <c r="S661" s="1232">
        <f t="shared" si="317"/>
        <v>0</v>
      </c>
      <c r="T661" s="1232">
        <f t="shared" si="317"/>
        <v>0</v>
      </c>
      <c r="U661" s="1232">
        <f t="shared" si="317"/>
        <v>0</v>
      </c>
      <c r="V661" s="1232">
        <f t="shared" si="317"/>
        <v>0</v>
      </c>
    </row>
    <row r="662" spans="1:26" s="533" customFormat="1" ht="12.6" customHeight="1" x14ac:dyDescent="0.25">
      <c r="A662" s="573"/>
      <c r="B662" s="569"/>
      <c r="C662" s="569"/>
      <c r="D662" s="580"/>
      <c r="E662" s="601"/>
      <c r="F662" s="601"/>
      <c r="G662" s="601"/>
      <c r="H662" s="601"/>
      <c r="I662" s="601"/>
      <c r="J662" s="601"/>
      <c r="K662" s="601"/>
      <c r="L662" s="601"/>
      <c r="M662" s="601"/>
      <c r="N662" s="601"/>
      <c r="O662" s="601"/>
      <c r="P662" s="601"/>
      <c r="Q662" s="601"/>
      <c r="R662" s="601"/>
      <c r="S662" s="601"/>
      <c r="T662" s="601"/>
      <c r="U662" s="606"/>
      <c r="V662" s="615"/>
    </row>
    <row r="663" spans="1:26" s="533" customFormat="1" ht="12.6" customHeight="1" x14ac:dyDescent="0.25">
      <c r="A663" s="573" t="s">
        <v>12</v>
      </c>
      <c r="B663" s="569" t="s">
        <v>308</v>
      </c>
      <c r="C663" s="569"/>
      <c r="D663" s="580"/>
      <c r="E663" s="570"/>
      <c r="F663" s="570"/>
      <c r="G663" s="570"/>
      <c r="H663" s="570"/>
      <c r="I663" s="570"/>
      <c r="J663" s="570"/>
      <c r="K663" s="570"/>
      <c r="L663" s="570"/>
      <c r="M663" s="570"/>
      <c r="N663" s="570"/>
      <c r="O663" s="570"/>
      <c r="P663" s="570"/>
      <c r="Q663" s="570"/>
      <c r="R663" s="570"/>
      <c r="S663" s="570"/>
      <c r="T663" s="570">
        <f t="shared" ref="T663:T672" si="318">SUM(E663:S663)</f>
        <v>0</v>
      </c>
      <c r="U663" s="603"/>
      <c r="V663" s="599">
        <f t="shared" ref="V663:V672" si="319">T663-U663</f>
        <v>0</v>
      </c>
    </row>
    <row r="664" spans="1:26" s="533" customFormat="1" ht="12.6" customHeight="1" x14ac:dyDescent="0.25">
      <c r="A664" s="604" t="s">
        <v>65</v>
      </c>
      <c r="B664" s="569" t="s">
        <v>266</v>
      </c>
      <c r="C664" s="569"/>
      <c r="D664" s="580"/>
      <c r="E664" s="601">
        <v>20013762.02</v>
      </c>
      <c r="F664" s="570"/>
      <c r="G664" s="570"/>
      <c r="H664" s="570"/>
      <c r="I664" s="570"/>
      <c r="J664" s="570"/>
      <c r="K664" s="570"/>
      <c r="L664" s="570"/>
      <c r="M664" s="570"/>
      <c r="N664" s="570"/>
      <c r="O664" s="570"/>
      <c r="P664" s="570"/>
      <c r="Q664" s="570"/>
      <c r="R664" s="570"/>
      <c r="S664" s="570"/>
      <c r="T664" s="570">
        <f t="shared" si="318"/>
        <v>20013762.02</v>
      </c>
      <c r="U664" s="603"/>
      <c r="V664" s="599">
        <f t="shared" si="319"/>
        <v>20013762.02</v>
      </c>
    </row>
    <row r="665" spans="1:26" s="533" customFormat="1" ht="12.6" customHeight="1" x14ac:dyDescent="0.25">
      <c r="A665" s="573"/>
      <c r="B665" s="569" t="s">
        <v>292</v>
      </c>
      <c r="C665" s="569"/>
      <c r="D665" s="580"/>
      <c r="E665" s="570"/>
      <c r="F665" s="570">
        <f>'CABAC Non-Fid 2025'!G244</f>
        <v>0</v>
      </c>
      <c r="G665" s="570"/>
      <c r="H665" s="570"/>
      <c r="I665" s="570"/>
      <c r="J665" s="570"/>
      <c r="K665" s="570"/>
      <c r="L665" s="570"/>
      <c r="M665" s="570"/>
      <c r="N665" s="570"/>
      <c r="O665" s="570"/>
      <c r="P665" s="570"/>
      <c r="Q665" s="570"/>
      <c r="R665" s="570"/>
      <c r="S665" s="570"/>
      <c r="T665" s="570">
        <f t="shared" si="318"/>
        <v>0</v>
      </c>
      <c r="U665" s="603"/>
      <c r="V665" s="599">
        <f t="shared" si="319"/>
        <v>0</v>
      </c>
    </row>
    <row r="666" spans="1:26" s="533" customFormat="1" ht="12.6" customHeight="1" x14ac:dyDescent="0.25">
      <c r="A666" s="699"/>
      <c r="B666" s="569" t="s">
        <v>376</v>
      </c>
      <c r="C666" s="569"/>
      <c r="D666" s="580"/>
      <c r="E666" s="621">
        <v>50000000</v>
      </c>
      <c r="F666" s="570">
        <f>'CABAC Non-Fid 2025'!G245</f>
        <v>0</v>
      </c>
      <c r="G666" s="570"/>
      <c r="H666" s="601">
        <v>-13000000</v>
      </c>
      <c r="I666" s="570">
        <v>-10000000</v>
      </c>
      <c r="J666" s="570"/>
      <c r="K666" s="570"/>
      <c r="L666" s="570"/>
      <c r="M666" s="570"/>
      <c r="N666" s="570"/>
      <c r="O666" s="570"/>
      <c r="P666" s="570"/>
      <c r="Q666" s="570"/>
      <c r="R666" s="570"/>
      <c r="S666" s="570"/>
      <c r="T666" s="570">
        <f t="shared" si="318"/>
        <v>27000000</v>
      </c>
      <c r="U666" s="603"/>
      <c r="V666" s="599">
        <f t="shared" si="319"/>
        <v>27000000</v>
      </c>
    </row>
    <row r="667" spans="1:26" s="533" customFormat="1" ht="12.6" customHeight="1" x14ac:dyDescent="0.25">
      <c r="A667" s="573"/>
      <c r="B667" s="569" t="s">
        <v>145</v>
      </c>
      <c r="C667" s="569"/>
      <c r="D667" s="580"/>
      <c r="E667" s="570"/>
      <c r="F667" s="570"/>
      <c r="G667" s="570"/>
      <c r="H667" s="570"/>
      <c r="I667" s="570"/>
      <c r="J667" s="570"/>
      <c r="K667" s="570"/>
      <c r="L667" s="570"/>
      <c r="M667" s="570"/>
      <c r="N667" s="570"/>
      <c r="O667" s="570"/>
      <c r="P667" s="570"/>
      <c r="Q667" s="570"/>
      <c r="R667" s="570"/>
      <c r="S667" s="570"/>
      <c r="T667" s="570">
        <f t="shared" si="318"/>
        <v>0</v>
      </c>
      <c r="U667" s="603"/>
      <c r="V667" s="599">
        <f>T667-U667</f>
        <v>0</v>
      </c>
    </row>
    <row r="668" spans="1:26" s="533" customFormat="1" ht="12.6" customHeight="1" x14ac:dyDescent="0.25">
      <c r="A668" s="573"/>
      <c r="B668" s="569" t="s">
        <v>179</v>
      </c>
      <c r="C668" s="569"/>
      <c r="D668" s="580"/>
      <c r="E668" s="570"/>
      <c r="F668" s="570"/>
      <c r="G668" s="570"/>
      <c r="H668" s="570"/>
      <c r="I668" s="570"/>
      <c r="J668" s="570"/>
      <c r="K668" s="570"/>
      <c r="L668" s="570"/>
      <c r="M668" s="570"/>
      <c r="N668" s="570"/>
      <c r="O668" s="570"/>
      <c r="P668" s="570"/>
      <c r="Q668" s="570"/>
      <c r="R668" s="570"/>
      <c r="S668" s="570"/>
      <c r="T668" s="570">
        <f t="shared" si="318"/>
        <v>0</v>
      </c>
      <c r="U668" s="603"/>
      <c r="V668" s="599">
        <f>T668-U668</f>
        <v>0</v>
      </c>
    </row>
    <row r="669" spans="1:26" s="533" customFormat="1" ht="12.6" customHeight="1" x14ac:dyDescent="0.25">
      <c r="A669" s="573"/>
      <c r="B669" s="569" t="s">
        <v>356</v>
      </c>
      <c r="C669" s="569"/>
      <c r="D669" s="580"/>
      <c r="E669" s="570"/>
      <c r="F669" s="570"/>
      <c r="G669" s="570"/>
      <c r="H669" s="570"/>
      <c r="I669" s="570"/>
      <c r="J669" s="570"/>
      <c r="K669" s="570"/>
      <c r="L669" s="570"/>
      <c r="M669" s="570"/>
      <c r="N669" s="570"/>
      <c r="O669" s="570"/>
      <c r="P669" s="570"/>
      <c r="Q669" s="570"/>
      <c r="R669" s="570"/>
      <c r="S669" s="570"/>
      <c r="T669" s="570">
        <f t="shared" si="318"/>
        <v>0</v>
      </c>
      <c r="U669" s="603"/>
      <c r="V669" s="599">
        <f>T669-U669</f>
        <v>0</v>
      </c>
    </row>
    <row r="670" spans="1:26" s="533" customFormat="1" ht="12.6" customHeight="1" x14ac:dyDescent="0.25">
      <c r="A670" s="573"/>
      <c r="B670" s="569" t="s">
        <v>142</v>
      </c>
      <c r="C670" s="569"/>
      <c r="D670" s="580"/>
      <c r="E670" s="570"/>
      <c r="F670" s="570">
        <f>'CABAC Fiduciary 2025'!F313</f>
        <v>0</v>
      </c>
      <c r="G670" s="570"/>
      <c r="H670" s="570"/>
      <c r="I670" s="570"/>
      <c r="J670" s="570"/>
      <c r="K670" s="570"/>
      <c r="L670" s="570"/>
      <c r="M670" s="570"/>
      <c r="N670" s="570"/>
      <c r="O670" s="570"/>
      <c r="P670" s="570"/>
      <c r="Q670" s="570"/>
      <c r="R670" s="570"/>
      <c r="S670" s="570"/>
      <c r="T670" s="570">
        <f t="shared" si="318"/>
        <v>0</v>
      </c>
      <c r="U670" s="603"/>
      <c r="V670" s="599">
        <f t="shared" si="319"/>
        <v>0</v>
      </c>
    </row>
    <row r="671" spans="1:26" s="533" customFormat="1" ht="12.6" customHeight="1" x14ac:dyDescent="0.25">
      <c r="A671" s="573"/>
      <c r="B671" s="569" t="s">
        <v>343</v>
      </c>
      <c r="C671" s="569"/>
      <c r="D671" s="580"/>
      <c r="E671" s="570"/>
      <c r="F671" s="570"/>
      <c r="G671" s="570"/>
      <c r="H671" s="570"/>
      <c r="I671" s="570"/>
      <c r="J671" s="570"/>
      <c r="K671" s="570"/>
      <c r="L671" s="570"/>
      <c r="M671" s="570"/>
      <c r="N671" s="570"/>
      <c r="O671" s="570"/>
      <c r="P671" s="570"/>
      <c r="Q671" s="570"/>
      <c r="R671" s="570"/>
      <c r="S671" s="570"/>
      <c r="T671" s="570">
        <f t="shared" si="318"/>
        <v>0</v>
      </c>
      <c r="U671" s="603"/>
      <c r="V671" s="599">
        <f t="shared" si="319"/>
        <v>0</v>
      </c>
    </row>
    <row r="672" spans="1:26" s="533" customFormat="1" ht="14.25" customHeight="1" thickBot="1" x14ac:dyDescent="0.3">
      <c r="A672" s="573"/>
      <c r="B672" s="569" t="s">
        <v>144</v>
      </c>
      <c r="C672" s="569"/>
      <c r="D672" s="580"/>
      <c r="E672" s="570">
        <v>62883848.140000001</v>
      </c>
      <c r="F672" s="601">
        <f>'CABAC Fiduciary 2025'!F312</f>
        <v>0</v>
      </c>
      <c r="G672" s="601"/>
      <c r="H672" s="601"/>
      <c r="I672" s="601"/>
      <c r="J672" s="601"/>
      <c r="K672" s="570"/>
      <c r="L672" s="570"/>
      <c r="M672" s="570"/>
      <c r="N672" s="570"/>
      <c r="O672" s="570"/>
      <c r="P672" s="570"/>
      <c r="Q672" s="570"/>
      <c r="R672" s="570"/>
      <c r="S672" s="570"/>
      <c r="T672" s="601">
        <f t="shared" si="318"/>
        <v>62883848.140000001</v>
      </c>
      <c r="U672" s="606"/>
      <c r="V672" s="599">
        <f t="shared" si="319"/>
        <v>62883848.140000001</v>
      </c>
    </row>
    <row r="673" spans="1:26" s="533" customFormat="1" ht="12.6" customHeight="1" thickBot="1" x14ac:dyDescent="0.3">
      <c r="A673" s="573"/>
      <c r="B673" s="581" t="s">
        <v>346</v>
      </c>
      <c r="C673" s="569"/>
      <c r="D673" s="580"/>
      <c r="E673" s="582">
        <f>SUM(E663:E672)</f>
        <v>132897610.16</v>
      </c>
      <c r="F673" s="582">
        <f t="shared" ref="F673:V673" si="320">SUM(F663:F672)</f>
        <v>0</v>
      </c>
      <c r="G673" s="582">
        <f t="shared" si="320"/>
        <v>0</v>
      </c>
      <c r="H673" s="582">
        <f>SUM(H663:H672)</f>
        <v>-13000000</v>
      </c>
      <c r="I673" s="582">
        <f t="shared" si="320"/>
        <v>-10000000</v>
      </c>
      <c r="J673" s="582">
        <f>SUM(J663:J672)</f>
        <v>0</v>
      </c>
      <c r="K673" s="582">
        <f t="shared" si="320"/>
        <v>0</v>
      </c>
      <c r="L673" s="582">
        <f t="shared" si="320"/>
        <v>0</v>
      </c>
      <c r="M673" s="582">
        <f t="shared" si="320"/>
        <v>0</v>
      </c>
      <c r="N673" s="582">
        <f t="shared" si="320"/>
        <v>0</v>
      </c>
      <c r="O673" s="582">
        <f t="shared" si="320"/>
        <v>0</v>
      </c>
      <c r="P673" s="582">
        <f t="shared" si="320"/>
        <v>0</v>
      </c>
      <c r="Q673" s="582">
        <f t="shared" si="320"/>
        <v>0</v>
      </c>
      <c r="R673" s="582">
        <f t="shared" si="320"/>
        <v>0</v>
      </c>
      <c r="S673" s="582">
        <f t="shared" si="320"/>
        <v>0</v>
      </c>
      <c r="T673" s="582">
        <f t="shared" si="320"/>
        <v>109897610.16</v>
      </c>
      <c r="U673" s="582">
        <f t="shared" si="320"/>
        <v>0</v>
      </c>
      <c r="V673" s="582">
        <f t="shared" si="320"/>
        <v>109897610.16</v>
      </c>
    </row>
    <row r="674" spans="1:26" ht="12.6" customHeight="1" x14ac:dyDescent="0.25">
      <c r="A674" s="577"/>
      <c r="B674" s="581"/>
      <c r="C674" s="569"/>
      <c r="D674" s="583" t="s">
        <v>347</v>
      </c>
      <c r="E674" s="730">
        <f>SUM(E667:E672)</f>
        <v>62883848.140000001</v>
      </c>
      <c r="F674" s="730">
        <f t="shared" ref="F674:V674" si="321">SUM(F667:F672)</f>
        <v>0</v>
      </c>
      <c r="G674" s="584">
        <f t="shared" si="321"/>
        <v>0</v>
      </c>
      <c r="H674" s="584">
        <f>SUM(H667:H672)</f>
        <v>0</v>
      </c>
      <c r="I674" s="584">
        <f t="shared" si="321"/>
        <v>0</v>
      </c>
      <c r="J674" s="584">
        <f>SUM(J667:J672)</f>
        <v>0</v>
      </c>
      <c r="K674" s="584">
        <f t="shared" si="321"/>
        <v>0</v>
      </c>
      <c r="L674" s="584">
        <f t="shared" si="321"/>
        <v>0</v>
      </c>
      <c r="M674" s="584">
        <f t="shared" si="321"/>
        <v>0</v>
      </c>
      <c r="N674" s="584">
        <f t="shared" si="321"/>
        <v>0</v>
      </c>
      <c r="O674" s="584">
        <f t="shared" si="321"/>
        <v>0</v>
      </c>
      <c r="P674" s="584">
        <f t="shared" si="321"/>
        <v>0</v>
      </c>
      <c r="Q674" s="584">
        <f t="shared" si="321"/>
        <v>0</v>
      </c>
      <c r="R674" s="584">
        <f t="shared" si="321"/>
        <v>0</v>
      </c>
      <c r="S674" s="584">
        <f t="shared" si="321"/>
        <v>0</v>
      </c>
      <c r="T674" s="584">
        <f t="shared" si="321"/>
        <v>62883848.140000001</v>
      </c>
      <c r="U674" s="584">
        <f t="shared" si="321"/>
        <v>0</v>
      </c>
      <c r="V674" s="584">
        <f t="shared" si="321"/>
        <v>62883848.140000001</v>
      </c>
      <c r="W674" s="532"/>
      <c r="X674" s="532"/>
      <c r="Y674" s="532"/>
      <c r="Z674" s="532"/>
    </row>
    <row r="675" spans="1:26" ht="12.6" customHeight="1" x14ac:dyDescent="0.25">
      <c r="A675" s="577"/>
      <c r="B675" s="581"/>
      <c r="C675" s="569"/>
      <c r="D675" s="583" t="s">
        <v>348</v>
      </c>
      <c r="E675" s="730">
        <f>SUM(E663:E666)</f>
        <v>70013762.019999996</v>
      </c>
      <c r="F675" s="730">
        <f t="shared" ref="F675:V675" si="322">SUM(F663:F666)</f>
        <v>0</v>
      </c>
      <c r="G675" s="584">
        <f t="shared" si="322"/>
        <v>0</v>
      </c>
      <c r="H675" s="584">
        <f>SUM(H663:H666)</f>
        <v>-13000000</v>
      </c>
      <c r="I675" s="584">
        <f t="shared" si="322"/>
        <v>-10000000</v>
      </c>
      <c r="J675" s="584">
        <f>SUM(J663:J666)</f>
        <v>0</v>
      </c>
      <c r="K675" s="584">
        <f t="shared" si="322"/>
        <v>0</v>
      </c>
      <c r="L675" s="584">
        <f t="shared" si="322"/>
        <v>0</v>
      </c>
      <c r="M675" s="584">
        <f t="shared" si="322"/>
        <v>0</v>
      </c>
      <c r="N675" s="584">
        <f t="shared" si="322"/>
        <v>0</v>
      </c>
      <c r="O675" s="584">
        <f t="shared" si="322"/>
        <v>0</v>
      </c>
      <c r="P675" s="584">
        <f t="shared" si="322"/>
        <v>0</v>
      </c>
      <c r="Q675" s="584">
        <f t="shared" si="322"/>
        <v>0</v>
      </c>
      <c r="R675" s="584">
        <f t="shared" si="322"/>
        <v>0</v>
      </c>
      <c r="S675" s="584">
        <f t="shared" si="322"/>
        <v>0</v>
      </c>
      <c r="T675" s="584">
        <f t="shared" si="322"/>
        <v>47013762.019999996</v>
      </c>
      <c r="U675" s="584">
        <f t="shared" si="322"/>
        <v>0</v>
      </c>
      <c r="V675" s="584">
        <f t="shared" si="322"/>
        <v>47013762.019999996</v>
      </c>
      <c r="W675" s="532"/>
      <c r="X675" s="532"/>
      <c r="Y675" s="532"/>
      <c r="Z675" s="532"/>
    </row>
    <row r="676" spans="1:26" ht="12.6" customHeight="1" x14ac:dyDescent="0.25">
      <c r="A676" s="577"/>
      <c r="B676" s="581"/>
      <c r="C676" s="569"/>
      <c r="D676" s="580"/>
      <c r="E676" s="730">
        <f>SUM(E674:E675)</f>
        <v>132897610.16</v>
      </c>
      <c r="F676" s="730">
        <f t="shared" ref="F676:V676" si="323">SUM(F674:F675)</f>
        <v>0</v>
      </c>
      <c r="G676" s="584">
        <f t="shared" si="323"/>
        <v>0</v>
      </c>
      <c r="H676" s="584">
        <f>SUM(H674:H675)</f>
        <v>-13000000</v>
      </c>
      <c r="I676" s="584">
        <f t="shared" si="323"/>
        <v>-10000000</v>
      </c>
      <c r="J676" s="584">
        <f>SUM(J674:J675)</f>
        <v>0</v>
      </c>
      <c r="K676" s="584">
        <f t="shared" si="323"/>
        <v>0</v>
      </c>
      <c r="L676" s="584">
        <f t="shared" si="323"/>
        <v>0</v>
      </c>
      <c r="M676" s="584">
        <f t="shared" si="323"/>
        <v>0</v>
      </c>
      <c r="N676" s="584">
        <f t="shared" si="323"/>
        <v>0</v>
      </c>
      <c r="O676" s="584">
        <f t="shared" si="323"/>
        <v>0</v>
      </c>
      <c r="P676" s="584">
        <f t="shared" si="323"/>
        <v>0</v>
      </c>
      <c r="Q676" s="584">
        <f t="shared" si="323"/>
        <v>0</v>
      </c>
      <c r="R676" s="584">
        <f t="shared" si="323"/>
        <v>0</v>
      </c>
      <c r="S676" s="584">
        <f t="shared" si="323"/>
        <v>0</v>
      </c>
      <c r="T676" s="584">
        <f t="shared" si="323"/>
        <v>109897610.16</v>
      </c>
      <c r="U676" s="584">
        <f t="shared" si="323"/>
        <v>0</v>
      </c>
      <c r="V676" s="584">
        <f t="shared" si="323"/>
        <v>109897610.16</v>
      </c>
      <c r="W676" s="532"/>
      <c r="X676" s="532"/>
      <c r="Y676" s="532"/>
      <c r="Z676" s="532"/>
    </row>
    <row r="677" spans="1:26" ht="12.6" customHeight="1" x14ac:dyDescent="0.25">
      <c r="A677" s="577"/>
      <c r="B677" s="569"/>
      <c r="C677" s="569"/>
      <c r="D677" s="580"/>
      <c r="E677" s="586">
        <f>E676-E673</f>
        <v>0</v>
      </c>
      <c r="F677" s="586">
        <f t="shared" ref="F677:V677" si="324">F676-F673</f>
        <v>0</v>
      </c>
      <c r="G677" s="586">
        <f t="shared" si="324"/>
        <v>0</v>
      </c>
      <c r="H677" s="586">
        <f>H676-H673</f>
        <v>0</v>
      </c>
      <c r="I677" s="586">
        <f t="shared" si="324"/>
        <v>0</v>
      </c>
      <c r="J677" s="586">
        <f>J676-J673</f>
        <v>0</v>
      </c>
      <c r="K677" s="586">
        <f t="shared" si="324"/>
        <v>0</v>
      </c>
      <c r="L677" s="586">
        <f t="shared" si="324"/>
        <v>0</v>
      </c>
      <c r="M677" s="586">
        <f t="shared" si="324"/>
        <v>0</v>
      </c>
      <c r="N677" s="586">
        <f t="shared" si="324"/>
        <v>0</v>
      </c>
      <c r="O677" s="586">
        <f t="shared" si="324"/>
        <v>0</v>
      </c>
      <c r="P677" s="586">
        <f t="shared" si="324"/>
        <v>0</v>
      </c>
      <c r="Q677" s="586">
        <f t="shared" si="324"/>
        <v>0</v>
      </c>
      <c r="R677" s="586">
        <f t="shared" si="324"/>
        <v>0</v>
      </c>
      <c r="S677" s="586">
        <f t="shared" si="324"/>
        <v>0</v>
      </c>
      <c r="T677" s="586">
        <f t="shared" si="324"/>
        <v>0</v>
      </c>
      <c r="U677" s="586">
        <f t="shared" si="324"/>
        <v>0</v>
      </c>
      <c r="V677" s="586">
        <f t="shared" si="324"/>
        <v>0</v>
      </c>
    </row>
    <row r="678" spans="1:26" s="533" customFormat="1" ht="12.6" customHeight="1" x14ac:dyDescent="0.25">
      <c r="A678" s="573"/>
      <c r="B678" s="569"/>
      <c r="C678" s="569"/>
      <c r="D678" s="569"/>
      <c r="E678" s="570"/>
      <c r="F678" s="570"/>
      <c r="G678" s="570"/>
      <c r="H678" s="570"/>
      <c r="I678" s="570"/>
      <c r="J678" s="570"/>
      <c r="K678" s="570"/>
      <c r="L678" s="570"/>
      <c r="M678" s="570"/>
      <c r="N678" s="570"/>
      <c r="O678" s="570"/>
      <c r="P678" s="570"/>
      <c r="Q678" s="570"/>
      <c r="R678" s="570"/>
      <c r="S678" s="570"/>
      <c r="T678" s="570"/>
      <c r="U678" s="603"/>
      <c r="V678" s="599"/>
    </row>
    <row r="679" spans="1:26" s="533" customFormat="1" ht="12.6" customHeight="1" x14ac:dyDescent="0.25">
      <c r="A679" s="573" t="s">
        <v>23</v>
      </c>
      <c r="B679" s="569" t="s">
        <v>308</v>
      </c>
      <c r="C679" s="569"/>
      <c r="D679" s="580"/>
      <c r="E679" s="613"/>
      <c r="F679" s="613"/>
      <c r="G679" s="613"/>
      <c r="H679" s="601"/>
      <c r="I679" s="601"/>
      <c r="J679" s="601"/>
      <c r="K679" s="601"/>
      <c r="L679" s="601"/>
      <c r="M679" s="601"/>
      <c r="N679" s="601"/>
      <c r="O679" s="601"/>
      <c r="P679" s="601"/>
      <c r="Q679" s="601"/>
      <c r="R679" s="613"/>
      <c r="S679" s="613"/>
      <c r="T679" s="613">
        <f>SUM(E679:S679)</f>
        <v>0</v>
      </c>
      <c r="U679" s="619"/>
      <c r="V679" s="614">
        <f>T679-U679</f>
        <v>0</v>
      </c>
    </row>
    <row r="680" spans="1:26" s="533" customFormat="1" ht="12.6" customHeight="1" x14ac:dyDescent="0.25">
      <c r="A680" s="604" t="s">
        <v>66</v>
      </c>
      <c r="B680" s="569" t="s">
        <v>266</v>
      </c>
      <c r="C680" s="569"/>
      <c r="D680" s="569"/>
      <c r="E680" s="570"/>
      <c r="F680" s="570"/>
      <c r="G680" s="570"/>
      <c r="H680" s="599"/>
      <c r="I680" s="570"/>
      <c r="J680" s="570"/>
      <c r="K680" s="570"/>
      <c r="L680" s="570"/>
      <c r="M680" s="570"/>
      <c r="N680" s="570"/>
      <c r="O680" s="570"/>
      <c r="P680" s="570"/>
      <c r="Q680" s="1236"/>
      <c r="R680" s="570"/>
      <c r="S680" s="570"/>
      <c r="T680" s="601">
        <f>SUM(E680:S680)</f>
        <v>0</v>
      </c>
      <c r="U680" s="606"/>
      <c r="V680" s="599">
        <f>T680-U680</f>
        <v>0</v>
      </c>
    </row>
    <row r="681" spans="1:26" s="533" customFormat="1" ht="12.6" customHeight="1" x14ac:dyDescent="0.25">
      <c r="A681" s="604"/>
      <c r="B681" s="569" t="s">
        <v>258</v>
      </c>
      <c r="C681" s="569"/>
      <c r="D681" s="580"/>
      <c r="E681" s="605"/>
      <c r="F681" s="601"/>
      <c r="G681" s="613"/>
      <c r="H681" s="570"/>
      <c r="I681" s="570"/>
      <c r="J681" s="570"/>
      <c r="K681" s="570"/>
      <c r="L681" s="570"/>
      <c r="M681" s="570"/>
      <c r="N681" s="570"/>
      <c r="O681" s="570"/>
      <c r="P681" s="570"/>
      <c r="Q681" s="570"/>
      <c r="R681" s="621"/>
      <c r="S681" s="601"/>
      <c r="T681" s="570">
        <f>SUM(E681:S681)</f>
        <v>0</v>
      </c>
      <c r="U681" s="603"/>
      <c r="V681" s="599">
        <f>T681-U681</f>
        <v>0</v>
      </c>
    </row>
    <row r="682" spans="1:26" s="533" customFormat="1" ht="12.6" customHeight="1" thickBot="1" x14ac:dyDescent="0.3">
      <c r="A682" s="573"/>
      <c r="B682" s="569" t="s">
        <v>462</v>
      </c>
      <c r="C682" s="569"/>
      <c r="D682" s="580"/>
      <c r="E682" s="601">
        <v>2431293</v>
      </c>
      <c r="F682" s="601"/>
      <c r="G682" s="570"/>
      <c r="H682" s="601"/>
      <c r="I682" s="613"/>
      <c r="J682" s="613"/>
      <c r="K682" s="601"/>
      <c r="L682" s="601"/>
      <c r="M682" s="601"/>
      <c r="N682" s="601"/>
      <c r="O682" s="601"/>
      <c r="P682" s="601"/>
      <c r="Q682" s="601"/>
      <c r="R682" s="631"/>
      <c r="S682" s="631"/>
      <c r="T682" s="601">
        <f>SUM(E682:S682)</f>
        <v>2431293</v>
      </c>
      <c r="U682" s="606"/>
      <c r="V682" s="599">
        <f>T682-U682</f>
        <v>2431293</v>
      </c>
    </row>
    <row r="683" spans="1:26" s="533" customFormat="1" ht="12.6" customHeight="1" thickBot="1" x14ac:dyDescent="0.3">
      <c r="A683" s="573"/>
      <c r="B683" s="581" t="s">
        <v>346</v>
      </c>
      <c r="C683" s="569"/>
      <c r="D683" s="580"/>
      <c r="E683" s="582">
        <f t="shared" ref="E683:V683" si="325">SUM(E679:E682)</f>
        <v>2431293</v>
      </c>
      <c r="F683" s="582">
        <f t="shared" si="325"/>
        <v>0</v>
      </c>
      <c r="G683" s="582">
        <f t="shared" si="325"/>
        <v>0</v>
      </c>
      <c r="H683" s="582">
        <f>SUM(H679:H682)</f>
        <v>0</v>
      </c>
      <c r="I683" s="582">
        <f t="shared" si="325"/>
        <v>0</v>
      </c>
      <c r="J683" s="582">
        <f>SUM(J679:J682)</f>
        <v>0</v>
      </c>
      <c r="K683" s="582">
        <f t="shared" si="325"/>
        <v>0</v>
      </c>
      <c r="L683" s="582">
        <f t="shared" si="325"/>
        <v>0</v>
      </c>
      <c r="M683" s="582">
        <f t="shared" si="325"/>
        <v>0</v>
      </c>
      <c r="N683" s="582">
        <f t="shared" si="325"/>
        <v>0</v>
      </c>
      <c r="O683" s="582">
        <f t="shared" si="325"/>
        <v>0</v>
      </c>
      <c r="P683" s="582">
        <f t="shared" si="325"/>
        <v>0</v>
      </c>
      <c r="Q683" s="582">
        <f t="shared" si="325"/>
        <v>0</v>
      </c>
      <c r="R683" s="582">
        <f t="shared" si="325"/>
        <v>0</v>
      </c>
      <c r="S683" s="582">
        <f t="shared" si="325"/>
        <v>0</v>
      </c>
      <c r="T683" s="582">
        <f t="shared" si="325"/>
        <v>2431293</v>
      </c>
      <c r="U683" s="582">
        <f t="shared" si="325"/>
        <v>0</v>
      </c>
      <c r="V683" s="582">
        <f t="shared" si="325"/>
        <v>2431293</v>
      </c>
    </row>
    <row r="684" spans="1:26" ht="12.6" customHeight="1" x14ac:dyDescent="0.25">
      <c r="A684" s="577"/>
      <c r="B684" s="581"/>
      <c r="C684" s="569"/>
      <c r="D684" s="583" t="s">
        <v>347</v>
      </c>
      <c r="E684" s="730">
        <f>E682</f>
        <v>2431293</v>
      </c>
      <c r="F684" s="730"/>
      <c r="G684" s="584"/>
      <c r="H684" s="584"/>
      <c r="I684" s="584"/>
      <c r="J684" s="584"/>
      <c r="K684" s="584"/>
      <c r="L684" s="584"/>
      <c r="M684" s="584"/>
      <c r="N684" s="584"/>
      <c r="O684" s="584"/>
      <c r="P684" s="584"/>
      <c r="Q684" s="584"/>
      <c r="R684" s="584"/>
      <c r="S684" s="584"/>
      <c r="T684" s="584"/>
      <c r="U684" s="584"/>
      <c r="V684" s="584"/>
      <c r="W684" s="532"/>
      <c r="X684" s="532"/>
      <c r="Y684" s="532"/>
      <c r="Z684" s="532"/>
    </row>
    <row r="685" spans="1:26" ht="12.6" customHeight="1" x14ac:dyDescent="0.25">
      <c r="A685" s="577"/>
      <c r="B685" s="581"/>
      <c r="C685" s="569"/>
      <c r="D685" s="583" t="s">
        <v>348</v>
      </c>
      <c r="E685" s="730">
        <f>E679+E680+E681</f>
        <v>0</v>
      </c>
      <c r="F685" s="730">
        <f t="shared" ref="F685:V685" si="326">SUM(F679:F682)</f>
        <v>0</v>
      </c>
      <c r="G685" s="584">
        <f t="shared" si="326"/>
        <v>0</v>
      </c>
      <c r="H685" s="584">
        <f>SUM(H679:H682)</f>
        <v>0</v>
      </c>
      <c r="I685" s="584">
        <f t="shared" si="326"/>
        <v>0</v>
      </c>
      <c r="J685" s="584">
        <f>SUM(J679:J682)</f>
        <v>0</v>
      </c>
      <c r="K685" s="584">
        <f t="shared" si="326"/>
        <v>0</v>
      </c>
      <c r="L685" s="584">
        <f t="shared" si="326"/>
        <v>0</v>
      </c>
      <c r="M685" s="584">
        <f t="shared" si="326"/>
        <v>0</v>
      </c>
      <c r="N685" s="584">
        <f t="shared" si="326"/>
        <v>0</v>
      </c>
      <c r="O685" s="584">
        <f t="shared" si="326"/>
        <v>0</v>
      </c>
      <c r="P685" s="584">
        <f t="shared" si="326"/>
        <v>0</v>
      </c>
      <c r="Q685" s="584">
        <f t="shared" si="326"/>
        <v>0</v>
      </c>
      <c r="R685" s="584">
        <f t="shared" si="326"/>
        <v>0</v>
      </c>
      <c r="S685" s="584">
        <f t="shared" si="326"/>
        <v>0</v>
      </c>
      <c r="T685" s="584">
        <f t="shared" si="326"/>
        <v>2431293</v>
      </c>
      <c r="U685" s="584">
        <f t="shared" si="326"/>
        <v>0</v>
      </c>
      <c r="V685" s="584">
        <f t="shared" si="326"/>
        <v>2431293</v>
      </c>
      <c r="W685" s="532"/>
      <c r="X685" s="532"/>
      <c r="Y685" s="532"/>
      <c r="Z685" s="532"/>
    </row>
    <row r="686" spans="1:26" ht="12.6" customHeight="1" x14ac:dyDescent="0.25">
      <c r="A686" s="577"/>
      <c r="B686" s="581"/>
      <c r="C686" s="569"/>
      <c r="D686" s="580"/>
      <c r="E686" s="730">
        <f>SUM(E684:E685)</f>
        <v>2431293</v>
      </c>
      <c r="F686" s="730">
        <f t="shared" ref="F686:V686" si="327">SUM(F684:F685)</f>
        <v>0</v>
      </c>
      <c r="G686" s="584">
        <f t="shared" si="327"/>
        <v>0</v>
      </c>
      <c r="H686" s="584">
        <f>SUM(H684:H685)</f>
        <v>0</v>
      </c>
      <c r="I686" s="584">
        <f t="shared" si="327"/>
        <v>0</v>
      </c>
      <c r="J686" s="584">
        <f>SUM(J684:J685)</f>
        <v>0</v>
      </c>
      <c r="K686" s="584">
        <f t="shared" si="327"/>
        <v>0</v>
      </c>
      <c r="L686" s="584">
        <f t="shared" si="327"/>
        <v>0</v>
      </c>
      <c r="M686" s="584">
        <f t="shared" si="327"/>
        <v>0</v>
      </c>
      <c r="N686" s="584">
        <f t="shared" si="327"/>
        <v>0</v>
      </c>
      <c r="O686" s="584">
        <f t="shared" si="327"/>
        <v>0</v>
      </c>
      <c r="P686" s="584">
        <f t="shared" si="327"/>
        <v>0</v>
      </c>
      <c r="Q686" s="584">
        <f t="shared" si="327"/>
        <v>0</v>
      </c>
      <c r="R686" s="584">
        <f t="shared" si="327"/>
        <v>0</v>
      </c>
      <c r="S686" s="584">
        <f t="shared" si="327"/>
        <v>0</v>
      </c>
      <c r="T686" s="584">
        <f t="shared" si="327"/>
        <v>2431293</v>
      </c>
      <c r="U686" s="584">
        <f t="shared" si="327"/>
        <v>0</v>
      </c>
      <c r="V686" s="584">
        <f t="shared" si="327"/>
        <v>2431293</v>
      </c>
      <c r="W686" s="532"/>
      <c r="X686" s="532"/>
      <c r="Y686" s="532"/>
      <c r="Z686" s="532"/>
    </row>
    <row r="687" spans="1:26" ht="12.6" customHeight="1" x14ac:dyDescent="0.25">
      <c r="A687" s="577"/>
      <c r="B687" s="569"/>
      <c r="C687" s="569"/>
      <c r="D687" s="580"/>
      <c r="E687" s="586">
        <f>E686-E683</f>
        <v>0</v>
      </c>
      <c r="F687" s="586">
        <f t="shared" ref="F687:V687" si="328">F686-F683</f>
        <v>0</v>
      </c>
      <c r="G687" s="586">
        <f t="shared" si="328"/>
        <v>0</v>
      </c>
      <c r="H687" s="586">
        <f>H686-H683</f>
        <v>0</v>
      </c>
      <c r="I687" s="586">
        <f t="shared" si="328"/>
        <v>0</v>
      </c>
      <c r="J687" s="586">
        <f>J686-J683</f>
        <v>0</v>
      </c>
      <c r="K687" s="586">
        <f t="shared" si="328"/>
        <v>0</v>
      </c>
      <c r="L687" s="586">
        <f t="shared" si="328"/>
        <v>0</v>
      </c>
      <c r="M687" s="586">
        <f t="shared" si="328"/>
        <v>0</v>
      </c>
      <c r="N687" s="586">
        <f t="shared" si="328"/>
        <v>0</v>
      </c>
      <c r="O687" s="586">
        <f t="shared" si="328"/>
        <v>0</v>
      </c>
      <c r="P687" s="586">
        <f t="shared" si="328"/>
        <v>0</v>
      </c>
      <c r="Q687" s="586">
        <f t="shared" si="328"/>
        <v>0</v>
      </c>
      <c r="R687" s="586">
        <f t="shared" si="328"/>
        <v>0</v>
      </c>
      <c r="S687" s="586">
        <f t="shared" si="328"/>
        <v>0</v>
      </c>
      <c r="T687" s="586">
        <f t="shared" si="328"/>
        <v>0</v>
      </c>
      <c r="U687" s="586">
        <f t="shared" si="328"/>
        <v>0</v>
      </c>
      <c r="V687" s="586">
        <f t="shared" si="328"/>
        <v>0</v>
      </c>
    </row>
    <row r="688" spans="1:26" s="533" customFormat="1" ht="12.6" customHeight="1" x14ac:dyDescent="0.25">
      <c r="A688" s="638"/>
      <c r="B688" s="608"/>
      <c r="C688" s="608"/>
      <c r="D688" s="661"/>
      <c r="E688" s="599"/>
      <c r="F688" s="570"/>
      <c r="G688" s="570"/>
      <c r="H688" s="570"/>
      <c r="I688" s="570"/>
      <c r="J688" s="570"/>
      <c r="K688" s="570"/>
      <c r="L688" s="570"/>
      <c r="M688" s="570"/>
      <c r="N688" s="570"/>
      <c r="O688" s="570"/>
      <c r="P688" s="570"/>
      <c r="Q688" s="570"/>
      <c r="R688" s="570"/>
      <c r="S688" s="570"/>
      <c r="T688" s="570"/>
      <c r="U688" s="570"/>
      <c r="V688" s="599"/>
    </row>
    <row r="689" spans="1:26" s="533" customFormat="1" ht="12.6" customHeight="1" x14ac:dyDescent="0.25">
      <c r="A689" s="611" t="s">
        <v>79</v>
      </c>
      <c r="B689" s="569" t="s">
        <v>421</v>
      </c>
      <c r="C689" s="569"/>
      <c r="D689" s="580"/>
      <c r="E689" s="570"/>
      <c r="F689" s="570"/>
      <c r="G689" s="570"/>
      <c r="H689" s="570"/>
      <c r="I689" s="570"/>
      <c r="J689" s="570"/>
      <c r="K689" s="570"/>
      <c r="L689" s="570"/>
      <c r="M689" s="570"/>
      <c r="N689" s="570"/>
      <c r="O689" s="570"/>
      <c r="P689" s="570"/>
      <c r="Q689" s="570"/>
      <c r="R689" s="601"/>
      <c r="S689" s="601"/>
      <c r="T689" s="613">
        <f>SUM(E689:S689)</f>
        <v>0</v>
      </c>
      <c r="U689" s="619"/>
      <c r="V689" s="614">
        <f>T689-U689</f>
        <v>0</v>
      </c>
    </row>
    <row r="690" spans="1:26" s="533" customFormat="1" ht="12.6" customHeight="1" x14ac:dyDescent="0.25">
      <c r="A690" s="604" t="s">
        <v>67</v>
      </c>
      <c r="B690" s="612" t="s">
        <v>142</v>
      </c>
      <c r="C690" s="612"/>
      <c r="D690" s="617"/>
      <c r="E690" s="613"/>
      <c r="F690" s="613">
        <f>'CABAC Fiduciary 2025'!F323</f>
        <v>0</v>
      </c>
      <c r="G690" s="613"/>
      <c r="H690" s="613"/>
      <c r="I690" s="613"/>
      <c r="J690" s="613"/>
      <c r="K690" s="613"/>
      <c r="L690" s="613"/>
      <c r="M690" s="613"/>
      <c r="N690" s="613"/>
      <c r="O690" s="613"/>
      <c r="P690" s="613"/>
      <c r="Q690" s="613"/>
      <c r="R690" s="613"/>
      <c r="S690" s="613"/>
      <c r="T690" s="613">
        <f>SUM(E690:S690)</f>
        <v>0</v>
      </c>
      <c r="U690" s="619"/>
      <c r="V690" s="614">
        <f>T690-U690</f>
        <v>0</v>
      </c>
    </row>
    <row r="691" spans="1:26" s="533" customFormat="1" ht="12.6" customHeight="1" thickBot="1" x14ac:dyDescent="0.3">
      <c r="A691" s="611"/>
      <c r="B691" s="569" t="s">
        <v>144</v>
      </c>
      <c r="C691" s="569"/>
      <c r="D691" s="580"/>
      <c r="E691" s="601"/>
      <c r="F691" s="601">
        <f>'CABAC Fiduciary 2025'!F322</f>
        <v>0</v>
      </c>
      <c r="G691" s="601"/>
      <c r="H691" s="601"/>
      <c r="I691" s="601"/>
      <c r="J691" s="601"/>
      <c r="K691" s="570"/>
      <c r="L691" s="570"/>
      <c r="M691" s="570"/>
      <c r="N691" s="570"/>
      <c r="O691" s="570"/>
      <c r="P691" s="570"/>
      <c r="Q691" s="570"/>
      <c r="R691" s="570"/>
      <c r="S691" s="570"/>
      <c r="T691" s="601">
        <f>SUM(E691:S691)</f>
        <v>0</v>
      </c>
      <c r="U691" s="606"/>
      <c r="V691" s="599">
        <f t="shared" ref="V691" si="329">T691-U691</f>
        <v>0</v>
      </c>
    </row>
    <row r="692" spans="1:26" s="533" customFormat="1" ht="12.6" customHeight="1" thickBot="1" x14ac:dyDescent="0.3">
      <c r="A692" s="573"/>
      <c r="B692" s="581" t="s">
        <v>346</v>
      </c>
      <c r="C692" s="569"/>
      <c r="D692" s="580"/>
      <c r="E692" s="582">
        <f>SUM(E689:E691)</f>
        <v>0</v>
      </c>
      <c r="F692" s="582">
        <f t="shared" ref="F692:V692" si="330">SUM(F689:F691)</f>
        <v>0</v>
      </c>
      <c r="G692" s="582">
        <f t="shared" si="330"/>
        <v>0</v>
      </c>
      <c r="H692" s="582">
        <f>SUM(H689:H691)</f>
        <v>0</v>
      </c>
      <c r="I692" s="582">
        <f t="shared" si="330"/>
        <v>0</v>
      </c>
      <c r="J692" s="582">
        <f>SUM(J689:J691)</f>
        <v>0</v>
      </c>
      <c r="K692" s="582">
        <f t="shared" si="330"/>
        <v>0</v>
      </c>
      <c r="L692" s="582">
        <f t="shared" si="330"/>
        <v>0</v>
      </c>
      <c r="M692" s="582">
        <f t="shared" si="330"/>
        <v>0</v>
      </c>
      <c r="N692" s="582">
        <f t="shared" si="330"/>
        <v>0</v>
      </c>
      <c r="O692" s="582">
        <f t="shared" si="330"/>
        <v>0</v>
      </c>
      <c r="P692" s="582">
        <f t="shared" si="330"/>
        <v>0</v>
      </c>
      <c r="Q692" s="582">
        <f t="shared" si="330"/>
        <v>0</v>
      </c>
      <c r="R692" s="582">
        <f t="shared" si="330"/>
        <v>0</v>
      </c>
      <c r="S692" s="582">
        <f t="shared" si="330"/>
        <v>0</v>
      </c>
      <c r="T692" s="582">
        <f t="shared" si="330"/>
        <v>0</v>
      </c>
      <c r="U692" s="582">
        <f t="shared" si="330"/>
        <v>0</v>
      </c>
      <c r="V692" s="582">
        <f t="shared" si="330"/>
        <v>0</v>
      </c>
    </row>
    <row r="693" spans="1:26" ht="12.6" customHeight="1" x14ac:dyDescent="0.25">
      <c r="A693" s="577"/>
      <c r="B693" s="581"/>
      <c r="C693" s="569"/>
      <c r="D693" s="583" t="s">
        <v>347</v>
      </c>
      <c r="E693" s="584">
        <f>SUM(E690:E691)</f>
        <v>0</v>
      </c>
      <c r="F693" s="584">
        <f t="shared" ref="F693:V693" si="331">SUM(F690:F691)</f>
        <v>0</v>
      </c>
      <c r="G693" s="584">
        <f t="shared" si="331"/>
        <v>0</v>
      </c>
      <c r="H693" s="584">
        <f>SUM(H690:H691)</f>
        <v>0</v>
      </c>
      <c r="I693" s="584">
        <f t="shared" si="331"/>
        <v>0</v>
      </c>
      <c r="J693" s="584">
        <f>SUM(J690:J691)</f>
        <v>0</v>
      </c>
      <c r="K693" s="584">
        <f t="shared" si="331"/>
        <v>0</v>
      </c>
      <c r="L693" s="584">
        <f t="shared" si="331"/>
        <v>0</v>
      </c>
      <c r="M693" s="584">
        <f t="shared" si="331"/>
        <v>0</v>
      </c>
      <c r="N693" s="584">
        <f t="shared" si="331"/>
        <v>0</v>
      </c>
      <c r="O693" s="584">
        <f t="shared" si="331"/>
        <v>0</v>
      </c>
      <c r="P693" s="584">
        <f t="shared" si="331"/>
        <v>0</v>
      </c>
      <c r="Q693" s="584">
        <f t="shared" si="331"/>
        <v>0</v>
      </c>
      <c r="R693" s="584">
        <f t="shared" si="331"/>
        <v>0</v>
      </c>
      <c r="S693" s="584">
        <f t="shared" si="331"/>
        <v>0</v>
      </c>
      <c r="T693" s="584">
        <f t="shared" si="331"/>
        <v>0</v>
      </c>
      <c r="U693" s="584">
        <f t="shared" si="331"/>
        <v>0</v>
      </c>
      <c r="V693" s="584">
        <f t="shared" si="331"/>
        <v>0</v>
      </c>
      <c r="W693" s="532"/>
      <c r="X693" s="532"/>
      <c r="Y693" s="532"/>
      <c r="Z693" s="532"/>
    </row>
    <row r="694" spans="1:26" ht="12.6" customHeight="1" x14ac:dyDescent="0.25">
      <c r="A694" s="577"/>
      <c r="B694" s="581"/>
      <c r="C694" s="569"/>
      <c r="D694" s="583" t="s">
        <v>348</v>
      </c>
      <c r="E694" s="584">
        <f>SUM(E689)</f>
        <v>0</v>
      </c>
      <c r="F694" s="584">
        <f t="shared" ref="F694:V694" si="332">SUM(F689)</f>
        <v>0</v>
      </c>
      <c r="G694" s="584">
        <f t="shared" si="332"/>
        <v>0</v>
      </c>
      <c r="H694" s="584">
        <f>SUM(H689)</f>
        <v>0</v>
      </c>
      <c r="I694" s="584">
        <f t="shared" si="332"/>
        <v>0</v>
      </c>
      <c r="J694" s="584">
        <f>SUM(J689)</f>
        <v>0</v>
      </c>
      <c r="K694" s="584">
        <f t="shared" si="332"/>
        <v>0</v>
      </c>
      <c r="L694" s="584">
        <f t="shared" si="332"/>
        <v>0</v>
      </c>
      <c r="M694" s="584">
        <f t="shared" si="332"/>
        <v>0</v>
      </c>
      <c r="N694" s="584">
        <f t="shared" si="332"/>
        <v>0</v>
      </c>
      <c r="O694" s="584">
        <f t="shared" si="332"/>
        <v>0</v>
      </c>
      <c r="P694" s="584">
        <f t="shared" si="332"/>
        <v>0</v>
      </c>
      <c r="Q694" s="584">
        <f t="shared" si="332"/>
        <v>0</v>
      </c>
      <c r="R694" s="584">
        <f t="shared" si="332"/>
        <v>0</v>
      </c>
      <c r="S694" s="584">
        <f t="shared" si="332"/>
        <v>0</v>
      </c>
      <c r="T694" s="584">
        <f t="shared" si="332"/>
        <v>0</v>
      </c>
      <c r="U694" s="584">
        <f t="shared" si="332"/>
        <v>0</v>
      </c>
      <c r="V694" s="584">
        <f t="shared" si="332"/>
        <v>0</v>
      </c>
      <c r="W694" s="532"/>
      <c r="X694" s="532"/>
      <c r="Y694" s="532"/>
      <c r="Z694" s="532"/>
    </row>
    <row r="695" spans="1:26" ht="12.6" customHeight="1" x14ac:dyDescent="0.25">
      <c r="A695" s="577"/>
      <c r="B695" s="581"/>
      <c r="C695" s="569"/>
      <c r="D695" s="580"/>
      <c r="E695" s="584">
        <f>SUM(E693:E694)</f>
        <v>0</v>
      </c>
      <c r="F695" s="584">
        <f t="shared" ref="F695:V695" si="333">SUM(F693:F694)</f>
        <v>0</v>
      </c>
      <c r="G695" s="584">
        <f t="shared" si="333"/>
        <v>0</v>
      </c>
      <c r="H695" s="584">
        <f>SUM(H693:H694)</f>
        <v>0</v>
      </c>
      <c r="I695" s="584">
        <f t="shared" si="333"/>
        <v>0</v>
      </c>
      <c r="J695" s="584">
        <f>SUM(J693:J694)</f>
        <v>0</v>
      </c>
      <c r="K695" s="584">
        <f t="shared" si="333"/>
        <v>0</v>
      </c>
      <c r="L695" s="584">
        <f t="shared" si="333"/>
        <v>0</v>
      </c>
      <c r="M695" s="584">
        <f t="shared" si="333"/>
        <v>0</v>
      </c>
      <c r="N695" s="584">
        <f t="shared" si="333"/>
        <v>0</v>
      </c>
      <c r="O695" s="584">
        <f t="shared" si="333"/>
        <v>0</v>
      </c>
      <c r="P695" s="584">
        <f t="shared" si="333"/>
        <v>0</v>
      </c>
      <c r="Q695" s="584">
        <f t="shared" si="333"/>
        <v>0</v>
      </c>
      <c r="R695" s="584">
        <f t="shared" si="333"/>
        <v>0</v>
      </c>
      <c r="S695" s="584">
        <f t="shared" si="333"/>
        <v>0</v>
      </c>
      <c r="T695" s="584">
        <f t="shared" si="333"/>
        <v>0</v>
      </c>
      <c r="U695" s="584">
        <f t="shared" si="333"/>
        <v>0</v>
      </c>
      <c r="V695" s="584">
        <f t="shared" si="333"/>
        <v>0</v>
      </c>
      <c r="W695" s="532"/>
      <c r="X695" s="532"/>
      <c r="Y695" s="532"/>
      <c r="Z695" s="532"/>
    </row>
    <row r="696" spans="1:26" ht="12.6" customHeight="1" x14ac:dyDescent="0.25">
      <c r="A696" s="577"/>
      <c r="B696" s="569"/>
      <c r="C696" s="569"/>
      <c r="D696" s="580"/>
      <c r="E696" s="1239">
        <f>E695-E692</f>
        <v>0</v>
      </c>
      <c r="F696" s="1234">
        <f t="shared" ref="F696:V696" si="334">F695-F692</f>
        <v>0</v>
      </c>
      <c r="G696" s="1234">
        <f t="shared" si="334"/>
        <v>0</v>
      </c>
      <c r="H696" s="1234">
        <f>H695-H692</f>
        <v>0</v>
      </c>
      <c r="I696" s="1234">
        <f t="shared" si="334"/>
        <v>0</v>
      </c>
      <c r="J696" s="1234">
        <f>J695-J692</f>
        <v>0</v>
      </c>
      <c r="K696" s="1234">
        <f t="shared" si="334"/>
        <v>0</v>
      </c>
      <c r="L696" s="1234">
        <f t="shared" si="334"/>
        <v>0</v>
      </c>
      <c r="M696" s="1234">
        <f t="shared" si="334"/>
        <v>0</v>
      </c>
      <c r="N696" s="1234">
        <f t="shared" si="334"/>
        <v>0</v>
      </c>
      <c r="O696" s="1234">
        <f t="shared" si="334"/>
        <v>0</v>
      </c>
      <c r="P696" s="1234">
        <f t="shared" si="334"/>
        <v>0</v>
      </c>
      <c r="Q696" s="1234">
        <f t="shared" si="334"/>
        <v>0</v>
      </c>
      <c r="R696" s="1234">
        <f t="shared" si="334"/>
        <v>0</v>
      </c>
      <c r="S696" s="1234">
        <f t="shared" si="334"/>
        <v>0</v>
      </c>
      <c r="T696" s="1234">
        <f t="shared" si="334"/>
        <v>0</v>
      </c>
      <c r="U696" s="1234">
        <f t="shared" si="334"/>
        <v>0</v>
      </c>
      <c r="V696" s="1234">
        <f t="shared" si="334"/>
        <v>0</v>
      </c>
    </row>
    <row r="697" spans="1:26" s="533" customFormat="1" ht="12.6" customHeight="1" x14ac:dyDescent="0.25">
      <c r="A697" s="573"/>
      <c r="B697" s="569"/>
      <c r="C697" s="569"/>
      <c r="D697" s="580"/>
      <c r="E697" s="601"/>
      <c r="F697" s="601"/>
      <c r="G697" s="601"/>
      <c r="H697" s="601"/>
      <c r="I697" s="601"/>
      <c r="J697" s="601"/>
      <c r="K697" s="601"/>
      <c r="L697" s="601"/>
      <c r="M697" s="601"/>
      <c r="N697" s="601"/>
      <c r="O697" s="601"/>
      <c r="P697" s="601"/>
      <c r="Q697" s="601"/>
      <c r="R697" s="601"/>
      <c r="S697" s="601"/>
      <c r="T697" s="601"/>
      <c r="U697" s="606"/>
      <c r="V697" s="615"/>
    </row>
    <row r="698" spans="1:26" s="533" customFormat="1" ht="12.6" customHeight="1" x14ac:dyDescent="0.25">
      <c r="A698" s="573" t="s">
        <v>13</v>
      </c>
      <c r="B698" s="569" t="s">
        <v>263</v>
      </c>
      <c r="C698" s="569"/>
      <c r="D698" s="580"/>
      <c r="E698" s="570">
        <v>-39111.599999999999</v>
      </c>
      <c r="F698" s="570">
        <f>'CABAC Non-Fid 2025'!G251</f>
        <v>0</v>
      </c>
      <c r="G698" s="570"/>
      <c r="H698" s="570"/>
      <c r="I698" s="570"/>
      <c r="J698" s="570"/>
      <c r="K698" s="570"/>
      <c r="L698" s="570"/>
      <c r="M698" s="570"/>
      <c r="N698" s="570"/>
      <c r="O698" s="570"/>
      <c r="P698" s="570"/>
      <c r="Q698" s="570"/>
      <c r="R698" s="570"/>
      <c r="S698" s="570"/>
      <c r="T698" s="570">
        <f t="shared" ref="T698:T716" si="335">SUM(E698:S698)</f>
        <v>-39111.599999999999</v>
      </c>
      <c r="U698" s="603"/>
      <c r="V698" s="599">
        <f t="shared" ref="V698:V716" si="336">T698-U698</f>
        <v>-39111.599999999999</v>
      </c>
    </row>
    <row r="699" spans="1:26" s="533" customFormat="1" ht="12.6" customHeight="1" x14ac:dyDescent="0.25">
      <c r="A699" s="604" t="s">
        <v>68</v>
      </c>
      <c r="B699" s="569" t="s">
        <v>266</v>
      </c>
      <c r="C699" s="569"/>
      <c r="D699" s="580"/>
      <c r="E699" s="570"/>
      <c r="F699" s="570">
        <f>'CABAC Non-Fid 2025'!G247</f>
        <v>0</v>
      </c>
      <c r="G699" s="570"/>
      <c r="H699" s="570"/>
      <c r="I699" s="570"/>
      <c r="J699" s="570"/>
      <c r="K699" s="570"/>
      <c r="L699" s="570"/>
      <c r="M699" s="570"/>
      <c r="N699" s="570"/>
      <c r="O699" s="570"/>
      <c r="P699" s="570"/>
      <c r="Q699" s="570"/>
      <c r="R699" s="570"/>
      <c r="S699" s="570"/>
      <c r="T699" s="570">
        <f t="shared" si="335"/>
        <v>0</v>
      </c>
      <c r="U699" s="603"/>
      <c r="V699" s="599">
        <f t="shared" si="336"/>
        <v>0</v>
      </c>
    </row>
    <row r="700" spans="1:26" s="533" customFormat="1" ht="12.6" customHeight="1" x14ac:dyDescent="0.25">
      <c r="A700" s="573"/>
      <c r="B700" s="569" t="s">
        <v>421</v>
      </c>
      <c r="C700" s="569"/>
      <c r="D700" s="580"/>
      <c r="E700" s="601"/>
      <c r="F700" s="601"/>
      <c r="G700" s="570"/>
      <c r="H700" s="601"/>
      <c r="I700" s="570"/>
      <c r="J700" s="570"/>
      <c r="K700" s="601"/>
      <c r="L700" s="601"/>
      <c r="M700" s="601"/>
      <c r="N700" s="601"/>
      <c r="O700" s="601"/>
      <c r="P700" s="601"/>
      <c r="Q700" s="601"/>
      <c r="R700" s="601"/>
      <c r="S700" s="601"/>
      <c r="T700" s="570">
        <f t="shared" si="335"/>
        <v>0</v>
      </c>
      <c r="U700" s="603"/>
      <c r="V700" s="599">
        <f>T700-U700</f>
        <v>0</v>
      </c>
    </row>
    <row r="701" spans="1:26" s="533" customFormat="1" ht="12.6" customHeight="1" x14ac:dyDescent="0.25">
      <c r="A701" s="573"/>
      <c r="B701" s="569" t="s">
        <v>376</v>
      </c>
      <c r="C701" s="569"/>
      <c r="D701" s="580"/>
      <c r="E701" s="570">
        <v>-39111.599999999999</v>
      </c>
      <c r="F701" s="570">
        <f>'CABAC Non-Fid 2025'!G250</f>
        <v>0</v>
      </c>
      <c r="G701" s="570"/>
      <c r="H701" s="570"/>
      <c r="I701" s="570"/>
      <c r="J701" s="570"/>
      <c r="K701" s="570"/>
      <c r="L701" s="570"/>
      <c r="M701" s="570"/>
      <c r="N701" s="570"/>
      <c r="O701" s="570"/>
      <c r="P701" s="570"/>
      <c r="Q701" s="570"/>
      <c r="R701" s="570"/>
      <c r="S701" s="570"/>
      <c r="T701" s="570">
        <f t="shared" si="335"/>
        <v>-39111.599999999999</v>
      </c>
      <c r="U701" s="603"/>
      <c r="V701" s="599">
        <f>T701-U701</f>
        <v>-39111.599999999999</v>
      </c>
    </row>
    <row r="702" spans="1:26" s="533" customFormat="1" ht="12.6" customHeight="1" x14ac:dyDescent="0.25">
      <c r="A702" s="573"/>
      <c r="B702" s="581" t="s">
        <v>382</v>
      </c>
      <c r="C702" s="569"/>
      <c r="D702" s="580"/>
      <c r="E702" s="570">
        <v>-39111.599999999999</v>
      </c>
      <c r="F702" s="570"/>
      <c r="G702" s="570"/>
      <c r="H702" s="570"/>
      <c r="I702" s="570"/>
      <c r="J702" s="570"/>
      <c r="K702" s="570"/>
      <c r="L702" s="570"/>
      <c r="M702" s="570"/>
      <c r="N702" s="570"/>
      <c r="O702" s="570"/>
      <c r="P702" s="570"/>
      <c r="Q702" s="570"/>
      <c r="R702" s="570"/>
      <c r="S702" s="570"/>
      <c r="T702" s="570">
        <f t="shared" si="335"/>
        <v>-39111.599999999999</v>
      </c>
      <c r="U702" s="603"/>
      <c r="V702" s="599">
        <f t="shared" si="336"/>
        <v>-39111.599999999999</v>
      </c>
    </row>
    <row r="703" spans="1:26" s="533" customFormat="1" ht="12.6" customHeight="1" x14ac:dyDescent="0.25">
      <c r="A703" s="573"/>
      <c r="B703" s="569" t="s">
        <v>261</v>
      </c>
      <c r="C703" s="569"/>
      <c r="D703" s="580"/>
      <c r="E703" s="570">
        <v>-39111.599999999999</v>
      </c>
      <c r="F703" s="570">
        <f>'CABAC Non-Fid 2025'!G249</f>
        <v>0</v>
      </c>
      <c r="G703" s="570"/>
      <c r="H703" s="570"/>
      <c r="I703" s="570"/>
      <c r="J703" s="570"/>
      <c r="K703" s="570"/>
      <c r="L703" s="570"/>
      <c r="M703" s="570"/>
      <c r="N703" s="570"/>
      <c r="O703" s="570"/>
      <c r="P703" s="570"/>
      <c r="Q703" s="570"/>
      <c r="R703" s="570"/>
      <c r="S703" s="570"/>
      <c r="T703" s="570">
        <f t="shared" si="335"/>
        <v>-39111.599999999999</v>
      </c>
      <c r="U703" s="603"/>
      <c r="V703" s="599">
        <f>T703-U703</f>
        <v>-39111.599999999999</v>
      </c>
    </row>
    <row r="704" spans="1:26" s="533" customFormat="1" ht="12.6" customHeight="1" x14ac:dyDescent="0.25">
      <c r="A704" s="573"/>
      <c r="B704" s="569" t="s">
        <v>262</v>
      </c>
      <c r="C704" s="569"/>
      <c r="D704" s="580"/>
      <c r="E704" s="570">
        <v>-39111.599999999999</v>
      </c>
      <c r="F704" s="570">
        <f>'CABAC Non-Fid 2025'!G248</f>
        <v>0</v>
      </c>
      <c r="G704" s="570"/>
      <c r="H704" s="570"/>
      <c r="I704" s="570"/>
      <c r="J704" s="570"/>
      <c r="K704" s="570"/>
      <c r="L704" s="570"/>
      <c r="M704" s="570"/>
      <c r="N704" s="570"/>
      <c r="O704" s="570"/>
      <c r="P704" s="570"/>
      <c r="Q704" s="570"/>
      <c r="R704" s="570"/>
      <c r="S704" s="570"/>
      <c r="T704" s="570">
        <f t="shared" si="335"/>
        <v>-39111.599999999999</v>
      </c>
      <c r="U704" s="603"/>
      <c r="V704" s="599">
        <f>T704-U704</f>
        <v>-39111.599999999999</v>
      </c>
    </row>
    <row r="705" spans="1:26" s="533" customFormat="1" ht="12.6" customHeight="1" x14ac:dyDescent="0.25">
      <c r="A705" s="573"/>
      <c r="B705" s="569" t="s">
        <v>147</v>
      </c>
      <c r="C705" s="569"/>
      <c r="D705" s="580"/>
      <c r="E705" s="570"/>
      <c r="F705" s="570"/>
      <c r="G705" s="570"/>
      <c r="H705" s="570"/>
      <c r="I705" s="570"/>
      <c r="J705" s="570"/>
      <c r="K705" s="570"/>
      <c r="L705" s="570"/>
      <c r="M705" s="570"/>
      <c r="N705" s="570"/>
      <c r="O705" s="570"/>
      <c r="P705" s="570"/>
      <c r="Q705" s="570"/>
      <c r="R705" s="570"/>
      <c r="S705" s="570"/>
      <c r="T705" s="570">
        <f t="shared" si="335"/>
        <v>0</v>
      </c>
      <c r="U705" s="603"/>
      <c r="V705" s="599">
        <f t="shared" si="336"/>
        <v>0</v>
      </c>
    </row>
    <row r="706" spans="1:26" s="533" customFormat="1" ht="12.6" customHeight="1" x14ac:dyDescent="0.25">
      <c r="A706" s="573"/>
      <c r="B706" s="569" t="s">
        <v>145</v>
      </c>
      <c r="C706" s="569"/>
      <c r="D706" s="580"/>
      <c r="E706" s="570"/>
      <c r="F706" s="570">
        <f>'CABAC Fiduciary 2025'!F327</f>
        <v>0</v>
      </c>
      <c r="G706" s="570"/>
      <c r="H706" s="570"/>
      <c r="I706" s="570"/>
      <c r="J706" s="570"/>
      <c r="K706" s="570"/>
      <c r="L706" s="570"/>
      <c r="M706" s="570"/>
      <c r="N706" s="570"/>
      <c r="O706" s="570"/>
      <c r="P706" s="570"/>
      <c r="Q706" s="570"/>
      <c r="R706" s="570"/>
      <c r="S706" s="570"/>
      <c r="T706" s="570">
        <f t="shared" si="335"/>
        <v>0</v>
      </c>
      <c r="U706" s="603"/>
      <c r="V706" s="599">
        <f>T706-U706</f>
        <v>0</v>
      </c>
    </row>
    <row r="707" spans="1:26" s="533" customFormat="1" ht="12.6" customHeight="1" x14ac:dyDescent="0.25">
      <c r="A707" s="573"/>
      <c r="B707" s="569" t="s">
        <v>179</v>
      </c>
      <c r="C707" s="569"/>
      <c r="D707" s="580"/>
      <c r="E707" s="570"/>
      <c r="F707" s="570">
        <f>'CABAC Fiduciary 2025'!F326</f>
        <v>0</v>
      </c>
      <c r="G707" s="570"/>
      <c r="H707" s="570"/>
      <c r="I707" s="570"/>
      <c r="J707" s="570"/>
      <c r="K707" s="570"/>
      <c r="L707" s="570"/>
      <c r="M707" s="570"/>
      <c r="N707" s="570"/>
      <c r="O707" s="570"/>
      <c r="P707" s="570"/>
      <c r="Q707" s="570"/>
      <c r="R707" s="570"/>
      <c r="S707" s="570"/>
      <c r="T707" s="570">
        <f t="shared" si="335"/>
        <v>0</v>
      </c>
      <c r="U707" s="603"/>
      <c r="V707" s="599">
        <f>T707-U707</f>
        <v>0</v>
      </c>
    </row>
    <row r="708" spans="1:26" s="533" customFormat="1" ht="12.6" customHeight="1" x14ac:dyDescent="0.25">
      <c r="A708" s="573"/>
      <c r="B708" s="569" t="s">
        <v>174</v>
      </c>
      <c r="C708" s="569"/>
      <c r="D708" s="580"/>
      <c r="E708" s="570"/>
      <c r="F708" s="570"/>
      <c r="G708" s="570"/>
      <c r="H708" s="570"/>
      <c r="I708" s="570"/>
      <c r="J708" s="570"/>
      <c r="K708" s="570"/>
      <c r="L708" s="570"/>
      <c r="M708" s="570"/>
      <c r="N708" s="570"/>
      <c r="O708" s="570"/>
      <c r="P708" s="570"/>
      <c r="Q708" s="570"/>
      <c r="R708" s="570"/>
      <c r="S708" s="570"/>
      <c r="T708" s="570">
        <f t="shared" si="335"/>
        <v>0</v>
      </c>
      <c r="U708" s="603"/>
      <c r="V708" s="599">
        <f>T708-U708</f>
        <v>0</v>
      </c>
    </row>
    <row r="709" spans="1:26" s="533" customFormat="1" ht="12.6" customHeight="1" x14ac:dyDescent="0.25">
      <c r="A709" s="573"/>
      <c r="B709" s="569" t="s">
        <v>142</v>
      </c>
      <c r="C709" s="569"/>
      <c r="D709" s="580"/>
      <c r="E709" s="570"/>
      <c r="F709" s="570">
        <f>'CABAC Fiduciary 2025'!F329</f>
        <v>0</v>
      </c>
      <c r="G709" s="570"/>
      <c r="H709" s="570"/>
      <c r="I709" s="570"/>
      <c r="J709" s="570"/>
      <c r="K709" s="570"/>
      <c r="L709" s="570"/>
      <c r="M709" s="570"/>
      <c r="N709" s="570"/>
      <c r="O709" s="570"/>
      <c r="P709" s="570"/>
      <c r="Q709" s="570"/>
      <c r="R709" s="570"/>
      <c r="S709" s="570"/>
      <c r="T709" s="570">
        <f t="shared" si="335"/>
        <v>0</v>
      </c>
      <c r="U709" s="603"/>
      <c r="V709" s="599">
        <f>T709-U709</f>
        <v>0</v>
      </c>
    </row>
    <row r="710" spans="1:26" s="533" customFormat="1" ht="12.6" customHeight="1" x14ac:dyDescent="0.25">
      <c r="A710" s="573"/>
      <c r="B710" s="569" t="s">
        <v>172</v>
      </c>
      <c r="C710" s="569"/>
      <c r="D710" s="580"/>
      <c r="E710" s="570"/>
      <c r="F710" s="570"/>
      <c r="G710" s="570"/>
      <c r="H710" s="570"/>
      <c r="I710" s="570"/>
      <c r="J710" s="570"/>
      <c r="K710" s="570"/>
      <c r="L710" s="570"/>
      <c r="M710" s="570"/>
      <c r="N710" s="570"/>
      <c r="O710" s="570"/>
      <c r="P710" s="570"/>
      <c r="Q710" s="570"/>
      <c r="R710" s="570"/>
      <c r="S710" s="570"/>
      <c r="T710" s="570">
        <f t="shared" si="335"/>
        <v>0</v>
      </c>
      <c r="U710" s="603"/>
      <c r="V710" s="599">
        <f>T710-U710</f>
        <v>0</v>
      </c>
    </row>
    <row r="711" spans="1:26" s="533" customFormat="1" ht="12.6" customHeight="1" x14ac:dyDescent="0.25">
      <c r="A711" s="573"/>
      <c r="B711" s="569" t="s">
        <v>173</v>
      </c>
      <c r="C711" s="569"/>
      <c r="D711" s="580"/>
      <c r="E711" s="570"/>
      <c r="F711" s="570">
        <f>'CABAC Fiduciary 2025'!F330</f>
        <v>0</v>
      </c>
      <c r="G711" s="570"/>
      <c r="H711" s="570"/>
      <c r="I711" s="570"/>
      <c r="J711" s="570"/>
      <c r="K711" s="570"/>
      <c r="L711" s="570"/>
      <c r="M711" s="570"/>
      <c r="N711" s="570"/>
      <c r="O711" s="570"/>
      <c r="P711" s="570"/>
      <c r="Q711" s="570"/>
      <c r="R711" s="570"/>
      <c r="S711" s="570"/>
      <c r="T711" s="570">
        <f t="shared" si="335"/>
        <v>0</v>
      </c>
      <c r="U711" s="603"/>
      <c r="V711" s="599">
        <f t="shared" si="336"/>
        <v>0</v>
      </c>
    </row>
    <row r="712" spans="1:26" s="533" customFormat="1" ht="12.6" customHeight="1" x14ac:dyDescent="0.25">
      <c r="A712" s="573"/>
      <c r="B712" s="569" t="s">
        <v>344</v>
      </c>
      <c r="C712" s="569"/>
      <c r="D712" s="580"/>
      <c r="E712" s="570"/>
      <c r="F712" s="570"/>
      <c r="G712" s="570"/>
      <c r="H712" s="570"/>
      <c r="I712" s="570"/>
      <c r="J712" s="570"/>
      <c r="K712" s="570"/>
      <c r="L712" s="570"/>
      <c r="M712" s="570"/>
      <c r="N712" s="570"/>
      <c r="O712" s="570"/>
      <c r="P712" s="570"/>
      <c r="Q712" s="570"/>
      <c r="R712" s="570"/>
      <c r="S712" s="570"/>
      <c r="T712" s="570">
        <f t="shared" si="335"/>
        <v>0</v>
      </c>
      <c r="U712" s="603"/>
      <c r="V712" s="599">
        <f t="shared" si="336"/>
        <v>0</v>
      </c>
    </row>
    <row r="713" spans="1:26" s="533" customFormat="1" ht="12.6" customHeight="1" x14ac:dyDescent="0.25">
      <c r="A713" s="573"/>
      <c r="B713" s="569" t="s">
        <v>154</v>
      </c>
      <c r="C713" s="569"/>
      <c r="D713" s="580"/>
      <c r="E713" s="601"/>
      <c r="F713" s="570"/>
      <c r="G713" s="570"/>
      <c r="H713" s="570"/>
      <c r="I713" s="570"/>
      <c r="J713" s="601"/>
      <c r="K713" s="570"/>
      <c r="L713" s="601"/>
      <c r="M713" s="601"/>
      <c r="N713" s="601"/>
      <c r="O713" s="601"/>
      <c r="P713" s="601"/>
      <c r="Q713" s="601"/>
      <c r="R713" s="601"/>
      <c r="S713" s="601"/>
      <c r="T713" s="570">
        <f t="shared" si="335"/>
        <v>0</v>
      </c>
      <c r="U713" s="603"/>
      <c r="V713" s="599">
        <f>T713-U713</f>
        <v>0</v>
      </c>
    </row>
    <row r="714" spans="1:26" s="533" customFormat="1" ht="12.6" customHeight="1" x14ac:dyDescent="0.25">
      <c r="A714" s="573"/>
      <c r="B714" s="569" t="s">
        <v>359</v>
      </c>
      <c r="C714" s="569"/>
      <c r="D714" s="580"/>
      <c r="E714" s="570"/>
      <c r="F714" s="570"/>
      <c r="G714" s="570"/>
      <c r="H714" s="570"/>
      <c r="I714" s="570"/>
      <c r="J714" s="570"/>
      <c r="K714" s="570"/>
      <c r="L714" s="570"/>
      <c r="M714" s="570"/>
      <c r="N714" s="570"/>
      <c r="O714" s="570"/>
      <c r="P714" s="570"/>
      <c r="Q714" s="570"/>
      <c r="R714" s="570"/>
      <c r="S714" s="570"/>
      <c r="T714" s="570">
        <f t="shared" si="335"/>
        <v>0</v>
      </c>
      <c r="U714" s="603"/>
      <c r="V714" s="599">
        <f>T714-U714</f>
        <v>0</v>
      </c>
    </row>
    <row r="715" spans="1:26" s="533" customFormat="1" ht="12.6" customHeight="1" x14ac:dyDescent="0.25">
      <c r="A715" s="573"/>
      <c r="B715" s="569" t="s">
        <v>360</v>
      </c>
      <c r="C715" s="569"/>
      <c r="D715" s="580"/>
      <c r="E715" s="602"/>
      <c r="F715" s="570"/>
      <c r="G715" s="570"/>
      <c r="H715" s="570"/>
      <c r="I715" s="570"/>
      <c r="J715" s="570"/>
      <c r="K715" s="570"/>
      <c r="L715" s="570"/>
      <c r="M715" s="570"/>
      <c r="N715" s="570"/>
      <c r="O715" s="570"/>
      <c r="P715" s="570"/>
      <c r="Q715" s="570"/>
      <c r="R715" s="570"/>
      <c r="S715" s="570"/>
      <c r="T715" s="570">
        <f t="shared" si="335"/>
        <v>0</v>
      </c>
      <c r="U715" s="603"/>
      <c r="V715" s="599">
        <f>T715-U715</f>
        <v>0</v>
      </c>
    </row>
    <row r="716" spans="1:26" s="533" customFormat="1" ht="15" customHeight="1" thickBot="1" x14ac:dyDescent="0.3">
      <c r="A716" s="573"/>
      <c r="B716" s="569" t="s">
        <v>144</v>
      </c>
      <c r="C716" s="569"/>
      <c r="D716" s="580"/>
      <c r="E716" s="602"/>
      <c r="F716" s="570">
        <f>'CABAC Fiduciary 2025'!F328</f>
        <v>0</v>
      </c>
      <c r="G716" s="570"/>
      <c r="H716" s="570"/>
      <c r="I716" s="570"/>
      <c r="J716" s="570"/>
      <c r="K716" s="570"/>
      <c r="L716" s="570"/>
      <c r="M716" s="570"/>
      <c r="N716" s="570"/>
      <c r="O716" s="570"/>
      <c r="P716" s="570"/>
      <c r="Q716" s="570"/>
      <c r="R716" s="570"/>
      <c r="S716" s="570"/>
      <c r="T716" s="570">
        <f t="shared" si="335"/>
        <v>0</v>
      </c>
      <c r="U716" s="603"/>
      <c r="V716" s="599">
        <f t="shared" si="336"/>
        <v>0</v>
      </c>
    </row>
    <row r="717" spans="1:26" s="533" customFormat="1" ht="12.6" customHeight="1" thickBot="1" x14ac:dyDescent="0.3">
      <c r="A717" s="573"/>
      <c r="B717" s="581" t="s">
        <v>346</v>
      </c>
      <c r="C717" s="569"/>
      <c r="D717" s="580"/>
      <c r="E717" s="582">
        <f t="shared" ref="E717:V717" si="337">SUM(E698:E716)</f>
        <v>-195558</v>
      </c>
      <c r="F717" s="582">
        <f t="shared" si="337"/>
        <v>0</v>
      </c>
      <c r="G717" s="582">
        <f t="shared" si="337"/>
        <v>0</v>
      </c>
      <c r="H717" s="582">
        <f t="shared" si="337"/>
        <v>0</v>
      </c>
      <c r="I717" s="582">
        <f t="shared" si="337"/>
        <v>0</v>
      </c>
      <c r="J717" s="582">
        <f t="shared" si="337"/>
        <v>0</v>
      </c>
      <c r="K717" s="582">
        <f t="shared" si="337"/>
        <v>0</v>
      </c>
      <c r="L717" s="582">
        <f t="shared" si="337"/>
        <v>0</v>
      </c>
      <c r="M717" s="582">
        <f t="shared" si="337"/>
        <v>0</v>
      </c>
      <c r="N717" s="582">
        <f t="shared" si="337"/>
        <v>0</v>
      </c>
      <c r="O717" s="582">
        <f t="shared" si="337"/>
        <v>0</v>
      </c>
      <c r="P717" s="582">
        <f t="shared" si="337"/>
        <v>0</v>
      </c>
      <c r="Q717" s="582">
        <f t="shared" si="337"/>
        <v>0</v>
      </c>
      <c r="R717" s="582">
        <f t="shared" si="337"/>
        <v>0</v>
      </c>
      <c r="S717" s="582">
        <f t="shared" si="337"/>
        <v>0</v>
      </c>
      <c r="T717" s="582">
        <f t="shared" si="337"/>
        <v>-195558</v>
      </c>
      <c r="U717" s="582">
        <f t="shared" si="337"/>
        <v>0</v>
      </c>
      <c r="V717" s="582">
        <f t="shared" si="337"/>
        <v>-195558</v>
      </c>
    </row>
    <row r="718" spans="1:26" ht="12.6" customHeight="1" x14ac:dyDescent="0.25">
      <c r="A718" s="577"/>
      <c r="B718" s="581"/>
      <c r="C718" s="569"/>
      <c r="D718" s="583" t="s">
        <v>347</v>
      </c>
      <c r="E718" s="830">
        <f t="shared" ref="E718:V718" si="338">SUM(E705:E716)</f>
        <v>0</v>
      </c>
      <c r="F718" s="830">
        <f t="shared" si="338"/>
        <v>0</v>
      </c>
      <c r="G718" s="700">
        <f t="shared" si="338"/>
        <v>0</v>
      </c>
      <c r="H718" s="700">
        <f t="shared" si="338"/>
        <v>0</v>
      </c>
      <c r="I718" s="700">
        <f t="shared" si="338"/>
        <v>0</v>
      </c>
      <c r="J718" s="700">
        <f t="shared" si="338"/>
        <v>0</v>
      </c>
      <c r="K718" s="700">
        <f t="shared" si="338"/>
        <v>0</v>
      </c>
      <c r="L718" s="700">
        <f t="shared" si="338"/>
        <v>0</v>
      </c>
      <c r="M718" s="700">
        <f t="shared" si="338"/>
        <v>0</v>
      </c>
      <c r="N718" s="700">
        <f t="shared" si="338"/>
        <v>0</v>
      </c>
      <c r="O718" s="700">
        <f t="shared" si="338"/>
        <v>0</v>
      </c>
      <c r="P718" s="700">
        <f t="shared" si="338"/>
        <v>0</v>
      </c>
      <c r="Q718" s="700">
        <f t="shared" si="338"/>
        <v>0</v>
      </c>
      <c r="R718" s="700">
        <f t="shared" si="338"/>
        <v>0</v>
      </c>
      <c r="S718" s="700">
        <f t="shared" si="338"/>
        <v>0</v>
      </c>
      <c r="T718" s="700">
        <f t="shared" si="338"/>
        <v>0</v>
      </c>
      <c r="U718" s="700">
        <f t="shared" si="338"/>
        <v>0</v>
      </c>
      <c r="V718" s="700">
        <f t="shared" si="338"/>
        <v>0</v>
      </c>
      <c r="W718" s="532"/>
      <c r="X718" s="532"/>
      <c r="Y718" s="532"/>
      <c r="Z718" s="532"/>
    </row>
    <row r="719" spans="1:26" ht="12.6" customHeight="1" x14ac:dyDescent="0.25">
      <c r="A719" s="577"/>
      <c r="B719" s="581"/>
      <c r="C719" s="569"/>
      <c r="D719" s="583" t="s">
        <v>348</v>
      </c>
      <c r="E719" s="730">
        <f t="shared" ref="E719:V719" si="339">SUM(E698:E704)</f>
        <v>-195558</v>
      </c>
      <c r="F719" s="730">
        <f t="shared" si="339"/>
        <v>0</v>
      </c>
      <c r="G719" s="584">
        <f t="shared" si="339"/>
        <v>0</v>
      </c>
      <c r="H719" s="584">
        <f t="shared" si="339"/>
        <v>0</v>
      </c>
      <c r="I719" s="584">
        <f t="shared" si="339"/>
        <v>0</v>
      </c>
      <c r="J719" s="584">
        <f t="shared" si="339"/>
        <v>0</v>
      </c>
      <c r="K719" s="584">
        <f t="shared" si="339"/>
        <v>0</v>
      </c>
      <c r="L719" s="584">
        <f t="shared" si="339"/>
        <v>0</v>
      </c>
      <c r="M719" s="584">
        <f t="shared" si="339"/>
        <v>0</v>
      </c>
      <c r="N719" s="584">
        <f t="shared" si="339"/>
        <v>0</v>
      </c>
      <c r="O719" s="584">
        <f t="shared" si="339"/>
        <v>0</v>
      </c>
      <c r="P719" s="584">
        <f t="shared" si="339"/>
        <v>0</v>
      </c>
      <c r="Q719" s="584">
        <f t="shared" si="339"/>
        <v>0</v>
      </c>
      <c r="R719" s="584">
        <f t="shared" si="339"/>
        <v>0</v>
      </c>
      <c r="S719" s="584">
        <f t="shared" si="339"/>
        <v>0</v>
      </c>
      <c r="T719" s="584">
        <f t="shared" si="339"/>
        <v>-195558</v>
      </c>
      <c r="U719" s="584">
        <f t="shared" si="339"/>
        <v>0</v>
      </c>
      <c r="V719" s="584">
        <f t="shared" si="339"/>
        <v>-195558</v>
      </c>
      <c r="W719" s="532"/>
      <c r="X719" s="532"/>
      <c r="Y719" s="532"/>
      <c r="Z719" s="532"/>
    </row>
    <row r="720" spans="1:26" ht="12.6" customHeight="1" x14ac:dyDescent="0.25">
      <c r="A720" s="577"/>
      <c r="B720" s="581"/>
      <c r="C720" s="569"/>
      <c r="D720" s="580"/>
      <c r="E720" s="730">
        <f>SUM(E718:E719)</f>
        <v>-195558</v>
      </c>
      <c r="F720" s="730">
        <f t="shared" ref="F720:V720" si="340">SUM(F718:F719)</f>
        <v>0</v>
      </c>
      <c r="G720" s="584">
        <f t="shared" si="340"/>
        <v>0</v>
      </c>
      <c r="H720" s="584">
        <f>SUM(H718:H719)</f>
        <v>0</v>
      </c>
      <c r="I720" s="584">
        <f t="shared" si="340"/>
        <v>0</v>
      </c>
      <c r="J720" s="584">
        <f>SUM(J718:J719)</f>
        <v>0</v>
      </c>
      <c r="K720" s="584">
        <f t="shared" si="340"/>
        <v>0</v>
      </c>
      <c r="L720" s="584">
        <f t="shared" si="340"/>
        <v>0</v>
      </c>
      <c r="M720" s="584">
        <f t="shared" si="340"/>
        <v>0</v>
      </c>
      <c r="N720" s="584">
        <f t="shared" si="340"/>
        <v>0</v>
      </c>
      <c r="O720" s="584">
        <f t="shared" si="340"/>
        <v>0</v>
      </c>
      <c r="P720" s="584">
        <f t="shared" si="340"/>
        <v>0</v>
      </c>
      <c r="Q720" s="584">
        <f t="shared" si="340"/>
        <v>0</v>
      </c>
      <c r="R720" s="584">
        <f t="shared" si="340"/>
        <v>0</v>
      </c>
      <c r="S720" s="584">
        <f t="shared" si="340"/>
        <v>0</v>
      </c>
      <c r="T720" s="584">
        <f t="shared" si="340"/>
        <v>-195558</v>
      </c>
      <c r="U720" s="584">
        <f t="shared" si="340"/>
        <v>0</v>
      </c>
      <c r="V720" s="584">
        <f t="shared" si="340"/>
        <v>-195558</v>
      </c>
      <c r="W720" s="532"/>
      <c r="X720" s="532"/>
      <c r="Y720" s="532"/>
      <c r="Z720" s="532"/>
    </row>
    <row r="721" spans="1:22" s="533" customFormat="1" ht="12.6" customHeight="1" x14ac:dyDescent="0.25">
      <c r="A721" s="577"/>
      <c r="B721" s="569"/>
      <c r="C721" s="569"/>
      <c r="D721" s="580"/>
      <c r="E721" s="1232">
        <f>E720-E717</f>
        <v>0</v>
      </c>
      <c r="F721" s="1232">
        <f t="shared" ref="F721:V721" si="341">F720-F717</f>
        <v>0</v>
      </c>
      <c r="G721" s="1232">
        <f t="shared" si="341"/>
        <v>0</v>
      </c>
      <c r="H721" s="1232">
        <f>H720-H717</f>
        <v>0</v>
      </c>
      <c r="I721" s="1232">
        <f t="shared" si="341"/>
        <v>0</v>
      </c>
      <c r="J721" s="1232">
        <f>J720-J717</f>
        <v>0</v>
      </c>
      <c r="K721" s="1232">
        <f t="shared" si="341"/>
        <v>0</v>
      </c>
      <c r="L721" s="1232">
        <f t="shared" si="341"/>
        <v>0</v>
      </c>
      <c r="M721" s="1232">
        <f t="shared" si="341"/>
        <v>0</v>
      </c>
      <c r="N721" s="1232">
        <f t="shared" si="341"/>
        <v>0</v>
      </c>
      <c r="O721" s="1232">
        <f t="shared" si="341"/>
        <v>0</v>
      </c>
      <c r="P721" s="1232">
        <f t="shared" si="341"/>
        <v>0</v>
      </c>
      <c r="Q721" s="1232">
        <f t="shared" si="341"/>
        <v>0</v>
      </c>
      <c r="R721" s="1232">
        <f t="shared" si="341"/>
        <v>0</v>
      </c>
      <c r="S721" s="1232">
        <f t="shared" si="341"/>
        <v>0</v>
      </c>
      <c r="T721" s="1232">
        <f t="shared" si="341"/>
        <v>0</v>
      </c>
      <c r="U721" s="1232">
        <f t="shared" si="341"/>
        <v>0</v>
      </c>
      <c r="V721" s="1232">
        <f t="shared" si="341"/>
        <v>0</v>
      </c>
    </row>
    <row r="722" spans="1:22" s="533" customFormat="1" ht="12.6" customHeight="1" x14ac:dyDescent="0.25">
      <c r="A722" s="638"/>
      <c r="B722" s="608"/>
      <c r="C722" s="608"/>
      <c r="D722" s="608"/>
      <c r="E722" s="609"/>
      <c r="F722" s="609"/>
      <c r="G722" s="609"/>
      <c r="H722" s="609"/>
      <c r="I722" s="609"/>
      <c r="J722" s="609"/>
      <c r="K722" s="609"/>
      <c r="L722" s="609"/>
      <c r="M722" s="609"/>
      <c r="N722" s="609"/>
      <c r="O722" s="609"/>
      <c r="P722" s="609"/>
      <c r="Q722" s="609"/>
      <c r="R722" s="609"/>
      <c r="S722" s="609"/>
      <c r="T722" s="632"/>
      <c r="U722" s="609"/>
      <c r="V722" s="610"/>
    </row>
    <row r="723" spans="1:22" s="533" customFormat="1" ht="12.6" customHeight="1" x14ac:dyDescent="0.25">
      <c r="A723" s="611" t="s">
        <v>244</v>
      </c>
      <c r="B723" s="612" t="s">
        <v>463</v>
      </c>
      <c r="C723" s="612"/>
      <c r="D723" s="617"/>
      <c r="E723" s="618">
        <v>600000</v>
      </c>
      <c r="F723" s="618">
        <f>'CABAC Non-Fid 2025'!G258</f>
        <v>0</v>
      </c>
      <c r="G723" s="613"/>
      <c r="H723" s="613"/>
      <c r="I723" s="613"/>
      <c r="J723" s="570"/>
      <c r="K723" s="613"/>
      <c r="L723" s="613"/>
      <c r="M723" s="613"/>
      <c r="N723" s="613"/>
      <c r="O723" s="570"/>
      <c r="P723" s="613"/>
      <c r="Q723" s="613"/>
      <c r="R723" s="613"/>
      <c r="S723" s="613"/>
      <c r="T723" s="613">
        <f t="shared" ref="T723:T742" si="342">SUM(E723:S723)</f>
        <v>600000</v>
      </c>
      <c r="U723" s="619"/>
      <c r="V723" s="614">
        <f t="shared" ref="V723:V742" si="343">T723-U723</f>
        <v>600000</v>
      </c>
    </row>
    <row r="724" spans="1:22" s="533" customFormat="1" ht="12.6" customHeight="1" x14ac:dyDescent="0.25">
      <c r="A724" s="604" t="s">
        <v>69</v>
      </c>
      <c r="B724" s="569" t="s">
        <v>266</v>
      </c>
      <c r="C724" s="569"/>
      <c r="D724" s="580"/>
      <c r="E724" s="602">
        <v>300000</v>
      </c>
      <c r="F724" s="602">
        <f>'CABAC Non-Fid 2025'!G259</f>
        <v>0</v>
      </c>
      <c r="G724" s="570"/>
      <c r="H724" s="570"/>
      <c r="I724" s="570"/>
      <c r="J724" s="570"/>
      <c r="K724" s="570"/>
      <c r="L724" s="570"/>
      <c r="M724" s="570"/>
      <c r="N724" s="570"/>
      <c r="O724" s="570"/>
      <c r="P724" s="570"/>
      <c r="Q724" s="570"/>
      <c r="R724" s="570"/>
      <c r="S724" s="570"/>
      <c r="T724" s="570">
        <f t="shared" si="342"/>
        <v>300000</v>
      </c>
      <c r="U724" s="603"/>
      <c r="V724" s="599">
        <f t="shared" si="343"/>
        <v>300000</v>
      </c>
    </row>
    <row r="725" spans="1:22" s="533" customFormat="1" ht="12.6" customHeight="1" x14ac:dyDescent="0.25">
      <c r="A725" s="604"/>
      <c r="B725" s="569" t="s">
        <v>263</v>
      </c>
      <c r="C725" s="569"/>
      <c r="D725" s="580"/>
      <c r="E725" s="602">
        <v>700000</v>
      </c>
      <c r="F725" s="602"/>
      <c r="G725" s="570"/>
      <c r="H725" s="570"/>
      <c r="I725" s="570"/>
      <c r="J725" s="570"/>
      <c r="K725" s="570"/>
      <c r="L725" s="570"/>
      <c r="M725" s="570"/>
      <c r="N725" s="570"/>
      <c r="O725" s="570"/>
      <c r="P725" s="570"/>
      <c r="Q725" s="570"/>
      <c r="R725" s="570"/>
      <c r="S725" s="570"/>
      <c r="T725" s="570">
        <f t="shared" si="342"/>
        <v>700000</v>
      </c>
      <c r="U725" s="603"/>
      <c r="V725" s="599">
        <f t="shared" si="343"/>
        <v>700000</v>
      </c>
    </row>
    <row r="726" spans="1:22" s="533" customFormat="1" ht="12.6" customHeight="1" x14ac:dyDescent="0.25">
      <c r="A726" s="573"/>
      <c r="B726" s="569" t="s">
        <v>376</v>
      </c>
      <c r="C726" s="569"/>
      <c r="D726" s="580"/>
      <c r="E726" s="602">
        <v>600000</v>
      </c>
      <c r="F726" s="602">
        <f>'CABAC Non-Fid 2025'!G254</f>
        <v>0</v>
      </c>
      <c r="G726" s="570"/>
      <c r="H726" s="570"/>
      <c r="I726" s="570"/>
      <c r="J726" s="570"/>
      <c r="K726" s="570"/>
      <c r="L726" s="570"/>
      <c r="M726" s="570"/>
      <c r="N726" s="570"/>
      <c r="O726" s="570"/>
      <c r="P726" s="570"/>
      <c r="Q726" s="570"/>
      <c r="R726" s="570"/>
      <c r="S726" s="570"/>
      <c r="T726" s="570">
        <f t="shared" si="342"/>
        <v>600000</v>
      </c>
      <c r="U726" s="603"/>
      <c r="V726" s="599">
        <f>T726-U726</f>
        <v>600000</v>
      </c>
    </row>
    <row r="727" spans="1:22" s="533" customFormat="1" ht="12.6" customHeight="1" x14ac:dyDescent="0.25">
      <c r="A727" s="573"/>
      <c r="B727" s="581" t="s">
        <v>382</v>
      </c>
      <c r="C727" s="569"/>
      <c r="D727" s="580"/>
      <c r="E727" s="602">
        <v>200000</v>
      </c>
      <c r="F727" s="602">
        <f>'CABAC Non-Fid 2025'!G255</f>
        <v>0</v>
      </c>
      <c r="G727" s="570"/>
      <c r="H727" s="570"/>
      <c r="I727" s="570"/>
      <c r="J727" s="570"/>
      <c r="K727" s="602"/>
      <c r="L727" s="602"/>
      <c r="M727" s="602"/>
      <c r="N727" s="602"/>
      <c r="O727" s="602"/>
      <c r="P727" s="602"/>
      <c r="Q727" s="602"/>
      <c r="R727" s="602"/>
      <c r="S727" s="602"/>
      <c r="T727" s="570">
        <f t="shared" si="342"/>
        <v>200000</v>
      </c>
      <c r="U727" s="603"/>
      <c r="V727" s="599">
        <f t="shared" si="343"/>
        <v>200000</v>
      </c>
    </row>
    <row r="728" spans="1:22" s="533" customFormat="1" ht="12.6" customHeight="1" x14ac:dyDescent="0.25">
      <c r="A728" s="573"/>
      <c r="B728" s="569" t="s">
        <v>261</v>
      </c>
      <c r="C728" s="569"/>
      <c r="D728" s="580"/>
      <c r="E728" s="602">
        <v>300000</v>
      </c>
      <c r="F728" s="602">
        <f>'CABAC Non-Fid 2025'!G249</f>
        <v>0</v>
      </c>
      <c r="G728" s="570"/>
      <c r="H728" s="570"/>
      <c r="I728" s="570"/>
      <c r="J728" s="570"/>
      <c r="K728" s="570"/>
      <c r="L728" s="570"/>
      <c r="M728" s="570"/>
      <c r="N728" s="570"/>
      <c r="O728" s="570"/>
      <c r="P728" s="570"/>
      <c r="Q728" s="570"/>
      <c r="R728" s="570"/>
      <c r="S728" s="570"/>
      <c r="T728" s="570">
        <f t="shared" si="342"/>
        <v>300000</v>
      </c>
      <c r="U728" s="603"/>
      <c r="V728" s="599">
        <f>T728-U728</f>
        <v>300000</v>
      </c>
    </row>
    <row r="729" spans="1:22" s="533" customFormat="1" ht="12.6" customHeight="1" x14ac:dyDescent="0.25">
      <c r="A729" s="573"/>
      <c r="B729" s="569" t="s">
        <v>262</v>
      </c>
      <c r="C729" s="569"/>
      <c r="D729" s="580"/>
      <c r="E729" s="602">
        <v>300000</v>
      </c>
      <c r="F729" s="602">
        <f>'CABAC Non-Fid 2025'!G257</f>
        <v>0</v>
      </c>
      <c r="G729" s="570"/>
      <c r="H729" s="570"/>
      <c r="I729" s="570"/>
      <c r="J729" s="570"/>
      <c r="K729" s="570"/>
      <c r="L729" s="570"/>
      <c r="M729" s="570"/>
      <c r="N729" s="570"/>
      <c r="O729" s="570"/>
      <c r="P729" s="570"/>
      <c r="Q729" s="570"/>
      <c r="R729" s="570"/>
      <c r="S729" s="570"/>
      <c r="T729" s="570">
        <f t="shared" si="342"/>
        <v>300000</v>
      </c>
      <c r="U729" s="603"/>
      <c r="V729" s="599">
        <f>T729-U729</f>
        <v>300000</v>
      </c>
    </row>
    <row r="730" spans="1:22" s="533" customFormat="1" ht="12.6" customHeight="1" x14ac:dyDescent="0.25">
      <c r="A730" s="573"/>
      <c r="B730" s="569" t="s">
        <v>147</v>
      </c>
      <c r="C730" s="569"/>
      <c r="D730" s="580"/>
      <c r="E730" s="602">
        <v>200000</v>
      </c>
      <c r="F730" s="602"/>
      <c r="G730" s="570"/>
      <c r="H730" s="570"/>
      <c r="I730" s="570"/>
      <c r="J730" s="570"/>
      <c r="K730" s="602"/>
      <c r="L730" s="602"/>
      <c r="M730" s="602"/>
      <c r="N730" s="602"/>
      <c r="O730" s="602"/>
      <c r="P730" s="602"/>
      <c r="Q730" s="602"/>
      <c r="R730" s="602"/>
      <c r="S730" s="602"/>
      <c r="T730" s="570">
        <f t="shared" si="342"/>
        <v>200000</v>
      </c>
      <c r="U730" s="603"/>
      <c r="V730" s="599">
        <f t="shared" si="343"/>
        <v>200000</v>
      </c>
    </row>
    <row r="731" spans="1:22" s="533" customFormat="1" ht="12.6" customHeight="1" x14ac:dyDescent="0.25">
      <c r="A731" s="573"/>
      <c r="B731" s="569" t="s">
        <v>145</v>
      </c>
      <c r="C731" s="569"/>
      <c r="D731" s="580"/>
      <c r="E731" s="602">
        <v>70000</v>
      </c>
      <c r="F731" s="602">
        <f>'CABAC Fiduciary 2025'!F337</f>
        <v>567775</v>
      </c>
      <c r="G731" s="570"/>
      <c r="H731" s="570"/>
      <c r="I731" s="570"/>
      <c r="J731" s="570"/>
      <c r="K731" s="570"/>
      <c r="L731" s="570"/>
      <c r="M731" s="570"/>
      <c r="N731" s="570"/>
      <c r="O731" s="570"/>
      <c r="P731" s="570"/>
      <c r="Q731" s="570"/>
      <c r="R731" s="570"/>
      <c r="S731" s="570"/>
      <c r="T731" s="570">
        <f t="shared" si="342"/>
        <v>637775</v>
      </c>
      <c r="U731" s="603"/>
      <c r="V731" s="599">
        <f>T731-U731</f>
        <v>637775</v>
      </c>
    </row>
    <row r="732" spans="1:22" s="533" customFormat="1" ht="12.6" customHeight="1" x14ac:dyDescent="0.25">
      <c r="A732" s="573"/>
      <c r="B732" s="569" t="s">
        <v>179</v>
      </c>
      <c r="C732" s="569"/>
      <c r="D732" s="580"/>
      <c r="E732" s="602">
        <v>60000</v>
      </c>
      <c r="F732" s="602">
        <f>'CABAC Fiduciary 2025'!F336</f>
        <v>0</v>
      </c>
      <c r="G732" s="570"/>
      <c r="H732" s="570"/>
      <c r="I732" s="570"/>
      <c r="J732" s="570"/>
      <c r="K732" s="602"/>
      <c r="L732" s="602"/>
      <c r="M732" s="602"/>
      <c r="N732" s="602"/>
      <c r="O732" s="602"/>
      <c r="P732" s="602"/>
      <c r="Q732" s="602"/>
      <c r="R732" s="602"/>
      <c r="S732" s="602"/>
      <c r="T732" s="570">
        <f t="shared" si="342"/>
        <v>60000</v>
      </c>
      <c r="U732" s="603"/>
      <c r="V732" s="599">
        <f>T732-U732</f>
        <v>60000</v>
      </c>
    </row>
    <row r="733" spans="1:22" s="533" customFormat="1" ht="12.6" customHeight="1" x14ac:dyDescent="0.25">
      <c r="A733" s="573"/>
      <c r="B733" s="569" t="s">
        <v>458</v>
      </c>
      <c r="C733" s="569"/>
      <c r="D733" s="580"/>
      <c r="E733" s="602">
        <v>200000</v>
      </c>
      <c r="F733" s="602">
        <f>'CABAC Fiduciary 2025'!F345</f>
        <v>0</v>
      </c>
      <c r="G733" s="570"/>
      <c r="H733" s="570"/>
      <c r="I733" s="570"/>
      <c r="J733" s="570"/>
      <c r="K733" s="570"/>
      <c r="L733" s="570"/>
      <c r="M733" s="570"/>
      <c r="N733" s="570"/>
      <c r="O733" s="570"/>
      <c r="P733" s="570"/>
      <c r="Q733" s="570"/>
      <c r="R733" s="570"/>
      <c r="S733" s="570"/>
      <c r="T733" s="570">
        <f t="shared" si="342"/>
        <v>200000</v>
      </c>
      <c r="U733" s="603"/>
      <c r="V733" s="599">
        <f t="shared" si="343"/>
        <v>200000</v>
      </c>
    </row>
    <row r="734" spans="1:22" s="533" customFormat="1" ht="12.6" customHeight="1" x14ac:dyDescent="0.25">
      <c r="A734" s="573"/>
      <c r="B734" s="569" t="s">
        <v>342</v>
      </c>
      <c r="C734" s="569"/>
      <c r="D734" s="580"/>
      <c r="E734" s="605">
        <v>60000</v>
      </c>
      <c r="F734" s="605">
        <f>'CABAC Fiduciary 2025'!F341</f>
        <v>0</v>
      </c>
      <c r="G734" s="570"/>
      <c r="H734" s="601"/>
      <c r="I734" s="570"/>
      <c r="J734" s="570"/>
      <c r="K734" s="601"/>
      <c r="L734" s="601"/>
      <c r="M734" s="601"/>
      <c r="N734" s="601"/>
      <c r="O734" s="601"/>
      <c r="P734" s="601"/>
      <c r="Q734" s="601"/>
      <c r="R734" s="601"/>
      <c r="S734" s="601"/>
      <c r="T734" s="570">
        <f t="shared" si="342"/>
        <v>60000</v>
      </c>
      <c r="U734" s="603"/>
      <c r="V734" s="599">
        <f>T734-U734</f>
        <v>60000</v>
      </c>
    </row>
    <row r="735" spans="1:22" s="533" customFormat="1" ht="12.6" customHeight="1" x14ac:dyDescent="0.25">
      <c r="A735" s="573"/>
      <c r="B735" s="569" t="s">
        <v>142</v>
      </c>
      <c r="C735" s="569"/>
      <c r="D735" s="580"/>
      <c r="E735" s="602">
        <v>1066379.6299999999</v>
      </c>
      <c r="F735" s="602">
        <f>'CABAC Fiduciary 2025'!F343</f>
        <v>0</v>
      </c>
      <c r="G735" s="570"/>
      <c r="H735" s="570"/>
      <c r="I735" s="570"/>
      <c r="J735" s="570"/>
      <c r="K735" s="570"/>
      <c r="L735" s="570"/>
      <c r="M735" s="570"/>
      <c r="N735" s="570"/>
      <c r="O735" s="570"/>
      <c r="P735" s="570"/>
      <c r="Q735" s="570"/>
      <c r="R735" s="570"/>
      <c r="S735" s="570"/>
      <c r="T735" s="570">
        <f t="shared" si="342"/>
        <v>1066379.6299999999</v>
      </c>
      <c r="U735" s="603"/>
      <c r="V735" s="599">
        <f>T735-U735</f>
        <v>1066379.6299999999</v>
      </c>
    </row>
    <row r="736" spans="1:22" s="533" customFormat="1" ht="12.6" customHeight="1" x14ac:dyDescent="0.25">
      <c r="A736" s="573"/>
      <c r="B736" s="569" t="s">
        <v>172</v>
      </c>
      <c r="C736" s="569"/>
      <c r="D736" s="580"/>
      <c r="E736" s="602">
        <v>200000</v>
      </c>
      <c r="F736" s="602">
        <f>'CABAC Fiduciary 2025'!F344</f>
        <v>0</v>
      </c>
      <c r="G736" s="570"/>
      <c r="H736" s="570"/>
      <c r="I736" s="570"/>
      <c r="J736" s="570"/>
      <c r="K736" s="570"/>
      <c r="L736" s="570"/>
      <c r="M736" s="570"/>
      <c r="N736" s="570"/>
      <c r="O736" s="570"/>
      <c r="P736" s="570"/>
      <c r="Q736" s="570"/>
      <c r="R736" s="570"/>
      <c r="S736" s="570"/>
      <c r="T736" s="570">
        <f t="shared" si="342"/>
        <v>200000</v>
      </c>
      <c r="U736" s="603"/>
      <c r="V736" s="599">
        <f>T736-U736</f>
        <v>200000</v>
      </c>
    </row>
    <row r="737" spans="1:26" s="533" customFormat="1" ht="12.6" customHeight="1" x14ac:dyDescent="0.25">
      <c r="A737" s="573"/>
      <c r="B737" s="569" t="s">
        <v>343</v>
      </c>
      <c r="C737" s="569"/>
      <c r="D737" s="580"/>
      <c r="E737" s="602">
        <v>100000</v>
      </c>
      <c r="F737" s="602"/>
      <c r="G737" s="570"/>
      <c r="H737" s="570"/>
      <c r="I737" s="570"/>
      <c r="J737" s="570"/>
      <c r="K737" s="570"/>
      <c r="L737" s="570"/>
      <c r="M737" s="570"/>
      <c r="N737" s="570"/>
      <c r="O737" s="570"/>
      <c r="P737" s="570"/>
      <c r="Q737" s="570"/>
      <c r="R737" s="570"/>
      <c r="S737" s="570"/>
      <c r="T737" s="570">
        <f t="shared" si="342"/>
        <v>100000</v>
      </c>
      <c r="U737" s="603"/>
      <c r="V737" s="599">
        <f t="shared" si="343"/>
        <v>100000</v>
      </c>
    </row>
    <row r="738" spans="1:26" s="533" customFormat="1" ht="12.6" customHeight="1" x14ac:dyDescent="0.25">
      <c r="A738" s="573"/>
      <c r="B738" s="569" t="s">
        <v>344</v>
      </c>
      <c r="C738" s="569"/>
      <c r="D738" s="580"/>
      <c r="E738" s="602">
        <v>70000</v>
      </c>
      <c r="F738" s="602"/>
      <c r="G738" s="570"/>
      <c r="H738" s="570"/>
      <c r="I738" s="570"/>
      <c r="J738" s="570"/>
      <c r="K738" s="570"/>
      <c r="L738" s="570"/>
      <c r="M738" s="570"/>
      <c r="N738" s="570"/>
      <c r="O738" s="570"/>
      <c r="P738" s="570"/>
      <c r="Q738" s="570"/>
      <c r="R738" s="570"/>
      <c r="S738" s="570"/>
      <c r="T738" s="570">
        <f t="shared" si="342"/>
        <v>70000</v>
      </c>
      <c r="U738" s="603"/>
      <c r="V738" s="599">
        <f>T738-U738</f>
        <v>70000</v>
      </c>
    </row>
    <row r="739" spans="1:26" s="533" customFormat="1" ht="12.6" customHeight="1" x14ac:dyDescent="0.25">
      <c r="A739" s="573"/>
      <c r="B739" s="569" t="s">
        <v>154</v>
      </c>
      <c r="C739" s="569"/>
      <c r="D739" s="580"/>
      <c r="E739" s="602">
        <v>60000</v>
      </c>
      <c r="F739" s="602">
        <f>'CABAC Fiduciary 2025'!F340</f>
        <v>0</v>
      </c>
      <c r="G739" s="570"/>
      <c r="H739" s="570"/>
      <c r="I739" s="570"/>
      <c r="J739" s="570"/>
      <c r="K739" s="570"/>
      <c r="L739" s="570"/>
      <c r="M739" s="570"/>
      <c r="N739" s="570"/>
      <c r="O739" s="570"/>
      <c r="P739" s="570"/>
      <c r="Q739" s="570"/>
      <c r="R739" s="570"/>
      <c r="S739" s="570"/>
      <c r="T739" s="570">
        <f t="shared" si="342"/>
        <v>60000</v>
      </c>
      <c r="U739" s="603"/>
      <c r="V739" s="599">
        <f>T739-U739</f>
        <v>60000</v>
      </c>
    </row>
    <row r="740" spans="1:26" s="533" customFormat="1" ht="12.6" customHeight="1" x14ac:dyDescent="0.25">
      <c r="A740" s="573"/>
      <c r="B740" s="569" t="s">
        <v>359</v>
      </c>
      <c r="C740" s="569"/>
      <c r="D740" s="580"/>
      <c r="E740" s="602">
        <v>60000</v>
      </c>
      <c r="F740" s="602"/>
      <c r="G740" s="570"/>
      <c r="H740" s="570"/>
      <c r="I740" s="570"/>
      <c r="J740" s="570"/>
      <c r="K740" s="570"/>
      <c r="L740" s="570"/>
      <c r="M740" s="570"/>
      <c r="N740" s="570"/>
      <c r="O740" s="570"/>
      <c r="P740" s="570"/>
      <c r="Q740" s="570"/>
      <c r="R740" s="570"/>
      <c r="S740" s="570"/>
      <c r="T740" s="570">
        <f t="shared" si="342"/>
        <v>60000</v>
      </c>
      <c r="U740" s="603"/>
      <c r="V740" s="599">
        <f>T740-U740</f>
        <v>60000</v>
      </c>
    </row>
    <row r="741" spans="1:26" s="533" customFormat="1" ht="12.6" customHeight="1" x14ac:dyDescent="0.25">
      <c r="A741" s="573"/>
      <c r="B741" s="569" t="s">
        <v>360</v>
      </c>
      <c r="C741" s="569"/>
      <c r="D741" s="580"/>
      <c r="E741" s="602">
        <v>60000</v>
      </c>
      <c r="F741" s="570">
        <f>'CABAC Fiduciary 2025'!F342</f>
        <v>0</v>
      </c>
      <c r="G741" s="570"/>
      <c r="H741" s="570"/>
      <c r="I741" s="570"/>
      <c r="J741" s="570"/>
      <c r="K741" s="570"/>
      <c r="L741" s="570"/>
      <c r="M741" s="570"/>
      <c r="N741" s="570"/>
      <c r="O741" s="570"/>
      <c r="P741" s="570"/>
      <c r="Q741" s="570"/>
      <c r="R741" s="570"/>
      <c r="S741" s="570"/>
      <c r="T741" s="570">
        <f t="shared" si="342"/>
        <v>60000</v>
      </c>
      <c r="U741" s="603"/>
      <c r="V741" s="599">
        <f>T741-U741</f>
        <v>60000</v>
      </c>
    </row>
    <row r="742" spans="1:26" s="533" customFormat="1" ht="12.6" customHeight="1" thickBot="1" x14ac:dyDescent="0.3">
      <c r="A742" s="573"/>
      <c r="B742" s="569" t="s">
        <v>144</v>
      </c>
      <c r="C742" s="569"/>
      <c r="D742" s="580"/>
      <c r="E742" s="602">
        <v>300000</v>
      </c>
      <c r="F742" s="602">
        <f>'CABAC Fiduciary 2025'!F338</f>
        <v>0</v>
      </c>
      <c r="G742" s="570"/>
      <c r="H742" s="570"/>
      <c r="I742" s="570"/>
      <c r="J742" s="570"/>
      <c r="K742" s="602"/>
      <c r="L742" s="602"/>
      <c r="M742" s="602"/>
      <c r="N742" s="602"/>
      <c r="O742" s="602"/>
      <c r="P742" s="602"/>
      <c r="Q742" s="602"/>
      <c r="R742" s="602"/>
      <c r="S742" s="602"/>
      <c r="T742" s="570">
        <f t="shared" si="342"/>
        <v>300000</v>
      </c>
      <c r="U742" s="603"/>
      <c r="V742" s="599">
        <f t="shared" si="343"/>
        <v>300000</v>
      </c>
    </row>
    <row r="743" spans="1:26" s="533" customFormat="1" ht="12.6" customHeight="1" thickBot="1" x14ac:dyDescent="0.3">
      <c r="A743" s="573"/>
      <c r="B743" s="581" t="s">
        <v>346</v>
      </c>
      <c r="C743" s="569"/>
      <c r="D743" s="580"/>
      <c r="E743" s="582">
        <f t="shared" ref="E743:V743" si="344">SUM(E723:E742)</f>
        <v>5506379.6299999999</v>
      </c>
      <c r="F743" s="582">
        <f t="shared" si="344"/>
        <v>567775</v>
      </c>
      <c r="G743" s="582">
        <f t="shared" si="344"/>
        <v>0</v>
      </c>
      <c r="H743" s="582">
        <f t="shared" si="344"/>
        <v>0</v>
      </c>
      <c r="I743" s="582">
        <f t="shared" si="344"/>
        <v>0</v>
      </c>
      <c r="J743" s="582">
        <f t="shared" si="344"/>
        <v>0</v>
      </c>
      <c r="K743" s="582">
        <f t="shared" si="344"/>
        <v>0</v>
      </c>
      <c r="L743" s="582">
        <f t="shared" si="344"/>
        <v>0</v>
      </c>
      <c r="M743" s="582">
        <f t="shared" si="344"/>
        <v>0</v>
      </c>
      <c r="N743" s="582">
        <f t="shared" si="344"/>
        <v>0</v>
      </c>
      <c r="O743" s="582">
        <f t="shared" si="344"/>
        <v>0</v>
      </c>
      <c r="P743" s="582">
        <f t="shared" si="344"/>
        <v>0</v>
      </c>
      <c r="Q743" s="582">
        <f t="shared" si="344"/>
        <v>0</v>
      </c>
      <c r="R743" s="582">
        <f t="shared" si="344"/>
        <v>0</v>
      </c>
      <c r="S743" s="582">
        <f t="shared" si="344"/>
        <v>0</v>
      </c>
      <c r="T743" s="582">
        <f t="shared" si="344"/>
        <v>6074154.6299999999</v>
      </c>
      <c r="U743" s="582">
        <f t="shared" si="344"/>
        <v>0</v>
      </c>
      <c r="V743" s="582">
        <f t="shared" si="344"/>
        <v>6074154.6299999999</v>
      </c>
    </row>
    <row r="744" spans="1:26" ht="12.6" customHeight="1" x14ac:dyDescent="0.25">
      <c r="A744" s="577"/>
      <c r="B744" s="581"/>
      <c r="C744" s="569"/>
      <c r="D744" s="583" t="s">
        <v>347</v>
      </c>
      <c r="E744" s="830">
        <f t="shared" ref="E744:V744" si="345">SUM(E730:E742)</f>
        <v>2506379.63</v>
      </c>
      <c r="F744" s="830">
        <f t="shared" si="345"/>
        <v>567775</v>
      </c>
      <c r="G744" s="700">
        <f t="shared" si="345"/>
        <v>0</v>
      </c>
      <c r="H744" s="700">
        <f t="shared" si="345"/>
        <v>0</v>
      </c>
      <c r="I744" s="700">
        <f t="shared" si="345"/>
        <v>0</v>
      </c>
      <c r="J744" s="700">
        <f t="shared" si="345"/>
        <v>0</v>
      </c>
      <c r="K744" s="700">
        <f t="shared" si="345"/>
        <v>0</v>
      </c>
      <c r="L744" s="700">
        <f t="shared" si="345"/>
        <v>0</v>
      </c>
      <c r="M744" s="700">
        <f t="shared" si="345"/>
        <v>0</v>
      </c>
      <c r="N744" s="700">
        <f t="shared" si="345"/>
        <v>0</v>
      </c>
      <c r="O744" s="700">
        <f t="shared" si="345"/>
        <v>0</v>
      </c>
      <c r="P744" s="700">
        <f t="shared" si="345"/>
        <v>0</v>
      </c>
      <c r="Q744" s="700">
        <f t="shared" si="345"/>
        <v>0</v>
      </c>
      <c r="R744" s="700">
        <f t="shared" si="345"/>
        <v>0</v>
      </c>
      <c r="S744" s="700">
        <f t="shared" si="345"/>
        <v>0</v>
      </c>
      <c r="T744" s="700">
        <f t="shared" si="345"/>
        <v>3074154.63</v>
      </c>
      <c r="U744" s="700">
        <f t="shared" si="345"/>
        <v>0</v>
      </c>
      <c r="V744" s="700">
        <f t="shared" si="345"/>
        <v>3074154.63</v>
      </c>
      <c r="W744" s="532"/>
      <c r="X744" s="532"/>
      <c r="Y744" s="532"/>
      <c r="Z744" s="532"/>
    </row>
    <row r="745" spans="1:26" ht="12.6" customHeight="1" x14ac:dyDescent="0.25">
      <c r="A745" s="577"/>
      <c r="B745" s="581"/>
      <c r="C745" s="569"/>
      <c r="D745" s="583" t="s">
        <v>348</v>
      </c>
      <c r="E745" s="730">
        <f t="shared" ref="E745:V745" si="346">SUM(E723:E729)</f>
        <v>3000000</v>
      </c>
      <c r="F745" s="730">
        <f t="shared" si="346"/>
        <v>0</v>
      </c>
      <c r="G745" s="584">
        <f t="shared" si="346"/>
        <v>0</v>
      </c>
      <c r="H745" s="584">
        <f t="shared" si="346"/>
        <v>0</v>
      </c>
      <c r="I745" s="584">
        <f t="shared" si="346"/>
        <v>0</v>
      </c>
      <c r="J745" s="584">
        <f t="shared" si="346"/>
        <v>0</v>
      </c>
      <c r="K745" s="584">
        <f t="shared" si="346"/>
        <v>0</v>
      </c>
      <c r="L745" s="584">
        <f t="shared" si="346"/>
        <v>0</v>
      </c>
      <c r="M745" s="584">
        <f t="shared" si="346"/>
        <v>0</v>
      </c>
      <c r="N745" s="584">
        <f t="shared" si="346"/>
        <v>0</v>
      </c>
      <c r="O745" s="584">
        <f t="shared" si="346"/>
        <v>0</v>
      </c>
      <c r="P745" s="584">
        <f t="shared" si="346"/>
        <v>0</v>
      </c>
      <c r="Q745" s="584">
        <f t="shared" si="346"/>
        <v>0</v>
      </c>
      <c r="R745" s="584">
        <f t="shared" si="346"/>
        <v>0</v>
      </c>
      <c r="S745" s="584">
        <f t="shared" si="346"/>
        <v>0</v>
      </c>
      <c r="T745" s="584">
        <f t="shared" si="346"/>
        <v>3000000</v>
      </c>
      <c r="U745" s="584">
        <f t="shared" si="346"/>
        <v>0</v>
      </c>
      <c r="V745" s="584">
        <f t="shared" si="346"/>
        <v>3000000</v>
      </c>
      <c r="W745" s="532"/>
      <c r="X745" s="532"/>
      <c r="Y745" s="532"/>
      <c r="Z745" s="532"/>
    </row>
    <row r="746" spans="1:26" ht="12.6" customHeight="1" x14ac:dyDescent="0.25">
      <c r="A746" s="577"/>
      <c r="B746" s="581"/>
      <c r="C746" s="569"/>
      <c r="D746" s="580"/>
      <c r="E746" s="730">
        <f>SUM(E744:E745)</f>
        <v>5506379.6299999999</v>
      </c>
      <c r="F746" s="730">
        <f t="shared" ref="F746:V746" si="347">SUM(F744:F745)</f>
        <v>567775</v>
      </c>
      <c r="G746" s="584">
        <f t="shared" si="347"/>
        <v>0</v>
      </c>
      <c r="H746" s="584">
        <f>SUM(H744:H745)</f>
        <v>0</v>
      </c>
      <c r="I746" s="584">
        <f t="shared" si="347"/>
        <v>0</v>
      </c>
      <c r="J746" s="584">
        <f>SUM(J744:J745)</f>
        <v>0</v>
      </c>
      <c r="K746" s="584">
        <f t="shared" si="347"/>
        <v>0</v>
      </c>
      <c r="L746" s="584">
        <f t="shared" si="347"/>
        <v>0</v>
      </c>
      <c r="M746" s="584">
        <f t="shared" si="347"/>
        <v>0</v>
      </c>
      <c r="N746" s="584">
        <f t="shared" si="347"/>
        <v>0</v>
      </c>
      <c r="O746" s="584">
        <f t="shared" si="347"/>
        <v>0</v>
      </c>
      <c r="P746" s="584">
        <f t="shared" si="347"/>
        <v>0</v>
      </c>
      <c r="Q746" s="584">
        <f t="shared" si="347"/>
        <v>0</v>
      </c>
      <c r="R746" s="584">
        <f t="shared" si="347"/>
        <v>0</v>
      </c>
      <c r="S746" s="584">
        <f t="shared" si="347"/>
        <v>0</v>
      </c>
      <c r="T746" s="584">
        <f t="shared" si="347"/>
        <v>6074154.6299999999</v>
      </c>
      <c r="U746" s="584">
        <f t="shared" si="347"/>
        <v>0</v>
      </c>
      <c r="V746" s="584">
        <f t="shared" si="347"/>
        <v>6074154.6299999999</v>
      </c>
      <c r="W746" s="532"/>
      <c r="X746" s="532"/>
      <c r="Y746" s="532"/>
      <c r="Z746" s="532"/>
    </row>
    <row r="747" spans="1:26" ht="12.6" customHeight="1" x14ac:dyDescent="0.25">
      <c r="A747" s="577"/>
      <c r="B747" s="569"/>
      <c r="C747" s="569"/>
      <c r="D747" s="580"/>
      <c r="E747" s="1232">
        <f t="shared" ref="E747:V747" si="348">E746-E743</f>
        <v>0</v>
      </c>
      <c r="F747" s="1232">
        <f t="shared" si="348"/>
        <v>0</v>
      </c>
      <c r="G747" s="1232">
        <f t="shared" si="348"/>
        <v>0</v>
      </c>
      <c r="H747" s="1232">
        <f t="shared" si="348"/>
        <v>0</v>
      </c>
      <c r="I747" s="1232">
        <f t="shared" si="348"/>
        <v>0</v>
      </c>
      <c r="J747" s="1232">
        <f t="shared" si="348"/>
        <v>0</v>
      </c>
      <c r="K747" s="1232">
        <f t="shared" si="348"/>
        <v>0</v>
      </c>
      <c r="L747" s="1232">
        <f t="shared" si="348"/>
        <v>0</v>
      </c>
      <c r="M747" s="1232">
        <f t="shared" si="348"/>
        <v>0</v>
      </c>
      <c r="N747" s="1232">
        <f t="shared" si="348"/>
        <v>0</v>
      </c>
      <c r="O747" s="1232">
        <f t="shared" si="348"/>
        <v>0</v>
      </c>
      <c r="P747" s="1232">
        <f t="shared" si="348"/>
        <v>0</v>
      </c>
      <c r="Q747" s="1232">
        <f t="shared" si="348"/>
        <v>0</v>
      </c>
      <c r="R747" s="1232">
        <f t="shared" si="348"/>
        <v>0</v>
      </c>
      <c r="S747" s="1232">
        <f t="shared" si="348"/>
        <v>0</v>
      </c>
      <c r="T747" s="1232">
        <f t="shared" si="348"/>
        <v>0</v>
      </c>
      <c r="U747" s="1232">
        <f t="shared" si="348"/>
        <v>0</v>
      </c>
      <c r="V747" s="1232">
        <f t="shared" si="348"/>
        <v>0</v>
      </c>
    </row>
    <row r="748" spans="1:26" s="533" customFormat="1" ht="12.6" customHeight="1" x14ac:dyDescent="0.25">
      <c r="A748" s="573"/>
      <c r="B748" s="569"/>
      <c r="C748" s="569"/>
      <c r="D748" s="580"/>
      <c r="E748" s="570"/>
      <c r="F748" s="601"/>
      <c r="G748" s="601"/>
      <c r="H748" s="601"/>
      <c r="I748" s="601"/>
      <c r="J748" s="601"/>
      <c r="K748" s="601"/>
      <c r="L748" s="601"/>
      <c r="M748" s="601"/>
      <c r="N748" s="601"/>
      <c r="O748" s="601"/>
      <c r="P748" s="601"/>
      <c r="Q748" s="601"/>
      <c r="R748" s="601"/>
      <c r="S748" s="601"/>
      <c r="T748" s="601"/>
      <c r="U748" s="601"/>
      <c r="V748" s="615"/>
    </row>
    <row r="749" spans="1:26" s="533" customFormat="1" ht="12.6" customHeight="1" x14ac:dyDescent="0.25">
      <c r="A749" s="573" t="s">
        <v>9</v>
      </c>
      <c r="B749" s="569" t="s">
        <v>260</v>
      </c>
      <c r="C749" s="569"/>
      <c r="D749" s="580"/>
      <c r="E749" s="570">
        <v>276123.25</v>
      </c>
      <c r="F749" s="570"/>
      <c r="G749" s="570"/>
      <c r="H749" s="570"/>
      <c r="I749" s="570"/>
      <c r="J749" s="570"/>
      <c r="K749" s="570"/>
      <c r="L749" s="570"/>
      <c r="M749" s="570"/>
      <c r="N749" s="570"/>
      <c r="O749" s="570"/>
      <c r="P749" s="570"/>
      <c r="Q749" s="570"/>
      <c r="R749" s="570"/>
      <c r="S749" s="570"/>
      <c r="T749" s="570">
        <f>SUM(E749:S749)</f>
        <v>276123.25</v>
      </c>
      <c r="U749" s="603"/>
      <c r="V749" s="599">
        <f t="shared" ref="V749:V750" si="349">T749-U749</f>
        <v>276123.25</v>
      </c>
    </row>
    <row r="750" spans="1:26" s="533" customFormat="1" ht="12.6" customHeight="1" thickBot="1" x14ac:dyDescent="0.3">
      <c r="A750" s="604" t="s">
        <v>422</v>
      </c>
      <c r="B750" s="569"/>
      <c r="C750" s="569"/>
      <c r="D750" s="580"/>
      <c r="E750" s="601"/>
      <c r="F750" s="601"/>
      <c r="G750" s="601"/>
      <c r="H750" s="601"/>
      <c r="I750" s="601"/>
      <c r="J750" s="601"/>
      <c r="K750" s="601"/>
      <c r="L750" s="601"/>
      <c r="M750" s="601"/>
      <c r="N750" s="601"/>
      <c r="O750" s="601"/>
      <c r="P750" s="601"/>
      <c r="Q750" s="601"/>
      <c r="R750" s="601"/>
      <c r="S750" s="601"/>
      <c r="T750" s="601">
        <f>SUM(E750:S750)</f>
        <v>0</v>
      </c>
      <c r="U750" s="606"/>
      <c r="V750" s="599">
        <f t="shared" si="349"/>
        <v>0</v>
      </c>
    </row>
    <row r="751" spans="1:26" s="533" customFormat="1" ht="12.6" customHeight="1" thickBot="1" x14ac:dyDescent="0.3">
      <c r="A751" s="573"/>
      <c r="B751" s="581" t="s">
        <v>346</v>
      </c>
      <c r="C751" s="569"/>
      <c r="D751" s="580"/>
      <c r="E751" s="582">
        <f>SUM(E749:E750)</f>
        <v>276123.25</v>
      </c>
      <c r="F751" s="582">
        <f t="shared" ref="F751:G751" si="350">SUM(F749:F750)</f>
        <v>0</v>
      </c>
      <c r="G751" s="582">
        <f t="shared" si="350"/>
        <v>0</v>
      </c>
      <c r="H751" s="582">
        <f>SUM(H749:H750)</f>
        <v>0</v>
      </c>
      <c r="I751" s="582">
        <f t="shared" ref="I751" si="351">SUM(I749:I750)</f>
        <v>0</v>
      </c>
      <c r="J751" s="582">
        <f>SUM(J749:J750)</f>
        <v>0</v>
      </c>
      <c r="K751" s="582">
        <f t="shared" ref="K751:V751" si="352">SUM(K749:K750)</f>
        <v>0</v>
      </c>
      <c r="L751" s="582">
        <f t="shared" si="352"/>
        <v>0</v>
      </c>
      <c r="M751" s="582">
        <f t="shared" si="352"/>
        <v>0</v>
      </c>
      <c r="N751" s="582">
        <f t="shared" si="352"/>
        <v>0</v>
      </c>
      <c r="O751" s="582">
        <f t="shared" si="352"/>
        <v>0</v>
      </c>
      <c r="P751" s="582">
        <f t="shared" si="352"/>
        <v>0</v>
      </c>
      <c r="Q751" s="582">
        <f t="shared" si="352"/>
        <v>0</v>
      </c>
      <c r="R751" s="582">
        <f t="shared" si="352"/>
        <v>0</v>
      </c>
      <c r="S751" s="582">
        <f t="shared" si="352"/>
        <v>0</v>
      </c>
      <c r="T751" s="582">
        <f t="shared" si="352"/>
        <v>276123.25</v>
      </c>
      <c r="U751" s="582">
        <f t="shared" si="352"/>
        <v>0</v>
      </c>
      <c r="V751" s="616">
        <f t="shared" si="352"/>
        <v>276123.25</v>
      </c>
    </row>
    <row r="752" spans="1:26" ht="12.6" customHeight="1" x14ac:dyDescent="0.25">
      <c r="A752" s="577"/>
      <c r="B752" s="581"/>
      <c r="C752" s="569"/>
      <c r="D752" s="583" t="s">
        <v>347</v>
      </c>
      <c r="E752" s="830"/>
      <c r="F752" s="830"/>
      <c r="G752" s="700"/>
      <c r="H752" s="700"/>
      <c r="I752" s="700"/>
      <c r="J752" s="700"/>
      <c r="K752" s="700"/>
      <c r="L752" s="584"/>
      <c r="M752" s="584"/>
      <c r="N752" s="584"/>
      <c r="O752" s="584"/>
      <c r="P752" s="584"/>
      <c r="Q752" s="584"/>
      <c r="R752" s="584"/>
      <c r="S752" s="584"/>
      <c r="T752" s="584"/>
      <c r="U752" s="584"/>
      <c r="V752" s="584"/>
      <c r="W752" s="532"/>
      <c r="X752" s="532"/>
      <c r="Y752" s="532"/>
      <c r="Z752" s="532"/>
    </row>
    <row r="753" spans="1:26" ht="12.6" customHeight="1" x14ac:dyDescent="0.25">
      <c r="A753" s="577"/>
      <c r="B753" s="581"/>
      <c r="C753" s="569"/>
      <c r="D753" s="583" t="s">
        <v>348</v>
      </c>
      <c r="E753" s="730">
        <f>SUM(E749:E750)</f>
        <v>276123.25</v>
      </c>
      <c r="F753" s="730">
        <f t="shared" ref="F753:G753" si="353">SUM(F749:F750)</f>
        <v>0</v>
      </c>
      <c r="G753" s="584">
        <f t="shared" si="353"/>
        <v>0</v>
      </c>
      <c r="H753" s="584">
        <f>SUM(H749:H750)</f>
        <v>0</v>
      </c>
      <c r="I753" s="584">
        <f t="shared" ref="I753" si="354">SUM(I749:I750)</f>
        <v>0</v>
      </c>
      <c r="J753" s="584">
        <f>SUM(J749:J750)</f>
        <v>0</v>
      </c>
      <c r="K753" s="584">
        <f t="shared" ref="K753:V753" si="355">SUM(K749:K750)</f>
        <v>0</v>
      </c>
      <c r="L753" s="584">
        <f t="shared" si="355"/>
        <v>0</v>
      </c>
      <c r="M753" s="584">
        <f t="shared" si="355"/>
        <v>0</v>
      </c>
      <c r="N753" s="584">
        <f t="shared" si="355"/>
        <v>0</v>
      </c>
      <c r="O753" s="584">
        <f t="shared" si="355"/>
        <v>0</v>
      </c>
      <c r="P753" s="584">
        <f t="shared" si="355"/>
        <v>0</v>
      </c>
      <c r="Q753" s="584">
        <f t="shared" si="355"/>
        <v>0</v>
      </c>
      <c r="R753" s="584">
        <f t="shared" si="355"/>
        <v>0</v>
      </c>
      <c r="S753" s="584">
        <f t="shared" si="355"/>
        <v>0</v>
      </c>
      <c r="T753" s="584">
        <f t="shared" si="355"/>
        <v>276123.25</v>
      </c>
      <c r="U753" s="584">
        <f t="shared" si="355"/>
        <v>0</v>
      </c>
      <c r="V753" s="584">
        <f t="shared" si="355"/>
        <v>276123.25</v>
      </c>
      <c r="W753" s="532"/>
      <c r="X753" s="532"/>
      <c r="Y753" s="532"/>
      <c r="Z753" s="532"/>
    </row>
    <row r="754" spans="1:26" ht="12.6" customHeight="1" x14ac:dyDescent="0.25">
      <c r="A754" s="577"/>
      <c r="B754" s="581"/>
      <c r="C754" s="569"/>
      <c r="D754" s="580"/>
      <c r="E754" s="730">
        <f>SUM(E752:E753)</f>
        <v>276123.25</v>
      </c>
      <c r="F754" s="730">
        <f t="shared" ref="F754:G754" si="356">SUM(F752:F753)</f>
        <v>0</v>
      </c>
      <c r="G754" s="584">
        <f t="shared" si="356"/>
        <v>0</v>
      </c>
      <c r="H754" s="584">
        <f>SUM(H752:H753)</f>
        <v>0</v>
      </c>
      <c r="I754" s="584">
        <f t="shared" ref="I754" si="357">SUM(I752:I753)</f>
        <v>0</v>
      </c>
      <c r="J754" s="584">
        <f>SUM(J752:J753)</f>
        <v>0</v>
      </c>
      <c r="K754" s="584">
        <f t="shared" ref="K754:V754" si="358">SUM(K752:K753)</f>
        <v>0</v>
      </c>
      <c r="L754" s="584">
        <f t="shared" si="358"/>
        <v>0</v>
      </c>
      <c r="M754" s="584">
        <f t="shared" si="358"/>
        <v>0</v>
      </c>
      <c r="N754" s="584">
        <f t="shared" si="358"/>
        <v>0</v>
      </c>
      <c r="O754" s="584">
        <f t="shared" si="358"/>
        <v>0</v>
      </c>
      <c r="P754" s="584">
        <f t="shared" si="358"/>
        <v>0</v>
      </c>
      <c r="Q754" s="584">
        <f t="shared" si="358"/>
        <v>0</v>
      </c>
      <c r="R754" s="584">
        <f t="shared" si="358"/>
        <v>0</v>
      </c>
      <c r="S754" s="584">
        <f t="shared" si="358"/>
        <v>0</v>
      </c>
      <c r="T754" s="584">
        <f t="shared" si="358"/>
        <v>276123.25</v>
      </c>
      <c r="U754" s="584">
        <f t="shared" si="358"/>
        <v>0</v>
      </c>
      <c r="V754" s="584">
        <f t="shared" si="358"/>
        <v>276123.25</v>
      </c>
      <c r="W754" s="532"/>
      <c r="X754" s="532"/>
      <c r="Y754" s="532"/>
      <c r="Z754" s="532"/>
    </row>
    <row r="755" spans="1:26" ht="12.6" customHeight="1" x14ac:dyDescent="0.25">
      <c r="A755" s="577"/>
      <c r="B755" s="569"/>
      <c r="C755" s="569"/>
      <c r="D755" s="580"/>
      <c r="E755" s="586">
        <f t="shared" ref="E755:V755" si="359">E754-E751</f>
        <v>0</v>
      </c>
      <c r="F755" s="586">
        <f t="shared" si="359"/>
        <v>0</v>
      </c>
      <c r="G755" s="586">
        <f t="shared" si="359"/>
        <v>0</v>
      </c>
      <c r="H755" s="586">
        <f t="shared" si="359"/>
        <v>0</v>
      </c>
      <c r="I755" s="586">
        <f t="shared" si="359"/>
        <v>0</v>
      </c>
      <c r="J755" s="586">
        <f t="shared" si="359"/>
        <v>0</v>
      </c>
      <c r="K755" s="586">
        <f t="shared" si="359"/>
        <v>0</v>
      </c>
      <c r="L755" s="586">
        <f t="shared" si="359"/>
        <v>0</v>
      </c>
      <c r="M755" s="586">
        <f t="shared" si="359"/>
        <v>0</v>
      </c>
      <c r="N755" s="586">
        <f t="shared" si="359"/>
        <v>0</v>
      </c>
      <c r="O755" s="586">
        <f t="shared" si="359"/>
        <v>0</v>
      </c>
      <c r="P755" s="586">
        <f t="shared" si="359"/>
        <v>0</v>
      </c>
      <c r="Q755" s="586">
        <f t="shared" si="359"/>
        <v>0</v>
      </c>
      <c r="R755" s="586">
        <f t="shared" si="359"/>
        <v>0</v>
      </c>
      <c r="S755" s="586">
        <f t="shared" si="359"/>
        <v>0</v>
      </c>
      <c r="T755" s="586">
        <f t="shared" si="359"/>
        <v>0</v>
      </c>
      <c r="U755" s="586">
        <f t="shared" si="359"/>
        <v>0</v>
      </c>
      <c r="V755" s="586">
        <f t="shared" si="359"/>
        <v>0</v>
      </c>
    </row>
    <row r="756" spans="1:26" s="533" customFormat="1" ht="12.6" customHeight="1" x14ac:dyDescent="0.25">
      <c r="A756" s="573" t="s">
        <v>423</v>
      </c>
      <c r="B756" s="569" t="s">
        <v>308</v>
      </c>
      <c r="C756" s="569"/>
      <c r="D756" s="580"/>
      <c r="E756" s="570"/>
      <c r="F756" s="570"/>
      <c r="G756" s="570"/>
      <c r="H756" s="570"/>
      <c r="I756" s="570"/>
      <c r="J756" s="570"/>
      <c r="K756" s="570"/>
      <c r="L756" s="570"/>
      <c r="M756" s="570"/>
      <c r="N756" s="570"/>
      <c r="O756" s="570"/>
      <c r="P756" s="570"/>
      <c r="Q756" s="570"/>
      <c r="R756" s="570"/>
      <c r="S756" s="570"/>
      <c r="T756" s="570">
        <f>SUM(E756:S756)</f>
        <v>0</v>
      </c>
      <c r="U756" s="603"/>
      <c r="V756" s="599">
        <f t="shared" ref="V756:V757" si="360">T756-U756</f>
        <v>0</v>
      </c>
    </row>
    <row r="757" spans="1:26" s="533" customFormat="1" ht="12.6" customHeight="1" thickBot="1" x14ac:dyDescent="0.3">
      <c r="A757" s="604" t="s">
        <v>70</v>
      </c>
      <c r="B757" s="569" t="s">
        <v>376</v>
      </c>
      <c r="C757" s="569"/>
      <c r="D757" s="580"/>
      <c r="E757" s="601"/>
      <c r="F757" s="601"/>
      <c r="G757" s="601"/>
      <c r="H757" s="601"/>
      <c r="I757" s="601"/>
      <c r="J757" s="601"/>
      <c r="K757" s="601"/>
      <c r="L757" s="601"/>
      <c r="M757" s="601"/>
      <c r="N757" s="601"/>
      <c r="O757" s="601"/>
      <c r="P757" s="601"/>
      <c r="Q757" s="601"/>
      <c r="R757" s="601"/>
      <c r="S757" s="601"/>
      <c r="T757" s="601">
        <f>SUM(E757:S757)</f>
        <v>0</v>
      </c>
      <c r="U757" s="606"/>
      <c r="V757" s="599">
        <f t="shared" si="360"/>
        <v>0</v>
      </c>
    </row>
    <row r="758" spans="1:26" s="533" customFormat="1" ht="12.6" customHeight="1" thickBot="1" x14ac:dyDescent="0.3">
      <c r="A758" s="573"/>
      <c r="B758" s="581" t="s">
        <v>346</v>
      </c>
      <c r="C758" s="569"/>
      <c r="D758" s="580"/>
      <c r="E758" s="582">
        <f>SUM(E756:E757)</f>
        <v>0</v>
      </c>
      <c r="F758" s="582">
        <f t="shared" ref="F758:V758" si="361">SUM(F756:F757)</f>
        <v>0</v>
      </c>
      <c r="G758" s="582">
        <f t="shared" si="361"/>
        <v>0</v>
      </c>
      <c r="H758" s="582">
        <f>SUM(H756:H757)</f>
        <v>0</v>
      </c>
      <c r="I758" s="582">
        <f t="shared" si="361"/>
        <v>0</v>
      </c>
      <c r="J758" s="582">
        <f>SUM(J756:J757)</f>
        <v>0</v>
      </c>
      <c r="K758" s="582">
        <f t="shared" si="361"/>
        <v>0</v>
      </c>
      <c r="L758" s="582">
        <f t="shared" si="361"/>
        <v>0</v>
      </c>
      <c r="M758" s="582">
        <f t="shared" si="361"/>
        <v>0</v>
      </c>
      <c r="N758" s="582">
        <f t="shared" si="361"/>
        <v>0</v>
      </c>
      <c r="O758" s="582">
        <f t="shared" si="361"/>
        <v>0</v>
      </c>
      <c r="P758" s="582">
        <f t="shared" si="361"/>
        <v>0</v>
      </c>
      <c r="Q758" s="582">
        <f t="shared" si="361"/>
        <v>0</v>
      </c>
      <c r="R758" s="582">
        <f t="shared" si="361"/>
        <v>0</v>
      </c>
      <c r="S758" s="582">
        <f t="shared" si="361"/>
        <v>0</v>
      </c>
      <c r="T758" s="582">
        <f t="shared" si="361"/>
        <v>0</v>
      </c>
      <c r="U758" s="582">
        <f t="shared" si="361"/>
        <v>0</v>
      </c>
      <c r="V758" s="616">
        <f t="shared" si="361"/>
        <v>0</v>
      </c>
    </row>
    <row r="759" spans="1:26" ht="12.6" customHeight="1" x14ac:dyDescent="0.25">
      <c r="A759" s="577"/>
      <c r="B759" s="581"/>
      <c r="C759" s="569"/>
      <c r="D759" s="583" t="s">
        <v>347</v>
      </c>
      <c r="E759" s="700"/>
      <c r="F759" s="700"/>
      <c r="G759" s="700"/>
      <c r="H759" s="700"/>
      <c r="I759" s="700"/>
      <c r="J759" s="700"/>
      <c r="K759" s="700"/>
      <c r="L759" s="584"/>
      <c r="M759" s="584"/>
      <c r="N759" s="584"/>
      <c r="O759" s="584"/>
      <c r="P759" s="584"/>
      <c r="Q759" s="584"/>
      <c r="R759" s="584"/>
      <c r="S759" s="584"/>
      <c r="T759" s="584"/>
      <c r="U759" s="584"/>
      <c r="V759" s="584"/>
      <c r="W759" s="532"/>
      <c r="X759" s="532"/>
      <c r="Y759" s="532"/>
      <c r="Z759" s="532"/>
    </row>
    <row r="760" spans="1:26" ht="12.6" customHeight="1" x14ac:dyDescent="0.25">
      <c r="A760" s="577"/>
      <c r="B760" s="581"/>
      <c r="C760" s="569"/>
      <c r="D760" s="583" t="s">
        <v>348</v>
      </c>
      <c r="E760" s="584">
        <f>SUM(E756:E757)</f>
        <v>0</v>
      </c>
      <c r="F760" s="584">
        <f t="shared" ref="F760:V760" si="362">SUM(F756:F757)</f>
        <v>0</v>
      </c>
      <c r="G760" s="584">
        <f t="shared" si="362"/>
        <v>0</v>
      </c>
      <c r="H760" s="584">
        <f>SUM(H756:H757)</f>
        <v>0</v>
      </c>
      <c r="I760" s="584">
        <f t="shared" si="362"/>
        <v>0</v>
      </c>
      <c r="J760" s="584">
        <f>SUM(J756:J757)</f>
        <v>0</v>
      </c>
      <c r="K760" s="584">
        <f t="shared" si="362"/>
        <v>0</v>
      </c>
      <c r="L760" s="584">
        <f t="shared" si="362"/>
        <v>0</v>
      </c>
      <c r="M760" s="584">
        <f t="shared" si="362"/>
        <v>0</v>
      </c>
      <c r="N760" s="584">
        <f t="shared" si="362"/>
        <v>0</v>
      </c>
      <c r="O760" s="584">
        <f t="shared" si="362"/>
        <v>0</v>
      </c>
      <c r="P760" s="584">
        <f t="shared" si="362"/>
        <v>0</v>
      </c>
      <c r="Q760" s="584">
        <f t="shared" si="362"/>
        <v>0</v>
      </c>
      <c r="R760" s="584">
        <f t="shared" si="362"/>
        <v>0</v>
      </c>
      <c r="S760" s="584">
        <f t="shared" si="362"/>
        <v>0</v>
      </c>
      <c r="T760" s="584">
        <f t="shared" si="362"/>
        <v>0</v>
      </c>
      <c r="U760" s="584">
        <f t="shared" si="362"/>
        <v>0</v>
      </c>
      <c r="V760" s="584">
        <f t="shared" si="362"/>
        <v>0</v>
      </c>
      <c r="W760" s="532"/>
      <c r="X760" s="532"/>
      <c r="Y760" s="532"/>
      <c r="Z760" s="532"/>
    </row>
    <row r="761" spans="1:26" ht="12.6" customHeight="1" x14ac:dyDescent="0.25">
      <c r="A761" s="577"/>
      <c r="B761" s="581"/>
      <c r="C761" s="569"/>
      <c r="D761" s="580"/>
      <c r="E761" s="584">
        <f>SUM(E759:E760)</f>
        <v>0</v>
      </c>
      <c r="F761" s="584">
        <f t="shared" ref="F761:V761" si="363">SUM(F759:F760)</f>
        <v>0</v>
      </c>
      <c r="G761" s="584">
        <f t="shared" si="363"/>
        <v>0</v>
      </c>
      <c r="H761" s="584">
        <f>SUM(H759:H760)</f>
        <v>0</v>
      </c>
      <c r="I761" s="584">
        <f t="shared" si="363"/>
        <v>0</v>
      </c>
      <c r="J761" s="584">
        <f>SUM(J759:J760)</f>
        <v>0</v>
      </c>
      <c r="K761" s="584">
        <f t="shared" si="363"/>
        <v>0</v>
      </c>
      <c r="L761" s="584">
        <f t="shared" si="363"/>
        <v>0</v>
      </c>
      <c r="M761" s="584">
        <f t="shared" si="363"/>
        <v>0</v>
      </c>
      <c r="N761" s="584">
        <f t="shared" si="363"/>
        <v>0</v>
      </c>
      <c r="O761" s="584">
        <f t="shared" si="363"/>
        <v>0</v>
      </c>
      <c r="P761" s="584">
        <f t="shared" si="363"/>
        <v>0</v>
      </c>
      <c r="Q761" s="584">
        <f t="shared" si="363"/>
        <v>0</v>
      </c>
      <c r="R761" s="584">
        <f t="shared" si="363"/>
        <v>0</v>
      </c>
      <c r="S761" s="584">
        <f t="shared" si="363"/>
        <v>0</v>
      </c>
      <c r="T761" s="584">
        <f t="shared" si="363"/>
        <v>0</v>
      </c>
      <c r="U761" s="584">
        <f t="shared" si="363"/>
        <v>0</v>
      </c>
      <c r="V761" s="584">
        <f t="shared" si="363"/>
        <v>0</v>
      </c>
      <c r="W761" s="532"/>
      <c r="X761" s="532"/>
      <c r="Y761" s="532"/>
      <c r="Z761" s="532"/>
    </row>
    <row r="762" spans="1:26" ht="12.6" customHeight="1" x14ac:dyDescent="0.25">
      <c r="A762" s="577"/>
      <c r="B762" s="569"/>
      <c r="C762" s="569"/>
      <c r="D762" s="569"/>
      <c r="E762" s="1234">
        <f>E761-E758</f>
        <v>0</v>
      </c>
      <c r="F762" s="1234">
        <f t="shared" ref="F762:V762" si="364">F761-F758</f>
        <v>0</v>
      </c>
      <c r="G762" s="1234">
        <f t="shared" si="364"/>
        <v>0</v>
      </c>
      <c r="H762" s="1234">
        <f>H761-H758</f>
        <v>0</v>
      </c>
      <c r="I762" s="1234">
        <f t="shared" si="364"/>
        <v>0</v>
      </c>
      <c r="J762" s="1234">
        <f>J761-J758</f>
        <v>0</v>
      </c>
      <c r="K762" s="1234">
        <f t="shared" si="364"/>
        <v>0</v>
      </c>
      <c r="L762" s="1234">
        <f t="shared" si="364"/>
        <v>0</v>
      </c>
      <c r="M762" s="1234">
        <f t="shared" si="364"/>
        <v>0</v>
      </c>
      <c r="N762" s="1234">
        <f t="shared" si="364"/>
        <v>0</v>
      </c>
      <c r="O762" s="1234">
        <f t="shared" si="364"/>
        <v>0</v>
      </c>
      <c r="P762" s="1234">
        <f t="shared" si="364"/>
        <v>0</v>
      </c>
      <c r="Q762" s="1234">
        <f t="shared" si="364"/>
        <v>0</v>
      </c>
      <c r="R762" s="1234">
        <f t="shared" si="364"/>
        <v>0</v>
      </c>
      <c r="S762" s="1234">
        <f t="shared" si="364"/>
        <v>0</v>
      </c>
      <c r="T762" s="1234">
        <f t="shared" si="364"/>
        <v>0</v>
      </c>
      <c r="U762" s="1234">
        <f t="shared" si="364"/>
        <v>0</v>
      </c>
      <c r="V762" s="1234">
        <f t="shared" si="364"/>
        <v>0</v>
      </c>
    </row>
    <row r="763" spans="1:26" s="533" customFormat="1" ht="12.6" customHeight="1" x14ac:dyDescent="0.25">
      <c r="A763" s="573"/>
      <c r="B763" s="569"/>
      <c r="C763" s="569"/>
      <c r="D763" s="580"/>
      <c r="E763" s="601"/>
      <c r="F763" s="601"/>
      <c r="G763" s="601"/>
      <c r="H763" s="601"/>
      <c r="I763" s="601"/>
      <c r="J763" s="601"/>
      <c r="K763" s="601"/>
      <c r="L763" s="601"/>
      <c r="M763" s="601"/>
      <c r="N763" s="601"/>
      <c r="O763" s="601"/>
      <c r="P763" s="601"/>
      <c r="Q763" s="601"/>
      <c r="R763" s="601"/>
      <c r="S763" s="601"/>
      <c r="T763" s="601"/>
      <c r="U763" s="601"/>
      <c r="V763" s="615"/>
    </row>
    <row r="764" spans="1:26" s="533" customFormat="1" ht="16.5" customHeight="1" thickBot="1" x14ac:dyDescent="0.3">
      <c r="A764" s="573" t="s">
        <v>424</v>
      </c>
      <c r="B764" s="569" t="s">
        <v>263</v>
      </c>
      <c r="C764" s="569"/>
      <c r="D764" s="580"/>
      <c r="E764" s="631"/>
      <c r="F764" s="631">
        <f>'CABAC Non-Fid 2025'!G274</f>
        <v>0</v>
      </c>
      <c r="G764" s="631"/>
      <c r="H764" s="631"/>
      <c r="I764" s="631"/>
      <c r="J764" s="631"/>
      <c r="K764" s="631"/>
      <c r="L764" s="631"/>
      <c r="M764" s="631"/>
      <c r="N764" s="631"/>
      <c r="O764" s="631"/>
      <c r="P764" s="631"/>
      <c r="Q764" s="631"/>
      <c r="R764" s="631"/>
      <c r="S764" s="631"/>
      <c r="T764" s="631">
        <f>SUM(E764:S764)</f>
        <v>0</v>
      </c>
      <c r="U764" s="634"/>
      <c r="V764" s="599">
        <f>T764-U764</f>
        <v>0</v>
      </c>
    </row>
    <row r="765" spans="1:26" s="533" customFormat="1" ht="12.6" customHeight="1" thickBot="1" x14ac:dyDescent="0.3">
      <c r="A765" s="604" t="s">
        <v>81</v>
      </c>
      <c r="B765" s="581" t="s">
        <v>346</v>
      </c>
      <c r="C765" s="569"/>
      <c r="D765" s="580"/>
      <c r="E765" s="582">
        <f>SUM(E764)</f>
        <v>0</v>
      </c>
      <c r="F765" s="582">
        <f t="shared" ref="F765:V765" si="365">SUM(F764)</f>
        <v>0</v>
      </c>
      <c r="G765" s="582">
        <f t="shared" si="365"/>
        <v>0</v>
      </c>
      <c r="H765" s="582">
        <f>SUM(H764)</f>
        <v>0</v>
      </c>
      <c r="I765" s="582">
        <f t="shared" si="365"/>
        <v>0</v>
      </c>
      <c r="J765" s="582">
        <f>SUM(J764)</f>
        <v>0</v>
      </c>
      <c r="K765" s="582">
        <f t="shared" si="365"/>
        <v>0</v>
      </c>
      <c r="L765" s="582">
        <f t="shared" si="365"/>
        <v>0</v>
      </c>
      <c r="M765" s="582">
        <f t="shared" si="365"/>
        <v>0</v>
      </c>
      <c r="N765" s="582">
        <f t="shared" si="365"/>
        <v>0</v>
      </c>
      <c r="O765" s="582">
        <f t="shared" si="365"/>
        <v>0</v>
      </c>
      <c r="P765" s="582">
        <f t="shared" si="365"/>
        <v>0</v>
      </c>
      <c r="Q765" s="582">
        <f t="shared" si="365"/>
        <v>0</v>
      </c>
      <c r="R765" s="582">
        <f t="shared" si="365"/>
        <v>0</v>
      </c>
      <c r="S765" s="582">
        <f t="shared" si="365"/>
        <v>0</v>
      </c>
      <c r="T765" s="582">
        <f t="shared" si="365"/>
        <v>0</v>
      </c>
      <c r="U765" s="582">
        <f t="shared" si="365"/>
        <v>0</v>
      </c>
      <c r="V765" s="616">
        <f t="shared" si="365"/>
        <v>0</v>
      </c>
    </row>
    <row r="766" spans="1:26" ht="12.6" customHeight="1" x14ac:dyDescent="0.25">
      <c r="A766" s="577"/>
      <c r="B766" s="581"/>
      <c r="C766" s="569"/>
      <c r="D766" s="583" t="s">
        <v>347</v>
      </c>
      <c r="E766" s="700"/>
      <c r="F766" s="700"/>
      <c r="G766" s="700"/>
      <c r="H766" s="700"/>
      <c r="I766" s="700"/>
      <c r="J766" s="700"/>
      <c r="K766" s="700"/>
      <c r="L766" s="584"/>
      <c r="M766" s="584"/>
      <c r="N766" s="584"/>
      <c r="O766" s="584"/>
      <c r="P766" s="584"/>
      <c r="Q766" s="584"/>
      <c r="R766" s="584"/>
      <c r="S766" s="584"/>
      <c r="T766" s="584"/>
      <c r="U766" s="584"/>
      <c r="V766" s="584"/>
      <c r="W766" s="532"/>
      <c r="X766" s="532"/>
      <c r="Y766" s="532"/>
      <c r="Z766" s="532"/>
    </row>
    <row r="767" spans="1:26" ht="12.6" customHeight="1" x14ac:dyDescent="0.25">
      <c r="A767" s="577"/>
      <c r="B767" s="581"/>
      <c r="C767" s="569"/>
      <c r="D767" s="583" t="s">
        <v>348</v>
      </c>
      <c r="E767" s="584">
        <f>SUM(E764)</f>
        <v>0</v>
      </c>
      <c r="F767" s="584">
        <f t="shared" ref="F767:V767" si="366">SUM(F764)</f>
        <v>0</v>
      </c>
      <c r="G767" s="584">
        <f t="shared" si="366"/>
        <v>0</v>
      </c>
      <c r="H767" s="584">
        <f>SUM(H764)</f>
        <v>0</v>
      </c>
      <c r="I767" s="584">
        <f t="shared" si="366"/>
        <v>0</v>
      </c>
      <c r="J767" s="584">
        <f>SUM(J764)</f>
        <v>0</v>
      </c>
      <c r="K767" s="584">
        <f t="shared" si="366"/>
        <v>0</v>
      </c>
      <c r="L767" s="584">
        <f t="shared" si="366"/>
        <v>0</v>
      </c>
      <c r="M767" s="584">
        <f t="shared" si="366"/>
        <v>0</v>
      </c>
      <c r="N767" s="584">
        <f t="shared" si="366"/>
        <v>0</v>
      </c>
      <c r="O767" s="584">
        <f t="shared" si="366"/>
        <v>0</v>
      </c>
      <c r="P767" s="584">
        <f t="shared" si="366"/>
        <v>0</v>
      </c>
      <c r="Q767" s="584">
        <f t="shared" si="366"/>
        <v>0</v>
      </c>
      <c r="R767" s="584">
        <f t="shared" si="366"/>
        <v>0</v>
      </c>
      <c r="S767" s="584">
        <f t="shared" si="366"/>
        <v>0</v>
      </c>
      <c r="T767" s="584">
        <f t="shared" si="366"/>
        <v>0</v>
      </c>
      <c r="U767" s="584">
        <f t="shared" si="366"/>
        <v>0</v>
      </c>
      <c r="V767" s="584">
        <f t="shared" si="366"/>
        <v>0</v>
      </c>
      <c r="W767" s="532"/>
      <c r="X767" s="532"/>
      <c r="Y767" s="532"/>
      <c r="Z767" s="532"/>
    </row>
    <row r="768" spans="1:26" ht="12.6" customHeight="1" x14ac:dyDescent="0.25">
      <c r="A768" s="577"/>
      <c r="B768" s="581"/>
      <c r="C768" s="569"/>
      <c r="D768" s="580"/>
      <c r="E768" s="584">
        <f>SUM(E766:E767)</f>
        <v>0</v>
      </c>
      <c r="F768" s="584">
        <f t="shared" ref="F768:V768" si="367">SUM(F766:F767)</f>
        <v>0</v>
      </c>
      <c r="G768" s="584">
        <f t="shared" si="367"/>
        <v>0</v>
      </c>
      <c r="H768" s="584">
        <f>SUM(H766:H767)</f>
        <v>0</v>
      </c>
      <c r="I768" s="584">
        <f t="shared" si="367"/>
        <v>0</v>
      </c>
      <c r="J768" s="584">
        <f>SUM(J766:J767)</f>
        <v>0</v>
      </c>
      <c r="K768" s="584">
        <f t="shared" si="367"/>
        <v>0</v>
      </c>
      <c r="L768" s="584">
        <f t="shared" si="367"/>
        <v>0</v>
      </c>
      <c r="M768" s="584">
        <f t="shared" si="367"/>
        <v>0</v>
      </c>
      <c r="N768" s="584">
        <f t="shared" si="367"/>
        <v>0</v>
      </c>
      <c r="O768" s="584">
        <f t="shared" si="367"/>
        <v>0</v>
      </c>
      <c r="P768" s="584">
        <f t="shared" si="367"/>
        <v>0</v>
      </c>
      <c r="Q768" s="584">
        <f t="shared" si="367"/>
        <v>0</v>
      </c>
      <c r="R768" s="584">
        <f t="shared" si="367"/>
        <v>0</v>
      </c>
      <c r="S768" s="584">
        <f t="shared" si="367"/>
        <v>0</v>
      </c>
      <c r="T768" s="584">
        <f t="shared" si="367"/>
        <v>0</v>
      </c>
      <c r="U768" s="584">
        <f t="shared" si="367"/>
        <v>0</v>
      </c>
      <c r="V768" s="584">
        <f t="shared" si="367"/>
        <v>0</v>
      </c>
      <c r="W768" s="532"/>
      <c r="X768" s="532"/>
      <c r="Y768" s="532"/>
      <c r="Z768" s="532"/>
    </row>
    <row r="769" spans="1:26" ht="12.6" customHeight="1" x14ac:dyDescent="0.25">
      <c r="A769" s="577"/>
      <c r="B769" s="569"/>
      <c r="C769" s="569"/>
      <c r="D769" s="580"/>
      <c r="E769" s="586">
        <f>E768-E765</f>
        <v>0</v>
      </c>
      <c r="F769" s="586">
        <f t="shared" ref="F769:V769" si="368">F768-F765</f>
        <v>0</v>
      </c>
      <c r="G769" s="586">
        <f t="shared" si="368"/>
        <v>0</v>
      </c>
      <c r="H769" s="586">
        <f>H768-H765</f>
        <v>0</v>
      </c>
      <c r="I769" s="586">
        <f t="shared" si="368"/>
        <v>0</v>
      </c>
      <c r="J769" s="586">
        <f>J768-J765</f>
        <v>0</v>
      </c>
      <c r="K769" s="586">
        <f t="shared" si="368"/>
        <v>0</v>
      </c>
      <c r="L769" s="586">
        <f t="shared" si="368"/>
        <v>0</v>
      </c>
      <c r="M769" s="586">
        <f t="shared" si="368"/>
        <v>0</v>
      </c>
      <c r="N769" s="586">
        <f t="shared" si="368"/>
        <v>0</v>
      </c>
      <c r="O769" s="586">
        <f t="shared" si="368"/>
        <v>0</v>
      </c>
      <c r="P769" s="586">
        <f t="shared" si="368"/>
        <v>0</v>
      </c>
      <c r="Q769" s="586">
        <f t="shared" si="368"/>
        <v>0</v>
      </c>
      <c r="R769" s="586">
        <f t="shared" si="368"/>
        <v>0</v>
      </c>
      <c r="S769" s="586">
        <f t="shared" si="368"/>
        <v>0</v>
      </c>
      <c r="T769" s="586">
        <f t="shared" si="368"/>
        <v>0</v>
      </c>
      <c r="U769" s="586">
        <f t="shared" si="368"/>
        <v>0</v>
      </c>
      <c r="V769" s="586">
        <f t="shared" si="368"/>
        <v>0</v>
      </c>
    </row>
    <row r="770" spans="1:26" s="533" customFormat="1" ht="12.6" customHeight="1" x14ac:dyDescent="0.25">
      <c r="A770" s="638"/>
      <c r="B770" s="608"/>
      <c r="C770" s="608"/>
      <c r="D770" s="608"/>
      <c r="E770" s="570"/>
      <c r="F770" s="570"/>
      <c r="G770" s="570"/>
      <c r="H770" s="570"/>
      <c r="I770" s="570"/>
      <c r="J770" s="570"/>
      <c r="K770" s="570"/>
      <c r="L770" s="570"/>
      <c r="M770" s="570"/>
      <c r="N770" s="570"/>
      <c r="O770" s="570"/>
      <c r="P770" s="570"/>
      <c r="Q770" s="570"/>
      <c r="R770" s="570"/>
      <c r="S770" s="570"/>
      <c r="T770" s="570"/>
      <c r="U770" s="570"/>
      <c r="V770" s="599"/>
    </row>
    <row r="771" spans="1:26" ht="12.6" customHeight="1" thickBot="1" x14ac:dyDescent="0.3">
      <c r="A771" s="611" t="s">
        <v>92</v>
      </c>
      <c r="B771" s="612" t="s">
        <v>173</v>
      </c>
      <c r="C771" s="612"/>
      <c r="D771" s="617"/>
      <c r="E771" s="594">
        <v>90000</v>
      </c>
      <c r="F771" s="594">
        <f>'CABAC Fiduciary 2025'!F334</f>
        <v>0</v>
      </c>
      <c r="G771" s="594"/>
      <c r="H771" s="594"/>
      <c r="I771" s="594"/>
      <c r="J771" s="594"/>
      <c r="K771" s="594"/>
      <c r="L771" s="594"/>
      <c r="M771" s="594"/>
      <c r="N771" s="594"/>
      <c r="O771" s="594"/>
      <c r="P771" s="594"/>
      <c r="Q771" s="594"/>
      <c r="R771" s="594"/>
      <c r="S771" s="594"/>
      <c r="T771" s="594">
        <f>SUM(E771:S771)</f>
        <v>90000</v>
      </c>
      <c r="U771" s="636"/>
      <c r="V771" s="614">
        <f>T771-U771</f>
        <v>90000</v>
      </c>
    </row>
    <row r="772" spans="1:26" ht="12.6" customHeight="1" thickBot="1" x14ac:dyDescent="0.3">
      <c r="A772" s="604" t="s">
        <v>93</v>
      </c>
      <c r="B772" s="581" t="s">
        <v>346</v>
      </c>
      <c r="C772" s="569"/>
      <c r="D772" s="580"/>
      <c r="E772" s="582">
        <f>SUM(E771)</f>
        <v>90000</v>
      </c>
      <c r="F772" s="582">
        <f t="shared" ref="F772:V772" si="369">SUM(F771)</f>
        <v>0</v>
      </c>
      <c r="G772" s="582">
        <f t="shared" si="369"/>
        <v>0</v>
      </c>
      <c r="H772" s="582">
        <f>SUM(H771)</f>
        <v>0</v>
      </c>
      <c r="I772" s="582">
        <f t="shared" si="369"/>
        <v>0</v>
      </c>
      <c r="J772" s="582">
        <f>SUM(J771)</f>
        <v>0</v>
      </c>
      <c r="K772" s="582">
        <f t="shared" si="369"/>
        <v>0</v>
      </c>
      <c r="L772" s="582">
        <f t="shared" si="369"/>
        <v>0</v>
      </c>
      <c r="M772" s="582">
        <f t="shared" si="369"/>
        <v>0</v>
      </c>
      <c r="N772" s="582">
        <f t="shared" si="369"/>
        <v>0</v>
      </c>
      <c r="O772" s="582">
        <f t="shared" si="369"/>
        <v>0</v>
      </c>
      <c r="P772" s="582">
        <f t="shared" si="369"/>
        <v>0</v>
      </c>
      <c r="Q772" s="582">
        <f t="shared" si="369"/>
        <v>0</v>
      </c>
      <c r="R772" s="582">
        <f t="shared" si="369"/>
        <v>0</v>
      </c>
      <c r="S772" s="582">
        <f t="shared" si="369"/>
        <v>0</v>
      </c>
      <c r="T772" s="582">
        <f t="shared" si="369"/>
        <v>90000</v>
      </c>
      <c r="U772" s="582">
        <f t="shared" si="369"/>
        <v>0</v>
      </c>
      <c r="V772" s="616">
        <f t="shared" si="369"/>
        <v>90000</v>
      </c>
    </row>
    <row r="773" spans="1:26" ht="12.6" customHeight="1" x14ac:dyDescent="0.25">
      <c r="A773" s="577"/>
      <c r="B773" s="581"/>
      <c r="C773" s="569"/>
      <c r="D773" s="583" t="s">
        <v>347</v>
      </c>
      <c r="E773" s="830">
        <f>E771</f>
        <v>90000</v>
      </c>
      <c r="F773" s="830">
        <f t="shared" ref="F773:V773" si="370">F771</f>
        <v>0</v>
      </c>
      <c r="G773" s="700">
        <f t="shared" si="370"/>
        <v>0</v>
      </c>
      <c r="H773" s="700">
        <f>H771</f>
        <v>0</v>
      </c>
      <c r="I773" s="700">
        <f t="shared" si="370"/>
        <v>0</v>
      </c>
      <c r="J773" s="700">
        <f>J771</f>
        <v>0</v>
      </c>
      <c r="K773" s="700">
        <f t="shared" si="370"/>
        <v>0</v>
      </c>
      <c r="L773" s="584">
        <f t="shared" si="370"/>
        <v>0</v>
      </c>
      <c r="M773" s="584">
        <f t="shared" si="370"/>
        <v>0</v>
      </c>
      <c r="N773" s="584">
        <f t="shared" si="370"/>
        <v>0</v>
      </c>
      <c r="O773" s="584">
        <f t="shared" si="370"/>
        <v>0</v>
      </c>
      <c r="P773" s="584">
        <f t="shared" si="370"/>
        <v>0</v>
      </c>
      <c r="Q773" s="584">
        <f t="shared" si="370"/>
        <v>0</v>
      </c>
      <c r="R773" s="584">
        <f t="shared" si="370"/>
        <v>0</v>
      </c>
      <c r="S773" s="584">
        <f t="shared" si="370"/>
        <v>0</v>
      </c>
      <c r="T773" s="584">
        <f t="shared" si="370"/>
        <v>90000</v>
      </c>
      <c r="U773" s="584">
        <f t="shared" si="370"/>
        <v>0</v>
      </c>
      <c r="V773" s="584">
        <f t="shared" si="370"/>
        <v>90000</v>
      </c>
      <c r="W773" s="532"/>
      <c r="X773" s="532"/>
      <c r="Y773" s="532"/>
      <c r="Z773" s="532"/>
    </row>
    <row r="774" spans="1:26" ht="12.6" customHeight="1" x14ac:dyDescent="0.25">
      <c r="A774" s="577"/>
      <c r="B774" s="581"/>
      <c r="C774" s="569"/>
      <c r="D774" s="583" t="s">
        <v>348</v>
      </c>
      <c r="E774" s="730"/>
      <c r="F774" s="730"/>
      <c r="G774" s="584"/>
      <c r="H774" s="584"/>
      <c r="I774" s="584"/>
      <c r="J774" s="584"/>
      <c r="K774" s="584"/>
      <c r="L774" s="584"/>
      <c r="M774" s="584"/>
      <c r="N774" s="584"/>
      <c r="O774" s="584"/>
      <c r="P774" s="584"/>
      <c r="Q774" s="584"/>
      <c r="R774" s="584"/>
      <c r="S774" s="584"/>
      <c r="T774" s="584"/>
      <c r="U774" s="584"/>
      <c r="V774" s="584"/>
      <c r="W774" s="532"/>
      <c r="X774" s="532"/>
      <c r="Y774" s="532"/>
      <c r="Z774" s="532"/>
    </row>
    <row r="775" spans="1:26" ht="12.6" customHeight="1" x14ac:dyDescent="0.25">
      <c r="A775" s="577"/>
      <c r="B775" s="581"/>
      <c r="C775" s="569"/>
      <c r="D775" s="580"/>
      <c r="E775" s="730">
        <f>SUM(E773:E774)</f>
        <v>90000</v>
      </c>
      <c r="F775" s="730">
        <f t="shared" ref="F775:V775" si="371">SUM(F773:F774)</f>
        <v>0</v>
      </c>
      <c r="G775" s="584">
        <f t="shared" si="371"/>
        <v>0</v>
      </c>
      <c r="H775" s="584">
        <f>SUM(H773:H774)</f>
        <v>0</v>
      </c>
      <c r="I775" s="584">
        <f t="shared" si="371"/>
        <v>0</v>
      </c>
      <c r="J775" s="584">
        <f>SUM(J773:J774)</f>
        <v>0</v>
      </c>
      <c r="K775" s="584">
        <f t="shared" si="371"/>
        <v>0</v>
      </c>
      <c r="L775" s="584">
        <f t="shared" si="371"/>
        <v>0</v>
      </c>
      <c r="M775" s="584">
        <f t="shared" si="371"/>
        <v>0</v>
      </c>
      <c r="N775" s="584">
        <f t="shared" si="371"/>
        <v>0</v>
      </c>
      <c r="O775" s="584">
        <f t="shared" si="371"/>
        <v>0</v>
      </c>
      <c r="P775" s="584">
        <f t="shared" si="371"/>
        <v>0</v>
      </c>
      <c r="Q775" s="584">
        <f t="shared" si="371"/>
        <v>0</v>
      </c>
      <c r="R775" s="584">
        <f t="shared" si="371"/>
        <v>0</v>
      </c>
      <c r="S775" s="584">
        <f t="shared" si="371"/>
        <v>0</v>
      </c>
      <c r="T775" s="584">
        <f t="shared" si="371"/>
        <v>90000</v>
      </c>
      <c r="U775" s="584">
        <f t="shared" si="371"/>
        <v>0</v>
      </c>
      <c r="V775" s="584">
        <f t="shared" si="371"/>
        <v>90000</v>
      </c>
      <c r="W775" s="532"/>
      <c r="X775" s="532"/>
      <c r="Y775" s="532"/>
      <c r="Z775" s="532"/>
    </row>
    <row r="776" spans="1:26" ht="12.6" customHeight="1" x14ac:dyDescent="0.25">
      <c r="A776" s="577"/>
      <c r="B776" s="569"/>
      <c r="C776" s="569"/>
      <c r="D776" s="569"/>
      <c r="E776" s="1234">
        <f>E775-E772</f>
        <v>0</v>
      </c>
      <c r="F776" s="1234">
        <f t="shared" ref="F776:V776" si="372">F775-F772</f>
        <v>0</v>
      </c>
      <c r="G776" s="1234">
        <f t="shared" si="372"/>
        <v>0</v>
      </c>
      <c r="H776" s="1234">
        <f>H775-H772</f>
        <v>0</v>
      </c>
      <c r="I776" s="1234">
        <f t="shared" si="372"/>
        <v>0</v>
      </c>
      <c r="J776" s="1234">
        <f>J775-J772</f>
        <v>0</v>
      </c>
      <c r="K776" s="1234">
        <f t="shared" si="372"/>
        <v>0</v>
      </c>
      <c r="L776" s="1234">
        <f t="shared" si="372"/>
        <v>0</v>
      </c>
      <c r="M776" s="1234">
        <f t="shared" si="372"/>
        <v>0</v>
      </c>
      <c r="N776" s="1234">
        <f t="shared" si="372"/>
        <v>0</v>
      </c>
      <c r="O776" s="1234">
        <f t="shared" si="372"/>
        <v>0</v>
      </c>
      <c r="P776" s="1234">
        <f t="shared" si="372"/>
        <v>0</v>
      </c>
      <c r="Q776" s="1234">
        <f t="shared" si="372"/>
        <v>0</v>
      </c>
      <c r="R776" s="1234">
        <f t="shared" si="372"/>
        <v>0</v>
      </c>
      <c r="S776" s="1234">
        <f t="shared" si="372"/>
        <v>0</v>
      </c>
      <c r="T776" s="1234">
        <f t="shared" si="372"/>
        <v>0</v>
      </c>
      <c r="U776" s="1234">
        <f t="shared" si="372"/>
        <v>0</v>
      </c>
      <c r="V776" s="1234">
        <f t="shared" si="372"/>
        <v>0</v>
      </c>
    </row>
    <row r="777" spans="1:26" ht="12.6" customHeight="1" x14ac:dyDescent="0.25">
      <c r="A777" s="573"/>
      <c r="B777" s="569"/>
      <c r="C777" s="569"/>
      <c r="D777" s="580"/>
      <c r="E777" s="570"/>
      <c r="F777" s="570"/>
      <c r="G777" s="570"/>
      <c r="H777" s="570"/>
      <c r="I777" s="570"/>
      <c r="J777" s="570"/>
      <c r="K777" s="570"/>
      <c r="L777" s="570"/>
      <c r="M777" s="570"/>
      <c r="N777" s="570"/>
      <c r="O777" s="570"/>
      <c r="P777" s="570"/>
      <c r="Q777" s="570"/>
      <c r="R777" s="570"/>
      <c r="S777" s="570"/>
      <c r="T777" s="570"/>
      <c r="U777" s="603"/>
      <c r="V777" s="615"/>
    </row>
    <row r="778" spans="1:26" s="533" customFormat="1" ht="12.6" customHeight="1" x14ac:dyDescent="0.25">
      <c r="A778" s="573" t="s">
        <v>83</v>
      </c>
      <c r="B778" s="569" t="s">
        <v>266</v>
      </c>
      <c r="C778" s="569"/>
      <c r="D778" s="580"/>
      <c r="E778" s="601"/>
      <c r="F778" s="601"/>
      <c r="G778" s="601"/>
      <c r="H778" s="601"/>
      <c r="I778" s="601"/>
      <c r="J778" s="601"/>
      <c r="K778" s="601"/>
      <c r="L778" s="601"/>
      <c r="M778" s="601"/>
      <c r="N778" s="601"/>
      <c r="O778" s="601"/>
      <c r="P778" s="601"/>
      <c r="Q778" s="601"/>
      <c r="R778" s="601"/>
      <c r="S778" s="601"/>
      <c r="T778" s="613">
        <f>SUM(E778:S778)</f>
        <v>0</v>
      </c>
      <c r="U778" s="606"/>
      <c r="V778" s="599">
        <f t="shared" ref="V778:V779" si="373">T778-U778</f>
        <v>0</v>
      </c>
    </row>
    <row r="779" spans="1:26" s="533" customFormat="1" ht="12.6" customHeight="1" thickBot="1" x14ac:dyDescent="0.3">
      <c r="A779" s="604" t="s">
        <v>82</v>
      </c>
      <c r="B779" s="569" t="s">
        <v>200</v>
      </c>
      <c r="C779" s="569"/>
      <c r="D779" s="580"/>
      <c r="E779" s="623"/>
      <c r="F779" s="621"/>
      <c r="G779" s="621"/>
      <c r="H779" s="621"/>
      <c r="I779" s="621"/>
      <c r="J779" s="621"/>
      <c r="K779" s="570"/>
      <c r="L779" s="570"/>
      <c r="M779" s="570"/>
      <c r="N779" s="570"/>
      <c r="O779" s="570"/>
      <c r="P779" s="570"/>
      <c r="Q779" s="1236"/>
      <c r="R779" s="631"/>
      <c r="S779" s="570"/>
      <c r="T779" s="570">
        <f>SUM(E779:S779)</f>
        <v>0</v>
      </c>
      <c r="U779" s="606"/>
      <c r="V779" s="599">
        <f t="shared" si="373"/>
        <v>0</v>
      </c>
    </row>
    <row r="780" spans="1:26" s="533" customFormat="1" ht="12.6" customHeight="1" thickBot="1" x14ac:dyDescent="0.3">
      <c r="A780" s="573"/>
      <c r="B780" s="581" t="s">
        <v>346</v>
      </c>
      <c r="C780" s="569"/>
      <c r="D780" s="569"/>
      <c r="E780" s="582">
        <f>SUM(E778:E779)</f>
        <v>0</v>
      </c>
      <c r="F780" s="582">
        <f t="shared" ref="F780:V780" si="374">SUM(F778:F779)</f>
        <v>0</v>
      </c>
      <c r="G780" s="582">
        <f t="shared" si="374"/>
        <v>0</v>
      </c>
      <c r="H780" s="582">
        <f>SUM(H778:H779)</f>
        <v>0</v>
      </c>
      <c r="I780" s="582">
        <f t="shared" si="374"/>
        <v>0</v>
      </c>
      <c r="J780" s="582">
        <f>SUM(J778:J779)</f>
        <v>0</v>
      </c>
      <c r="K780" s="582">
        <f t="shared" si="374"/>
        <v>0</v>
      </c>
      <c r="L780" s="582">
        <f t="shared" si="374"/>
        <v>0</v>
      </c>
      <c r="M780" s="582">
        <f t="shared" si="374"/>
        <v>0</v>
      </c>
      <c r="N780" s="582">
        <f t="shared" si="374"/>
        <v>0</v>
      </c>
      <c r="O780" s="582">
        <f t="shared" si="374"/>
        <v>0</v>
      </c>
      <c r="P780" s="582">
        <f t="shared" si="374"/>
        <v>0</v>
      </c>
      <c r="Q780" s="652">
        <f t="shared" si="374"/>
        <v>0</v>
      </c>
      <c r="R780" s="582">
        <f t="shared" si="374"/>
        <v>0</v>
      </c>
      <c r="S780" s="582">
        <f t="shared" si="374"/>
        <v>0</v>
      </c>
      <c r="T780" s="582">
        <f t="shared" si="374"/>
        <v>0</v>
      </c>
      <c r="U780" s="582">
        <f t="shared" si="374"/>
        <v>0</v>
      </c>
      <c r="V780" s="582">
        <f t="shared" si="374"/>
        <v>0</v>
      </c>
    </row>
    <row r="781" spans="1:26" ht="12.6" customHeight="1" x14ac:dyDescent="0.25">
      <c r="A781" s="577"/>
      <c r="B781" s="581"/>
      <c r="C781" s="569"/>
      <c r="D781" s="583" t="s">
        <v>347</v>
      </c>
      <c r="E781" s="700">
        <f>E779</f>
        <v>0</v>
      </c>
      <c r="F781" s="700">
        <f t="shared" ref="F781:V781" si="375">F779</f>
        <v>0</v>
      </c>
      <c r="G781" s="700">
        <f t="shared" si="375"/>
        <v>0</v>
      </c>
      <c r="H781" s="700">
        <f>H779</f>
        <v>0</v>
      </c>
      <c r="I781" s="700">
        <f t="shared" si="375"/>
        <v>0</v>
      </c>
      <c r="J781" s="700">
        <f>J779</f>
        <v>0</v>
      </c>
      <c r="K781" s="700">
        <f t="shared" si="375"/>
        <v>0</v>
      </c>
      <c r="L781" s="584">
        <f t="shared" si="375"/>
        <v>0</v>
      </c>
      <c r="M781" s="584">
        <f t="shared" si="375"/>
        <v>0</v>
      </c>
      <c r="N781" s="584">
        <f t="shared" si="375"/>
        <v>0</v>
      </c>
      <c r="O781" s="584">
        <f t="shared" si="375"/>
        <v>0</v>
      </c>
      <c r="P781" s="584">
        <f t="shared" si="375"/>
        <v>0</v>
      </c>
      <c r="Q781" s="584">
        <f t="shared" si="375"/>
        <v>0</v>
      </c>
      <c r="R781" s="584">
        <f t="shared" si="375"/>
        <v>0</v>
      </c>
      <c r="S781" s="584">
        <f t="shared" si="375"/>
        <v>0</v>
      </c>
      <c r="T781" s="584">
        <f t="shared" si="375"/>
        <v>0</v>
      </c>
      <c r="U781" s="584">
        <f t="shared" si="375"/>
        <v>0</v>
      </c>
      <c r="V781" s="584">
        <f t="shared" si="375"/>
        <v>0</v>
      </c>
      <c r="W781" s="532"/>
      <c r="X781" s="532"/>
      <c r="Y781" s="532"/>
      <c r="Z781" s="532"/>
    </row>
    <row r="782" spans="1:26" ht="12.6" customHeight="1" x14ac:dyDescent="0.25">
      <c r="A782" s="577"/>
      <c r="B782" s="581"/>
      <c r="C782" s="569"/>
      <c r="D782" s="583" t="s">
        <v>348</v>
      </c>
      <c r="E782" s="584">
        <f>E778</f>
        <v>0</v>
      </c>
      <c r="F782" s="584">
        <f t="shared" ref="F782:V782" si="376">F778</f>
        <v>0</v>
      </c>
      <c r="G782" s="584">
        <f t="shared" si="376"/>
        <v>0</v>
      </c>
      <c r="H782" s="584">
        <f>H778</f>
        <v>0</v>
      </c>
      <c r="I782" s="584">
        <f t="shared" si="376"/>
        <v>0</v>
      </c>
      <c r="J782" s="584">
        <f>J778</f>
        <v>0</v>
      </c>
      <c r="K782" s="584">
        <f t="shared" si="376"/>
        <v>0</v>
      </c>
      <c r="L782" s="584">
        <f t="shared" si="376"/>
        <v>0</v>
      </c>
      <c r="M782" s="584">
        <f t="shared" si="376"/>
        <v>0</v>
      </c>
      <c r="N782" s="584">
        <f t="shared" si="376"/>
        <v>0</v>
      </c>
      <c r="O782" s="584">
        <f t="shared" si="376"/>
        <v>0</v>
      </c>
      <c r="P782" s="584">
        <f t="shared" si="376"/>
        <v>0</v>
      </c>
      <c r="Q782" s="584">
        <f t="shared" si="376"/>
        <v>0</v>
      </c>
      <c r="R782" s="584">
        <f t="shared" si="376"/>
        <v>0</v>
      </c>
      <c r="S782" s="584">
        <f t="shared" si="376"/>
        <v>0</v>
      </c>
      <c r="T782" s="584">
        <f t="shared" si="376"/>
        <v>0</v>
      </c>
      <c r="U782" s="584">
        <f t="shared" si="376"/>
        <v>0</v>
      </c>
      <c r="V782" s="584">
        <f t="shared" si="376"/>
        <v>0</v>
      </c>
      <c r="W782" s="532"/>
      <c r="X782" s="532"/>
      <c r="Y782" s="532"/>
      <c r="Z782" s="532"/>
    </row>
    <row r="783" spans="1:26" ht="12.6" customHeight="1" x14ac:dyDescent="0.25">
      <c r="A783" s="577"/>
      <c r="B783" s="581"/>
      <c r="C783" s="569"/>
      <c r="D783" s="580"/>
      <c r="E783" s="584">
        <f>SUM(E781:E782)</f>
        <v>0</v>
      </c>
      <c r="F783" s="584">
        <f t="shared" ref="F783:V783" si="377">SUM(F781:F782)</f>
        <v>0</v>
      </c>
      <c r="G783" s="584">
        <f t="shared" si="377"/>
        <v>0</v>
      </c>
      <c r="H783" s="584">
        <f>SUM(H781:H782)</f>
        <v>0</v>
      </c>
      <c r="I783" s="584">
        <f t="shared" si="377"/>
        <v>0</v>
      </c>
      <c r="J783" s="584">
        <f>SUM(J781:J782)</f>
        <v>0</v>
      </c>
      <c r="K783" s="584">
        <f t="shared" si="377"/>
        <v>0</v>
      </c>
      <c r="L783" s="584">
        <f t="shared" si="377"/>
        <v>0</v>
      </c>
      <c r="M783" s="584">
        <f t="shared" si="377"/>
        <v>0</v>
      </c>
      <c r="N783" s="584">
        <f t="shared" si="377"/>
        <v>0</v>
      </c>
      <c r="O783" s="584">
        <f t="shared" si="377"/>
        <v>0</v>
      </c>
      <c r="P783" s="584">
        <f t="shared" si="377"/>
        <v>0</v>
      </c>
      <c r="Q783" s="584">
        <f t="shared" si="377"/>
        <v>0</v>
      </c>
      <c r="R783" s="584">
        <f t="shared" si="377"/>
        <v>0</v>
      </c>
      <c r="S783" s="584">
        <f t="shared" si="377"/>
        <v>0</v>
      </c>
      <c r="T783" s="584">
        <f t="shared" si="377"/>
        <v>0</v>
      </c>
      <c r="U783" s="584">
        <f t="shared" si="377"/>
        <v>0</v>
      </c>
      <c r="V783" s="584">
        <f t="shared" si="377"/>
        <v>0</v>
      </c>
      <c r="W783" s="532"/>
      <c r="X783" s="532"/>
      <c r="Y783" s="532"/>
      <c r="Z783" s="532"/>
    </row>
    <row r="784" spans="1:26" ht="12.6" customHeight="1" x14ac:dyDescent="0.25">
      <c r="A784" s="577"/>
      <c r="B784" s="569"/>
      <c r="C784" s="569"/>
      <c r="D784" s="580"/>
      <c r="E784" s="1232">
        <f>E783-E780</f>
        <v>0</v>
      </c>
      <c r="F784" s="1232">
        <f t="shared" ref="F784:V784" si="378">F783-F780</f>
        <v>0</v>
      </c>
      <c r="G784" s="1232">
        <f t="shared" si="378"/>
        <v>0</v>
      </c>
      <c r="H784" s="1232">
        <f>H783-H780</f>
        <v>0</v>
      </c>
      <c r="I784" s="1232">
        <f t="shared" si="378"/>
        <v>0</v>
      </c>
      <c r="J784" s="1232">
        <f>J783-J780</f>
        <v>0</v>
      </c>
      <c r="K784" s="1232">
        <f t="shared" si="378"/>
        <v>0</v>
      </c>
      <c r="L784" s="1232">
        <f t="shared" si="378"/>
        <v>0</v>
      </c>
      <c r="M784" s="1232">
        <f t="shared" si="378"/>
        <v>0</v>
      </c>
      <c r="N784" s="1232">
        <f t="shared" si="378"/>
        <v>0</v>
      </c>
      <c r="O784" s="1232">
        <f t="shared" si="378"/>
        <v>0</v>
      </c>
      <c r="P784" s="1232">
        <f t="shared" si="378"/>
        <v>0</v>
      </c>
      <c r="Q784" s="1232">
        <f t="shared" si="378"/>
        <v>0</v>
      </c>
      <c r="R784" s="1232">
        <f t="shared" si="378"/>
        <v>0</v>
      </c>
      <c r="S784" s="1232">
        <f t="shared" si="378"/>
        <v>0</v>
      </c>
      <c r="T784" s="1232">
        <f t="shared" si="378"/>
        <v>0</v>
      </c>
      <c r="U784" s="1232">
        <f t="shared" si="378"/>
        <v>0</v>
      </c>
      <c r="V784" s="1232">
        <f t="shared" si="378"/>
        <v>0</v>
      </c>
    </row>
    <row r="785" spans="1:26" s="533" customFormat="1" ht="12.6" customHeight="1" x14ac:dyDescent="0.25">
      <c r="A785" s="573"/>
      <c r="B785" s="569"/>
      <c r="C785" s="569"/>
      <c r="D785" s="580"/>
      <c r="E785" s="601"/>
      <c r="F785" s="601"/>
      <c r="G785" s="601"/>
      <c r="H785" s="601"/>
      <c r="I785" s="601"/>
      <c r="J785" s="601"/>
      <c r="K785" s="601"/>
      <c r="L785" s="601"/>
      <c r="M785" s="601"/>
      <c r="N785" s="601"/>
      <c r="O785" s="601"/>
      <c r="P785" s="601"/>
      <c r="Q785" s="601"/>
      <c r="R785" s="601"/>
      <c r="S785" s="601"/>
      <c r="T785" s="601"/>
      <c r="U785" s="601"/>
      <c r="V785" s="615"/>
    </row>
    <row r="786" spans="1:26" s="533" customFormat="1" ht="12.6" customHeight="1" thickBot="1" x14ac:dyDescent="0.3">
      <c r="A786" s="573" t="s">
        <v>25</v>
      </c>
      <c r="B786" s="569" t="s">
        <v>147</v>
      </c>
      <c r="C786" s="569"/>
      <c r="D786" s="580"/>
      <c r="E786" s="631"/>
      <c r="F786" s="631"/>
      <c r="G786" s="631"/>
      <c r="H786" s="631"/>
      <c r="I786" s="631"/>
      <c r="J786" s="631"/>
      <c r="K786" s="631"/>
      <c r="L786" s="631"/>
      <c r="M786" s="631"/>
      <c r="N786" s="631"/>
      <c r="O786" s="631"/>
      <c r="P786" s="631"/>
      <c r="Q786" s="631"/>
      <c r="R786" s="631"/>
      <c r="S786" s="631"/>
      <c r="T786" s="631">
        <f>SUM(E786:S786)</f>
        <v>0</v>
      </c>
      <c r="U786" s="634"/>
      <c r="V786" s="599">
        <f>T786-U786</f>
        <v>0</v>
      </c>
    </row>
    <row r="787" spans="1:26" s="533" customFormat="1" ht="12.6" customHeight="1" thickBot="1" x14ac:dyDescent="0.3">
      <c r="A787" s="604" t="s">
        <v>71</v>
      </c>
      <c r="B787" s="581" t="s">
        <v>346</v>
      </c>
      <c r="C787" s="569"/>
      <c r="D787" s="580"/>
      <c r="E787" s="582">
        <f>SUM(E786)</f>
        <v>0</v>
      </c>
      <c r="F787" s="582">
        <f t="shared" ref="F787:V787" si="379">SUM(F786)</f>
        <v>0</v>
      </c>
      <c r="G787" s="582">
        <f t="shared" si="379"/>
        <v>0</v>
      </c>
      <c r="H787" s="582">
        <f>SUM(H786)</f>
        <v>0</v>
      </c>
      <c r="I787" s="582">
        <f t="shared" si="379"/>
        <v>0</v>
      </c>
      <c r="J787" s="582">
        <f>SUM(J786)</f>
        <v>0</v>
      </c>
      <c r="K787" s="582">
        <f t="shared" si="379"/>
        <v>0</v>
      </c>
      <c r="L787" s="582">
        <f t="shared" si="379"/>
        <v>0</v>
      </c>
      <c r="M787" s="582">
        <f t="shared" si="379"/>
        <v>0</v>
      </c>
      <c r="N787" s="582">
        <f t="shared" si="379"/>
        <v>0</v>
      </c>
      <c r="O787" s="582">
        <f t="shared" si="379"/>
        <v>0</v>
      </c>
      <c r="P787" s="582">
        <f t="shared" si="379"/>
        <v>0</v>
      </c>
      <c r="Q787" s="582">
        <f t="shared" si="379"/>
        <v>0</v>
      </c>
      <c r="R787" s="582">
        <f t="shared" si="379"/>
        <v>0</v>
      </c>
      <c r="S787" s="582">
        <f t="shared" si="379"/>
        <v>0</v>
      </c>
      <c r="T787" s="582">
        <f>SUM(T786)</f>
        <v>0</v>
      </c>
      <c r="U787" s="582">
        <f t="shared" si="379"/>
        <v>0</v>
      </c>
      <c r="V787" s="616">
        <f t="shared" si="379"/>
        <v>0</v>
      </c>
    </row>
    <row r="788" spans="1:26" ht="12.6" customHeight="1" x14ac:dyDescent="0.25">
      <c r="A788" s="577"/>
      <c r="B788" s="581"/>
      <c r="C788" s="569"/>
      <c r="D788" s="583" t="s">
        <v>347</v>
      </c>
      <c r="E788" s="700">
        <f>E786</f>
        <v>0</v>
      </c>
      <c r="F788" s="700">
        <f t="shared" ref="F788:V788" si="380">F786</f>
        <v>0</v>
      </c>
      <c r="G788" s="700">
        <f t="shared" si="380"/>
        <v>0</v>
      </c>
      <c r="H788" s="700">
        <f>H786</f>
        <v>0</v>
      </c>
      <c r="I788" s="700">
        <f t="shared" si="380"/>
        <v>0</v>
      </c>
      <c r="J788" s="700">
        <f>J786</f>
        <v>0</v>
      </c>
      <c r="K788" s="700">
        <f t="shared" si="380"/>
        <v>0</v>
      </c>
      <c r="L788" s="584">
        <f t="shared" si="380"/>
        <v>0</v>
      </c>
      <c r="M788" s="584">
        <f t="shared" si="380"/>
        <v>0</v>
      </c>
      <c r="N788" s="584">
        <f t="shared" si="380"/>
        <v>0</v>
      </c>
      <c r="O788" s="584">
        <f t="shared" si="380"/>
        <v>0</v>
      </c>
      <c r="P788" s="584">
        <f t="shared" si="380"/>
        <v>0</v>
      </c>
      <c r="Q788" s="584">
        <f t="shared" si="380"/>
        <v>0</v>
      </c>
      <c r="R788" s="584">
        <f t="shared" si="380"/>
        <v>0</v>
      </c>
      <c r="S788" s="584">
        <f t="shared" si="380"/>
        <v>0</v>
      </c>
      <c r="T788" s="584">
        <f t="shared" si="380"/>
        <v>0</v>
      </c>
      <c r="U788" s="584">
        <f t="shared" si="380"/>
        <v>0</v>
      </c>
      <c r="V788" s="584">
        <f t="shared" si="380"/>
        <v>0</v>
      </c>
      <c r="W788" s="532"/>
      <c r="X788" s="532"/>
      <c r="Y788" s="532"/>
      <c r="Z788" s="532"/>
    </row>
    <row r="789" spans="1:26" ht="12.6" customHeight="1" x14ac:dyDescent="0.25">
      <c r="A789" s="577"/>
      <c r="B789" s="581"/>
      <c r="C789" s="569"/>
      <c r="D789" s="583" t="s">
        <v>348</v>
      </c>
      <c r="E789" s="584"/>
      <c r="F789" s="584"/>
      <c r="G789" s="584"/>
      <c r="H789" s="584"/>
      <c r="I789" s="584"/>
      <c r="J789" s="584"/>
      <c r="K789" s="584"/>
      <c r="L789" s="584"/>
      <c r="M789" s="584"/>
      <c r="N789" s="584"/>
      <c r="O789" s="584"/>
      <c r="P789" s="584"/>
      <c r="Q789" s="584"/>
      <c r="R789" s="584"/>
      <c r="S789" s="584"/>
      <c r="T789" s="584"/>
      <c r="U789" s="584"/>
      <c r="V789" s="584"/>
      <c r="W789" s="532"/>
      <c r="X789" s="532"/>
      <c r="Y789" s="532"/>
      <c r="Z789" s="532"/>
    </row>
    <row r="790" spans="1:26" ht="12.6" customHeight="1" x14ac:dyDescent="0.25">
      <c r="A790" s="577"/>
      <c r="B790" s="581"/>
      <c r="C790" s="569"/>
      <c r="D790" s="580"/>
      <c r="E790" s="584">
        <f>SUM(E788:E789)</f>
        <v>0</v>
      </c>
      <c r="F790" s="584">
        <f t="shared" ref="F790:V790" si="381">SUM(F788:F789)</f>
        <v>0</v>
      </c>
      <c r="G790" s="584">
        <f t="shared" si="381"/>
        <v>0</v>
      </c>
      <c r="H790" s="584">
        <f>SUM(H788:H789)</f>
        <v>0</v>
      </c>
      <c r="I790" s="584">
        <f t="shared" si="381"/>
        <v>0</v>
      </c>
      <c r="J790" s="584">
        <f>SUM(J788:J789)</f>
        <v>0</v>
      </c>
      <c r="K790" s="584">
        <f t="shared" si="381"/>
        <v>0</v>
      </c>
      <c r="L790" s="584">
        <f t="shared" si="381"/>
        <v>0</v>
      </c>
      <c r="M790" s="584">
        <f t="shared" si="381"/>
        <v>0</v>
      </c>
      <c r="N790" s="584">
        <f t="shared" si="381"/>
        <v>0</v>
      </c>
      <c r="O790" s="584">
        <f t="shared" si="381"/>
        <v>0</v>
      </c>
      <c r="P790" s="584">
        <f t="shared" si="381"/>
        <v>0</v>
      </c>
      <c r="Q790" s="584">
        <f t="shared" si="381"/>
        <v>0</v>
      </c>
      <c r="R790" s="584">
        <f t="shared" si="381"/>
        <v>0</v>
      </c>
      <c r="S790" s="584">
        <f t="shared" si="381"/>
        <v>0</v>
      </c>
      <c r="T790" s="584">
        <f t="shared" si="381"/>
        <v>0</v>
      </c>
      <c r="U790" s="584">
        <f t="shared" si="381"/>
        <v>0</v>
      </c>
      <c r="V790" s="584">
        <f t="shared" si="381"/>
        <v>0</v>
      </c>
      <c r="W790" s="532"/>
      <c r="X790" s="532"/>
      <c r="Y790" s="532"/>
      <c r="Z790" s="532"/>
    </row>
    <row r="791" spans="1:26" ht="12.6" customHeight="1" x14ac:dyDescent="0.25">
      <c r="A791" s="577"/>
      <c r="B791" s="569"/>
      <c r="C791" s="569"/>
      <c r="D791" s="580"/>
      <c r="E791" s="1232">
        <f>E790-E787</f>
        <v>0</v>
      </c>
      <c r="F791" s="1232">
        <f t="shared" ref="F791:V791" si="382">F790-F787</f>
        <v>0</v>
      </c>
      <c r="G791" s="1232">
        <f t="shared" si="382"/>
        <v>0</v>
      </c>
      <c r="H791" s="1232">
        <f>H790-H787</f>
        <v>0</v>
      </c>
      <c r="I791" s="1232">
        <f t="shared" si="382"/>
        <v>0</v>
      </c>
      <c r="J791" s="1232">
        <f>J790-J787</f>
        <v>0</v>
      </c>
      <c r="K791" s="1232">
        <f t="shared" si="382"/>
        <v>0</v>
      </c>
      <c r="L791" s="1232">
        <f t="shared" si="382"/>
        <v>0</v>
      </c>
      <c r="M791" s="1232">
        <f t="shared" si="382"/>
        <v>0</v>
      </c>
      <c r="N791" s="1232">
        <f t="shared" si="382"/>
        <v>0</v>
      </c>
      <c r="O791" s="1232">
        <f t="shared" si="382"/>
        <v>0</v>
      </c>
      <c r="P791" s="1232">
        <f t="shared" si="382"/>
        <v>0</v>
      </c>
      <c r="Q791" s="1232">
        <f t="shared" si="382"/>
        <v>0</v>
      </c>
      <c r="R791" s="1232">
        <f t="shared" si="382"/>
        <v>0</v>
      </c>
      <c r="S791" s="1232">
        <f t="shared" si="382"/>
        <v>0</v>
      </c>
      <c r="T791" s="1232">
        <f t="shared" si="382"/>
        <v>0</v>
      </c>
      <c r="U791" s="1232">
        <f t="shared" si="382"/>
        <v>0</v>
      </c>
      <c r="V791" s="1232">
        <f t="shared" si="382"/>
        <v>0</v>
      </c>
    </row>
    <row r="792" spans="1:26" s="533" customFormat="1" ht="12.6" customHeight="1" x14ac:dyDescent="0.25">
      <c r="A792" s="573"/>
      <c r="B792" s="569"/>
      <c r="C792" s="569"/>
      <c r="D792" s="580"/>
      <c r="E792" s="601"/>
      <c r="F792" s="601"/>
      <c r="G792" s="601"/>
      <c r="H792" s="601"/>
      <c r="I792" s="601"/>
      <c r="J792" s="601"/>
      <c r="K792" s="601"/>
      <c r="L792" s="601"/>
      <c r="M792" s="601"/>
      <c r="N792" s="601"/>
      <c r="O792" s="601"/>
      <c r="P792" s="601"/>
      <c r="Q792" s="601"/>
      <c r="R792" s="601"/>
      <c r="S792" s="601"/>
      <c r="T792" s="601"/>
      <c r="U792" s="601"/>
      <c r="V792" s="615"/>
    </row>
    <row r="793" spans="1:26" s="533" customFormat="1" ht="12.6" customHeight="1" x14ac:dyDescent="0.25">
      <c r="A793" s="573" t="s">
        <v>425</v>
      </c>
      <c r="B793" s="569" t="s">
        <v>292</v>
      </c>
      <c r="C793" s="569"/>
      <c r="D793" s="580"/>
      <c r="E793" s="570"/>
      <c r="F793" s="570"/>
      <c r="G793" s="570"/>
      <c r="H793" s="570"/>
      <c r="I793" s="570"/>
      <c r="J793" s="570"/>
      <c r="K793" s="570"/>
      <c r="L793" s="570"/>
      <c r="M793" s="570"/>
      <c r="N793" s="570"/>
      <c r="O793" s="570"/>
      <c r="P793" s="570"/>
      <c r="Q793" s="570"/>
      <c r="R793" s="570"/>
      <c r="S793" s="570"/>
      <c r="T793" s="570">
        <f t="shared" ref="T793:T797" si="383">SUM(E793:S793)</f>
        <v>0</v>
      </c>
      <c r="U793" s="603"/>
      <c r="V793" s="599">
        <f t="shared" ref="V793:V795" si="384">T793-U793</f>
        <v>0</v>
      </c>
    </row>
    <row r="794" spans="1:26" s="533" customFormat="1" ht="12.6" customHeight="1" x14ac:dyDescent="0.25">
      <c r="A794" s="604" t="s">
        <v>72</v>
      </c>
      <c r="B794" s="569" t="s">
        <v>464</v>
      </c>
      <c r="C794" s="569"/>
      <c r="D794" s="580"/>
      <c r="E794" s="570">
        <v>4000000</v>
      </c>
      <c r="F794" s="570"/>
      <c r="G794" s="570"/>
      <c r="H794" s="570"/>
      <c r="I794" s="570"/>
      <c r="J794" s="570"/>
      <c r="K794" s="570"/>
      <c r="L794" s="570"/>
      <c r="M794" s="570"/>
      <c r="N794" s="570"/>
      <c r="O794" s="570"/>
      <c r="P794" s="570"/>
      <c r="Q794" s="570"/>
      <c r="R794" s="570"/>
      <c r="S794" s="570"/>
      <c r="T794" s="570">
        <f t="shared" si="383"/>
        <v>4000000</v>
      </c>
      <c r="U794" s="603"/>
      <c r="V794" s="599">
        <f t="shared" si="384"/>
        <v>4000000</v>
      </c>
    </row>
    <row r="795" spans="1:26" s="533" customFormat="1" ht="12.6" customHeight="1" x14ac:dyDescent="0.25">
      <c r="A795" s="573"/>
      <c r="B795" s="569" t="s">
        <v>262</v>
      </c>
      <c r="C795" s="569"/>
      <c r="D795" s="580"/>
      <c r="E795" s="570"/>
      <c r="F795" s="570"/>
      <c r="G795" s="570"/>
      <c r="H795" s="570"/>
      <c r="I795" s="570"/>
      <c r="J795" s="570"/>
      <c r="K795" s="570"/>
      <c r="L795" s="570"/>
      <c r="M795" s="570"/>
      <c r="N795" s="570"/>
      <c r="O795" s="570"/>
      <c r="P795" s="570"/>
      <c r="Q795" s="570"/>
      <c r="R795" s="570"/>
      <c r="S795" s="570"/>
      <c r="T795" s="570">
        <f t="shared" si="383"/>
        <v>0</v>
      </c>
      <c r="U795" s="603"/>
      <c r="V795" s="599">
        <f t="shared" si="384"/>
        <v>0</v>
      </c>
    </row>
    <row r="796" spans="1:26" s="533" customFormat="1" ht="12.6" customHeight="1" x14ac:dyDescent="0.25">
      <c r="A796" s="604"/>
      <c r="B796" s="569" t="s">
        <v>142</v>
      </c>
      <c r="C796" s="569"/>
      <c r="D796" s="580"/>
      <c r="E796" s="570">
        <v>2892314.32</v>
      </c>
      <c r="F796" s="570">
        <f>'CABAC Fiduciary 2025'!F368</f>
        <v>0</v>
      </c>
      <c r="G796" s="570"/>
      <c r="H796" s="570"/>
      <c r="I796" s="570"/>
      <c r="J796" s="570"/>
      <c r="K796" s="570"/>
      <c r="L796" s="570"/>
      <c r="M796" s="570"/>
      <c r="N796" s="570"/>
      <c r="O796" s="570"/>
      <c r="P796" s="570"/>
      <c r="Q796" s="570"/>
      <c r="R796" s="570"/>
      <c r="S796" s="570"/>
      <c r="T796" s="570">
        <f t="shared" si="383"/>
        <v>2892314.32</v>
      </c>
      <c r="U796" s="603"/>
      <c r="V796" s="599">
        <f>T796-U796</f>
        <v>2892314.32</v>
      </c>
    </row>
    <row r="797" spans="1:26" s="533" customFormat="1" ht="12.6" customHeight="1" thickBot="1" x14ac:dyDescent="0.3">
      <c r="A797" s="573"/>
      <c r="B797" s="569" t="s">
        <v>144</v>
      </c>
      <c r="C797" s="569"/>
      <c r="D797" s="580"/>
      <c r="E797" s="570"/>
      <c r="F797" s="570">
        <f>'CABAC Fiduciary 2025'!F367</f>
        <v>0</v>
      </c>
      <c r="G797" s="570"/>
      <c r="H797" s="570"/>
      <c r="I797" s="570"/>
      <c r="J797" s="570"/>
      <c r="K797" s="601"/>
      <c r="L797" s="601"/>
      <c r="M797" s="601"/>
      <c r="N797" s="601"/>
      <c r="O797" s="601"/>
      <c r="P797" s="601"/>
      <c r="Q797" s="601"/>
      <c r="R797" s="601"/>
      <c r="S797" s="601"/>
      <c r="T797" s="601">
        <f t="shared" si="383"/>
        <v>0</v>
      </c>
      <c r="U797" s="606"/>
      <c r="V797" s="599">
        <f>T797-U797</f>
        <v>0</v>
      </c>
    </row>
    <row r="798" spans="1:26" s="533" customFormat="1" ht="12.6" customHeight="1" thickBot="1" x14ac:dyDescent="0.3">
      <c r="A798" s="573"/>
      <c r="B798" s="581" t="s">
        <v>346</v>
      </c>
      <c r="C798" s="569"/>
      <c r="D798" s="580"/>
      <c r="E798" s="582">
        <f t="shared" ref="E798:V798" si="385">SUM(E793:E797)</f>
        <v>6892314.3200000003</v>
      </c>
      <c r="F798" s="582">
        <f t="shared" si="385"/>
        <v>0</v>
      </c>
      <c r="G798" s="582">
        <f t="shared" si="385"/>
        <v>0</v>
      </c>
      <c r="H798" s="582">
        <f t="shared" si="385"/>
        <v>0</v>
      </c>
      <c r="I798" s="582">
        <f t="shared" si="385"/>
        <v>0</v>
      </c>
      <c r="J798" s="582">
        <f t="shared" si="385"/>
        <v>0</v>
      </c>
      <c r="K798" s="582">
        <f t="shared" si="385"/>
        <v>0</v>
      </c>
      <c r="L798" s="582">
        <f t="shared" si="385"/>
        <v>0</v>
      </c>
      <c r="M798" s="582">
        <f t="shared" si="385"/>
        <v>0</v>
      </c>
      <c r="N798" s="582">
        <f t="shared" si="385"/>
        <v>0</v>
      </c>
      <c r="O798" s="582">
        <f t="shared" si="385"/>
        <v>0</v>
      </c>
      <c r="P798" s="582">
        <f t="shared" si="385"/>
        <v>0</v>
      </c>
      <c r="Q798" s="582">
        <f t="shared" si="385"/>
        <v>0</v>
      </c>
      <c r="R798" s="582">
        <f t="shared" si="385"/>
        <v>0</v>
      </c>
      <c r="S798" s="582">
        <f t="shared" si="385"/>
        <v>0</v>
      </c>
      <c r="T798" s="582">
        <f t="shared" si="385"/>
        <v>6892314.3200000003</v>
      </c>
      <c r="U798" s="582">
        <f t="shared" si="385"/>
        <v>0</v>
      </c>
      <c r="V798" s="582">
        <f t="shared" si="385"/>
        <v>6892314.3200000003</v>
      </c>
    </row>
    <row r="799" spans="1:26" ht="12.6" customHeight="1" x14ac:dyDescent="0.25">
      <c r="A799" s="577"/>
      <c r="B799" s="581"/>
      <c r="C799" s="569"/>
      <c r="D799" s="583" t="s">
        <v>347</v>
      </c>
      <c r="E799" s="830">
        <f t="shared" ref="E799:V799" si="386">SUM(E796:E797)</f>
        <v>2892314.32</v>
      </c>
      <c r="F799" s="830">
        <f t="shared" si="386"/>
        <v>0</v>
      </c>
      <c r="G799" s="700">
        <f t="shared" si="386"/>
        <v>0</v>
      </c>
      <c r="H799" s="700">
        <f t="shared" si="386"/>
        <v>0</v>
      </c>
      <c r="I799" s="700">
        <f t="shared" si="386"/>
        <v>0</v>
      </c>
      <c r="J799" s="700">
        <f t="shared" si="386"/>
        <v>0</v>
      </c>
      <c r="K799" s="700">
        <f t="shared" si="386"/>
        <v>0</v>
      </c>
      <c r="L799" s="700">
        <f t="shared" si="386"/>
        <v>0</v>
      </c>
      <c r="M799" s="700">
        <f t="shared" si="386"/>
        <v>0</v>
      </c>
      <c r="N799" s="700">
        <f t="shared" si="386"/>
        <v>0</v>
      </c>
      <c r="O799" s="700">
        <f t="shared" si="386"/>
        <v>0</v>
      </c>
      <c r="P799" s="700">
        <f t="shared" si="386"/>
        <v>0</v>
      </c>
      <c r="Q799" s="700">
        <f t="shared" si="386"/>
        <v>0</v>
      </c>
      <c r="R799" s="700">
        <f t="shared" si="386"/>
        <v>0</v>
      </c>
      <c r="S799" s="700">
        <f t="shared" si="386"/>
        <v>0</v>
      </c>
      <c r="T799" s="700">
        <f t="shared" si="386"/>
        <v>2892314.32</v>
      </c>
      <c r="U799" s="700">
        <f t="shared" si="386"/>
        <v>0</v>
      </c>
      <c r="V799" s="700">
        <f t="shared" si="386"/>
        <v>2892314.32</v>
      </c>
      <c r="W799" s="532"/>
      <c r="X799" s="532"/>
      <c r="Y799" s="532"/>
      <c r="Z799" s="532"/>
    </row>
    <row r="800" spans="1:26" ht="12.6" customHeight="1" x14ac:dyDescent="0.25">
      <c r="A800" s="577"/>
      <c r="B800" s="581"/>
      <c r="C800" s="569"/>
      <c r="D800" s="583" t="s">
        <v>348</v>
      </c>
      <c r="E800" s="730">
        <f t="shared" ref="E800:V800" si="387">SUM(E793:E795)</f>
        <v>4000000</v>
      </c>
      <c r="F800" s="730">
        <f t="shared" si="387"/>
        <v>0</v>
      </c>
      <c r="G800" s="584">
        <f t="shared" si="387"/>
        <v>0</v>
      </c>
      <c r="H800" s="584">
        <f t="shared" si="387"/>
        <v>0</v>
      </c>
      <c r="I800" s="584">
        <f t="shared" si="387"/>
        <v>0</v>
      </c>
      <c r="J800" s="584">
        <f t="shared" si="387"/>
        <v>0</v>
      </c>
      <c r="K800" s="584">
        <f t="shared" si="387"/>
        <v>0</v>
      </c>
      <c r="L800" s="584">
        <f t="shared" si="387"/>
        <v>0</v>
      </c>
      <c r="M800" s="584">
        <f t="shared" si="387"/>
        <v>0</v>
      </c>
      <c r="N800" s="584">
        <f t="shared" si="387"/>
        <v>0</v>
      </c>
      <c r="O800" s="584">
        <f t="shared" si="387"/>
        <v>0</v>
      </c>
      <c r="P800" s="584">
        <f t="shared" si="387"/>
        <v>0</v>
      </c>
      <c r="Q800" s="584">
        <f t="shared" si="387"/>
        <v>0</v>
      </c>
      <c r="R800" s="584">
        <f t="shared" si="387"/>
        <v>0</v>
      </c>
      <c r="S800" s="584">
        <f t="shared" si="387"/>
        <v>0</v>
      </c>
      <c r="T800" s="584">
        <f t="shared" si="387"/>
        <v>4000000</v>
      </c>
      <c r="U800" s="584">
        <f t="shared" si="387"/>
        <v>0</v>
      </c>
      <c r="V800" s="584">
        <f t="shared" si="387"/>
        <v>4000000</v>
      </c>
      <c r="W800" s="532"/>
      <c r="X800" s="532"/>
      <c r="Y800" s="532"/>
      <c r="Z800" s="532"/>
    </row>
    <row r="801" spans="1:26" ht="12.6" customHeight="1" x14ac:dyDescent="0.25">
      <c r="A801" s="577"/>
      <c r="B801" s="581"/>
      <c r="C801" s="569"/>
      <c r="D801" s="580"/>
      <c r="E801" s="730">
        <f>SUM(E799:E800)</f>
        <v>6892314.3200000003</v>
      </c>
      <c r="F801" s="730">
        <f t="shared" ref="F801:V801" si="388">SUM(F799:F800)</f>
        <v>0</v>
      </c>
      <c r="G801" s="584">
        <f t="shared" si="388"/>
        <v>0</v>
      </c>
      <c r="H801" s="584">
        <f>SUM(H799:H800)</f>
        <v>0</v>
      </c>
      <c r="I801" s="584">
        <f t="shared" si="388"/>
        <v>0</v>
      </c>
      <c r="J801" s="584">
        <f>SUM(J799:J800)</f>
        <v>0</v>
      </c>
      <c r="K801" s="584">
        <f t="shared" si="388"/>
        <v>0</v>
      </c>
      <c r="L801" s="584">
        <f t="shared" si="388"/>
        <v>0</v>
      </c>
      <c r="M801" s="584">
        <f t="shared" si="388"/>
        <v>0</v>
      </c>
      <c r="N801" s="584">
        <f t="shared" si="388"/>
        <v>0</v>
      </c>
      <c r="O801" s="584">
        <f t="shared" si="388"/>
        <v>0</v>
      </c>
      <c r="P801" s="584">
        <f t="shared" si="388"/>
        <v>0</v>
      </c>
      <c r="Q801" s="584">
        <f t="shared" si="388"/>
        <v>0</v>
      </c>
      <c r="R801" s="584">
        <f t="shared" si="388"/>
        <v>0</v>
      </c>
      <c r="S801" s="584">
        <f t="shared" si="388"/>
        <v>0</v>
      </c>
      <c r="T801" s="584">
        <f t="shared" si="388"/>
        <v>6892314.3200000003</v>
      </c>
      <c r="U801" s="584">
        <f t="shared" si="388"/>
        <v>0</v>
      </c>
      <c r="V801" s="584">
        <f t="shared" si="388"/>
        <v>6892314.3200000003</v>
      </c>
      <c r="W801" s="532"/>
      <c r="X801" s="532"/>
      <c r="Y801" s="532"/>
      <c r="Z801" s="532"/>
    </row>
    <row r="802" spans="1:26" ht="12.6" customHeight="1" x14ac:dyDescent="0.25">
      <c r="A802" s="577"/>
      <c r="B802" s="569"/>
      <c r="C802" s="569"/>
      <c r="D802" s="580"/>
      <c r="E802" s="586">
        <f>E801-E798</f>
        <v>0</v>
      </c>
      <c r="F802" s="586">
        <f t="shared" ref="F802:V802" si="389">F801-F798</f>
        <v>0</v>
      </c>
      <c r="G802" s="586">
        <f t="shared" si="389"/>
        <v>0</v>
      </c>
      <c r="H802" s="586">
        <f>H801-H798</f>
        <v>0</v>
      </c>
      <c r="I802" s="586">
        <f t="shared" si="389"/>
        <v>0</v>
      </c>
      <c r="J802" s="586">
        <f>J801-J798</f>
        <v>0</v>
      </c>
      <c r="K802" s="586">
        <f t="shared" si="389"/>
        <v>0</v>
      </c>
      <c r="L802" s="586">
        <f t="shared" si="389"/>
        <v>0</v>
      </c>
      <c r="M802" s="586">
        <f t="shared" si="389"/>
        <v>0</v>
      </c>
      <c r="N802" s="586">
        <f t="shared" si="389"/>
        <v>0</v>
      </c>
      <c r="O802" s="586">
        <f t="shared" si="389"/>
        <v>0</v>
      </c>
      <c r="P802" s="586">
        <f t="shared" si="389"/>
        <v>0</v>
      </c>
      <c r="Q802" s="586">
        <f t="shared" si="389"/>
        <v>0</v>
      </c>
      <c r="R802" s="586">
        <f t="shared" si="389"/>
        <v>0</v>
      </c>
      <c r="S802" s="586">
        <f t="shared" si="389"/>
        <v>0</v>
      </c>
      <c r="T802" s="586">
        <f t="shared" si="389"/>
        <v>0</v>
      </c>
      <c r="U802" s="586">
        <f t="shared" si="389"/>
        <v>0</v>
      </c>
      <c r="V802" s="586">
        <f t="shared" si="389"/>
        <v>0</v>
      </c>
    </row>
    <row r="803" spans="1:26" s="533" customFormat="1" ht="12.6" customHeight="1" x14ac:dyDescent="0.25">
      <c r="A803" s="573"/>
      <c r="B803" s="569"/>
      <c r="C803" s="569"/>
      <c r="D803" s="580"/>
      <c r="E803" s="599"/>
      <c r="F803" s="570"/>
      <c r="G803" s="570"/>
      <c r="H803" s="570"/>
      <c r="I803" s="570"/>
      <c r="J803" s="570"/>
      <c r="K803" s="570"/>
      <c r="L803" s="570"/>
      <c r="M803" s="570"/>
      <c r="N803" s="570"/>
      <c r="O803" s="570"/>
      <c r="P803" s="570"/>
      <c r="Q803" s="570"/>
      <c r="R803" s="570"/>
      <c r="S803" s="570"/>
      <c r="T803" s="570"/>
      <c r="U803" s="570"/>
      <c r="V803" s="599"/>
    </row>
    <row r="804" spans="1:26" s="533" customFormat="1" ht="12.6" customHeight="1" x14ac:dyDescent="0.25">
      <c r="A804" s="573" t="s">
        <v>426</v>
      </c>
      <c r="B804" s="569" t="s">
        <v>308</v>
      </c>
      <c r="C804" s="569"/>
      <c r="D804" s="580"/>
      <c r="E804" s="570"/>
      <c r="F804" s="570"/>
      <c r="G804" s="570"/>
      <c r="H804" s="570"/>
      <c r="I804" s="570"/>
      <c r="J804" s="570"/>
      <c r="K804" s="570"/>
      <c r="L804" s="570"/>
      <c r="M804" s="570"/>
      <c r="N804" s="570"/>
      <c r="O804" s="570"/>
      <c r="P804" s="570"/>
      <c r="Q804" s="570"/>
      <c r="R804" s="570"/>
      <c r="S804" s="570"/>
      <c r="T804" s="570">
        <f t="shared" ref="T804:T813" si="390">SUM(E804:S804)</f>
        <v>0</v>
      </c>
      <c r="U804" s="603"/>
      <c r="V804" s="599">
        <f t="shared" ref="V804:V813" si="391">T804-U804</f>
        <v>0</v>
      </c>
    </row>
    <row r="805" spans="1:26" s="533" customFormat="1" ht="12.6" customHeight="1" x14ac:dyDescent="0.25">
      <c r="A805" s="604" t="s">
        <v>73</v>
      </c>
      <c r="B805" s="569" t="s">
        <v>266</v>
      </c>
      <c r="C805" s="569"/>
      <c r="D805" s="580"/>
      <c r="E805" s="570">
        <v>333333.33</v>
      </c>
      <c r="F805" s="570"/>
      <c r="G805" s="570"/>
      <c r="H805" s="570"/>
      <c r="I805" s="570"/>
      <c r="J805" s="570"/>
      <c r="K805" s="570"/>
      <c r="L805" s="570"/>
      <c r="M805" s="570"/>
      <c r="N805" s="570"/>
      <c r="O805" s="570"/>
      <c r="P805" s="570"/>
      <c r="Q805" s="570"/>
      <c r="R805" s="570"/>
      <c r="S805" s="570"/>
      <c r="T805" s="570">
        <f t="shared" si="390"/>
        <v>333333.33</v>
      </c>
      <c r="U805" s="603"/>
      <c r="V805" s="599">
        <f t="shared" si="391"/>
        <v>333333.33</v>
      </c>
    </row>
    <row r="806" spans="1:26" s="533" customFormat="1" ht="12.6" customHeight="1" x14ac:dyDescent="0.25">
      <c r="A806" s="573"/>
      <c r="B806" s="569" t="s">
        <v>376</v>
      </c>
      <c r="C806" s="569"/>
      <c r="D806" s="580"/>
      <c r="E806" s="570">
        <v>333333.33</v>
      </c>
      <c r="F806" s="570">
        <f>'CABAC Non-Fid 2025'!G261</f>
        <v>0</v>
      </c>
      <c r="G806" s="570"/>
      <c r="H806" s="570"/>
      <c r="I806" s="570"/>
      <c r="J806" s="570"/>
      <c r="K806" s="570"/>
      <c r="L806" s="570"/>
      <c r="M806" s="570"/>
      <c r="N806" s="570"/>
      <c r="O806" s="570"/>
      <c r="P806" s="570"/>
      <c r="Q806" s="570"/>
      <c r="R806" s="570"/>
      <c r="S806" s="570"/>
      <c r="T806" s="570">
        <f t="shared" si="390"/>
        <v>333333.33</v>
      </c>
      <c r="U806" s="603"/>
      <c r="V806" s="599">
        <f t="shared" si="391"/>
        <v>333333.33</v>
      </c>
    </row>
    <row r="807" spans="1:26" s="533" customFormat="1" ht="12.6" customHeight="1" x14ac:dyDescent="0.25">
      <c r="A807" s="573"/>
      <c r="B807" s="569" t="s">
        <v>261</v>
      </c>
      <c r="C807" s="569"/>
      <c r="D807" s="580"/>
      <c r="E807" s="570"/>
      <c r="F807" s="570">
        <f>'CABAC Non-Fid 2025'!G256</f>
        <v>0</v>
      </c>
      <c r="G807" s="570"/>
      <c r="H807" s="570"/>
      <c r="I807" s="570"/>
      <c r="J807" s="570"/>
      <c r="K807" s="570"/>
      <c r="L807" s="570"/>
      <c r="M807" s="570"/>
      <c r="N807" s="570"/>
      <c r="O807" s="570"/>
      <c r="P807" s="570"/>
      <c r="Q807" s="570"/>
      <c r="R807" s="570"/>
      <c r="S807" s="570"/>
      <c r="T807" s="570">
        <f t="shared" si="390"/>
        <v>0</v>
      </c>
      <c r="U807" s="603"/>
      <c r="V807" s="599">
        <f>T807-U807</f>
        <v>0</v>
      </c>
    </row>
    <row r="808" spans="1:26" s="533" customFormat="1" ht="12.6" customHeight="1" x14ac:dyDescent="0.25">
      <c r="A808" s="573"/>
      <c r="B808" s="569" t="s">
        <v>262</v>
      </c>
      <c r="C808" s="569"/>
      <c r="D808" s="580"/>
      <c r="E808" s="570">
        <v>333333.34000000003</v>
      </c>
      <c r="F808" s="570">
        <f>'CABAC Non-Fid 2025'!G263</f>
        <v>0</v>
      </c>
      <c r="G808" s="570"/>
      <c r="H808" s="570"/>
      <c r="I808" s="570"/>
      <c r="J808" s="570"/>
      <c r="K808" s="570"/>
      <c r="L808" s="570"/>
      <c r="M808" s="570"/>
      <c r="N808" s="570"/>
      <c r="O808" s="570"/>
      <c r="P808" s="570"/>
      <c r="Q808" s="570"/>
      <c r="R808" s="570"/>
      <c r="S808" s="570"/>
      <c r="T808" s="570">
        <f t="shared" si="390"/>
        <v>333333.34000000003</v>
      </c>
      <c r="U808" s="603"/>
      <c r="V808" s="599">
        <f>T808-U808</f>
        <v>333333.34000000003</v>
      </c>
    </row>
    <row r="809" spans="1:26" s="533" customFormat="1" ht="12.6" customHeight="1" x14ac:dyDescent="0.25">
      <c r="A809" s="573"/>
      <c r="B809" s="569" t="s">
        <v>142</v>
      </c>
      <c r="C809" s="569"/>
      <c r="D809" s="580"/>
      <c r="E809" s="570"/>
      <c r="F809" s="570">
        <f>'CABAC Fiduciary 2025'!F374</f>
        <v>0</v>
      </c>
      <c r="G809" s="570"/>
      <c r="H809" s="570"/>
      <c r="I809" s="570"/>
      <c r="J809" s="570"/>
      <c r="K809" s="570"/>
      <c r="L809" s="570"/>
      <c r="M809" s="570"/>
      <c r="N809" s="570"/>
      <c r="O809" s="570"/>
      <c r="P809" s="570"/>
      <c r="Q809" s="570"/>
      <c r="R809" s="570"/>
      <c r="S809" s="570"/>
      <c r="T809" s="570">
        <f t="shared" si="390"/>
        <v>0</v>
      </c>
      <c r="U809" s="603"/>
      <c r="V809" s="599">
        <f t="shared" si="391"/>
        <v>0</v>
      </c>
    </row>
    <row r="810" spans="1:26" s="533" customFormat="1" ht="12.6" customHeight="1" x14ac:dyDescent="0.25">
      <c r="A810" s="573"/>
      <c r="B810" s="569" t="s">
        <v>456</v>
      </c>
      <c r="C810" s="569"/>
      <c r="D810" s="580"/>
      <c r="E810" s="570"/>
      <c r="F810" s="570">
        <f>'CABAC Fiduciary 2025'!F372</f>
        <v>0</v>
      </c>
      <c r="G810" s="570"/>
      <c r="H810" s="570"/>
      <c r="I810" s="570"/>
      <c r="J810" s="570"/>
      <c r="K810" s="570"/>
      <c r="L810" s="570"/>
      <c r="M810" s="570"/>
      <c r="N810" s="570"/>
      <c r="O810" s="570"/>
      <c r="P810" s="570"/>
      <c r="Q810" s="570"/>
      <c r="R810" s="570"/>
      <c r="S810" s="570"/>
      <c r="T810" s="570">
        <f t="shared" si="390"/>
        <v>0</v>
      </c>
      <c r="U810" s="603"/>
      <c r="V810" s="599">
        <f t="shared" si="391"/>
        <v>0</v>
      </c>
    </row>
    <row r="811" spans="1:26" s="533" customFormat="1" ht="12.6" customHeight="1" x14ac:dyDescent="0.25">
      <c r="A811" s="573"/>
      <c r="B811" s="569" t="s">
        <v>173</v>
      </c>
      <c r="C811" s="569"/>
      <c r="D811" s="580"/>
      <c r="E811" s="570">
        <v>300000</v>
      </c>
      <c r="F811" s="570">
        <f>'CABAC Fiduciary 2025'!F373</f>
        <v>0</v>
      </c>
      <c r="G811" s="570"/>
      <c r="H811" s="570"/>
      <c r="I811" s="570"/>
      <c r="J811" s="570"/>
      <c r="K811" s="570"/>
      <c r="L811" s="570"/>
      <c r="M811" s="570"/>
      <c r="N811" s="570"/>
      <c r="O811" s="570"/>
      <c r="P811" s="570"/>
      <c r="Q811" s="570"/>
      <c r="R811" s="570"/>
      <c r="S811" s="570"/>
      <c r="T811" s="570">
        <f t="shared" si="390"/>
        <v>300000</v>
      </c>
      <c r="U811" s="603"/>
      <c r="V811" s="599">
        <f t="shared" si="391"/>
        <v>300000</v>
      </c>
    </row>
    <row r="812" spans="1:26" s="533" customFormat="1" ht="12.6" customHeight="1" x14ac:dyDescent="0.25">
      <c r="A812" s="573"/>
      <c r="B812" s="569" t="s">
        <v>427</v>
      </c>
      <c r="C812" s="569"/>
      <c r="D812" s="580"/>
      <c r="E812" s="570"/>
      <c r="F812" s="570"/>
      <c r="G812" s="570"/>
      <c r="H812" s="570"/>
      <c r="I812" s="570"/>
      <c r="J812" s="570"/>
      <c r="K812" s="570"/>
      <c r="L812" s="570"/>
      <c r="M812" s="570"/>
      <c r="N812" s="570"/>
      <c r="O812" s="570"/>
      <c r="P812" s="570"/>
      <c r="Q812" s="601"/>
      <c r="R812" s="601"/>
      <c r="S812" s="601"/>
      <c r="T812" s="570">
        <f t="shared" si="390"/>
        <v>0</v>
      </c>
      <c r="U812" s="603"/>
      <c r="V812" s="599">
        <f t="shared" si="391"/>
        <v>0</v>
      </c>
    </row>
    <row r="813" spans="1:26" s="533" customFormat="1" ht="12.6" customHeight="1" thickBot="1" x14ac:dyDescent="0.3">
      <c r="A813" s="573"/>
      <c r="B813" s="569" t="s">
        <v>144</v>
      </c>
      <c r="C813" s="569"/>
      <c r="D813" s="580"/>
      <c r="E813" s="570">
        <v>1042600</v>
      </c>
      <c r="F813" s="570">
        <f>'CABAC Fiduciary 2025'!F371</f>
        <v>0</v>
      </c>
      <c r="G813" s="570"/>
      <c r="H813" s="570"/>
      <c r="I813" s="570"/>
      <c r="J813" s="570"/>
      <c r="K813" s="570"/>
      <c r="L813" s="570"/>
      <c r="M813" s="570"/>
      <c r="N813" s="570"/>
      <c r="O813" s="570"/>
      <c r="P813" s="570"/>
      <c r="Q813" s="601"/>
      <c r="R813" s="601"/>
      <c r="S813" s="601"/>
      <c r="T813" s="601">
        <f t="shared" si="390"/>
        <v>1042600</v>
      </c>
      <c r="U813" s="606"/>
      <c r="V813" s="599">
        <f t="shared" si="391"/>
        <v>1042600</v>
      </c>
    </row>
    <row r="814" spans="1:26" s="533" customFormat="1" ht="12.6" customHeight="1" thickBot="1" x14ac:dyDescent="0.3">
      <c r="A814" s="573"/>
      <c r="B814" s="581" t="s">
        <v>346</v>
      </c>
      <c r="C814" s="569"/>
      <c r="D814" s="580"/>
      <c r="E814" s="582">
        <f>SUM(E804:E813)</f>
        <v>2342600</v>
      </c>
      <c r="F814" s="582">
        <f t="shared" ref="F814:V814" si="392">SUM(F804:F813)</f>
        <v>0</v>
      </c>
      <c r="G814" s="582">
        <f t="shared" si="392"/>
        <v>0</v>
      </c>
      <c r="H814" s="582">
        <f>SUM(H804:H813)</f>
        <v>0</v>
      </c>
      <c r="I814" s="582">
        <f t="shared" si="392"/>
        <v>0</v>
      </c>
      <c r="J814" s="582">
        <f>SUM(J804:J813)</f>
        <v>0</v>
      </c>
      <c r="K814" s="582">
        <f t="shared" si="392"/>
        <v>0</v>
      </c>
      <c r="L814" s="582">
        <f t="shared" si="392"/>
        <v>0</v>
      </c>
      <c r="M814" s="582">
        <f t="shared" si="392"/>
        <v>0</v>
      </c>
      <c r="N814" s="582">
        <f t="shared" si="392"/>
        <v>0</v>
      </c>
      <c r="O814" s="582">
        <f t="shared" si="392"/>
        <v>0</v>
      </c>
      <c r="P814" s="582">
        <f t="shared" si="392"/>
        <v>0</v>
      </c>
      <c r="Q814" s="582">
        <f t="shared" si="392"/>
        <v>0</v>
      </c>
      <c r="R814" s="582">
        <f t="shared" si="392"/>
        <v>0</v>
      </c>
      <c r="S814" s="582">
        <f t="shared" si="392"/>
        <v>0</v>
      </c>
      <c r="T814" s="582">
        <f t="shared" si="392"/>
        <v>2342600</v>
      </c>
      <c r="U814" s="582">
        <f t="shared" si="392"/>
        <v>0</v>
      </c>
      <c r="V814" s="582">
        <f t="shared" si="392"/>
        <v>2342600</v>
      </c>
    </row>
    <row r="815" spans="1:26" ht="12.6" customHeight="1" x14ac:dyDescent="0.25">
      <c r="A815" s="577"/>
      <c r="B815" s="581"/>
      <c r="C815" s="569"/>
      <c r="D815" s="583" t="s">
        <v>347</v>
      </c>
      <c r="E815" s="830">
        <f>SUM(E809:E813)</f>
        <v>1342600</v>
      </c>
      <c r="F815" s="830">
        <f t="shared" ref="F815:V815" si="393">SUM(F809:F813)</f>
        <v>0</v>
      </c>
      <c r="G815" s="700">
        <f t="shared" si="393"/>
        <v>0</v>
      </c>
      <c r="H815" s="700">
        <f>SUM(H809:H813)</f>
        <v>0</v>
      </c>
      <c r="I815" s="700">
        <f t="shared" si="393"/>
        <v>0</v>
      </c>
      <c r="J815" s="700">
        <f>SUM(J809:J813)</f>
        <v>0</v>
      </c>
      <c r="K815" s="700">
        <f t="shared" si="393"/>
        <v>0</v>
      </c>
      <c r="L815" s="700">
        <f t="shared" si="393"/>
        <v>0</v>
      </c>
      <c r="M815" s="700">
        <f t="shared" si="393"/>
        <v>0</v>
      </c>
      <c r="N815" s="700">
        <f t="shared" si="393"/>
        <v>0</v>
      </c>
      <c r="O815" s="700">
        <f t="shared" si="393"/>
        <v>0</v>
      </c>
      <c r="P815" s="700">
        <f t="shared" si="393"/>
        <v>0</v>
      </c>
      <c r="Q815" s="700">
        <f t="shared" si="393"/>
        <v>0</v>
      </c>
      <c r="R815" s="700">
        <f t="shared" si="393"/>
        <v>0</v>
      </c>
      <c r="S815" s="700">
        <f t="shared" si="393"/>
        <v>0</v>
      </c>
      <c r="T815" s="700">
        <f t="shared" si="393"/>
        <v>1342600</v>
      </c>
      <c r="U815" s="700">
        <f t="shared" si="393"/>
        <v>0</v>
      </c>
      <c r="V815" s="700">
        <f t="shared" si="393"/>
        <v>1342600</v>
      </c>
      <c r="W815" s="532"/>
      <c r="X815" s="532"/>
      <c r="Y815" s="532"/>
      <c r="Z815" s="532"/>
    </row>
    <row r="816" spans="1:26" ht="12.6" customHeight="1" x14ac:dyDescent="0.25">
      <c r="A816" s="577"/>
      <c r="B816" s="581"/>
      <c r="C816" s="569"/>
      <c r="D816" s="583" t="s">
        <v>348</v>
      </c>
      <c r="E816" s="730">
        <f>SUM(E804:E808)</f>
        <v>1000000</v>
      </c>
      <c r="F816" s="730">
        <f t="shared" ref="F816:V816" si="394">SUM(F804:F808)</f>
        <v>0</v>
      </c>
      <c r="G816" s="584">
        <f t="shared" si="394"/>
        <v>0</v>
      </c>
      <c r="H816" s="584">
        <f>SUM(H804:H808)</f>
        <v>0</v>
      </c>
      <c r="I816" s="584">
        <f t="shared" si="394"/>
        <v>0</v>
      </c>
      <c r="J816" s="584">
        <f>SUM(J804:J808)</f>
        <v>0</v>
      </c>
      <c r="K816" s="584">
        <f t="shared" si="394"/>
        <v>0</v>
      </c>
      <c r="L816" s="584">
        <f t="shared" si="394"/>
        <v>0</v>
      </c>
      <c r="M816" s="584">
        <f t="shared" si="394"/>
        <v>0</v>
      </c>
      <c r="N816" s="584">
        <f t="shared" si="394"/>
        <v>0</v>
      </c>
      <c r="O816" s="584">
        <f t="shared" si="394"/>
        <v>0</v>
      </c>
      <c r="P816" s="584">
        <f t="shared" si="394"/>
        <v>0</v>
      </c>
      <c r="Q816" s="584">
        <f t="shared" si="394"/>
        <v>0</v>
      </c>
      <c r="R816" s="584">
        <f t="shared" si="394"/>
        <v>0</v>
      </c>
      <c r="S816" s="584">
        <f t="shared" si="394"/>
        <v>0</v>
      </c>
      <c r="T816" s="584">
        <f t="shared" si="394"/>
        <v>1000000</v>
      </c>
      <c r="U816" s="584">
        <f t="shared" si="394"/>
        <v>0</v>
      </c>
      <c r="V816" s="584">
        <f t="shared" si="394"/>
        <v>1000000</v>
      </c>
      <c r="W816" s="532"/>
      <c r="X816" s="532"/>
      <c r="Y816" s="532"/>
      <c r="Z816" s="532"/>
    </row>
    <row r="817" spans="1:26" ht="12.6" customHeight="1" x14ac:dyDescent="0.25">
      <c r="A817" s="577"/>
      <c r="B817" s="581"/>
      <c r="C817" s="569"/>
      <c r="D817" s="580"/>
      <c r="E817" s="730">
        <f>SUM(E815:E816)</f>
        <v>2342600</v>
      </c>
      <c r="F817" s="730">
        <f t="shared" ref="F817:V817" si="395">SUM(F815:F816)</f>
        <v>0</v>
      </c>
      <c r="G817" s="584">
        <f t="shared" si="395"/>
        <v>0</v>
      </c>
      <c r="H817" s="584">
        <f>SUM(H815:H816)</f>
        <v>0</v>
      </c>
      <c r="I817" s="584">
        <f t="shared" si="395"/>
        <v>0</v>
      </c>
      <c r="J817" s="584">
        <f>SUM(J815:J816)</f>
        <v>0</v>
      </c>
      <c r="K817" s="584">
        <f t="shared" si="395"/>
        <v>0</v>
      </c>
      <c r="L817" s="584">
        <f t="shared" si="395"/>
        <v>0</v>
      </c>
      <c r="M817" s="584">
        <f t="shared" si="395"/>
        <v>0</v>
      </c>
      <c r="N817" s="584">
        <f t="shared" si="395"/>
        <v>0</v>
      </c>
      <c r="O817" s="584">
        <f t="shared" si="395"/>
        <v>0</v>
      </c>
      <c r="P817" s="584">
        <f t="shared" si="395"/>
        <v>0</v>
      </c>
      <c r="Q817" s="584">
        <f t="shared" si="395"/>
        <v>0</v>
      </c>
      <c r="R817" s="584">
        <f t="shared" si="395"/>
        <v>0</v>
      </c>
      <c r="S817" s="584">
        <f t="shared" si="395"/>
        <v>0</v>
      </c>
      <c r="T817" s="584">
        <f t="shared" si="395"/>
        <v>2342600</v>
      </c>
      <c r="U817" s="584">
        <f t="shared" si="395"/>
        <v>0</v>
      </c>
      <c r="V817" s="584">
        <f t="shared" si="395"/>
        <v>2342600</v>
      </c>
      <c r="W817" s="532"/>
      <c r="X817" s="532"/>
      <c r="Y817" s="532"/>
      <c r="Z817" s="532"/>
    </row>
    <row r="818" spans="1:26" ht="12.6" customHeight="1" x14ac:dyDescent="0.25">
      <c r="A818" s="577"/>
      <c r="B818" s="569"/>
      <c r="C818" s="569"/>
      <c r="D818" s="580"/>
      <c r="E818" s="1232">
        <f>E817-E814</f>
        <v>0</v>
      </c>
      <c r="F818" s="1232">
        <f t="shared" ref="F818:V818" si="396">F817-F814</f>
        <v>0</v>
      </c>
      <c r="G818" s="1232">
        <f t="shared" si="396"/>
        <v>0</v>
      </c>
      <c r="H818" s="1232">
        <f>H817-H814</f>
        <v>0</v>
      </c>
      <c r="I818" s="1232">
        <f t="shared" si="396"/>
        <v>0</v>
      </c>
      <c r="J818" s="1232">
        <f>J817-J814</f>
        <v>0</v>
      </c>
      <c r="K818" s="1232">
        <f t="shared" si="396"/>
        <v>0</v>
      </c>
      <c r="L818" s="1232">
        <f t="shared" si="396"/>
        <v>0</v>
      </c>
      <c r="M818" s="1232">
        <f t="shared" si="396"/>
        <v>0</v>
      </c>
      <c r="N818" s="1232">
        <f t="shared" si="396"/>
        <v>0</v>
      </c>
      <c r="O818" s="1232">
        <f t="shared" si="396"/>
        <v>0</v>
      </c>
      <c r="P818" s="1232">
        <f t="shared" si="396"/>
        <v>0</v>
      </c>
      <c r="Q818" s="1232">
        <f t="shared" si="396"/>
        <v>0</v>
      </c>
      <c r="R818" s="1232">
        <f t="shared" si="396"/>
        <v>0</v>
      </c>
      <c r="S818" s="1232">
        <f t="shared" si="396"/>
        <v>0</v>
      </c>
      <c r="T818" s="1232">
        <f t="shared" si="396"/>
        <v>0</v>
      </c>
      <c r="U818" s="586">
        <f t="shared" si="396"/>
        <v>0</v>
      </c>
      <c r="V818" s="1232">
        <f t="shared" si="396"/>
        <v>0</v>
      </c>
    </row>
    <row r="819" spans="1:26" s="533" customFormat="1" ht="12.6" customHeight="1" x14ac:dyDescent="0.25">
      <c r="A819" s="638"/>
      <c r="B819" s="608"/>
      <c r="C819" s="608"/>
      <c r="D819" s="608"/>
      <c r="E819" s="570"/>
      <c r="F819" s="570"/>
      <c r="G819" s="570"/>
      <c r="H819" s="570"/>
      <c r="I819" s="570"/>
      <c r="J819" s="570"/>
      <c r="K819" s="570"/>
      <c r="L819" s="570"/>
      <c r="M819" s="570"/>
      <c r="N819" s="570"/>
      <c r="O819" s="570"/>
      <c r="P819" s="570"/>
      <c r="Q819" s="570"/>
      <c r="R819" s="570"/>
      <c r="S819" s="570"/>
      <c r="T819" s="1282"/>
      <c r="U819" s="1236"/>
      <c r="V819" s="570"/>
    </row>
    <row r="820" spans="1:26" s="533" customFormat="1" ht="12.6" customHeight="1" x14ac:dyDescent="0.25">
      <c r="A820" s="573" t="s">
        <v>26</v>
      </c>
      <c r="B820" s="569" t="s">
        <v>308</v>
      </c>
      <c r="C820" s="569"/>
      <c r="D820" s="580"/>
      <c r="E820" s="613"/>
      <c r="F820" s="613"/>
      <c r="G820" s="613"/>
      <c r="H820" s="613"/>
      <c r="I820" s="613"/>
      <c r="J820" s="613"/>
      <c r="K820" s="613"/>
      <c r="L820" s="613"/>
      <c r="M820" s="613"/>
      <c r="N820" s="613"/>
      <c r="O820" s="613"/>
      <c r="P820" s="613"/>
      <c r="Q820" s="613"/>
      <c r="R820" s="613"/>
      <c r="S820" s="613"/>
      <c r="T820" s="613">
        <f>SUM(E820:S820)</f>
        <v>0</v>
      </c>
      <c r="U820" s="603"/>
      <c r="V820" s="614">
        <f t="shared" ref="V820:V823" si="397">T820-U820</f>
        <v>0</v>
      </c>
    </row>
    <row r="821" spans="1:26" s="533" customFormat="1" ht="12.6" customHeight="1" x14ac:dyDescent="0.25">
      <c r="A821" s="604" t="s">
        <v>74</v>
      </c>
      <c r="B821" s="569" t="s">
        <v>266</v>
      </c>
      <c r="C821" s="569"/>
      <c r="D821" s="580"/>
      <c r="E821" s="570">
        <v>2250000</v>
      </c>
      <c r="F821" s="570">
        <f>'CABAC Non-Fid 2025'!G266</f>
        <v>0</v>
      </c>
      <c r="G821" s="570"/>
      <c r="H821" s="570"/>
      <c r="I821" s="570"/>
      <c r="J821" s="570"/>
      <c r="K821" s="570"/>
      <c r="L821" s="570"/>
      <c r="M821" s="570"/>
      <c r="N821" s="570"/>
      <c r="O821" s="570"/>
      <c r="P821" s="570"/>
      <c r="Q821" s="570"/>
      <c r="R821" s="570"/>
      <c r="S821" s="570"/>
      <c r="T821" s="570">
        <f>SUM(E821:S821)</f>
        <v>2250000</v>
      </c>
      <c r="U821" s="603"/>
      <c r="V821" s="599">
        <f t="shared" si="397"/>
        <v>2250000</v>
      </c>
    </row>
    <row r="822" spans="1:26" s="533" customFormat="1" ht="12.6" customHeight="1" x14ac:dyDescent="0.25">
      <c r="A822" s="604"/>
      <c r="B822" s="569" t="s">
        <v>263</v>
      </c>
      <c r="C822" s="569"/>
      <c r="D822" s="580"/>
      <c r="E822" s="570"/>
      <c r="F822" s="570">
        <f>'CABAC Non-Fid 2025'!G267</f>
        <v>0</v>
      </c>
      <c r="G822" s="570"/>
      <c r="H822" s="570"/>
      <c r="I822" s="570">
        <v>4500000</v>
      </c>
      <c r="J822" s="570"/>
      <c r="K822" s="570"/>
      <c r="L822" s="570"/>
      <c r="M822" s="570"/>
      <c r="N822" s="570"/>
      <c r="O822" s="570"/>
      <c r="P822" s="570"/>
      <c r="Q822" s="570"/>
      <c r="R822" s="570"/>
      <c r="S822" s="570"/>
      <c r="T822" s="570">
        <f>SUM(E822:S822)</f>
        <v>4500000</v>
      </c>
      <c r="U822" s="603"/>
      <c r="V822" s="599">
        <f t="shared" si="397"/>
        <v>4500000</v>
      </c>
    </row>
    <row r="823" spans="1:26" s="533" customFormat="1" ht="12.6" customHeight="1" thickBot="1" x14ac:dyDescent="0.3">
      <c r="A823" s="573"/>
      <c r="B823" s="569" t="s">
        <v>262</v>
      </c>
      <c r="C823" s="569"/>
      <c r="D823" s="580"/>
      <c r="E823" s="601"/>
      <c r="F823" s="601"/>
      <c r="G823" s="601"/>
      <c r="H823" s="601"/>
      <c r="I823" s="601"/>
      <c r="J823" s="601"/>
      <c r="K823" s="601"/>
      <c r="L823" s="601"/>
      <c r="M823" s="601"/>
      <c r="N823" s="601"/>
      <c r="O823" s="601"/>
      <c r="P823" s="601"/>
      <c r="Q823" s="601"/>
      <c r="R823" s="601"/>
      <c r="S823" s="601"/>
      <c r="T823" s="601">
        <f>SUM(E823:S823)</f>
        <v>0</v>
      </c>
      <c r="U823" s="606"/>
      <c r="V823" s="599">
        <f t="shared" si="397"/>
        <v>0</v>
      </c>
    </row>
    <row r="824" spans="1:26" s="533" customFormat="1" ht="12.6" customHeight="1" thickBot="1" x14ac:dyDescent="0.3">
      <c r="A824" s="573"/>
      <c r="B824" s="581" t="s">
        <v>346</v>
      </c>
      <c r="C824" s="569"/>
      <c r="D824" s="580"/>
      <c r="E824" s="582">
        <f>SUM(E820:E823)</f>
        <v>2250000</v>
      </c>
      <c r="F824" s="582">
        <f t="shared" ref="F824:V824" si="398">SUM(F820:F823)</f>
        <v>0</v>
      </c>
      <c r="G824" s="582">
        <f t="shared" si="398"/>
        <v>0</v>
      </c>
      <c r="H824" s="582">
        <f>SUM(H820:H823)</f>
        <v>0</v>
      </c>
      <c r="I824" s="582">
        <f t="shared" si="398"/>
        <v>4500000</v>
      </c>
      <c r="J824" s="582">
        <f>SUM(J820:J823)</f>
        <v>0</v>
      </c>
      <c r="K824" s="582">
        <f t="shared" si="398"/>
        <v>0</v>
      </c>
      <c r="L824" s="582">
        <f t="shared" si="398"/>
        <v>0</v>
      </c>
      <c r="M824" s="582">
        <f t="shared" si="398"/>
        <v>0</v>
      </c>
      <c r="N824" s="582">
        <f t="shared" si="398"/>
        <v>0</v>
      </c>
      <c r="O824" s="582">
        <f t="shared" si="398"/>
        <v>0</v>
      </c>
      <c r="P824" s="582">
        <f t="shared" si="398"/>
        <v>0</v>
      </c>
      <c r="Q824" s="582">
        <f t="shared" si="398"/>
        <v>0</v>
      </c>
      <c r="R824" s="582">
        <f t="shared" si="398"/>
        <v>0</v>
      </c>
      <c r="S824" s="582">
        <f t="shared" si="398"/>
        <v>0</v>
      </c>
      <c r="T824" s="582">
        <f>SUM(T820:T823)</f>
        <v>6750000</v>
      </c>
      <c r="U824" s="582">
        <f t="shared" si="398"/>
        <v>0</v>
      </c>
      <c r="V824" s="616">
        <f t="shared" si="398"/>
        <v>6750000</v>
      </c>
    </row>
    <row r="825" spans="1:26" ht="12.6" customHeight="1" x14ac:dyDescent="0.25">
      <c r="A825" s="577"/>
      <c r="B825" s="581"/>
      <c r="C825" s="569"/>
      <c r="D825" s="583" t="s">
        <v>347</v>
      </c>
      <c r="E825" s="830"/>
      <c r="F825" s="830"/>
      <c r="G825" s="700"/>
      <c r="H825" s="700"/>
      <c r="I825" s="700"/>
      <c r="J825" s="700"/>
      <c r="K825" s="700"/>
      <c r="L825" s="584"/>
      <c r="M825" s="584"/>
      <c r="N825" s="584"/>
      <c r="O825" s="584"/>
      <c r="P825" s="584"/>
      <c r="Q825" s="584"/>
      <c r="R825" s="584"/>
      <c r="S825" s="584"/>
      <c r="T825" s="584"/>
      <c r="U825" s="584"/>
      <c r="V825" s="584"/>
      <c r="W825" s="532"/>
      <c r="X825" s="532"/>
      <c r="Y825" s="532"/>
      <c r="Z825" s="532"/>
    </row>
    <row r="826" spans="1:26" ht="12.6" customHeight="1" x14ac:dyDescent="0.25">
      <c r="A826" s="577"/>
      <c r="B826" s="581"/>
      <c r="C826" s="569"/>
      <c r="D826" s="583" t="s">
        <v>348</v>
      </c>
      <c r="E826" s="730">
        <f>SUM(E820:E823)</f>
        <v>2250000</v>
      </c>
      <c r="F826" s="730">
        <f t="shared" ref="F826:V826" si="399">SUM(F820:F823)</f>
        <v>0</v>
      </c>
      <c r="G826" s="584">
        <f t="shared" si="399"/>
        <v>0</v>
      </c>
      <c r="H826" s="584">
        <f>SUM(H820:H823)</f>
        <v>0</v>
      </c>
      <c r="I826" s="584">
        <f t="shared" si="399"/>
        <v>4500000</v>
      </c>
      <c r="J826" s="584">
        <f>SUM(J820:J823)</f>
        <v>0</v>
      </c>
      <c r="K826" s="584">
        <f t="shared" si="399"/>
        <v>0</v>
      </c>
      <c r="L826" s="584">
        <f t="shared" si="399"/>
        <v>0</v>
      </c>
      <c r="M826" s="584">
        <f t="shared" si="399"/>
        <v>0</v>
      </c>
      <c r="N826" s="584">
        <f t="shared" si="399"/>
        <v>0</v>
      </c>
      <c r="O826" s="584">
        <f t="shared" si="399"/>
        <v>0</v>
      </c>
      <c r="P826" s="584">
        <f t="shared" si="399"/>
        <v>0</v>
      </c>
      <c r="Q826" s="584">
        <f t="shared" si="399"/>
        <v>0</v>
      </c>
      <c r="R826" s="584">
        <f t="shared" si="399"/>
        <v>0</v>
      </c>
      <c r="S826" s="584">
        <f t="shared" si="399"/>
        <v>0</v>
      </c>
      <c r="T826" s="584">
        <f t="shared" si="399"/>
        <v>6750000</v>
      </c>
      <c r="U826" s="584">
        <f t="shared" si="399"/>
        <v>0</v>
      </c>
      <c r="V826" s="584">
        <f t="shared" si="399"/>
        <v>6750000</v>
      </c>
      <c r="W826" s="532"/>
      <c r="X826" s="532"/>
      <c r="Y826" s="532"/>
      <c r="Z826" s="532"/>
    </row>
    <row r="827" spans="1:26" ht="12.6" customHeight="1" x14ac:dyDescent="0.25">
      <c r="A827" s="577"/>
      <c r="B827" s="581"/>
      <c r="C827" s="569"/>
      <c r="D827" s="580"/>
      <c r="E827" s="730">
        <f>SUM(E825:E826)</f>
        <v>2250000</v>
      </c>
      <c r="F827" s="730">
        <f t="shared" ref="F827:V827" si="400">SUM(F825:F826)</f>
        <v>0</v>
      </c>
      <c r="G827" s="584">
        <f t="shared" si="400"/>
        <v>0</v>
      </c>
      <c r="H827" s="584">
        <f>SUM(H825:H826)</f>
        <v>0</v>
      </c>
      <c r="I827" s="584">
        <f t="shared" si="400"/>
        <v>4500000</v>
      </c>
      <c r="J827" s="584">
        <f>SUM(J825:J826)</f>
        <v>0</v>
      </c>
      <c r="K827" s="584">
        <f t="shared" si="400"/>
        <v>0</v>
      </c>
      <c r="L827" s="584">
        <f t="shared" si="400"/>
        <v>0</v>
      </c>
      <c r="M827" s="584">
        <f t="shared" si="400"/>
        <v>0</v>
      </c>
      <c r="N827" s="584">
        <f t="shared" si="400"/>
        <v>0</v>
      </c>
      <c r="O827" s="584">
        <f t="shared" si="400"/>
        <v>0</v>
      </c>
      <c r="P827" s="584">
        <f t="shared" si="400"/>
        <v>0</v>
      </c>
      <c r="Q827" s="584">
        <f t="shared" si="400"/>
        <v>0</v>
      </c>
      <c r="R827" s="584">
        <f t="shared" si="400"/>
        <v>0</v>
      </c>
      <c r="S827" s="584">
        <f t="shared" si="400"/>
        <v>0</v>
      </c>
      <c r="T827" s="584">
        <f t="shared" si="400"/>
        <v>6750000</v>
      </c>
      <c r="U827" s="584">
        <f t="shared" si="400"/>
        <v>0</v>
      </c>
      <c r="V827" s="584">
        <f t="shared" si="400"/>
        <v>6750000</v>
      </c>
      <c r="W827" s="532"/>
      <c r="X827" s="532"/>
      <c r="Y827" s="532"/>
      <c r="Z827" s="532"/>
    </row>
    <row r="828" spans="1:26" ht="12.6" customHeight="1" x14ac:dyDescent="0.25">
      <c r="A828" s="577"/>
      <c r="B828" s="569"/>
      <c r="C828" s="569"/>
      <c r="D828" s="580"/>
      <c r="E828" s="586">
        <f>E827-E824</f>
        <v>0</v>
      </c>
      <c r="F828" s="586">
        <f t="shared" ref="F828:V828" si="401">F827-F824</f>
        <v>0</v>
      </c>
      <c r="G828" s="586">
        <f t="shared" si="401"/>
        <v>0</v>
      </c>
      <c r="H828" s="586">
        <f>H827-H824</f>
        <v>0</v>
      </c>
      <c r="I828" s="586">
        <f t="shared" si="401"/>
        <v>0</v>
      </c>
      <c r="J828" s="586">
        <f>J827-J824</f>
        <v>0</v>
      </c>
      <c r="K828" s="586">
        <f t="shared" si="401"/>
        <v>0</v>
      </c>
      <c r="L828" s="586">
        <f t="shared" si="401"/>
        <v>0</v>
      </c>
      <c r="M828" s="586">
        <f t="shared" si="401"/>
        <v>0</v>
      </c>
      <c r="N828" s="586">
        <f t="shared" si="401"/>
        <v>0</v>
      </c>
      <c r="O828" s="586">
        <f t="shared" si="401"/>
        <v>0</v>
      </c>
      <c r="P828" s="586">
        <f t="shared" si="401"/>
        <v>0</v>
      </c>
      <c r="Q828" s="586">
        <f t="shared" si="401"/>
        <v>0</v>
      </c>
      <c r="R828" s="586">
        <f t="shared" si="401"/>
        <v>0</v>
      </c>
      <c r="S828" s="586">
        <f t="shared" si="401"/>
        <v>0</v>
      </c>
      <c r="T828" s="586">
        <f t="shared" si="401"/>
        <v>0</v>
      </c>
      <c r="U828" s="586">
        <f t="shared" si="401"/>
        <v>0</v>
      </c>
      <c r="V828" s="586">
        <f t="shared" si="401"/>
        <v>0</v>
      </c>
    </row>
    <row r="829" spans="1:26" s="533" customFormat="1" ht="12.6" customHeight="1" x14ac:dyDescent="0.25">
      <c r="A829" s="573"/>
      <c r="B829" s="569"/>
      <c r="C829" s="569"/>
      <c r="D829" s="580"/>
      <c r="E829" s="570"/>
      <c r="F829" s="570"/>
      <c r="G829" s="570"/>
      <c r="H829" s="570"/>
      <c r="I829" s="570"/>
      <c r="J829" s="570"/>
      <c r="K829" s="570"/>
      <c r="L829" s="570"/>
      <c r="M829" s="570"/>
      <c r="N829" s="570"/>
      <c r="O829" s="570"/>
      <c r="P829" s="570"/>
      <c r="Q829" s="570"/>
      <c r="R829" s="570"/>
      <c r="S829" s="570"/>
      <c r="T829" s="570"/>
      <c r="U829" s="603"/>
      <c r="V829" s="599"/>
    </row>
    <row r="830" spans="1:26" s="533" customFormat="1" ht="12.6" customHeight="1" x14ac:dyDescent="0.25">
      <c r="A830" s="611" t="s">
        <v>247</v>
      </c>
      <c r="B830" s="612" t="s">
        <v>263</v>
      </c>
      <c r="C830" s="612"/>
      <c r="D830" s="617"/>
      <c r="E830" s="613">
        <v>-34406.019999999997</v>
      </c>
      <c r="F830" s="613">
        <f>'CABAC Non-Fid 2025'!G270</f>
        <v>0</v>
      </c>
      <c r="G830" s="613"/>
      <c r="H830" s="613"/>
      <c r="I830" s="613"/>
      <c r="J830" s="613"/>
      <c r="K830" s="613"/>
      <c r="L830" s="613"/>
      <c r="M830" s="613"/>
      <c r="N830" s="613"/>
      <c r="O830" s="613"/>
      <c r="P830" s="613"/>
      <c r="Q830" s="613"/>
      <c r="R830" s="613"/>
      <c r="S830" s="613"/>
      <c r="T830" s="613">
        <f t="shared" ref="T830:T845" si="402">SUM(E830:S830)</f>
        <v>-34406.019999999997</v>
      </c>
      <c r="U830" s="619"/>
      <c r="V830" s="614">
        <f>T830-U830</f>
        <v>-34406.019999999997</v>
      </c>
    </row>
    <row r="831" spans="1:26" s="533" customFormat="1" ht="12.6" customHeight="1" x14ac:dyDescent="0.25">
      <c r="A831" s="604" t="s">
        <v>75</v>
      </c>
      <c r="B831" s="569" t="s">
        <v>463</v>
      </c>
      <c r="C831" s="569"/>
      <c r="D831" s="580"/>
      <c r="E831" s="570">
        <v>-34406.03</v>
      </c>
      <c r="F831" s="570"/>
      <c r="G831" s="570"/>
      <c r="H831" s="570"/>
      <c r="I831" s="570"/>
      <c r="J831" s="570"/>
      <c r="K831" s="570"/>
      <c r="L831" s="570"/>
      <c r="M831" s="570"/>
      <c r="N831" s="570"/>
      <c r="O831" s="570"/>
      <c r="P831" s="570"/>
      <c r="Q831" s="570"/>
      <c r="R831" s="570"/>
      <c r="S831" s="570"/>
      <c r="T831" s="570">
        <f t="shared" si="402"/>
        <v>-34406.03</v>
      </c>
      <c r="U831" s="603"/>
      <c r="V831" s="599">
        <f>T831-U831</f>
        <v>-34406.03</v>
      </c>
    </row>
    <row r="832" spans="1:26" s="533" customFormat="1" ht="12.6" customHeight="1" x14ac:dyDescent="0.25">
      <c r="A832" s="573"/>
      <c r="B832" s="569" t="s">
        <v>376</v>
      </c>
      <c r="C832" s="569"/>
      <c r="D832" s="580"/>
      <c r="E832" s="570">
        <v>-34406.03</v>
      </c>
      <c r="F832" s="570">
        <f>'CABAC Non-Fid 2025'!G269</f>
        <v>0</v>
      </c>
      <c r="G832" s="570"/>
      <c r="H832" s="570"/>
      <c r="I832" s="570"/>
      <c r="J832" s="570"/>
      <c r="K832" s="570"/>
      <c r="L832" s="570"/>
      <c r="M832" s="570"/>
      <c r="N832" s="570"/>
      <c r="O832" s="570"/>
      <c r="P832" s="570"/>
      <c r="Q832" s="570"/>
      <c r="R832" s="570"/>
      <c r="S832" s="570"/>
      <c r="T832" s="570">
        <f t="shared" si="402"/>
        <v>-34406.03</v>
      </c>
      <c r="U832" s="603"/>
      <c r="V832" s="599">
        <f t="shared" ref="V832:V845" si="403">T832-U832</f>
        <v>-34406.03</v>
      </c>
    </row>
    <row r="833" spans="1:26" s="533" customFormat="1" ht="12.6" customHeight="1" x14ac:dyDescent="0.25">
      <c r="A833" s="573"/>
      <c r="B833" s="569" t="s">
        <v>465</v>
      </c>
      <c r="C833" s="569"/>
      <c r="D833" s="580"/>
      <c r="E833" s="570">
        <v>-34406.019999999997</v>
      </c>
      <c r="F833" s="570">
        <f>'CABAC Non-Fid 2025'!G271</f>
        <v>0</v>
      </c>
      <c r="G833" s="570"/>
      <c r="H833" s="570"/>
      <c r="I833" s="570"/>
      <c r="J833" s="570"/>
      <c r="K833" s="570"/>
      <c r="L833" s="570"/>
      <c r="M833" s="570"/>
      <c r="N833" s="570"/>
      <c r="O833" s="570"/>
      <c r="P833" s="570"/>
      <c r="Q833" s="570"/>
      <c r="R833" s="570"/>
      <c r="S833" s="570"/>
      <c r="T833" s="570">
        <f t="shared" si="402"/>
        <v>-34406.019999999997</v>
      </c>
      <c r="U833" s="603"/>
      <c r="V833" s="599">
        <f t="shared" si="403"/>
        <v>-34406.019999999997</v>
      </c>
    </row>
    <row r="834" spans="1:26" s="533" customFormat="1" ht="12.6" customHeight="1" x14ac:dyDescent="0.25">
      <c r="A834" s="573"/>
      <c r="B834" s="569" t="s">
        <v>262</v>
      </c>
      <c r="C834" s="569"/>
      <c r="D834" s="580"/>
      <c r="E834" s="570">
        <v>-34406.019999999997</v>
      </c>
      <c r="F834" s="570">
        <f>'CABAC Non-Fid 2025'!G272</f>
        <v>0</v>
      </c>
      <c r="G834" s="570"/>
      <c r="H834" s="570"/>
      <c r="I834" s="570"/>
      <c r="J834" s="570"/>
      <c r="K834" s="570"/>
      <c r="L834" s="570"/>
      <c r="M834" s="570"/>
      <c r="N834" s="570"/>
      <c r="O834" s="570"/>
      <c r="P834" s="570"/>
      <c r="Q834" s="570"/>
      <c r="R834" s="570"/>
      <c r="S834" s="570"/>
      <c r="T834" s="570">
        <f t="shared" si="402"/>
        <v>-34406.019999999997</v>
      </c>
      <c r="U834" s="603"/>
      <c r="V834" s="599">
        <f t="shared" si="403"/>
        <v>-34406.019999999997</v>
      </c>
    </row>
    <row r="835" spans="1:26" s="533" customFormat="1" ht="12.6" customHeight="1" x14ac:dyDescent="0.25">
      <c r="A835" s="573"/>
      <c r="B835" s="569" t="s">
        <v>145</v>
      </c>
      <c r="C835" s="569"/>
      <c r="D835" s="580"/>
      <c r="E835" s="570"/>
      <c r="F835" s="570">
        <f>'CABAC Fiduciary 2025'!F380</f>
        <v>0</v>
      </c>
      <c r="G835" s="570"/>
      <c r="H835" s="570"/>
      <c r="I835" s="570"/>
      <c r="J835" s="570"/>
      <c r="K835" s="570"/>
      <c r="L835" s="570"/>
      <c r="M835" s="570"/>
      <c r="N835" s="570"/>
      <c r="O835" s="570"/>
      <c r="P835" s="570"/>
      <c r="Q835" s="570"/>
      <c r="R835" s="570"/>
      <c r="S835" s="570"/>
      <c r="T835" s="570">
        <f t="shared" si="402"/>
        <v>0</v>
      </c>
      <c r="U835" s="603"/>
      <c r="V835" s="599">
        <f t="shared" si="403"/>
        <v>0</v>
      </c>
    </row>
    <row r="836" spans="1:26" s="533" customFormat="1" ht="12.6" customHeight="1" x14ac:dyDescent="0.25">
      <c r="A836" s="573"/>
      <c r="B836" s="569" t="s">
        <v>179</v>
      </c>
      <c r="C836" s="569"/>
      <c r="D836" s="580"/>
      <c r="E836" s="570"/>
      <c r="F836" s="570">
        <f>'CABAC Fiduciary 2025'!F381</f>
        <v>0</v>
      </c>
      <c r="G836" s="570"/>
      <c r="H836" s="570"/>
      <c r="I836" s="570"/>
      <c r="J836" s="570"/>
      <c r="K836" s="570"/>
      <c r="L836" s="570"/>
      <c r="M836" s="570"/>
      <c r="N836" s="570"/>
      <c r="O836" s="570"/>
      <c r="P836" s="570"/>
      <c r="Q836" s="570"/>
      <c r="R836" s="570"/>
      <c r="S836" s="570"/>
      <c r="T836" s="570">
        <f t="shared" si="402"/>
        <v>0</v>
      </c>
      <c r="U836" s="603"/>
      <c r="V836" s="599">
        <f t="shared" si="403"/>
        <v>0</v>
      </c>
    </row>
    <row r="837" spans="1:26" s="533" customFormat="1" ht="12.6" customHeight="1" x14ac:dyDescent="0.25">
      <c r="A837" s="573"/>
      <c r="B837" s="569" t="s">
        <v>356</v>
      </c>
      <c r="C837" s="569"/>
      <c r="D837" s="580"/>
      <c r="E837" s="570"/>
      <c r="F837" s="570"/>
      <c r="G837" s="570"/>
      <c r="H837" s="570"/>
      <c r="I837" s="570"/>
      <c r="J837" s="570"/>
      <c r="K837" s="570"/>
      <c r="L837" s="570"/>
      <c r="M837" s="570"/>
      <c r="N837" s="570"/>
      <c r="O837" s="570"/>
      <c r="P837" s="570"/>
      <c r="Q837" s="570"/>
      <c r="R837" s="570"/>
      <c r="S837" s="570"/>
      <c r="T837" s="570">
        <f t="shared" si="402"/>
        <v>0</v>
      </c>
      <c r="U837" s="603"/>
      <c r="V837" s="599">
        <f t="shared" si="403"/>
        <v>0</v>
      </c>
    </row>
    <row r="838" spans="1:26" s="533" customFormat="1" ht="12.6" customHeight="1" x14ac:dyDescent="0.25">
      <c r="A838" s="573"/>
      <c r="B838" s="569" t="s">
        <v>142</v>
      </c>
      <c r="C838" s="569"/>
      <c r="D838" s="580"/>
      <c r="E838" s="570"/>
      <c r="F838" s="570">
        <f>'CABAC Fiduciary 2025'!F383</f>
        <v>0</v>
      </c>
      <c r="G838" s="570"/>
      <c r="H838" s="570"/>
      <c r="I838" s="570"/>
      <c r="J838" s="570"/>
      <c r="K838" s="570"/>
      <c r="L838" s="570"/>
      <c r="M838" s="570"/>
      <c r="N838" s="570"/>
      <c r="O838" s="570"/>
      <c r="P838" s="570"/>
      <c r="Q838" s="570"/>
      <c r="R838" s="570"/>
      <c r="S838" s="570"/>
      <c r="T838" s="570">
        <f t="shared" si="402"/>
        <v>0</v>
      </c>
      <c r="U838" s="603"/>
      <c r="V838" s="599">
        <f t="shared" si="403"/>
        <v>0</v>
      </c>
    </row>
    <row r="839" spans="1:26" s="533" customFormat="1" ht="12.6" customHeight="1" x14ac:dyDescent="0.25">
      <c r="A839" s="573"/>
      <c r="B839" s="569" t="s">
        <v>358</v>
      </c>
      <c r="C839" s="569"/>
      <c r="D839" s="580"/>
      <c r="E839" s="570"/>
      <c r="F839" s="570">
        <f>'CABAC Fiduciary 2025'!F385</f>
        <v>0</v>
      </c>
      <c r="G839" s="570"/>
      <c r="H839" s="570"/>
      <c r="I839" s="570"/>
      <c r="J839" s="570"/>
      <c r="K839" s="570"/>
      <c r="L839" s="570"/>
      <c r="M839" s="570"/>
      <c r="N839" s="570"/>
      <c r="O839" s="570"/>
      <c r="P839" s="570"/>
      <c r="Q839" s="570"/>
      <c r="R839" s="570"/>
      <c r="S839" s="570"/>
      <c r="T839" s="570">
        <f t="shared" si="402"/>
        <v>0</v>
      </c>
      <c r="U839" s="603"/>
      <c r="V839" s="599">
        <f t="shared" si="403"/>
        <v>0</v>
      </c>
    </row>
    <row r="840" spans="1:26" s="533" customFormat="1" ht="12.6" customHeight="1" x14ac:dyDescent="0.25">
      <c r="A840" s="573"/>
      <c r="B840" s="569" t="s">
        <v>343</v>
      </c>
      <c r="C840" s="569"/>
      <c r="D840" s="580"/>
      <c r="E840" s="570"/>
      <c r="F840" s="570">
        <f>'CABAC Fiduciary 2025'!F384</f>
        <v>0</v>
      </c>
      <c r="G840" s="570"/>
      <c r="H840" s="570"/>
      <c r="I840" s="570"/>
      <c r="J840" s="570"/>
      <c r="K840" s="570"/>
      <c r="L840" s="570"/>
      <c r="M840" s="570"/>
      <c r="N840" s="570"/>
      <c r="O840" s="570"/>
      <c r="P840" s="570"/>
      <c r="Q840" s="570"/>
      <c r="R840" s="570"/>
      <c r="S840" s="570"/>
      <c r="T840" s="570">
        <f t="shared" si="402"/>
        <v>0</v>
      </c>
      <c r="U840" s="603"/>
      <c r="V840" s="599">
        <f>T840-U840</f>
        <v>0</v>
      </c>
    </row>
    <row r="841" spans="1:26" s="533" customFormat="1" ht="12.6" customHeight="1" x14ac:dyDescent="0.25">
      <c r="A841" s="573"/>
      <c r="B841" s="569" t="s">
        <v>344</v>
      </c>
      <c r="C841" s="569"/>
      <c r="D841" s="580"/>
      <c r="E841" s="570"/>
      <c r="F841" s="570"/>
      <c r="G841" s="570"/>
      <c r="H841" s="570"/>
      <c r="I841" s="570"/>
      <c r="J841" s="570"/>
      <c r="K841" s="570"/>
      <c r="L841" s="570"/>
      <c r="M841" s="570"/>
      <c r="N841" s="570"/>
      <c r="O841" s="570"/>
      <c r="P841" s="570"/>
      <c r="Q841" s="570"/>
      <c r="R841" s="570"/>
      <c r="S841" s="570"/>
      <c r="T841" s="570">
        <f t="shared" si="402"/>
        <v>0</v>
      </c>
      <c r="U841" s="603"/>
      <c r="V841" s="599">
        <f t="shared" si="403"/>
        <v>0</v>
      </c>
    </row>
    <row r="842" spans="1:26" s="533" customFormat="1" ht="12.6" customHeight="1" x14ac:dyDescent="0.25">
      <c r="A842" s="573"/>
      <c r="B842" s="569" t="s">
        <v>345</v>
      </c>
      <c r="C842" s="569"/>
      <c r="D842" s="580"/>
      <c r="E842" s="601"/>
      <c r="F842" s="601"/>
      <c r="G842" s="601"/>
      <c r="H842" s="601"/>
      <c r="I842" s="601"/>
      <c r="J842" s="601"/>
      <c r="K842" s="601"/>
      <c r="L842" s="601"/>
      <c r="M842" s="601"/>
      <c r="N842" s="601"/>
      <c r="O842" s="601"/>
      <c r="P842" s="601"/>
      <c r="Q842" s="601"/>
      <c r="R842" s="601"/>
      <c r="S842" s="601"/>
      <c r="T842" s="601">
        <f t="shared" si="402"/>
        <v>0</v>
      </c>
      <c r="U842" s="606"/>
      <c r="V842" s="623">
        <f>T842-U842</f>
        <v>0</v>
      </c>
    </row>
    <row r="843" spans="1:26" s="533" customFormat="1" ht="12.6" customHeight="1" x14ac:dyDescent="0.25">
      <c r="A843" s="573"/>
      <c r="B843" s="569" t="s">
        <v>154</v>
      </c>
      <c r="C843" s="569"/>
      <c r="D843" s="580"/>
      <c r="E843" s="570"/>
      <c r="F843" s="570"/>
      <c r="G843" s="570"/>
      <c r="H843" s="570"/>
      <c r="I843" s="570"/>
      <c r="J843" s="570"/>
      <c r="K843" s="570"/>
      <c r="L843" s="570"/>
      <c r="M843" s="570"/>
      <c r="N843" s="570"/>
      <c r="O843" s="570"/>
      <c r="P843" s="570"/>
      <c r="Q843" s="570"/>
      <c r="R843" s="570"/>
      <c r="S843" s="570"/>
      <c r="T843" s="570">
        <f t="shared" si="402"/>
        <v>0</v>
      </c>
      <c r="U843" s="603"/>
      <c r="V843" s="599">
        <f>T843-U843</f>
        <v>0</v>
      </c>
    </row>
    <row r="844" spans="1:26" s="533" customFormat="1" ht="12.6" customHeight="1" x14ac:dyDescent="0.25">
      <c r="A844" s="573"/>
      <c r="B844" s="569" t="s">
        <v>359</v>
      </c>
      <c r="C844" s="569"/>
      <c r="D844" s="580"/>
      <c r="E844" s="570"/>
      <c r="F844" s="570"/>
      <c r="G844" s="570"/>
      <c r="H844" s="570"/>
      <c r="I844" s="570"/>
      <c r="J844" s="570"/>
      <c r="K844" s="570"/>
      <c r="L844" s="570"/>
      <c r="M844" s="570"/>
      <c r="N844" s="570"/>
      <c r="O844" s="570"/>
      <c r="P844" s="570"/>
      <c r="Q844" s="570"/>
      <c r="R844" s="570"/>
      <c r="S844" s="570"/>
      <c r="T844" s="570">
        <f t="shared" si="402"/>
        <v>0</v>
      </c>
      <c r="U844" s="603"/>
      <c r="V844" s="599">
        <f>T844-U844</f>
        <v>0</v>
      </c>
    </row>
    <row r="845" spans="1:26" s="533" customFormat="1" ht="12.6" customHeight="1" thickBot="1" x14ac:dyDescent="0.3">
      <c r="A845" s="573"/>
      <c r="B845" s="569" t="s">
        <v>144</v>
      </c>
      <c r="C845" s="569"/>
      <c r="D845" s="580"/>
      <c r="E845" s="570"/>
      <c r="F845" s="570">
        <f>'CABAC Fiduciary 2025'!F382</f>
        <v>0</v>
      </c>
      <c r="G845" s="570"/>
      <c r="H845" s="570"/>
      <c r="I845" s="570"/>
      <c r="J845" s="570"/>
      <c r="K845" s="570"/>
      <c r="L845" s="570"/>
      <c r="M845" s="570"/>
      <c r="N845" s="570"/>
      <c r="O845" s="570"/>
      <c r="P845" s="570"/>
      <c r="Q845" s="570"/>
      <c r="R845" s="570"/>
      <c r="S845" s="570"/>
      <c r="T845" s="570">
        <f t="shared" si="402"/>
        <v>0</v>
      </c>
      <c r="U845" s="603"/>
      <c r="V845" s="599">
        <f t="shared" si="403"/>
        <v>0</v>
      </c>
    </row>
    <row r="846" spans="1:26" s="533" customFormat="1" ht="12.6" customHeight="1" thickBot="1" x14ac:dyDescent="0.3">
      <c r="A846" s="573"/>
      <c r="B846" s="581" t="s">
        <v>346</v>
      </c>
      <c r="C846" s="569"/>
      <c r="D846" s="580"/>
      <c r="E846" s="582">
        <f>SUM(E830:E845)</f>
        <v>-172030.11999999997</v>
      </c>
      <c r="F846" s="582">
        <f t="shared" ref="F846:V846" si="404">SUM(F830:F845)</f>
        <v>0</v>
      </c>
      <c r="G846" s="582">
        <f t="shared" si="404"/>
        <v>0</v>
      </c>
      <c r="H846" s="582">
        <f>SUM(H830:H845)</f>
        <v>0</v>
      </c>
      <c r="I846" s="582">
        <f t="shared" si="404"/>
        <v>0</v>
      </c>
      <c r="J846" s="582">
        <f>SUM(J830:J845)</f>
        <v>0</v>
      </c>
      <c r="K846" s="582">
        <f t="shared" si="404"/>
        <v>0</v>
      </c>
      <c r="L846" s="582">
        <f t="shared" si="404"/>
        <v>0</v>
      </c>
      <c r="M846" s="582">
        <f t="shared" si="404"/>
        <v>0</v>
      </c>
      <c r="N846" s="582">
        <f t="shared" si="404"/>
        <v>0</v>
      </c>
      <c r="O846" s="582">
        <f t="shared" si="404"/>
        <v>0</v>
      </c>
      <c r="P846" s="582">
        <f t="shared" si="404"/>
        <v>0</v>
      </c>
      <c r="Q846" s="582">
        <f t="shared" si="404"/>
        <v>0</v>
      </c>
      <c r="R846" s="582">
        <f t="shared" si="404"/>
        <v>0</v>
      </c>
      <c r="S846" s="582">
        <f t="shared" si="404"/>
        <v>0</v>
      </c>
      <c r="T846" s="582">
        <f t="shared" si="404"/>
        <v>-172030.11999999997</v>
      </c>
      <c r="U846" s="582">
        <f t="shared" si="404"/>
        <v>0</v>
      </c>
      <c r="V846" s="582">
        <f t="shared" si="404"/>
        <v>-172030.11999999997</v>
      </c>
    </row>
    <row r="847" spans="1:26" ht="12.6" customHeight="1" x14ac:dyDescent="0.25">
      <c r="A847" s="577"/>
      <c r="B847" s="581"/>
      <c r="C847" s="569"/>
      <c r="D847" s="583" t="s">
        <v>347</v>
      </c>
      <c r="E847" s="830">
        <f>SUM(E835:E845)</f>
        <v>0</v>
      </c>
      <c r="F847" s="830">
        <f t="shared" ref="F847:V847" si="405">SUM(F835:F845)</f>
        <v>0</v>
      </c>
      <c r="G847" s="700">
        <f t="shared" si="405"/>
        <v>0</v>
      </c>
      <c r="H847" s="700">
        <f>SUM(H835:H845)</f>
        <v>0</v>
      </c>
      <c r="I847" s="700">
        <f t="shared" si="405"/>
        <v>0</v>
      </c>
      <c r="J847" s="700">
        <f>SUM(J835:J845)</f>
        <v>0</v>
      </c>
      <c r="K847" s="700">
        <f t="shared" si="405"/>
        <v>0</v>
      </c>
      <c r="L847" s="700">
        <f t="shared" si="405"/>
        <v>0</v>
      </c>
      <c r="M847" s="700">
        <f t="shared" si="405"/>
        <v>0</v>
      </c>
      <c r="N847" s="700">
        <f t="shared" si="405"/>
        <v>0</v>
      </c>
      <c r="O847" s="700">
        <f t="shared" si="405"/>
        <v>0</v>
      </c>
      <c r="P847" s="700">
        <f t="shared" si="405"/>
        <v>0</v>
      </c>
      <c r="Q847" s="700">
        <f t="shared" si="405"/>
        <v>0</v>
      </c>
      <c r="R847" s="700">
        <f t="shared" si="405"/>
        <v>0</v>
      </c>
      <c r="S847" s="700">
        <f t="shared" si="405"/>
        <v>0</v>
      </c>
      <c r="T847" s="700">
        <f t="shared" si="405"/>
        <v>0</v>
      </c>
      <c r="U847" s="700">
        <f t="shared" si="405"/>
        <v>0</v>
      </c>
      <c r="V847" s="700">
        <f t="shared" si="405"/>
        <v>0</v>
      </c>
      <c r="W847" s="532"/>
      <c r="X847" s="532"/>
      <c r="Y847" s="532"/>
      <c r="Z847" s="532"/>
    </row>
    <row r="848" spans="1:26" ht="12.6" customHeight="1" x14ac:dyDescent="0.25">
      <c r="A848" s="577"/>
      <c r="B848" s="581"/>
      <c r="C848" s="569"/>
      <c r="D848" s="583" t="s">
        <v>348</v>
      </c>
      <c r="E848" s="730">
        <f>SUM(E830:E834)</f>
        <v>-172030.11999999997</v>
      </c>
      <c r="F848" s="730">
        <f t="shared" ref="F848:V848" si="406">SUM(F830:F834)</f>
        <v>0</v>
      </c>
      <c r="G848" s="584">
        <f t="shared" si="406"/>
        <v>0</v>
      </c>
      <c r="H848" s="584">
        <f>SUM(H830:H834)</f>
        <v>0</v>
      </c>
      <c r="I848" s="584">
        <f t="shared" si="406"/>
        <v>0</v>
      </c>
      <c r="J848" s="584">
        <f>SUM(J830:J834)</f>
        <v>0</v>
      </c>
      <c r="K848" s="584">
        <f t="shared" si="406"/>
        <v>0</v>
      </c>
      <c r="L848" s="584">
        <f t="shared" si="406"/>
        <v>0</v>
      </c>
      <c r="M848" s="584">
        <f t="shared" si="406"/>
        <v>0</v>
      </c>
      <c r="N848" s="584">
        <f t="shared" si="406"/>
        <v>0</v>
      </c>
      <c r="O848" s="584">
        <f t="shared" si="406"/>
        <v>0</v>
      </c>
      <c r="P848" s="584">
        <f t="shared" si="406"/>
        <v>0</v>
      </c>
      <c r="Q848" s="584">
        <f t="shared" si="406"/>
        <v>0</v>
      </c>
      <c r="R848" s="584">
        <f t="shared" si="406"/>
        <v>0</v>
      </c>
      <c r="S848" s="584">
        <f t="shared" si="406"/>
        <v>0</v>
      </c>
      <c r="T848" s="584">
        <f t="shared" si="406"/>
        <v>-172030.11999999997</v>
      </c>
      <c r="U848" s="584">
        <f t="shared" si="406"/>
        <v>0</v>
      </c>
      <c r="V848" s="584">
        <f t="shared" si="406"/>
        <v>-172030.11999999997</v>
      </c>
      <c r="W848" s="532"/>
      <c r="X848" s="532"/>
      <c r="Y848" s="532"/>
      <c r="Z848" s="532"/>
    </row>
    <row r="849" spans="1:26" ht="12.6" customHeight="1" x14ac:dyDescent="0.25">
      <c r="A849" s="577"/>
      <c r="B849" s="581"/>
      <c r="C849" s="569"/>
      <c r="D849" s="580"/>
      <c r="E849" s="730">
        <f>SUM(E847:E848)</f>
        <v>-172030.11999999997</v>
      </c>
      <c r="F849" s="730">
        <f t="shared" ref="F849:V849" si="407">SUM(F847:F848)</f>
        <v>0</v>
      </c>
      <c r="G849" s="584">
        <f t="shared" si="407"/>
        <v>0</v>
      </c>
      <c r="H849" s="584">
        <f>SUM(H847:H848)</f>
        <v>0</v>
      </c>
      <c r="I849" s="584">
        <f t="shared" si="407"/>
        <v>0</v>
      </c>
      <c r="J849" s="584">
        <f>SUM(J847:J848)</f>
        <v>0</v>
      </c>
      <c r="K849" s="584">
        <f t="shared" si="407"/>
        <v>0</v>
      </c>
      <c r="L849" s="584">
        <f t="shared" si="407"/>
        <v>0</v>
      </c>
      <c r="M849" s="584">
        <f t="shared" si="407"/>
        <v>0</v>
      </c>
      <c r="N849" s="584">
        <f t="shared" si="407"/>
        <v>0</v>
      </c>
      <c r="O849" s="584">
        <f t="shared" si="407"/>
        <v>0</v>
      </c>
      <c r="P849" s="584">
        <f t="shared" si="407"/>
        <v>0</v>
      </c>
      <c r="Q849" s="584">
        <f t="shared" si="407"/>
        <v>0</v>
      </c>
      <c r="R849" s="584">
        <f t="shared" si="407"/>
        <v>0</v>
      </c>
      <c r="S849" s="584">
        <f t="shared" si="407"/>
        <v>0</v>
      </c>
      <c r="T849" s="584">
        <f t="shared" si="407"/>
        <v>-172030.11999999997</v>
      </c>
      <c r="U849" s="584">
        <f t="shared" si="407"/>
        <v>0</v>
      </c>
      <c r="V849" s="584">
        <f t="shared" si="407"/>
        <v>-172030.11999999997</v>
      </c>
      <c r="W849" s="532"/>
      <c r="X849" s="532"/>
      <c r="Y849" s="532"/>
      <c r="Z849" s="532"/>
    </row>
    <row r="850" spans="1:26" ht="12.6" customHeight="1" x14ac:dyDescent="0.25">
      <c r="A850" s="577"/>
      <c r="B850" s="569"/>
      <c r="C850" s="569"/>
      <c r="D850" s="580"/>
      <c r="E850" s="1239">
        <f>E849-E846</f>
        <v>0</v>
      </c>
      <c r="F850" s="1234">
        <f t="shared" ref="F850:V850" si="408">F849-F846</f>
        <v>0</v>
      </c>
      <c r="G850" s="1234">
        <f t="shared" si="408"/>
        <v>0</v>
      </c>
      <c r="H850" s="1234">
        <f>H849-H846</f>
        <v>0</v>
      </c>
      <c r="I850" s="1234">
        <f t="shared" si="408"/>
        <v>0</v>
      </c>
      <c r="J850" s="1234">
        <f>J849-J846</f>
        <v>0</v>
      </c>
      <c r="K850" s="1234">
        <f t="shared" si="408"/>
        <v>0</v>
      </c>
      <c r="L850" s="1234">
        <f t="shared" si="408"/>
        <v>0</v>
      </c>
      <c r="M850" s="1234">
        <f t="shared" si="408"/>
        <v>0</v>
      </c>
      <c r="N850" s="1234">
        <f t="shared" si="408"/>
        <v>0</v>
      </c>
      <c r="O850" s="1234">
        <f t="shared" si="408"/>
        <v>0</v>
      </c>
      <c r="P850" s="1234">
        <f t="shared" si="408"/>
        <v>0</v>
      </c>
      <c r="Q850" s="1234">
        <f t="shared" si="408"/>
        <v>0</v>
      </c>
      <c r="R850" s="1234">
        <f t="shared" si="408"/>
        <v>0</v>
      </c>
      <c r="S850" s="1234">
        <f t="shared" si="408"/>
        <v>0</v>
      </c>
      <c r="T850" s="1234">
        <f t="shared" si="408"/>
        <v>0</v>
      </c>
      <c r="U850" s="1234">
        <f t="shared" si="408"/>
        <v>0</v>
      </c>
      <c r="V850" s="1234">
        <f t="shared" si="408"/>
        <v>0</v>
      </c>
    </row>
    <row r="851" spans="1:26" s="533" customFormat="1" ht="12.6" customHeight="1" x14ac:dyDescent="0.25">
      <c r="A851" s="573"/>
      <c r="B851" s="569"/>
      <c r="C851" s="569"/>
      <c r="D851" s="580"/>
      <c r="E851" s="601"/>
      <c r="F851" s="601"/>
      <c r="G851" s="601"/>
      <c r="H851" s="601"/>
      <c r="I851" s="601"/>
      <c r="J851" s="601"/>
      <c r="K851" s="601"/>
      <c r="L851" s="601"/>
      <c r="M851" s="601"/>
      <c r="N851" s="601"/>
      <c r="O851" s="601"/>
      <c r="P851" s="601"/>
      <c r="Q851" s="601"/>
      <c r="R851" s="601"/>
      <c r="S851" s="601"/>
      <c r="T851" s="601"/>
      <c r="U851" s="601"/>
      <c r="V851" s="615"/>
    </row>
    <row r="852" spans="1:26" s="533" customFormat="1" ht="12.6" customHeight="1" thickBot="1" x14ac:dyDescent="0.3">
      <c r="A852" s="573" t="s">
        <v>27</v>
      </c>
      <c r="B852" s="569" t="s">
        <v>172</v>
      </c>
      <c r="C852" s="569"/>
      <c r="D852" s="580"/>
      <c r="E852" s="631"/>
      <c r="F852" s="631">
        <f>'CABAC Fiduciary 2025'!F377</f>
        <v>0</v>
      </c>
      <c r="G852" s="631"/>
      <c r="H852" s="631"/>
      <c r="I852" s="631"/>
      <c r="J852" s="631"/>
      <c r="K852" s="631"/>
      <c r="L852" s="631"/>
      <c r="M852" s="631"/>
      <c r="N852" s="631"/>
      <c r="O852" s="631"/>
      <c r="P852" s="631"/>
      <c r="Q852" s="631"/>
      <c r="R852" s="631"/>
      <c r="S852" s="631"/>
      <c r="T852" s="631">
        <f>SUM(E852:S852)</f>
        <v>0</v>
      </c>
      <c r="U852" s="634"/>
      <c r="V852" s="635">
        <f>T852-U852</f>
        <v>0</v>
      </c>
    </row>
    <row r="853" spans="1:26" s="533" customFormat="1" ht="12.6" customHeight="1" thickBot="1" x14ac:dyDescent="0.3">
      <c r="A853" s="604" t="s">
        <v>76</v>
      </c>
      <c r="B853" s="581" t="s">
        <v>346</v>
      </c>
      <c r="C853" s="569"/>
      <c r="D853" s="580"/>
      <c r="E853" s="582">
        <f>SUM(E852)</f>
        <v>0</v>
      </c>
      <c r="F853" s="582">
        <f t="shared" ref="F853:V853" si="409">SUM(F852)</f>
        <v>0</v>
      </c>
      <c r="G853" s="582">
        <f t="shared" si="409"/>
        <v>0</v>
      </c>
      <c r="H853" s="582">
        <f>SUM(H852)</f>
        <v>0</v>
      </c>
      <c r="I853" s="582">
        <f t="shared" si="409"/>
        <v>0</v>
      </c>
      <c r="J853" s="582">
        <f>SUM(J852)</f>
        <v>0</v>
      </c>
      <c r="K853" s="582">
        <f t="shared" si="409"/>
        <v>0</v>
      </c>
      <c r="L853" s="582">
        <f t="shared" si="409"/>
        <v>0</v>
      </c>
      <c r="M853" s="582">
        <f t="shared" si="409"/>
        <v>0</v>
      </c>
      <c r="N853" s="582">
        <f t="shared" si="409"/>
        <v>0</v>
      </c>
      <c r="O853" s="582">
        <f t="shared" si="409"/>
        <v>0</v>
      </c>
      <c r="P853" s="582">
        <f t="shared" si="409"/>
        <v>0</v>
      </c>
      <c r="Q853" s="582">
        <f t="shared" si="409"/>
        <v>0</v>
      </c>
      <c r="R853" s="582">
        <f t="shared" si="409"/>
        <v>0</v>
      </c>
      <c r="S853" s="582">
        <f t="shared" si="409"/>
        <v>0</v>
      </c>
      <c r="T853" s="582">
        <f>SUM(T852)</f>
        <v>0</v>
      </c>
      <c r="U853" s="582">
        <f t="shared" si="409"/>
        <v>0</v>
      </c>
      <c r="V853" s="616">
        <f t="shared" si="409"/>
        <v>0</v>
      </c>
    </row>
    <row r="854" spans="1:26" ht="12.6" customHeight="1" x14ac:dyDescent="0.25">
      <c r="A854" s="577"/>
      <c r="B854" s="581"/>
      <c r="C854" s="569"/>
      <c r="D854" s="583" t="s">
        <v>347</v>
      </c>
      <c r="E854" s="700">
        <f>E852</f>
        <v>0</v>
      </c>
      <c r="F854" s="700">
        <f t="shared" ref="F854:V854" si="410">F852</f>
        <v>0</v>
      </c>
      <c r="G854" s="700">
        <f t="shared" si="410"/>
        <v>0</v>
      </c>
      <c r="H854" s="700">
        <f>H852</f>
        <v>0</v>
      </c>
      <c r="I854" s="700">
        <f t="shared" si="410"/>
        <v>0</v>
      </c>
      <c r="J854" s="700">
        <f>J852</f>
        <v>0</v>
      </c>
      <c r="K854" s="700">
        <f t="shared" si="410"/>
        <v>0</v>
      </c>
      <c r="L854" s="584">
        <f t="shared" si="410"/>
        <v>0</v>
      </c>
      <c r="M854" s="584">
        <f t="shared" si="410"/>
        <v>0</v>
      </c>
      <c r="N854" s="584">
        <f t="shared" si="410"/>
        <v>0</v>
      </c>
      <c r="O854" s="584">
        <f t="shared" si="410"/>
        <v>0</v>
      </c>
      <c r="P854" s="584">
        <f t="shared" si="410"/>
        <v>0</v>
      </c>
      <c r="Q854" s="584">
        <f t="shared" si="410"/>
        <v>0</v>
      </c>
      <c r="R854" s="584">
        <f t="shared" si="410"/>
        <v>0</v>
      </c>
      <c r="S854" s="584">
        <f t="shared" si="410"/>
        <v>0</v>
      </c>
      <c r="T854" s="584">
        <f t="shared" si="410"/>
        <v>0</v>
      </c>
      <c r="U854" s="624">
        <f t="shared" si="410"/>
        <v>0</v>
      </c>
      <c r="V854" s="625">
        <f t="shared" si="410"/>
        <v>0</v>
      </c>
      <c r="W854" s="532"/>
      <c r="X854" s="532"/>
      <c r="Y854" s="532"/>
      <c r="Z854" s="532"/>
    </row>
    <row r="855" spans="1:26" ht="12.6" customHeight="1" x14ac:dyDescent="0.25">
      <c r="A855" s="577"/>
      <c r="B855" s="581"/>
      <c r="C855" s="569"/>
      <c r="D855" s="583" t="s">
        <v>348</v>
      </c>
      <c r="E855" s="584"/>
      <c r="F855" s="584"/>
      <c r="G855" s="584"/>
      <c r="H855" s="584"/>
      <c r="I855" s="584"/>
      <c r="J855" s="584"/>
      <c r="K855" s="584"/>
      <c r="L855" s="584"/>
      <c r="M855" s="584"/>
      <c r="N855" s="584"/>
      <c r="O855" s="584"/>
      <c r="P855" s="584"/>
      <c r="Q855" s="584"/>
      <c r="R855" s="584"/>
      <c r="S855" s="584"/>
      <c r="T855" s="584"/>
      <c r="U855" s="624"/>
      <c r="V855" s="584"/>
      <c r="W855" s="532"/>
      <c r="X855" s="532"/>
      <c r="Y855" s="532"/>
      <c r="Z855" s="532"/>
    </row>
    <row r="856" spans="1:26" ht="12.6" customHeight="1" x14ac:dyDescent="0.25">
      <c r="A856" s="577"/>
      <c r="B856" s="581"/>
      <c r="C856" s="569"/>
      <c r="D856" s="580"/>
      <c r="E856" s="584">
        <f>SUM(E854:E855)</f>
        <v>0</v>
      </c>
      <c r="F856" s="584">
        <f t="shared" ref="F856:V856" si="411">SUM(F854:F855)</f>
        <v>0</v>
      </c>
      <c r="G856" s="584">
        <f t="shared" si="411"/>
        <v>0</v>
      </c>
      <c r="H856" s="584">
        <f>SUM(H854:H855)</f>
        <v>0</v>
      </c>
      <c r="I856" s="584">
        <f t="shared" si="411"/>
        <v>0</v>
      </c>
      <c r="J856" s="584">
        <f>SUM(J854:J855)</f>
        <v>0</v>
      </c>
      <c r="K856" s="584">
        <f t="shared" si="411"/>
        <v>0</v>
      </c>
      <c r="L856" s="584">
        <f t="shared" si="411"/>
        <v>0</v>
      </c>
      <c r="M856" s="584">
        <f t="shared" si="411"/>
        <v>0</v>
      </c>
      <c r="N856" s="584">
        <f t="shared" si="411"/>
        <v>0</v>
      </c>
      <c r="O856" s="584">
        <f t="shared" si="411"/>
        <v>0</v>
      </c>
      <c r="P856" s="584">
        <f t="shared" si="411"/>
        <v>0</v>
      </c>
      <c r="Q856" s="584">
        <f t="shared" si="411"/>
        <v>0</v>
      </c>
      <c r="R856" s="584">
        <f t="shared" si="411"/>
        <v>0</v>
      </c>
      <c r="S856" s="584">
        <f t="shared" si="411"/>
        <v>0</v>
      </c>
      <c r="T856" s="584">
        <f t="shared" si="411"/>
        <v>0</v>
      </c>
      <c r="U856" s="624">
        <f t="shared" si="411"/>
        <v>0</v>
      </c>
      <c r="V856" s="584">
        <f t="shared" si="411"/>
        <v>0</v>
      </c>
      <c r="W856" s="532"/>
      <c r="X856" s="532"/>
      <c r="Y856" s="532"/>
      <c r="Z856" s="532"/>
    </row>
    <row r="857" spans="1:26" ht="12.6" customHeight="1" x14ac:dyDescent="0.25">
      <c r="A857" s="577"/>
      <c r="B857" s="569"/>
      <c r="C857" s="569"/>
      <c r="D857" s="580"/>
      <c r="E857" s="1232">
        <f>E856-E853</f>
        <v>0</v>
      </c>
      <c r="F857" s="1232">
        <f t="shared" ref="F857:V857" si="412">F856-F853</f>
        <v>0</v>
      </c>
      <c r="G857" s="1232">
        <f t="shared" si="412"/>
        <v>0</v>
      </c>
      <c r="H857" s="1232">
        <f>H856-H853</f>
        <v>0</v>
      </c>
      <c r="I857" s="1232">
        <f t="shared" si="412"/>
        <v>0</v>
      </c>
      <c r="J857" s="1232">
        <f>J856-J853</f>
        <v>0</v>
      </c>
      <c r="K857" s="1232">
        <f t="shared" si="412"/>
        <v>0</v>
      </c>
      <c r="L857" s="1232">
        <f t="shared" si="412"/>
        <v>0</v>
      </c>
      <c r="M857" s="1232">
        <f t="shared" si="412"/>
        <v>0</v>
      </c>
      <c r="N857" s="1232">
        <f t="shared" si="412"/>
        <v>0</v>
      </c>
      <c r="O857" s="1232">
        <f t="shared" si="412"/>
        <v>0</v>
      </c>
      <c r="P857" s="1232">
        <f t="shared" si="412"/>
        <v>0</v>
      </c>
      <c r="Q857" s="1232">
        <f t="shared" si="412"/>
        <v>0</v>
      </c>
      <c r="R857" s="1232">
        <f t="shared" si="412"/>
        <v>0</v>
      </c>
      <c r="S857" s="1232">
        <f t="shared" si="412"/>
        <v>0</v>
      </c>
      <c r="T857" s="1232">
        <f t="shared" si="412"/>
        <v>0</v>
      </c>
      <c r="U857" s="1233">
        <f t="shared" si="412"/>
        <v>0</v>
      </c>
      <c r="V857" s="1232">
        <f t="shared" si="412"/>
        <v>0</v>
      </c>
    </row>
    <row r="858" spans="1:26" s="533" customFormat="1" ht="12.6" customHeight="1" x14ac:dyDescent="0.25">
      <c r="A858" s="573"/>
      <c r="B858" s="569"/>
      <c r="C858" s="569"/>
      <c r="D858" s="580"/>
      <c r="E858" s="601"/>
      <c r="F858" s="601"/>
      <c r="G858" s="601"/>
      <c r="H858" s="601"/>
      <c r="I858" s="601"/>
      <c r="J858" s="601"/>
      <c r="K858" s="601"/>
      <c r="L858" s="601"/>
      <c r="M858" s="601"/>
      <c r="N858" s="601"/>
      <c r="O858" s="601"/>
      <c r="P858" s="601"/>
      <c r="Q858" s="601"/>
      <c r="R858" s="601"/>
      <c r="S858" s="601"/>
      <c r="T858" s="601"/>
      <c r="U858" s="630"/>
      <c r="V858" s="601"/>
    </row>
    <row r="859" spans="1:26" s="533" customFormat="1" ht="12.6" customHeight="1" x14ac:dyDescent="0.25">
      <c r="A859" s="573" t="s">
        <v>428</v>
      </c>
      <c r="B859" s="569" t="s">
        <v>262</v>
      </c>
      <c r="C859" s="569"/>
      <c r="D859" s="580"/>
      <c r="E859" s="570"/>
      <c r="F859" s="570"/>
      <c r="G859" s="570"/>
      <c r="H859" s="570"/>
      <c r="I859" s="570"/>
      <c r="J859" s="570"/>
      <c r="K859" s="570"/>
      <c r="L859" s="570"/>
      <c r="M859" s="570"/>
      <c r="N859" s="570"/>
      <c r="O859" s="570"/>
      <c r="P859" s="570"/>
      <c r="Q859" s="570"/>
      <c r="R859" s="570"/>
      <c r="S859" s="570"/>
      <c r="T859" s="570">
        <f t="shared" ref="T859:T864" si="413">SUM(E859:S859)</f>
        <v>0</v>
      </c>
      <c r="U859" s="628"/>
      <c r="V859" s="570">
        <f t="shared" ref="V859:V860" si="414">T859-U859</f>
        <v>0</v>
      </c>
    </row>
    <row r="860" spans="1:26" s="533" customFormat="1" ht="12.6" customHeight="1" x14ac:dyDescent="0.25">
      <c r="A860" s="604" t="s">
        <v>91</v>
      </c>
      <c r="B860" s="569" t="s">
        <v>266</v>
      </c>
      <c r="C860" s="569"/>
      <c r="D860" s="580"/>
      <c r="E860" s="570"/>
      <c r="F860" s="570"/>
      <c r="G860" s="570"/>
      <c r="H860" s="570"/>
      <c r="I860" s="570"/>
      <c r="J860" s="570"/>
      <c r="K860" s="570"/>
      <c r="L860" s="570"/>
      <c r="M860" s="570"/>
      <c r="N860" s="570"/>
      <c r="O860" s="570"/>
      <c r="P860" s="570"/>
      <c r="Q860" s="570"/>
      <c r="R860" s="570"/>
      <c r="S860" s="570"/>
      <c r="T860" s="570">
        <f t="shared" si="413"/>
        <v>0</v>
      </c>
      <c r="U860" s="628"/>
      <c r="V860" s="570">
        <f t="shared" si="414"/>
        <v>0</v>
      </c>
    </row>
    <row r="861" spans="1:26" s="533" customFormat="1" ht="12.6" customHeight="1" x14ac:dyDescent="0.25">
      <c r="A861" s="573"/>
      <c r="B861" s="569" t="s">
        <v>179</v>
      </c>
      <c r="C861" s="569"/>
      <c r="D861" s="580"/>
      <c r="E861" s="601"/>
      <c r="F861" s="601"/>
      <c r="G861" s="601"/>
      <c r="H861" s="601"/>
      <c r="I861" s="601"/>
      <c r="J861" s="601"/>
      <c r="K861" s="601"/>
      <c r="L861" s="601"/>
      <c r="M861" s="601"/>
      <c r="N861" s="601"/>
      <c r="O861" s="601"/>
      <c r="P861" s="601"/>
      <c r="Q861" s="601"/>
      <c r="R861" s="601"/>
      <c r="S861" s="601"/>
      <c r="T861" s="570">
        <f t="shared" si="413"/>
        <v>0</v>
      </c>
      <c r="U861" s="629"/>
      <c r="V861" s="570">
        <f>T861-U861</f>
        <v>0</v>
      </c>
    </row>
    <row r="862" spans="1:26" s="533" customFormat="1" ht="12.6" customHeight="1" x14ac:dyDescent="0.25">
      <c r="A862" s="573"/>
      <c r="B862" s="569" t="s">
        <v>340</v>
      </c>
      <c r="C862" s="569"/>
      <c r="D862" s="580"/>
      <c r="E862" s="602"/>
      <c r="F862" s="570">
        <f>'CABAC Fiduciary 2025'!F391</f>
        <v>0</v>
      </c>
      <c r="G862" s="570"/>
      <c r="H862" s="570"/>
      <c r="I862" s="570"/>
      <c r="J862" s="570"/>
      <c r="K862" s="570"/>
      <c r="L862" s="570"/>
      <c r="M862" s="570"/>
      <c r="N862" s="570"/>
      <c r="O862" s="570"/>
      <c r="P862" s="570"/>
      <c r="Q862" s="570"/>
      <c r="R862" s="570"/>
      <c r="S862" s="570"/>
      <c r="T862" s="570">
        <f t="shared" si="413"/>
        <v>0</v>
      </c>
      <c r="U862" s="628"/>
      <c r="V862" s="570">
        <f t="shared" ref="V862:V863" si="415">T862-U862</f>
        <v>0</v>
      </c>
    </row>
    <row r="863" spans="1:26" s="533" customFormat="1" ht="12.6" customHeight="1" x14ac:dyDescent="0.25">
      <c r="A863" s="573"/>
      <c r="B863" s="569" t="s">
        <v>344</v>
      </c>
      <c r="C863" s="569"/>
      <c r="D863" s="580"/>
      <c r="E863" s="570"/>
      <c r="F863" s="570"/>
      <c r="G863" s="570"/>
      <c r="H863" s="570"/>
      <c r="I863" s="570"/>
      <c r="J863" s="570"/>
      <c r="K863" s="570"/>
      <c r="L863" s="570"/>
      <c r="M863" s="570"/>
      <c r="N863" s="570"/>
      <c r="O863" s="570"/>
      <c r="P863" s="570"/>
      <c r="Q863" s="570"/>
      <c r="R863" s="570"/>
      <c r="S863" s="570"/>
      <c r="T863" s="570">
        <f t="shared" si="413"/>
        <v>0</v>
      </c>
      <c r="U863" s="628"/>
      <c r="V863" s="570">
        <f t="shared" si="415"/>
        <v>0</v>
      </c>
    </row>
    <row r="864" spans="1:26" ht="12.6" customHeight="1" thickBot="1" x14ac:dyDescent="0.3">
      <c r="A864" s="577"/>
      <c r="B864" s="734" t="s">
        <v>420</v>
      </c>
      <c r="C864" s="569"/>
      <c r="D864" s="569"/>
      <c r="E864" s="570"/>
      <c r="F864" s="570"/>
      <c r="G864" s="570"/>
      <c r="H864" s="570"/>
      <c r="I864" s="570"/>
      <c r="J864" s="570"/>
      <c r="K864" s="570"/>
      <c r="L864" s="570"/>
      <c r="M864" s="570"/>
      <c r="N864" s="570"/>
      <c r="O864" s="570"/>
      <c r="P864" s="570"/>
      <c r="Q864" s="570"/>
      <c r="R864" s="570"/>
      <c r="S864" s="570"/>
      <c r="T864" s="570">
        <f t="shared" si="413"/>
        <v>0</v>
      </c>
      <c r="U864" s="574"/>
      <c r="V864" s="631">
        <f>T864-U864</f>
        <v>0</v>
      </c>
      <c r="W864" s="532"/>
      <c r="X864" s="532"/>
      <c r="Y864" s="532"/>
      <c r="Z864" s="532"/>
    </row>
    <row r="865" spans="1:26" s="533" customFormat="1" ht="12.6" customHeight="1" thickBot="1" x14ac:dyDescent="0.3">
      <c r="A865" s="573"/>
      <c r="B865" s="581" t="s">
        <v>346</v>
      </c>
      <c r="C865" s="569"/>
      <c r="D865" s="580"/>
      <c r="E865" s="582">
        <f>SUM(E859:E864)</f>
        <v>0</v>
      </c>
      <c r="F865" s="582">
        <f t="shared" ref="F865:V865" si="416">SUM(F859:F864)</f>
        <v>0</v>
      </c>
      <c r="G865" s="582">
        <f t="shared" si="416"/>
        <v>0</v>
      </c>
      <c r="H865" s="582">
        <f>SUM(H859:H864)</f>
        <v>0</v>
      </c>
      <c r="I865" s="582">
        <f t="shared" si="416"/>
        <v>0</v>
      </c>
      <c r="J865" s="582">
        <f>SUM(J859:J864)</f>
        <v>0</v>
      </c>
      <c r="K865" s="582">
        <f t="shared" si="416"/>
        <v>0</v>
      </c>
      <c r="L865" s="582">
        <f t="shared" si="416"/>
        <v>0</v>
      </c>
      <c r="M865" s="582">
        <f t="shared" si="416"/>
        <v>0</v>
      </c>
      <c r="N865" s="582">
        <f t="shared" si="416"/>
        <v>0</v>
      </c>
      <c r="O865" s="582">
        <f t="shared" si="416"/>
        <v>0</v>
      </c>
      <c r="P865" s="582">
        <f t="shared" si="416"/>
        <v>0</v>
      </c>
      <c r="Q865" s="582">
        <f t="shared" si="416"/>
        <v>0</v>
      </c>
      <c r="R865" s="582">
        <f t="shared" si="416"/>
        <v>0</v>
      </c>
      <c r="S865" s="582">
        <f t="shared" si="416"/>
        <v>0</v>
      </c>
      <c r="T865" s="582">
        <f t="shared" si="416"/>
        <v>0</v>
      </c>
      <c r="U865" s="582">
        <f t="shared" si="416"/>
        <v>0</v>
      </c>
      <c r="V865" s="582">
        <f t="shared" si="416"/>
        <v>0</v>
      </c>
    </row>
    <row r="866" spans="1:26" ht="12.6" customHeight="1" x14ac:dyDescent="0.25">
      <c r="A866" s="577"/>
      <c r="B866" s="581"/>
      <c r="C866" s="569"/>
      <c r="D866" s="583" t="s">
        <v>347</v>
      </c>
      <c r="E866" s="584">
        <f>SUM(E861:E864)</f>
        <v>0</v>
      </c>
      <c r="F866" s="584">
        <f t="shared" ref="F866:V866" si="417">SUM(F861:F864)</f>
        <v>0</v>
      </c>
      <c r="G866" s="584">
        <f t="shared" si="417"/>
        <v>0</v>
      </c>
      <c r="H866" s="584">
        <f>SUM(H861:H864)</f>
        <v>0</v>
      </c>
      <c r="I866" s="584">
        <f t="shared" si="417"/>
        <v>0</v>
      </c>
      <c r="J866" s="584">
        <f>SUM(J861:J864)</f>
        <v>0</v>
      </c>
      <c r="K866" s="584">
        <f t="shared" si="417"/>
        <v>0</v>
      </c>
      <c r="L866" s="584">
        <f t="shared" si="417"/>
        <v>0</v>
      </c>
      <c r="M866" s="584">
        <f t="shared" si="417"/>
        <v>0</v>
      </c>
      <c r="N866" s="584">
        <f t="shared" si="417"/>
        <v>0</v>
      </c>
      <c r="O866" s="584">
        <f t="shared" si="417"/>
        <v>0</v>
      </c>
      <c r="P866" s="584">
        <f t="shared" si="417"/>
        <v>0</v>
      </c>
      <c r="Q866" s="584">
        <f t="shared" si="417"/>
        <v>0</v>
      </c>
      <c r="R866" s="584">
        <f t="shared" si="417"/>
        <v>0</v>
      </c>
      <c r="S866" s="584">
        <f t="shared" si="417"/>
        <v>0</v>
      </c>
      <c r="T866" s="584">
        <f t="shared" si="417"/>
        <v>0</v>
      </c>
      <c r="U866" s="584">
        <f t="shared" si="417"/>
        <v>0</v>
      </c>
      <c r="V866" s="584">
        <f t="shared" si="417"/>
        <v>0</v>
      </c>
      <c r="W866" s="532"/>
      <c r="X866" s="532"/>
      <c r="Y866" s="532"/>
      <c r="Z866" s="532"/>
    </row>
    <row r="867" spans="1:26" ht="12.6" customHeight="1" x14ac:dyDescent="0.25">
      <c r="A867" s="577"/>
      <c r="B867" s="581"/>
      <c r="C867" s="569"/>
      <c r="D867" s="583" t="s">
        <v>348</v>
      </c>
      <c r="E867" s="584">
        <f>SUM(E859:E860)</f>
        <v>0</v>
      </c>
      <c r="F867" s="584">
        <f t="shared" ref="F867:V867" si="418">SUM(F859:F860)</f>
        <v>0</v>
      </c>
      <c r="G867" s="584">
        <f t="shared" si="418"/>
        <v>0</v>
      </c>
      <c r="H867" s="584">
        <f>SUM(H859:H860)</f>
        <v>0</v>
      </c>
      <c r="I867" s="584">
        <f t="shared" si="418"/>
        <v>0</v>
      </c>
      <c r="J867" s="584">
        <f>SUM(J859:J860)</f>
        <v>0</v>
      </c>
      <c r="K867" s="584">
        <f t="shared" si="418"/>
        <v>0</v>
      </c>
      <c r="L867" s="584">
        <f t="shared" si="418"/>
        <v>0</v>
      </c>
      <c r="M867" s="584">
        <f t="shared" si="418"/>
        <v>0</v>
      </c>
      <c r="N867" s="584">
        <f t="shared" si="418"/>
        <v>0</v>
      </c>
      <c r="O867" s="584">
        <f t="shared" si="418"/>
        <v>0</v>
      </c>
      <c r="P867" s="584">
        <f t="shared" si="418"/>
        <v>0</v>
      </c>
      <c r="Q867" s="584">
        <f t="shared" si="418"/>
        <v>0</v>
      </c>
      <c r="R867" s="584">
        <f t="shared" si="418"/>
        <v>0</v>
      </c>
      <c r="S867" s="584">
        <f t="shared" si="418"/>
        <v>0</v>
      </c>
      <c r="T867" s="584">
        <f t="shared" si="418"/>
        <v>0</v>
      </c>
      <c r="U867" s="584">
        <f t="shared" si="418"/>
        <v>0</v>
      </c>
      <c r="V867" s="584">
        <f t="shared" si="418"/>
        <v>0</v>
      </c>
      <c r="W867" s="532"/>
      <c r="X867" s="532"/>
      <c r="Y867" s="532"/>
      <c r="Z867" s="532"/>
    </row>
    <row r="868" spans="1:26" ht="12.6" customHeight="1" x14ac:dyDescent="0.25">
      <c r="A868" s="577"/>
      <c r="B868" s="581"/>
      <c r="C868" s="569"/>
      <c r="D868" s="580"/>
      <c r="E868" s="584">
        <f>SUM(E866:E867)</f>
        <v>0</v>
      </c>
      <c r="F868" s="584">
        <f t="shared" ref="F868:V868" si="419">SUM(F866:F867)</f>
        <v>0</v>
      </c>
      <c r="G868" s="584">
        <f t="shared" si="419"/>
        <v>0</v>
      </c>
      <c r="H868" s="584">
        <f>SUM(H866:H867)</f>
        <v>0</v>
      </c>
      <c r="I868" s="584">
        <f t="shared" si="419"/>
        <v>0</v>
      </c>
      <c r="J868" s="584">
        <f>SUM(J866:J867)</f>
        <v>0</v>
      </c>
      <c r="K868" s="584">
        <f t="shared" si="419"/>
        <v>0</v>
      </c>
      <c r="L868" s="584">
        <f t="shared" si="419"/>
        <v>0</v>
      </c>
      <c r="M868" s="584">
        <f t="shared" si="419"/>
        <v>0</v>
      </c>
      <c r="N868" s="584">
        <f t="shared" si="419"/>
        <v>0</v>
      </c>
      <c r="O868" s="584">
        <f t="shared" si="419"/>
        <v>0</v>
      </c>
      <c r="P868" s="584">
        <f t="shared" si="419"/>
        <v>0</v>
      </c>
      <c r="Q868" s="584">
        <f t="shared" si="419"/>
        <v>0</v>
      </c>
      <c r="R868" s="584">
        <f t="shared" si="419"/>
        <v>0</v>
      </c>
      <c r="S868" s="584">
        <f t="shared" si="419"/>
        <v>0</v>
      </c>
      <c r="T868" s="584">
        <f t="shared" si="419"/>
        <v>0</v>
      </c>
      <c r="U868" s="584">
        <f t="shared" si="419"/>
        <v>0</v>
      </c>
      <c r="V868" s="584">
        <f t="shared" si="419"/>
        <v>0</v>
      </c>
      <c r="W868" s="532"/>
      <c r="X868" s="532"/>
      <c r="Y868" s="532"/>
      <c r="Z868" s="532"/>
    </row>
    <row r="869" spans="1:26" ht="12.6" customHeight="1" x14ac:dyDescent="0.25">
      <c r="A869" s="577"/>
      <c r="B869" s="569"/>
      <c r="C869" s="569"/>
      <c r="D869" s="580"/>
      <c r="E869" s="586">
        <f>E868-E865</f>
        <v>0</v>
      </c>
      <c r="F869" s="586">
        <f t="shared" ref="F869:V869" si="420">F868-F865</f>
        <v>0</v>
      </c>
      <c r="G869" s="586">
        <f t="shared" si="420"/>
        <v>0</v>
      </c>
      <c r="H869" s="586">
        <f>H868-H865</f>
        <v>0</v>
      </c>
      <c r="I869" s="586">
        <f t="shared" si="420"/>
        <v>0</v>
      </c>
      <c r="J869" s="586">
        <f>J868-J865</f>
        <v>0</v>
      </c>
      <c r="K869" s="586">
        <f t="shared" si="420"/>
        <v>0</v>
      </c>
      <c r="L869" s="586">
        <f t="shared" si="420"/>
        <v>0</v>
      </c>
      <c r="M869" s="586">
        <f t="shared" si="420"/>
        <v>0</v>
      </c>
      <c r="N869" s="586">
        <f t="shared" si="420"/>
        <v>0</v>
      </c>
      <c r="O869" s="586">
        <f t="shared" si="420"/>
        <v>0</v>
      </c>
      <c r="P869" s="586">
        <f t="shared" si="420"/>
        <v>0</v>
      </c>
      <c r="Q869" s="586">
        <f t="shared" si="420"/>
        <v>0</v>
      </c>
      <c r="R869" s="586">
        <f t="shared" si="420"/>
        <v>0</v>
      </c>
      <c r="S869" s="586">
        <f t="shared" si="420"/>
        <v>0</v>
      </c>
      <c r="T869" s="586">
        <f t="shared" si="420"/>
        <v>0</v>
      </c>
      <c r="U869" s="586">
        <f t="shared" si="420"/>
        <v>0</v>
      </c>
      <c r="V869" s="586">
        <f t="shared" si="420"/>
        <v>0</v>
      </c>
    </row>
    <row r="870" spans="1:26" s="533" customFormat="1" ht="12.6" customHeight="1" x14ac:dyDescent="0.25">
      <c r="A870" s="638"/>
      <c r="B870" s="608"/>
      <c r="C870" s="608"/>
      <c r="D870" s="661"/>
      <c r="E870" s="599"/>
      <c r="F870" s="570"/>
      <c r="G870" s="570"/>
      <c r="H870" s="570"/>
      <c r="I870" s="570"/>
      <c r="J870" s="570"/>
      <c r="K870" s="570"/>
      <c r="L870" s="570"/>
      <c r="M870" s="570"/>
      <c r="N870" s="570"/>
      <c r="O870" s="570"/>
      <c r="P870" s="570"/>
      <c r="Q870" s="570"/>
      <c r="R870" s="570"/>
      <c r="S870" s="570"/>
      <c r="T870" s="570"/>
      <c r="U870" s="570"/>
      <c r="V870" s="599"/>
    </row>
    <row r="871" spans="1:26" ht="12.6" customHeight="1" x14ac:dyDescent="0.25">
      <c r="A871" s="611" t="s">
        <v>84</v>
      </c>
      <c r="B871" s="612" t="s">
        <v>376</v>
      </c>
      <c r="C871" s="612"/>
      <c r="D871" s="617"/>
      <c r="E871" s="614"/>
      <c r="F871" s="613"/>
      <c r="G871" s="613"/>
      <c r="H871" s="613"/>
      <c r="I871" s="613"/>
      <c r="J871" s="613"/>
      <c r="K871" s="613"/>
      <c r="L871" s="613"/>
      <c r="M871" s="613"/>
      <c r="N871" s="613"/>
      <c r="O871" s="613"/>
      <c r="P871" s="613"/>
      <c r="Q871" s="613"/>
      <c r="R871" s="613"/>
      <c r="S871" s="613"/>
      <c r="T871" s="613">
        <f>SUM(E871:S871)</f>
        <v>0</v>
      </c>
      <c r="U871" s="619"/>
      <c r="V871" s="614">
        <f>T871-U871</f>
        <v>0</v>
      </c>
    </row>
    <row r="872" spans="1:26" ht="12.6" customHeight="1" x14ac:dyDescent="0.25">
      <c r="A872" s="604" t="s">
        <v>85</v>
      </c>
      <c r="B872" s="569" t="s">
        <v>261</v>
      </c>
      <c r="C872" s="569"/>
      <c r="D872" s="580"/>
      <c r="E872" s="570">
        <v>460000</v>
      </c>
      <c r="F872" s="570">
        <f>'CABAC Non-Fid 2025'!G265</f>
        <v>0</v>
      </c>
      <c r="G872" s="570"/>
      <c r="H872" s="570"/>
      <c r="I872" s="570"/>
      <c r="J872" s="570"/>
      <c r="K872" s="570"/>
      <c r="L872" s="570"/>
      <c r="M872" s="570"/>
      <c r="N872" s="570"/>
      <c r="O872" s="570"/>
      <c r="P872" s="570"/>
      <c r="Q872" s="570"/>
      <c r="R872" s="570"/>
      <c r="S872" s="570"/>
      <c r="T872" s="570">
        <f>SUM(E872:S872)</f>
        <v>460000</v>
      </c>
      <c r="U872" s="603"/>
      <c r="V872" s="599">
        <f t="shared" ref="V872:V875" si="421">T872-U872</f>
        <v>460000</v>
      </c>
    </row>
    <row r="873" spans="1:26" ht="12.6" customHeight="1" x14ac:dyDescent="0.25">
      <c r="A873" s="573"/>
      <c r="B873" s="569" t="s">
        <v>145</v>
      </c>
      <c r="C873" s="569"/>
      <c r="D873" s="580"/>
      <c r="E873" s="570"/>
      <c r="F873" s="570">
        <f>'CABAC Fiduciary 2025'!F395</f>
        <v>0</v>
      </c>
      <c r="G873" s="570"/>
      <c r="H873" s="570"/>
      <c r="I873" s="570"/>
      <c r="J873" s="570"/>
      <c r="K873" s="570"/>
      <c r="L873" s="570"/>
      <c r="M873" s="570"/>
      <c r="N873" s="570"/>
      <c r="O873" s="570"/>
      <c r="P873" s="570"/>
      <c r="Q873" s="570"/>
      <c r="R873" s="570"/>
      <c r="S873" s="570"/>
      <c r="T873" s="570">
        <f>SUM(E873:S873)</f>
        <v>0</v>
      </c>
      <c r="U873" s="603"/>
      <c r="V873" s="599">
        <f t="shared" si="421"/>
        <v>0</v>
      </c>
    </row>
    <row r="874" spans="1:26" ht="12.6" customHeight="1" x14ac:dyDescent="0.25">
      <c r="A874" s="573"/>
      <c r="B874" s="569" t="s">
        <v>142</v>
      </c>
      <c r="C874" s="569"/>
      <c r="D874" s="580"/>
      <c r="E874" s="570"/>
      <c r="F874" s="570">
        <f>'CABAC Fiduciary 2025'!F397</f>
        <v>0</v>
      </c>
      <c r="G874" s="570"/>
      <c r="H874" s="570"/>
      <c r="I874" s="570"/>
      <c r="J874" s="570"/>
      <c r="K874" s="570"/>
      <c r="L874" s="570"/>
      <c r="M874" s="570"/>
      <c r="N874" s="570"/>
      <c r="O874" s="570"/>
      <c r="P874" s="570"/>
      <c r="Q874" s="570"/>
      <c r="R874" s="570"/>
      <c r="S874" s="570"/>
      <c r="T874" s="570">
        <f>SUM(E874:S874)</f>
        <v>0</v>
      </c>
      <c r="U874" s="603"/>
      <c r="V874" s="599">
        <f>T874-U874</f>
        <v>0</v>
      </c>
    </row>
    <row r="875" spans="1:26" ht="16.5" customHeight="1" thickBot="1" x14ac:dyDescent="0.3">
      <c r="A875" s="573"/>
      <c r="B875" s="569" t="s">
        <v>144</v>
      </c>
      <c r="C875" s="569"/>
      <c r="D875" s="580"/>
      <c r="E875" s="570"/>
      <c r="F875" s="570">
        <f>'CABAC Fiduciary 2025'!F396</f>
        <v>0</v>
      </c>
      <c r="G875" s="570"/>
      <c r="H875" s="570"/>
      <c r="I875" s="570"/>
      <c r="J875" s="570"/>
      <c r="K875" s="570"/>
      <c r="L875" s="570"/>
      <c r="M875" s="570"/>
      <c r="N875" s="570"/>
      <c r="O875" s="570"/>
      <c r="P875" s="570"/>
      <c r="Q875" s="570"/>
      <c r="R875" s="570"/>
      <c r="S875" s="570"/>
      <c r="T875" s="570">
        <f>SUM(E875:S875)</f>
        <v>0</v>
      </c>
      <c r="U875" s="603"/>
      <c r="V875" s="599">
        <f t="shared" si="421"/>
        <v>0</v>
      </c>
    </row>
    <row r="876" spans="1:26" ht="12.6" customHeight="1" thickBot="1" x14ac:dyDescent="0.3">
      <c r="A876" s="573"/>
      <c r="B876" s="581" t="s">
        <v>346</v>
      </c>
      <c r="C876" s="569"/>
      <c r="D876" s="580"/>
      <c r="E876" s="582">
        <f>SUM(E871:E875)</f>
        <v>460000</v>
      </c>
      <c r="F876" s="582">
        <f t="shared" ref="F876:V876" si="422">SUM(F871:F875)</f>
        <v>0</v>
      </c>
      <c r="G876" s="582">
        <f t="shared" si="422"/>
        <v>0</v>
      </c>
      <c r="H876" s="582">
        <f>SUM(H871:H875)</f>
        <v>0</v>
      </c>
      <c r="I876" s="582">
        <f t="shared" si="422"/>
        <v>0</v>
      </c>
      <c r="J876" s="582">
        <f>SUM(J871:J875)</f>
        <v>0</v>
      </c>
      <c r="K876" s="582">
        <f t="shared" si="422"/>
        <v>0</v>
      </c>
      <c r="L876" s="582">
        <f t="shared" si="422"/>
        <v>0</v>
      </c>
      <c r="M876" s="582">
        <f t="shared" si="422"/>
        <v>0</v>
      </c>
      <c r="N876" s="582">
        <f t="shared" si="422"/>
        <v>0</v>
      </c>
      <c r="O876" s="582">
        <f t="shared" si="422"/>
        <v>0</v>
      </c>
      <c r="P876" s="582">
        <f t="shared" si="422"/>
        <v>0</v>
      </c>
      <c r="Q876" s="582">
        <f t="shared" si="422"/>
        <v>0</v>
      </c>
      <c r="R876" s="582">
        <f t="shared" si="422"/>
        <v>0</v>
      </c>
      <c r="S876" s="582">
        <f t="shared" si="422"/>
        <v>0</v>
      </c>
      <c r="T876" s="582">
        <f t="shared" si="422"/>
        <v>460000</v>
      </c>
      <c r="U876" s="582">
        <f t="shared" si="422"/>
        <v>0</v>
      </c>
      <c r="V876" s="582">
        <f t="shared" si="422"/>
        <v>460000</v>
      </c>
    </row>
    <row r="877" spans="1:26" ht="12.6" customHeight="1" x14ac:dyDescent="0.25">
      <c r="A877" s="577"/>
      <c r="B877" s="581"/>
      <c r="C877" s="569"/>
      <c r="D877" s="583" t="s">
        <v>347</v>
      </c>
      <c r="E877" s="730">
        <f>SUM(E873:E875)</f>
        <v>0</v>
      </c>
      <c r="F877" s="730">
        <f t="shared" ref="F877:V877" si="423">SUM(F873:F875)</f>
        <v>0</v>
      </c>
      <c r="G877" s="584">
        <f t="shared" si="423"/>
        <v>0</v>
      </c>
      <c r="H877" s="584">
        <f>SUM(H873:H875)</f>
        <v>0</v>
      </c>
      <c r="I877" s="584">
        <f t="shared" si="423"/>
        <v>0</v>
      </c>
      <c r="J877" s="584">
        <f>SUM(J873:J875)</f>
        <v>0</v>
      </c>
      <c r="K877" s="584">
        <f t="shared" si="423"/>
        <v>0</v>
      </c>
      <c r="L877" s="584">
        <f t="shared" si="423"/>
        <v>0</v>
      </c>
      <c r="M877" s="584">
        <f t="shared" si="423"/>
        <v>0</v>
      </c>
      <c r="N877" s="584">
        <f t="shared" si="423"/>
        <v>0</v>
      </c>
      <c r="O877" s="584">
        <f t="shared" si="423"/>
        <v>0</v>
      </c>
      <c r="P877" s="584">
        <f t="shared" si="423"/>
        <v>0</v>
      </c>
      <c r="Q877" s="584">
        <f t="shared" si="423"/>
        <v>0</v>
      </c>
      <c r="R877" s="584">
        <f t="shared" si="423"/>
        <v>0</v>
      </c>
      <c r="S877" s="584">
        <f t="shared" si="423"/>
        <v>0</v>
      </c>
      <c r="T877" s="584">
        <f t="shared" si="423"/>
        <v>0</v>
      </c>
      <c r="U877" s="584">
        <f t="shared" si="423"/>
        <v>0</v>
      </c>
      <c r="V877" s="584">
        <f t="shared" si="423"/>
        <v>0</v>
      </c>
      <c r="W877" s="532"/>
      <c r="X877" s="532"/>
      <c r="Y877" s="532"/>
      <c r="Z877" s="532"/>
    </row>
    <row r="878" spans="1:26" ht="12.6" customHeight="1" x14ac:dyDescent="0.25">
      <c r="A878" s="577"/>
      <c r="B878" s="581"/>
      <c r="C878" s="569"/>
      <c r="D878" s="583" t="s">
        <v>348</v>
      </c>
      <c r="E878" s="730">
        <f>SUM(E871:E872)</f>
        <v>460000</v>
      </c>
      <c r="F878" s="730">
        <f t="shared" ref="F878:V878" si="424">SUM(F871:F872)</f>
        <v>0</v>
      </c>
      <c r="G878" s="584">
        <f t="shared" si="424"/>
        <v>0</v>
      </c>
      <c r="H878" s="584">
        <f>SUM(H871:H872)</f>
        <v>0</v>
      </c>
      <c r="I878" s="584">
        <f t="shared" si="424"/>
        <v>0</v>
      </c>
      <c r="J878" s="584">
        <f>SUM(J871:J872)</f>
        <v>0</v>
      </c>
      <c r="K878" s="584">
        <f t="shared" si="424"/>
        <v>0</v>
      </c>
      <c r="L878" s="584">
        <f t="shared" si="424"/>
        <v>0</v>
      </c>
      <c r="M878" s="584">
        <f t="shared" si="424"/>
        <v>0</v>
      </c>
      <c r="N878" s="584">
        <f t="shared" si="424"/>
        <v>0</v>
      </c>
      <c r="O878" s="584">
        <f t="shared" si="424"/>
        <v>0</v>
      </c>
      <c r="P878" s="584">
        <f t="shared" si="424"/>
        <v>0</v>
      </c>
      <c r="Q878" s="584">
        <f t="shared" si="424"/>
        <v>0</v>
      </c>
      <c r="R878" s="584">
        <f t="shared" si="424"/>
        <v>0</v>
      </c>
      <c r="S878" s="584">
        <f t="shared" si="424"/>
        <v>0</v>
      </c>
      <c r="T878" s="584">
        <f t="shared" si="424"/>
        <v>460000</v>
      </c>
      <c r="U878" s="584">
        <f t="shared" si="424"/>
        <v>0</v>
      </c>
      <c r="V878" s="584">
        <f t="shared" si="424"/>
        <v>460000</v>
      </c>
      <c r="W878" s="532"/>
      <c r="X878" s="532"/>
      <c r="Y878" s="532"/>
      <c r="Z878" s="532"/>
    </row>
    <row r="879" spans="1:26" ht="12.6" customHeight="1" x14ac:dyDescent="0.25">
      <c r="A879" s="577"/>
      <c r="B879" s="581"/>
      <c r="C879" s="569"/>
      <c r="D879" s="580"/>
      <c r="E879" s="730">
        <f>SUM(E877:E878)</f>
        <v>460000</v>
      </c>
      <c r="F879" s="730">
        <f t="shared" ref="F879:V879" si="425">SUM(F877:F878)</f>
        <v>0</v>
      </c>
      <c r="G879" s="584">
        <f t="shared" si="425"/>
        <v>0</v>
      </c>
      <c r="H879" s="584">
        <f>SUM(H877:H878)</f>
        <v>0</v>
      </c>
      <c r="I879" s="584">
        <f t="shared" si="425"/>
        <v>0</v>
      </c>
      <c r="J879" s="584">
        <f>SUM(J877:J878)</f>
        <v>0</v>
      </c>
      <c r="K879" s="584">
        <f t="shared" si="425"/>
        <v>0</v>
      </c>
      <c r="L879" s="584">
        <f t="shared" si="425"/>
        <v>0</v>
      </c>
      <c r="M879" s="584">
        <f t="shared" si="425"/>
        <v>0</v>
      </c>
      <c r="N879" s="584">
        <f t="shared" si="425"/>
        <v>0</v>
      </c>
      <c r="O879" s="584">
        <f t="shared" si="425"/>
        <v>0</v>
      </c>
      <c r="P879" s="584">
        <f t="shared" si="425"/>
        <v>0</v>
      </c>
      <c r="Q879" s="584">
        <f t="shared" si="425"/>
        <v>0</v>
      </c>
      <c r="R879" s="584">
        <f t="shared" si="425"/>
        <v>0</v>
      </c>
      <c r="S879" s="584">
        <f t="shared" si="425"/>
        <v>0</v>
      </c>
      <c r="T879" s="584">
        <f t="shared" si="425"/>
        <v>460000</v>
      </c>
      <c r="U879" s="584">
        <f t="shared" si="425"/>
        <v>0</v>
      </c>
      <c r="V879" s="584">
        <f t="shared" si="425"/>
        <v>460000</v>
      </c>
      <c r="W879" s="532"/>
      <c r="X879" s="532"/>
      <c r="Y879" s="532"/>
      <c r="Z879" s="532"/>
    </row>
    <row r="880" spans="1:26" ht="12.6" customHeight="1" x14ac:dyDescent="0.25">
      <c r="A880" s="577"/>
      <c r="B880" s="569"/>
      <c r="C880" s="569"/>
      <c r="D880" s="580"/>
      <c r="E880" s="1232">
        <f>E879-E876</f>
        <v>0</v>
      </c>
      <c r="F880" s="1232">
        <f t="shared" ref="F880:V880" si="426">F879-F876</f>
        <v>0</v>
      </c>
      <c r="G880" s="1232">
        <f t="shared" si="426"/>
        <v>0</v>
      </c>
      <c r="H880" s="1232">
        <f>H879-H876</f>
        <v>0</v>
      </c>
      <c r="I880" s="1232">
        <f t="shared" si="426"/>
        <v>0</v>
      </c>
      <c r="J880" s="1232">
        <f>J879-J876</f>
        <v>0</v>
      </c>
      <c r="K880" s="1232">
        <f t="shared" si="426"/>
        <v>0</v>
      </c>
      <c r="L880" s="1232">
        <f t="shared" si="426"/>
        <v>0</v>
      </c>
      <c r="M880" s="1232">
        <f t="shared" si="426"/>
        <v>0</v>
      </c>
      <c r="N880" s="1232">
        <f t="shared" si="426"/>
        <v>0</v>
      </c>
      <c r="O880" s="1232">
        <f t="shared" si="426"/>
        <v>0</v>
      </c>
      <c r="P880" s="1232">
        <f t="shared" si="426"/>
        <v>0</v>
      </c>
      <c r="Q880" s="1232">
        <f t="shared" si="426"/>
        <v>0</v>
      </c>
      <c r="R880" s="1232">
        <f t="shared" si="426"/>
        <v>0</v>
      </c>
      <c r="S880" s="1232">
        <f t="shared" si="426"/>
        <v>0</v>
      </c>
      <c r="T880" s="1232">
        <f t="shared" si="426"/>
        <v>0</v>
      </c>
      <c r="U880" s="1232">
        <f t="shared" si="426"/>
        <v>0</v>
      </c>
      <c r="V880" s="1232">
        <f t="shared" si="426"/>
        <v>0</v>
      </c>
    </row>
    <row r="881" spans="1:26" ht="12.6" customHeight="1" thickBot="1" x14ac:dyDescent="0.3">
      <c r="A881" s="573"/>
      <c r="B881" s="569"/>
      <c r="C881" s="569"/>
      <c r="D881" s="580"/>
      <c r="E881" s="601"/>
      <c r="F881" s="601"/>
      <c r="G881" s="601"/>
      <c r="H881" s="601"/>
      <c r="I881" s="601"/>
      <c r="J881" s="601"/>
      <c r="K881" s="601"/>
      <c r="L881" s="601"/>
      <c r="M881" s="601"/>
      <c r="N881" s="601"/>
      <c r="O881" s="601"/>
      <c r="P881" s="601"/>
      <c r="Q881" s="601"/>
      <c r="R881" s="601"/>
      <c r="S881" s="601"/>
      <c r="T881" s="601"/>
      <c r="U881" s="601"/>
      <c r="V881" s="615"/>
    </row>
    <row r="882" spans="1:26" s="591" customFormat="1" ht="12.6" customHeight="1" thickBot="1" x14ac:dyDescent="0.3">
      <c r="A882" s="587" t="s">
        <v>429</v>
      </c>
      <c r="B882" s="588"/>
      <c r="C882" s="588"/>
      <c r="D882" s="589"/>
      <c r="E882" s="590">
        <f>E640+E648+E751+E657+E673+E683+E692+E717+E743+E758+E765+E772+E780+E787+E798+E814+E846+E853+E824+E865+E876</f>
        <v>152778732.23999998</v>
      </c>
      <c r="F882" s="590">
        <f t="shared" ref="F882:V882" si="427">F640+F648+F657+F673+F683+F692+F717+F743+F758+F765+F772+F780+F787+F798+F814+F846+F853+F824+F865+F876</f>
        <v>567775</v>
      </c>
      <c r="G882" s="590">
        <f t="shared" si="427"/>
        <v>0</v>
      </c>
      <c r="H882" s="590">
        <f t="shared" si="427"/>
        <v>-13000000</v>
      </c>
      <c r="I882" s="590">
        <f t="shared" si="427"/>
        <v>-5500000</v>
      </c>
      <c r="J882" s="590">
        <f t="shared" si="427"/>
        <v>0</v>
      </c>
      <c r="K882" s="590">
        <f t="shared" si="427"/>
        <v>0</v>
      </c>
      <c r="L882" s="590">
        <f t="shared" si="427"/>
        <v>0</v>
      </c>
      <c r="M882" s="590">
        <f t="shared" si="427"/>
        <v>0</v>
      </c>
      <c r="N882" s="590">
        <f t="shared" si="427"/>
        <v>0</v>
      </c>
      <c r="O882" s="590">
        <f t="shared" si="427"/>
        <v>0</v>
      </c>
      <c r="P882" s="590">
        <f t="shared" si="427"/>
        <v>0</v>
      </c>
      <c r="Q882" s="590">
        <f t="shared" si="427"/>
        <v>0</v>
      </c>
      <c r="R882" s="590">
        <f t="shared" si="427"/>
        <v>0</v>
      </c>
      <c r="S882" s="590">
        <f t="shared" si="427"/>
        <v>0</v>
      </c>
      <c r="T882" s="590">
        <f t="shared" si="427"/>
        <v>134570383.98999998</v>
      </c>
      <c r="U882" s="590">
        <f t="shared" si="427"/>
        <v>0</v>
      </c>
      <c r="V882" s="701">
        <f t="shared" si="427"/>
        <v>134570383.98999998</v>
      </c>
      <c r="W882" s="697"/>
      <c r="X882" s="697"/>
      <c r="Y882" s="697"/>
      <c r="Z882" s="697"/>
    </row>
    <row r="883" spans="1:26" ht="12.6" customHeight="1" x14ac:dyDescent="0.25">
      <c r="A883" s="577"/>
      <c r="B883" s="581"/>
      <c r="C883" s="569"/>
      <c r="D883" s="583" t="s">
        <v>347</v>
      </c>
      <c r="E883" s="1255">
        <f>E641+E649+E658+E674+E684+E693+E718+E744+E752+E759+E766+E773+E788+E799+E815+E825+E847+E854+E866+E877</f>
        <v>72146435.089999989</v>
      </c>
      <c r="F883" s="730">
        <f t="shared" ref="F883:V883" si="428">F641+F649+F658+F674+F684+F693+F718+F744+F759+F766+F773+F781+F788+F799+F815+F825+F847+F854+F866+F877</f>
        <v>567775</v>
      </c>
      <c r="G883" s="584">
        <f t="shared" si="428"/>
        <v>0</v>
      </c>
      <c r="H883" s="584">
        <f t="shared" si="428"/>
        <v>0</v>
      </c>
      <c r="I883" s="584">
        <f t="shared" si="428"/>
        <v>0</v>
      </c>
      <c r="J883" s="584">
        <f t="shared" si="428"/>
        <v>0</v>
      </c>
      <c r="K883" s="584">
        <f t="shared" si="428"/>
        <v>0</v>
      </c>
      <c r="L883" s="584">
        <f t="shared" si="428"/>
        <v>0</v>
      </c>
      <c r="M883" s="584">
        <f t="shared" si="428"/>
        <v>0</v>
      </c>
      <c r="N883" s="584">
        <f t="shared" si="428"/>
        <v>0</v>
      </c>
      <c r="O883" s="584">
        <f t="shared" si="428"/>
        <v>0</v>
      </c>
      <c r="P883" s="584">
        <f t="shared" si="428"/>
        <v>0</v>
      </c>
      <c r="Q883" s="584">
        <f t="shared" si="428"/>
        <v>0</v>
      </c>
      <c r="R883" s="584">
        <f t="shared" si="428"/>
        <v>0</v>
      </c>
      <c r="S883" s="584">
        <f t="shared" si="428"/>
        <v>0</v>
      </c>
      <c r="T883" s="584">
        <f t="shared" si="428"/>
        <v>70282917.090000004</v>
      </c>
      <c r="U883" s="584">
        <f t="shared" si="428"/>
        <v>0</v>
      </c>
      <c r="V883" s="584">
        <f t="shared" si="428"/>
        <v>70282917.090000004</v>
      </c>
      <c r="W883" s="532"/>
      <c r="X883" s="532"/>
      <c r="Y883" s="532"/>
      <c r="Z883" s="532"/>
    </row>
    <row r="884" spans="1:26" ht="12.6" customHeight="1" x14ac:dyDescent="0.25">
      <c r="A884" s="577"/>
      <c r="B884" s="581"/>
      <c r="C884" s="569"/>
      <c r="D884" s="583" t="s">
        <v>348</v>
      </c>
      <c r="E884" s="1255">
        <f>E675+E685+E694+E719+E745+E753+E760+E767+E774+E782+E789+E800+E816+E826+E848+E855+E867+E878</f>
        <v>80632297.149999991</v>
      </c>
      <c r="F884" s="730">
        <f t="shared" ref="F884:V884" si="429">F642+F650+F659+F675+F685+F694+F719+F745+F760+F767+F774+F782+F789+F800+F816+F826+F848+F855+F867+F878</f>
        <v>0</v>
      </c>
      <c r="G884" s="584">
        <f t="shared" si="429"/>
        <v>0</v>
      </c>
      <c r="H884" s="584">
        <f t="shared" si="429"/>
        <v>-13000000</v>
      </c>
      <c r="I884" s="584">
        <f t="shared" si="429"/>
        <v>-5500000</v>
      </c>
      <c r="J884" s="584">
        <f t="shared" si="429"/>
        <v>0</v>
      </c>
      <c r="K884" s="584">
        <f t="shared" si="429"/>
        <v>0</v>
      </c>
      <c r="L884" s="584">
        <f t="shared" si="429"/>
        <v>0</v>
      </c>
      <c r="M884" s="584">
        <f t="shared" si="429"/>
        <v>0</v>
      </c>
      <c r="N884" s="584">
        <f t="shared" si="429"/>
        <v>0</v>
      </c>
      <c r="O884" s="584">
        <f t="shared" si="429"/>
        <v>0</v>
      </c>
      <c r="P884" s="584">
        <f t="shared" si="429"/>
        <v>0</v>
      </c>
      <c r="Q884" s="584">
        <f t="shared" si="429"/>
        <v>0</v>
      </c>
      <c r="R884" s="584">
        <f t="shared" si="429"/>
        <v>0</v>
      </c>
      <c r="S884" s="584">
        <f t="shared" si="429"/>
        <v>0</v>
      </c>
      <c r="T884" s="584">
        <f t="shared" si="429"/>
        <v>64287466.899999999</v>
      </c>
      <c r="U884" s="584">
        <f t="shared" si="429"/>
        <v>0</v>
      </c>
      <c r="V884" s="584">
        <f t="shared" si="429"/>
        <v>64287466.899999999</v>
      </c>
      <c r="W884" s="532"/>
      <c r="X884" s="532"/>
      <c r="Y884" s="532"/>
      <c r="Z884" s="532"/>
    </row>
    <row r="885" spans="1:26" ht="12.6" customHeight="1" x14ac:dyDescent="0.25">
      <c r="A885" s="577"/>
      <c r="B885" s="823"/>
      <c r="C885" s="569"/>
      <c r="D885" s="580"/>
      <c r="E885" s="1255">
        <f>SUM(E883:E884)</f>
        <v>152778732.23999998</v>
      </c>
      <c r="F885" s="730">
        <f t="shared" ref="F885:V885" si="430">SUM(F883:F884)</f>
        <v>567775</v>
      </c>
      <c r="G885" s="584">
        <f t="shared" si="430"/>
        <v>0</v>
      </c>
      <c r="H885" s="584">
        <f>SUM(H883:H884)</f>
        <v>-13000000</v>
      </c>
      <c r="I885" s="584">
        <f t="shared" si="430"/>
        <v>-5500000</v>
      </c>
      <c r="J885" s="584">
        <f>SUM(J883:J884)</f>
        <v>0</v>
      </c>
      <c r="K885" s="584">
        <f t="shared" si="430"/>
        <v>0</v>
      </c>
      <c r="L885" s="584">
        <f t="shared" si="430"/>
        <v>0</v>
      </c>
      <c r="M885" s="584">
        <f t="shared" si="430"/>
        <v>0</v>
      </c>
      <c r="N885" s="584">
        <f t="shared" si="430"/>
        <v>0</v>
      </c>
      <c r="O885" s="584">
        <f t="shared" si="430"/>
        <v>0</v>
      </c>
      <c r="P885" s="584">
        <f t="shared" si="430"/>
        <v>0</v>
      </c>
      <c r="Q885" s="584">
        <f t="shared" si="430"/>
        <v>0</v>
      </c>
      <c r="R885" s="584">
        <f t="shared" si="430"/>
        <v>0</v>
      </c>
      <c r="S885" s="584">
        <f t="shared" si="430"/>
        <v>0</v>
      </c>
      <c r="T885" s="584">
        <f t="shared" si="430"/>
        <v>134570383.99000001</v>
      </c>
      <c r="U885" s="584">
        <f t="shared" si="430"/>
        <v>0</v>
      </c>
      <c r="V885" s="584">
        <f t="shared" si="430"/>
        <v>134570383.99000001</v>
      </c>
      <c r="W885" s="532"/>
      <c r="X885" s="532"/>
      <c r="Y885" s="532"/>
      <c r="Z885" s="532"/>
    </row>
    <row r="886" spans="1:26" ht="12.6" customHeight="1" x14ac:dyDescent="0.25">
      <c r="A886" s="577"/>
      <c r="B886" s="569"/>
      <c r="C886" s="569"/>
      <c r="D886" s="580"/>
      <c r="E886" s="1239">
        <f>E885-E882</f>
        <v>0</v>
      </c>
      <c r="F886" s="1234">
        <f t="shared" ref="F886:V886" si="431">F885-F882</f>
        <v>0</v>
      </c>
      <c r="G886" s="1234">
        <f t="shared" si="431"/>
        <v>0</v>
      </c>
      <c r="H886" s="1234">
        <f>H885-H882</f>
        <v>0</v>
      </c>
      <c r="I886" s="1234">
        <f t="shared" si="431"/>
        <v>0</v>
      </c>
      <c r="J886" s="1234">
        <f>J885-J882</f>
        <v>0</v>
      </c>
      <c r="K886" s="1234">
        <f t="shared" si="431"/>
        <v>0</v>
      </c>
      <c r="L886" s="1234">
        <f t="shared" si="431"/>
        <v>0</v>
      </c>
      <c r="M886" s="1234">
        <f t="shared" si="431"/>
        <v>0</v>
      </c>
      <c r="N886" s="1234">
        <f t="shared" si="431"/>
        <v>0</v>
      </c>
      <c r="O886" s="1234">
        <f t="shared" si="431"/>
        <v>0</v>
      </c>
      <c r="P886" s="1234">
        <f t="shared" si="431"/>
        <v>0</v>
      </c>
      <c r="Q886" s="1234">
        <f t="shared" si="431"/>
        <v>0</v>
      </c>
      <c r="R886" s="1234">
        <f t="shared" si="431"/>
        <v>0</v>
      </c>
      <c r="S886" s="1234">
        <f t="shared" si="431"/>
        <v>0</v>
      </c>
      <c r="T886" s="1234">
        <f t="shared" si="431"/>
        <v>0</v>
      </c>
      <c r="U886" s="1234">
        <f t="shared" si="431"/>
        <v>0</v>
      </c>
      <c r="V886" s="1234">
        <f t="shared" si="431"/>
        <v>0</v>
      </c>
    </row>
    <row r="887" spans="1:26" s="591" customFormat="1" ht="12.6" customHeight="1" x14ac:dyDescent="0.25">
      <c r="A887" s="568"/>
      <c r="B887" s="588"/>
      <c r="C887" s="588"/>
      <c r="D887" s="589"/>
      <c r="E887" s="1248"/>
      <c r="F887" s="1245"/>
      <c r="G887" s="1245"/>
      <c r="H887" s="1245"/>
      <c r="I887" s="1245"/>
      <c r="J887" s="1245"/>
      <c r="K887" s="1245"/>
      <c r="L887" s="1245"/>
      <c r="M887" s="1245"/>
      <c r="N887" s="1245"/>
      <c r="O887" s="1245"/>
      <c r="P887" s="1245"/>
      <c r="Q887" s="1245"/>
      <c r="R887" s="1245"/>
      <c r="S887" s="1245"/>
      <c r="T887" s="1245"/>
      <c r="U887" s="1245"/>
      <c r="V887" s="1248"/>
      <c r="W887" s="697"/>
      <c r="X887" s="697"/>
      <c r="Y887" s="697"/>
      <c r="Z887" s="697"/>
    </row>
    <row r="888" spans="1:26" s="591" customFormat="1" ht="12.6" customHeight="1" thickBot="1" x14ac:dyDescent="0.3">
      <c r="A888" s="587" t="s">
        <v>3</v>
      </c>
      <c r="B888" s="588"/>
      <c r="C888" s="588"/>
      <c r="D888" s="589"/>
      <c r="E888" s="1244">
        <f t="shared" ref="E888:V888" si="432">E35+E629+E882</f>
        <v>213994451.90999997</v>
      </c>
      <c r="F888" s="1243">
        <f t="shared" si="432"/>
        <v>28863912.32</v>
      </c>
      <c r="G888" s="1243">
        <f t="shared" si="432"/>
        <v>0</v>
      </c>
      <c r="H888" s="1243">
        <f t="shared" si="432"/>
        <v>-8500000</v>
      </c>
      <c r="I888" s="1243">
        <f t="shared" si="432"/>
        <v>10041720.559999999</v>
      </c>
      <c r="J888" s="1243">
        <f t="shared" si="432"/>
        <v>0</v>
      </c>
      <c r="K888" s="1243">
        <f t="shared" si="432"/>
        <v>0</v>
      </c>
      <c r="L888" s="1243">
        <f t="shared" si="432"/>
        <v>0</v>
      </c>
      <c r="M888" s="1243">
        <f t="shared" si="432"/>
        <v>0</v>
      </c>
      <c r="N888" s="1243">
        <f t="shared" si="432"/>
        <v>0</v>
      </c>
      <c r="O888" s="1243">
        <f t="shared" si="432"/>
        <v>0</v>
      </c>
      <c r="P888" s="1243">
        <f t="shared" si="432"/>
        <v>0</v>
      </c>
      <c r="Q888" s="1243">
        <f t="shared" si="432"/>
        <v>0</v>
      </c>
      <c r="R888" s="1243">
        <f t="shared" si="432"/>
        <v>0</v>
      </c>
      <c r="S888" s="1243">
        <f t="shared" si="432"/>
        <v>0</v>
      </c>
      <c r="T888" s="1243">
        <f t="shared" si="432"/>
        <v>239625004.26999998</v>
      </c>
      <c r="U888" s="1243">
        <f t="shared" si="432"/>
        <v>0</v>
      </c>
      <c r="V888" s="1244">
        <f t="shared" si="432"/>
        <v>239625004.26999998</v>
      </c>
      <c r="W888" s="697"/>
      <c r="X888" s="697"/>
      <c r="Y888" s="697"/>
      <c r="Z888" s="697"/>
    </row>
    <row r="889" spans="1:26" ht="12.6" customHeight="1" x14ac:dyDescent="0.25">
      <c r="A889" s="577"/>
      <c r="B889" s="581"/>
      <c r="C889" s="569"/>
      <c r="D889" s="702" t="s">
        <v>347</v>
      </c>
      <c r="E889" s="1255">
        <f>E31+E630+E883</f>
        <v>102367376.64999999</v>
      </c>
      <c r="F889" s="730">
        <f t="shared" ref="F889:V889" si="433">F883+F630+F31</f>
        <v>14528278.9</v>
      </c>
      <c r="G889" s="584">
        <f t="shared" si="433"/>
        <v>0</v>
      </c>
      <c r="H889" s="584">
        <f t="shared" si="433"/>
        <v>0</v>
      </c>
      <c r="I889" s="584">
        <f t="shared" si="433"/>
        <v>6633694.3100000005</v>
      </c>
      <c r="J889" s="584">
        <f t="shared" si="433"/>
        <v>0</v>
      </c>
      <c r="K889" s="584">
        <f t="shared" si="433"/>
        <v>0</v>
      </c>
      <c r="L889" s="584">
        <f t="shared" si="433"/>
        <v>0</v>
      </c>
      <c r="M889" s="584">
        <f t="shared" si="433"/>
        <v>0</v>
      </c>
      <c r="N889" s="584">
        <f t="shared" si="433"/>
        <v>0</v>
      </c>
      <c r="O889" s="584">
        <f t="shared" si="433"/>
        <v>0</v>
      </c>
      <c r="P889" s="584">
        <f t="shared" si="433"/>
        <v>0</v>
      </c>
      <c r="Q889" s="584">
        <f t="shared" si="433"/>
        <v>0</v>
      </c>
      <c r="R889" s="584">
        <f t="shared" si="433"/>
        <v>0</v>
      </c>
      <c r="S889" s="584">
        <f t="shared" si="433"/>
        <v>0</v>
      </c>
      <c r="T889" s="584">
        <f t="shared" si="433"/>
        <v>117445150.09</v>
      </c>
      <c r="U889" s="584">
        <f t="shared" si="433"/>
        <v>0</v>
      </c>
      <c r="V889" s="584">
        <f t="shared" si="433"/>
        <v>117445150.09</v>
      </c>
      <c r="W889" s="532"/>
      <c r="X889" s="532"/>
      <c r="Y889" s="532"/>
      <c r="Z889" s="532"/>
    </row>
    <row r="890" spans="1:26" ht="12.6" customHeight="1" x14ac:dyDescent="0.25">
      <c r="A890" s="577"/>
      <c r="B890" s="581"/>
      <c r="C890" s="569"/>
      <c r="D890" s="702" t="s">
        <v>348</v>
      </c>
      <c r="E890" s="1255">
        <f>E32+E631+E884</f>
        <v>111627075.25999999</v>
      </c>
      <c r="F890" s="730">
        <f>F32+F631+F884</f>
        <v>14425689.789999999</v>
      </c>
      <c r="G890" s="584">
        <f t="shared" ref="G890:V890" si="434">G884+G631+G32</f>
        <v>0</v>
      </c>
      <c r="H890" s="703">
        <f t="shared" si="434"/>
        <v>-8500000</v>
      </c>
      <c r="I890" s="584">
        <f t="shared" si="434"/>
        <v>3408026.25</v>
      </c>
      <c r="J890" s="584">
        <f t="shared" si="434"/>
        <v>0</v>
      </c>
      <c r="K890" s="584">
        <f t="shared" si="434"/>
        <v>0</v>
      </c>
      <c r="L890" s="584">
        <f t="shared" si="434"/>
        <v>0</v>
      </c>
      <c r="M890" s="584">
        <f t="shared" si="434"/>
        <v>0</v>
      </c>
      <c r="N890" s="584">
        <f t="shared" si="434"/>
        <v>0</v>
      </c>
      <c r="O890" s="584">
        <f t="shared" si="434"/>
        <v>0</v>
      </c>
      <c r="P890" s="584">
        <f t="shared" si="434"/>
        <v>0</v>
      </c>
      <c r="Q890" s="584">
        <f t="shared" si="434"/>
        <v>0</v>
      </c>
      <c r="R890" s="584">
        <f t="shared" si="434"/>
        <v>0</v>
      </c>
      <c r="S890" s="584">
        <f t="shared" si="434"/>
        <v>0</v>
      </c>
      <c r="T890" s="584">
        <f t="shared" si="434"/>
        <v>122168910.55</v>
      </c>
      <c r="U890" s="584">
        <f t="shared" si="434"/>
        <v>0</v>
      </c>
      <c r="V890" s="584">
        <f t="shared" si="434"/>
        <v>122168910.55</v>
      </c>
      <c r="W890" s="532"/>
      <c r="X890" s="532"/>
      <c r="Y890" s="532"/>
      <c r="Z890" s="532"/>
    </row>
    <row r="891" spans="1:26" ht="12.6" customHeight="1" x14ac:dyDescent="0.25">
      <c r="A891" s="577"/>
      <c r="B891" s="581"/>
      <c r="C891" s="569"/>
      <c r="D891" s="580"/>
      <c r="E891" s="1255">
        <f>SUM(E889:E890)</f>
        <v>213994451.90999997</v>
      </c>
      <c r="F891" s="730">
        <f t="shared" ref="F891:V891" si="435">SUM(F889:F890)</f>
        <v>28953968.689999998</v>
      </c>
      <c r="G891" s="584">
        <f t="shared" si="435"/>
        <v>0</v>
      </c>
      <c r="H891" s="703">
        <f>SUM(H889:H890)</f>
        <v>-8500000</v>
      </c>
      <c r="I891" s="584">
        <f t="shared" si="435"/>
        <v>10041720.560000001</v>
      </c>
      <c r="J891" s="584">
        <f>SUM(J889:J890)</f>
        <v>0</v>
      </c>
      <c r="K891" s="584">
        <f t="shared" si="435"/>
        <v>0</v>
      </c>
      <c r="L891" s="584">
        <f t="shared" si="435"/>
        <v>0</v>
      </c>
      <c r="M891" s="584">
        <f t="shared" si="435"/>
        <v>0</v>
      </c>
      <c r="N891" s="584">
        <f t="shared" si="435"/>
        <v>0</v>
      </c>
      <c r="O891" s="584">
        <f t="shared" si="435"/>
        <v>0</v>
      </c>
      <c r="P891" s="584">
        <f t="shared" si="435"/>
        <v>0</v>
      </c>
      <c r="Q891" s="584">
        <f t="shared" si="435"/>
        <v>0</v>
      </c>
      <c r="R891" s="584">
        <f t="shared" si="435"/>
        <v>0</v>
      </c>
      <c r="S891" s="584">
        <f t="shared" si="435"/>
        <v>0</v>
      </c>
      <c r="T891" s="584">
        <f t="shared" si="435"/>
        <v>239614060.63999999</v>
      </c>
      <c r="U891" s="584">
        <f t="shared" si="435"/>
        <v>0</v>
      </c>
      <c r="V891" s="584">
        <f t="shared" si="435"/>
        <v>239614060.63999999</v>
      </c>
      <c r="W891" s="532"/>
      <c r="X891" s="532"/>
      <c r="Y891" s="532"/>
      <c r="Z891" s="532"/>
    </row>
    <row r="892" spans="1:26" ht="12.6" customHeight="1" x14ac:dyDescent="0.25">
      <c r="A892" s="577"/>
      <c r="B892" s="569"/>
      <c r="C892" s="569"/>
      <c r="D892" s="580"/>
      <c r="E892" s="1239">
        <f>E891-E888</f>
        <v>0</v>
      </c>
      <c r="F892" s="1234"/>
      <c r="G892" s="1234">
        <f t="shared" ref="G892:V892" si="436">G891-G888</f>
        <v>0</v>
      </c>
      <c r="H892" s="1246">
        <f>H891-H888</f>
        <v>0</v>
      </c>
      <c r="I892" s="1234">
        <f t="shared" si="436"/>
        <v>0</v>
      </c>
      <c r="J892" s="1234">
        <f>J891-J888</f>
        <v>0</v>
      </c>
      <c r="K892" s="1234">
        <f t="shared" si="436"/>
        <v>0</v>
      </c>
      <c r="L892" s="1234">
        <f t="shared" si="436"/>
        <v>0</v>
      </c>
      <c r="M892" s="1234">
        <f t="shared" si="436"/>
        <v>0</v>
      </c>
      <c r="N892" s="1234">
        <f t="shared" si="436"/>
        <v>0</v>
      </c>
      <c r="O892" s="1234">
        <f t="shared" si="436"/>
        <v>0</v>
      </c>
      <c r="P892" s="1234">
        <f t="shared" si="436"/>
        <v>0</v>
      </c>
      <c r="Q892" s="1234">
        <f t="shared" si="436"/>
        <v>0</v>
      </c>
      <c r="R892" s="1234">
        <f t="shared" si="436"/>
        <v>0</v>
      </c>
      <c r="S892" s="1234">
        <f t="shared" si="436"/>
        <v>0</v>
      </c>
      <c r="T892" s="1234">
        <f t="shared" si="436"/>
        <v>-10943.629999995232</v>
      </c>
      <c r="U892" s="1234">
        <f t="shared" si="436"/>
        <v>0</v>
      </c>
      <c r="V892" s="1234">
        <f t="shared" si="436"/>
        <v>-10943.629999995232</v>
      </c>
    </row>
    <row r="893" spans="1:26" ht="12.6" customHeight="1" thickBot="1" x14ac:dyDescent="0.3">
      <c r="A893" s="592"/>
      <c r="B893" s="593"/>
      <c r="C893" s="593"/>
      <c r="D893" s="593"/>
      <c r="E893" s="594"/>
      <c r="F893" s="594"/>
      <c r="G893" s="594"/>
      <c r="H893" s="594"/>
      <c r="I893" s="594"/>
      <c r="J893" s="594"/>
      <c r="K893" s="594"/>
      <c r="L893" s="594"/>
      <c r="M893" s="594"/>
      <c r="N893" s="594"/>
      <c r="O893" s="594"/>
      <c r="P893" s="594"/>
      <c r="Q893" s="594"/>
      <c r="R893" s="594"/>
      <c r="S893" s="594"/>
      <c r="T893" s="594"/>
      <c r="U893" s="594"/>
      <c r="V893" s="637"/>
    </row>
    <row r="894" spans="1:26" s="704" customFormat="1" ht="12.6" customHeight="1" x14ac:dyDescent="0.25">
      <c r="A894" s="704" t="s">
        <v>3</v>
      </c>
      <c r="E894" s="705">
        <v>306080084.64999998</v>
      </c>
      <c r="F894" s="705">
        <v>93079880.449999988</v>
      </c>
      <c r="G894" s="705">
        <v>10000000</v>
      </c>
      <c r="H894" s="705">
        <v>2804250</v>
      </c>
      <c r="I894" s="705">
        <v>10000000</v>
      </c>
      <c r="J894" s="705">
        <v>10000000</v>
      </c>
      <c r="K894" s="705">
        <v>100670718</v>
      </c>
      <c r="L894" s="705">
        <v>100670718</v>
      </c>
      <c r="M894" s="705">
        <v>100670718</v>
      </c>
      <c r="N894" s="705">
        <v>100670718</v>
      </c>
      <c r="O894" s="705">
        <v>100670718</v>
      </c>
      <c r="P894" s="705">
        <v>100670718</v>
      </c>
      <c r="Q894" s="705">
        <v>100670718</v>
      </c>
      <c r="R894" s="705">
        <v>100670718</v>
      </c>
      <c r="S894" s="705">
        <v>100670718</v>
      </c>
      <c r="T894" s="705">
        <v>512634933.10000002</v>
      </c>
      <c r="U894" s="705">
        <v>0</v>
      </c>
      <c r="V894" s="705">
        <v>0</v>
      </c>
      <c r="W894" s="706"/>
      <c r="X894" s="706"/>
      <c r="Y894" s="706"/>
      <c r="Z894" s="706"/>
    </row>
    <row r="895" spans="1:26" ht="12.6" customHeight="1" x14ac:dyDescent="0.25">
      <c r="A895" s="532" t="s">
        <v>430</v>
      </c>
    </row>
    <row r="897" spans="1:13" x14ac:dyDescent="0.25">
      <c r="M897" s="1283"/>
    </row>
    <row r="898" spans="1:13" ht="12.6" customHeight="1" x14ac:dyDescent="0.25">
      <c r="A898" s="591"/>
    </row>
    <row r="943" spans="1:4" s="533" customFormat="1" ht="12.6" customHeight="1" x14ac:dyDescent="0.25">
      <c r="A943" s="591" t="s">
        <v>4</v>
      </c>
      <c r="B943" s="532"/>
      <c r="C943" s="532"/>
      <c r="D943" s="532"/>
    </row>
    <row r="945" spans="1:22" s="533" customFormat="1" ht="12.6" customHeight="1" x14ac:dyDescent="0.25">
      <c r="A945" s="532" t="s">
        <v>431</v>
      </c>
      <c r="B945" s="532"/>
      <c r="C945" s="532"/>
      <c r="D945" s="532"/>
    </row>
    <row r="946" spans="1:22" s="533" customFormat="1" ht="12.6" customHeight="1" x14ac:dyDescent="0.25">
      <c r="A946" s="532" t="s">
        <v>308</v>
      </c>
      <c r="B946" s="532" t="s">
        <v>308</v>
      </c>
      <c r="C946" s="532" t="s">
        <v>97</v>
      </c>
      <c r="D946" s="532"/>
      <c r="E946" s="533">
        <f t="shared" ref="E946:V946" si="437">E12</f>
        <v>0</v>
      </c>
      <c r="F946" s="533">
        <f t="shared" si="437"/>
        <v>0</v>
      </c>
      <c r="G946" s="533">
        <f t="shared" si="437"/>
        <v>0</v>
      </c>
      <c r="H946" s="533">
        <f t="shared" si="437"/>
        <v>0</v>
      </c>
      <c r="I946" s="533">
        <f t="shared" si="437"/>
        <v>0</v>
      </c>
      <c r="J946" s="533">
        <f t="shared" si="437"/>
        <v>0</v>
      </c>
      <c r="K946" s="533">
        <f t="shared" si="437"/>
        <v>0</v>
      </c>
      <c r="L946" s="533">
        <f t="shared" si="437"/>
        <v>0</v>
      </c>
      <c r="M946" s="533">
        <f t="shared" si="437"/>
        <v>0</v>
      </c>
      <c r="N946" s="533">
        <f t="shared" si="437"/>
        <v>0</v>
      </c>
      <c r="O946" s="533">
        <f t="shared" si="437"/>
        <v>0</v>
      </c>
      <c r="P946" s="533">
        <f t="shared" si="437"/>
        <v>0</v>
      </c>
      <c r="Q946" s="533">
        <f t="shared" si="437"/>
        <v>0</v>
      </c>
      <c r="R946" s="533">
        <f t="shared" si="437"/>
        <v>0</v>
      </c>
      <c r="S946" s="533">
        <f t="shared" si="437"/>
        <v>0</v>
      </c>
      <c r="T946" s="533">
        <f t="shared" si="437"/>
        <v>0</v>
      </c>
      <c r="U946" s="533">
        <f t="shared" si="437"/>
        <v>0</v>
      </c>
      <c r="V946" s="533">
        <f t="shared" si="437"/>
        <v>0</v>
      </c>
    </row>
    <row r="947" spans="1:22" s="533" customFormat="1" ht="12.6" customHeight="1" x14ac:dyDescent="0.25">
      <c r="A947" s="532"/>
      <c r="B947" s="532"/>
      <c r="C947" s="532" t="s">
        <v>98</v>
      </c>
      <c r="D947" s="532"/>
      <c r="E947" s="533">
        <f t="shared" ref="E947:V947" si="438">E40+E81+E379+E108+E116+E174+E197+E230+E256+E263+E286+E301+E318+E331+E344+E359+E369+E404+E421+E442+E477+E485+E500+E509+E517+E525+E547+E562+E596+E241+E450</f>
        <v>6498313.6199999992</v>
      </c>
      <c r="F947" s="533">
        <f t="shared" si="438"/>
        <v>2458682.64</v>
      </c>
      <c r="G947" s="533">
        <f t="shared" si="438"/>
        <v>0</v>
      </c>
      <c r="H947" s="533">
        <f t="shared" si="438"/>
        <v>300000</v>
      </c>
      <c r="I947" s="533">
        <f t="shared" si="438"/>
        <v>3200000</v>
      </c>
      <c r="J947" s="533">
        <f t="shared" si="438"/>
        <v>0</v>
      </c>
      <c r="K947" s="533">
        <f t="shared" si="438"/>
        <v>0</v>
      </c>
      <c r="L947" s="533">
        <f t="shared" si="438"/>
        <v>0</v>
      </c>
      <c r="M947" s="533">
        <f t="shared" si="438"/>
        <v>0</v>
      </c>
      <c r="N947" s="533">
        <f t="shared" si="438"/>
        <v>0</v>
      </c>
      <c r="O947" s="533">
        <f t="shared" si="438"/>
        <v>0</v>
      </c>
      <c r="P947" s="533">
        <f t="shared" si="438"/>
        <v>0</v>
      </c>
      <c r="Q947" s="533">
        <f t="shared" si="438"/>
        <v>0</v>
      </c>
      <c r="R947" s="533">
        <f t="shared" si="438"/>
        <v>0</v>
      </c>
      <c r="S947" s="533">
        <f t="shared" si="438"/>
        <v>0</v>
      </c>
      <c r="T947" s="533">
        <f t="shared" si="438"/>
        <v>12456996.26</v>
      </c>
      <c r="U947" s="533">
        <f t="shared" si="438"/>
        <v>0</v>
      </c>
      <c r="V947" s="533">
        <f t="shared" si="438"/>
        <v>12456996.26</v>
      </c>
    </row>
    <row r="948" spans="1:22" s="533" customFormat="1" ht="12.6" customHeight="1" x14ac:dyDescent="0.25">
      <c r="A948" s="532"/>
      <c r="B948" s="532"/>
      <c r="C948" s="532" t="s">
        <v>99</v>
      </c>
      <c r="D948" s="532"/>
      <c r="E948" s="707">
        <f t="shared" ref="E948:V948" si="439">E638+E663+E679+E698+E723+E756++E804+E830+E820</f>
        <v>526482.38</v>
      </c>
      <c r="F948" s="707">
        <f t="shared" si="439"/>
        <v>0</v>
      </c>
      <c r="G948" s="707">
        <f t="shared" si="439"/>
        <v>0</v>
      </c>
      <c r="H948" s="707">
        <f t="shared" si="439"/>
        <v>0</v>
      </c>
      <c r="I948" s="707">
        <f t="shared" si="439"/>
        <v>0</v>
      </c>
      <c r="J948" s="707">
        <f t="shared" si="439"/>
        <v>0</v>
      </c>
      <c r="K948" s="707">
        <f t="shared" si="439"/>
        <v>0</v>
      </c>
      <c r="L948" s="707">
        <f t="shared" si="439"/>
        <v>0</v>
      </c>
      <c r="M948" s="707">
        <f t="shared" si="439"/>
        <v>0</v>
      </c>
      <c r="N948" s="707">
        <f t="shared" si="439"/>
        <v>0</v>
      </c>
      <c r="O948" s="707">
        <f t="shared" si="439"/>
        <v>0</v>
      </c>
      <c r="P948" s="707">
        <f t="shared" si="439"/>
        <v>0</v>
      </c>
      <c r="Q948" s="707">
        <f t="shared" si="439"/>
        <v>0</v>
      </c>
      <c r="R948" s="707">
        <f t="shared" si="439"/>
        <v>0</v>
      </c>
      <c r="S948" s="707">
        <f t="shared" si="439"/>
        <v>0</v>
      </c>
      <c r="T948" s="707">
        <f t="shared" si="439"/>
        <v>526482.38</v>
      </c>
      <c r="U948" s="707">
        <f t="shared" si="439"/>
        <v>0</v>
      </c>
      <c r="V948" s="707">
        <f t="shared" si="439"/>
        <v>526482.38</v>
      </c>
    </row>
    <row r="949" spans="1:22" s="533" customFormat="1" ht="12.6" customHeight="1" x14ac:dyDescent="0.25">
      <c r="A949" s="532"/>
      <c r="B949" s="532"/>
      <c r="C949" s="532"/>
      <c r="D949" s="532"/>
      <c r="E949" s="708">
        <f>SUM(E946:E948)</f>
        <v>7024795.9999999991</v>
      </c>
      <c r="F949" s="708">
        <f t="shared" ref="F949:V949" si="440">SUM(F946:F948)</f>
        <v>2458682.64</v>
      </c>
      <c r="G949" s="708">
        <f t="shared" si="440"/>
        <v>0</v>
      </c>
      <c r="H949" s="708">
        <f>SUM(H946:H948)</f>
        <v>300000</v>
      </c>
      <c r="I949" s="708">
        <f t="shared" si="440"/>
        <v>3200000</v>
      </c>
      <c r="J949" s="708">
        <f>SUM(J946:J948)</f>
        <v>0</v>
      </c>
      <c r="K949" s="708">
        <f t="shared" si="440"/>
        <v>0</v>
      </c>
      <c r="L949" s="708">
        <f t="shared" si="440"/>
        <v>0</v>
      </c>
      <c r="M949" s="708">
        <f t="shared" si="440"/>
        <v>0</v>
      </c>
      <c r="N949" s="708">
        <f t="shared" si="440"/>
        <v>0</v>
      </c>
      <c r="O949" s="708">
        <f t="shared" si="440"/>
        <v>0</v>
      </c>
      <c r="P949" s="708">
        <f t="shared" si="440"/>
        <v>0</v>
      </c>
      <c r="Q949" s="708">
        <f t="shared" si="440"/>
        <v>0</v>
      </c>
      <c r="R949" s="708">
        <f t="shared" si="440"/>
        <v>0</v>
      </c>
      <c r="S949" s="708">
        <f t="shared" si="440"/>
        <v>0</v>
      </c>
      <c r="T949" s="708">
        <f t="shared" si="440"/>
        <v>12983478.640000001</v>
      </c>
      <c r="U949" s="708">
        <f t="shared" si="440"/>
        <v>0</v>
      </c>
      <c r="V949" s="708">
        <f t="shared" si="440"/>
        <v>12983478.640000001</v>
      </c>
    </row>
    <row r="951" spans="1:22" s="533" customFormat="1" ht="12.6" customHeight="1" x14ac:dyDescent="0.25">
      <c r="A951" s="532"/>
      <c r="B951" s="532" t="s">
        <v>266</v>
      </c>
      <c r="C951" s="532" t="s">
        <v>97</v>
      </c>
      <c r="D951" s="532"/>
    </row>
    <row r="952" spans="1:22" s="533" customFormat="1" ht="12.6" customHeight="1" x14ac:dyDescent="0.25">
      <c r="A952" s="532"/>
      <c r="B952" s="532"/>
      <c r="C952" s="532" t="s">
        <v>98</v>
      </c>
      <c r="D952" s="532"/>
      <c r="E952" s="533">
        <f t="shared" ref="E952:V952" si="441">E41+E82+E117+E198+E470+E502+E526+E597+E422+E486+E405</f>
        <v>1770862</v>
      </c>
      <c r="F952" s="533">
        <f t="shared" si="441"/>
        <v>1038166</v>
      </c>
      <c r="G952" s="533">
        <f t="shared" si="441"/>
        <v>0</v>
      </c>
      <c r="H952" s="533">
        <f t="shared" si="441"/>
        <v>0</v>
      </c>
      <c r="I952" s="533">
        <f t="shared" si="441"/>
        <v>500000</v>
      </c>
      <c r="J952" s="533">
        <f t="shared" si="441"/>
        <v>0</v>
      </c>
      <c r="K952" s="533">
        <f t="shared" si="441"/>
        <v>0</v>
      </c>
      <c r="L952" s="533">
        <f t="shared" si="441"/>
        <v>0</v>
      </c>
      <c r="M952" s="533">
        <f t="shared" si="441"/>
        <v>0</v>
      </c>
      <c r="N952" s="533">
        <f t="shared" si="441"/>
        <v>0</v>
      </c>
      <c r="O952" s="533">
        <f t="shared" si="441"/>
        <v>0</v>
      </c>
      <c r="P952" s="533">
        <f t="shared" si="441"/>
        <v>0</v>
      </c>
      <c r="Q952" s="533">
        <f t="shared" si="441"/>
        <v>0</v>
      </c>
      <c r="R952" s="533">
        <f t="shared" si="441"/>
        <v>0</v>
      </c>
      <c r="S952" s="533">
        <f t="shared" si="441"/>
        <v>0</v>
      </c>
      <c r="T952" s="533">
        <f t="shared" si="441"/>
        <v>3309028</v>
      </c>
      <c r="U952" s="533">
        <f t="shared" si="441"/>
        <v>0</v>
      </c>
      <c r="V952" s="533">
        <f t="shared" si="441"/>
        <v>3309028</v>
      </c>
    </row>
    <row r="953" spans="1:22" s="533" customFormat="1" ht="12.6" customHeight="1" x14ac:dyDescent="0.25">
      <c r="A953" s="532"/>
      <c r="B953" s="532"/>
      <c r="C953" s="532" t="s">
        <v>99</v>
      </c>
      <c r="D953" s="532"/>
      <c r="E953" s="707">
        <f t="shared" ref="E953:V953" si="442">E654+E664+E680+E699+E724+E778+E805+E831+E821+E860</f>
        <v>22862689.319999997</v>
      </c>
      <c r="F953" s="707">
        <f t="shared" si="442"/>
        <v>0</v>
      </c>
      <c r="G953" s="707">
        <f t="shared" si="442"/>
        <v>0</v>
      </c>
      <c r="H953" s="707">
        <f t="shared" si="442"/>
        <v>0</v>
      </c>
      <c r="I953" s="707">
        <f t="shared" si="442"/>
        <v>0</v>
      </c>
      <c r="J953" s="707">
        <f t="shared" si="442"/>
        <v>0</v>
      </c>
      <c r="K953" s="707">
        <f t="shared" si="442"/>
        <v>0</v>
      </c>
      <c r="L953" s="707">
        <f t="shared" si="442"/>
        <v>0</v>
      </c>
      <c r="M953" s="707">
        <f t="shared" si="442"/>
        <v>0</v>
      </c>
      <c r="N953" s="707">
        <f t="shared" si="442"/>
        <v>0</v>
      </c>
      <c r="O953" s="707">
        <f t="shared" si="442"/>
        <v>0</v>
      </c>
      <c r="P953" s="707">
        <f t="shared" si="442"/>
        <v>0</v>
      </c>
      <c r="Q953" s="707">
        <f t="shared" si="442"/>
        <v>0</v>
      </c>
      <c r="R953" s="707">
        <f t="shared" si="442"/>
        <v>0</v>
      </c>
      <c r="S953" s="707">
        <f t="shared" si="442"/>
        <v>0</v>
      </c>
      <c r="T953" s="707">
        <f t="shared" si="442"/>
        <v>22862689.319999997</v>
      </c>
      <c r="U953" s="707">
        <f t="shared" si="442"/>
        <v>0</v>
      </c>
      <c r="V953" s="707">
        <f t="shared" si="442"/>
        <v>22862689.319999997</v>
      </c>
    </row>
    <row r="954" spans="1:22" s="533" customFormat="1" ht="12.6" customHeight="1" x14ac:dyDescent="0.25">
      <c r="A954" s="532"/>
      <c r="B954" s="532"/>
      <c r="C954" s="532"/>
      <c r="D954" s="532"/>
      <c r="E954" s="708">
        <f>SUM(E951:E953)</f>
        <v>24633551.319999997</v>
      </c>
      <c r="F954" s="708">
        <f t="shared" ref="F954:V954" si="443">SUM(F951:F953)</f>
        <v>1038166</v>
      </c>
      <c r="G954" s="708">
        <f t="shared" si="443"/>
        <v>0</v>
      </c>
      <c r="H954" s="708">
        <f>SUM(H951:H953)</f>
        <v>0</v>
      </c>
      <c r="I954" s="708">
        <f t="shared" si="443"/>
        <v>500000</v>
      </c>
      <c r="J954" s="708">
        <f>SUM(J951:J953)</f>
        <v>0</v>
      </c>
      <c r="K954" s="708">
        <f t="shared" si="443"/>
        <v>0</v>
      </c>
      <c r="L954" s="708">
        <f t="shared" si="443"/>
        <v>0</v>
      </c>
      <c r="M954" s="708">
        <f t="shared" si="443"/>
        <v>0</v>
      </c>
      <c r="N954" s="708">
        <f t="shared" si="443"/>
        <v>0</v>
      </c>
      <c r="O954" s="708">
        <f t="shared" si="443"/>
        <v>0</v>
      </c>
      <c r="P954" s="708">
        <f t="shared" si="443"/>
        <v>0</v>
      </c>
      <c r="Q954" s="708">
        <f t="shared" si="443"/>
        <v>0</v>
      </c>
      <c r="R954" s="708">
        <f t="shared" si="443"/>
        <v>0</v>
      </c>
      <c r="S954" s="708">
        <f t="shared" si="443"/>
        <v>0</v>
      </c>
      <c r="T954" s="708">
        <f t="shared" si="443"/>
        <v>26171717.319999997</v>
      </c>
      <c r="U954" s="708">
        <f t="shared" si="443"/>
        <v>0</v>
      </c>
      <c r="V954" s="708">
        <f t="shared" si="443"/>
        <v>26171717.319999997</v>
      </c>
    </row>
    <row r="956" spans="1:22" ht="12.6" customHeight="1" x14ac:dyDescent="0.25">
      <c r="B956" s="532" t="s">
        <v>292</v>
      </c>
      <c r="C956" s="532" t="s">
        <v>97</v>
      </c>
    </row>
    <row r="957" spans="1:22" ht="12.6" customHeight="1" x14ac:dyDescent="0.25">
      <c r="C957" s="532" t="s">
        <v>98</v>
      </c>
      <c r="E957" s="533">
        <f t="shared" ref="E957:V957" si="444">E598</f>
        <v>2197763.54</v>
      </c>
      <c r="F957" s="533">
        <f t="shared" si="444"/>
        <v>1399767</v>
      </c>
      <c r="G957" s="533">
        <f t="shared" si="444"/>
        <v>0</v>
      </c>
      <c r="H957" s="533">
        <f t="shared" si="444"/>
        <v>0</v>
      </c>
      <c r="I957" s="533">
        <f t="shared" si="444"/>
        <v>0</v>
      </c>
      <c r="J957" s="533">
        <f t="shared" si="444"/>
        <v>0</v>
      </c>
      <c r="K957" s="533">
        <f t="shared" si="444"/>
        <v>0</v>
      </c>
      <c r="L957" s="533">
        <f t="shared" si="444"/>
        <v>0</v>
      </c>
      <c r="M957" s="533">
        <f t="shared" si="444"/>
        <v>0</v>
      </c>
      <c r="N957" s="533">
        <f t="shared" si="444"/>
        <v>0</v>
      </c>
      <c r="O957" s="533">
        <f t="shared" si="444"/>
        <v>0</v>
      </c>
      <c r="P957" s="533">
        <f t="shared" si="444"/>
        <v>0</v>
      </c>
      <c r="Q957" s="533">
        <f t="shared" si="444"/>
        <v>0</v>
      </c>
      <c r="R957" s="533">
        <f t="shared" si="444"/>
        <v>0</v>
      </c>
      <c r="S957" s="533">
        <f t="shared" si="444"/>
        <v>0</v>
      </c>
      <c r="T957" s="533">
        <f t="shared" si="444"/>
        <v>3597530.54</v>
      </c>
      <c r="U957" s="533">
        <f t="shared" si="444"/>
        <v>0</v>
      </c>
      <c r="V957" s="533">
        <f t="shared" si="444"/>
        <v>3597530.54</v>
      </c>
    </row>
    <row r="958" spans="1:22" ht="12.6" customHeight="1" x14ac:dyDescent="0.25">
      <c r="C958" s="532" t="s">
        <v>99</v>
      </c>
      <c r="E958" s="707">
        <f t="shared" ref="E958:V958" si="445">E665+E793</f>
        <v>0</v>
      </c>
      <c r="F958" s="707">
        <f t="shared" si="445"/>
        <v>0</v>
      </c>
      <c r="G958" s="707">
        <f t="shared" si="445"/>
        <v>0</v>
      </c>
      <c r="H958" s="707">
        <f t="shared" si="445"/>
        <v>0</v>
      </c>
      <c r="I958" s="707">
        <f t="shared" si="445"/>
        <v>0</v>
      </c>
      <c r="J958" s="707">
        <f t="shared" si="445"/>
        <v>0</v>
      </c>
      <c r="K958" s="707">
        <f t="shared" si="445"/>
        <v>0</v>
      </c>
      <c r="L958" s="707">
        <f t="shared" si="445"/>
        <v>0</v>
      </c>
      <c r="M958" s="707">
        <f t="shared" si="445"/>
        <v>0</v>
      </c>
      <c r="N958" s="707">
        <f t="shared" si="445"/>
        <v>0</v>
      </c>
      <c r="O958" s="707">
        <f t="shared" si="445"/>
        <v>0</v>
      </c>
      <c r="P958" s="707">
        <f t="shared" si="445"/>
        <v>0</v>
      </c>
      <c r="Q958" s="707">
        <f t="shared" si="445"/>
        <v>0</v>
      </c>
      <c r="R958" s="707">
        <f t="shared" si="445"/>
        <v>0</v>
      </c>
      <c r="S958" s="707">
        <f t="shared" si="445"/>
        <v>0</v>
      </c>
      <c r="T958" s="707">
        <f t="shared" si="445"/>
        <v>0</v>
      </c>
      <c r="U958" s="707">
        <f t="shared" si="445"/>
        <v>0</v>
      </c>
      <c r="V958" s="707">
        <f t="shared" si="445"/>
        <v>0</v>
      </c>
    </row>
    <row r="959" spans="1:22" ht="12.6" customHeight="1" x14ac:dyDescent="0.25">
      <c r="E959" s="708">
        <f>SUM(E956:E958)</f>
        <v>2197763.54</v>
      </c>
      <c r="F959" s="708">
        <f t="shared" ref="F959:V959" si="446">SUM(F956:F958)</f>
        <v>1399767</v>
      </c>
      <c r="G959" s="708">
        <f t="shared" si="446"/>
        <v>0</v>
      </c>
      <c r="H959" s="708">
        <f>SUM(H956:H958)</f>
        <v>0</v>
      </c>
      <c r="I959" s="708">
        <f t="shared" si="446"/>
        <v>0</v>
      </c>
      <c r="J959" s="708">
        <f>SUM(J956:J958)</f>
        <v>0</v>
      </c>
      <c r="K959" s="708">
        <f t="shared" si="446"/>
        <v>0</v>
      </c>
      <c r="L959" s="708">
        <f t="shared" si="446"/>
        <v>0</v>
      </c>
      <c r="M959" s="708">
        <f t="shared" si="446"/>
        <v>0</v>
      </c>
      <c r="N959" s="708">
        <f t="shared" si="446"/>
        <v>0</v>
      </c>
      <c r="O959" s="708">
        <f t="shared" si="446"/>
        <v>0</v>
      </c>
      <c r="P959" s="708">
        <f t="shared" si="446"/>
        <v>0</v>
      </c>
      <c r="Q959" s="708">
        <f t="shared" si="446"/>
        <v>0</v>
      </c>
      <c r="R959" s="708">
        <f t="shared" si="446"/>
        <v>0</v>
      </c>
      <c r="S959" s="708">
        <f t="shared" si="446"/>
        <v>0</v>
      </c>
      <c r="T959" s="708">
        <f t="shared" si="446"/>
        <v>3597530.54</v>
      </c>
      <c r="U959" s="708">
        <f t="shared" si="446"/>
        <v>0</v>
      </c>
      <c r="V959" s="708">
        <f t="shared" si="446"/>
        <v>3597530.54</v>
      </c>
    </row>
    <row r="961" spans="1:26" s="709" customFormat="1" ht="12.6" customHeight="1" x14ac:dyDescent="0.25">
      <c r="B961" s="709" t="s">
        <v>308</v>
      </c>
      <c r="C961" s="709" t="s">
        <v>97</v>
      </c>
      <c r="E961" s="710">
        <f>E946+E951+E956</f>
        <v>0</v>
      </c>
      <c r="F961" s="710">
        <f t="shared" ref="F961:V963" si="447">F946+F951+F956</f>
        <v>0</v>
      </c>
      <c r="G961" s="710">
        <f t="shared" si="447"/>
        <v>0</v>
      </c>
      <c r="H961" s="710">
        <f>H946+H951+H956</f>
        <v>0</v>
      </c>
      <c r="I961" s="710">
        <f t="shared" si="447"/>
        <v>0</v>
      </c>
      <c r="J961" s="710">
        <f>J946+J951+J956</f>
        <v>0</v>
      </c>
      <c r="K961" s="710">
        <f t="shared" si="447"/>
        <v>0</v>
      </c>
      <c r="L961" s="710">
        <f t="shared" si="447"/>
        <v>0</v>
      </c>
      <c r="M961" s="710">
        <f t="shared" si="447"/>
        <v>0</v>
      </c>
      <c r="N961" s="710">
        <f t="shared" si="447"/>
        <v>0</v>
      </c>
      <c r="O961" s="710">
        <f t="shared" si="447"/>
        <v>0</v>
      </c>
      <c r="P961" s="710">
        <f t="shared" si="447"/>
        <v>0</v>
      </c>
      <c r="Q961" s="710">
        <f t="shared" si="447"/>
        <v>0</v>
      </c>
      <c r="R961" s="710">
        <f t="shared" si="447"/>
        <v>0</v>
      </c>
      <c r="S961" s="710">
        <f t="shared" si="447"/>
        <v>0</v>
      </c>
      <c r="T961" s="710">
        <f t="shared" si="447"/>
        <v>0</v>
      </c>
      <c r="U961" s="710">
        <f t="shared" si="447"/>
        <v>0</v>
      </c>
      <c r="V961" s="710">
        <f t="shared" si="447"/>
        <v>0</v>
      </c>
      <c r="W961" s="710"/>
      <c r="X961" s="710"/>
      <c r="Y961" s="710"/>
      <c r="Z961" s="710"/>
    </row>
    <row r="962" spans="1:26" s="709" customFormat="1" ht="12.6" customHeight="1" x14ac:dyDescent="0.25">
      <c r="C962" s="709" t="s">
        <v>98</v>
      </c>
      <c r="E962" s="710">
        <f>E947+E952+E957</f>
        <v>10466939.16</v>
      </c>
      <c r="F962" s="710">
        <f t="shared" si="447"/>
        <v>4896615.6400000006</v>
      </c>
      <c r="G962" s="710">
        <f t="shared" si="447"/>
        <v>0</v>
      </c>
      <c r="H962" s="710">
        <f>H947+H952+H957</f>
        <v>300000</v>
      </c>
      <c r="I962" s="710">
        <f t="shared" si="447"/>
        <v>3700000</v>
      </c>
      <c r="J962" s="710">
        <f>J947+J952+J957</f>
        <v>0</v>
      </c>
      <c r="K962" s="710">
        <f t="shared" si="447"/>
        <v>0</v>
      </c>
      <c r="L962" s="710">
        <f t="shared" si="447"/>
        <v>0</v>
      </c>
      <c r="M962" s="710">
        <f t="shared" si="447"/>
        <v>0</v>
      </c>
      <c r="N962" s="710">
        <f t="shared" si="447"/>
        <v>0</v>
      </c>
      <c r="O962" s="710">
        <f t="shared" si="447"/>
        <v>0</v>
      </c>
      <c r="P962" s="710">
        <f t="shared" si="447"/>
        <v>0</v>
      </c>
      <c r="Q962" s="710">
        <f t="shared" si="447"/>
        <v>0</v>
      </c>
      <c r="R962" s="710">
        <f t="shared" si="447"/>
        <v>0</v>
      </c>
      <c r="S962" s="710">
        <f t="shared" si="447"/>
        <v>0</v>
      </c>
      <c r="T962" s="710">
        <f>T947+T952+T957</f>
        <v>19363554.800000001</v>
      </c>
      <c r="U962" s="710">
        <f t="shared" si="447"/>
        <v>0</v>
      </c>
      <c r="V962" s="710">
        <f t="shared" si="447"/>
        <v>19363554.800000001</v>
      </c>
      <c r="W962" s="710"/>
      <c r="X962" s="710"/>
      <c r="Y962" s="710"/>
      <c r="Z962" s="710"/>
    </row>
    <row r="963" spans="1:26" s="709" customFormat="1" ht="12.6" customHeight="1" x14ac:dyDescent="0.25">
      <c r="C963" s="709" t="s">
        <v>99</v>
      </c>
      <c r="E963" s="711">
        <f>E948+E953+E958</f>
        <v>23389171.699999996</v>
      </c>
      <c r="F963" s="711">
        <f t="shared" si="447"/>
        <v>0</v>
      </c>
      <c r="G963" s="711">
        <f t="shared" si="447"/>
        <v>0</v>
      </c>
      <c r="H963" s="711">
        <f>H948+H953+H958</f>
        <v>0</v>
      </c>
      <c r="I963" s="711">
        <f t="shared" si="447"/>
        <v>0</v>
      </c>
      <c r="J963" s="711">
        <f>J948+J953+J958</f>
        <v>0</v>
      </c>
      <c r="K963" s="711">
        <f t="shared" si="447"/>
        <v>0</v>
      </c>
      <c r="L963" s="711">
        <f t="shared" si="447"/>
        <v>0</v>
      </c>
      <c r="M963" s="711">
        <f t="shared" si="447"/>
        <v>0</v>
      </c>
      <c r="N963" s="711">
        <f t="shared" si="447"/>
        <v>0</v>
      </c>
      <c r="O963" s="711">
        <f t="shared" si="447"/>
        <v>0</v>
      </c>
      <c r="P963" s="711">
        <f t="shared" si="447"/>
        <v>0</v>
      </c>
      <c r="Q963" s="711">
        <f t="shared" si="447"/>
        <v>0</v>
      </c>
      <c r="R963" s="711">
        <f t="shared" si="447"/>
        <v>0</v>
      </c>
      <c r="S963" s="711">
        <f t="shared" si="447"/>
        <v>0</v>
      </c>
      <c r="T963" s="711">
        <f t="shared" si="447"/>
        <v>23389171.699999996</v>
      </c>
      <c r="U963" s="711">
        <f t="shared" si="447"/>
        <v>0</v>
      </c>
      <c r="V963" s="711">
        <f t="shared" si="447"/>
        <v>23389171.699999996</v>
      </c>
      <c r="W963" s="710"/>
      <c r="X963" s="710"/>
      <c r="Y963" s="710"/>
      <c r="Z963" s="710"/>
    </row>
    <row r="964" spans="1:26" s="709" customFormat="1" ht="12.6" customHeight="1" x14ac:dyDescent="0.25">
      <c r="E964" s="710">
        <f>SUM(E961:E963)</f>
        <v>33856110.859999999</v>
      </c>
      <c r="F964" s="710">
        <f t="shared" ref="F964:V964" si="448">SUM(F961:F963)</f>
        <v>4896615.6400000006</v>
      </c>
      <c r="G964" s="710">
        <f t="shared" si="448"/>
        <v>0</v>
      </c>
      <c r="H964" s="710">
        <f>SUM(H961:H963)</f>
        <v>300000</v>
      </c>
      <c r="I964" s="710">
        <f t="shared" si="448"/>
        <v>3700000</v>
      </c>
      <c r="J964" s="710">
        <f>SUM(J961:J963)</f>
        <v>0</v>
      </c>
      <c r="K964" s="710">
        <f t="shared" si="448"/>
        <v>0</v>
      </c>
      <c r="L964" s="710">
        <f t="shared" si="448"/>
        <v>0</v>
      </c>
      <c r="M964" s="710">
        <f t="shared" si="448"/>
        <v>0</v>
      </c>
      <c r="N964" s="710">
        <f t="shared" si="448"/>
        <v>0</v>
      </c>
      <c r="O964" s="710">
        <f t="shared" si="448"/>
        <v>0</v>
      </c>
      <c r="P964" s="710">
        <f t="shared" si="448"/>
        <v>0</v>
      </c>
      <c r="Q964" s="710">
        <f t="shared" si="448"/>
        <v>0</v>
      </c>
      <c r="R964" s="710">
        <f t="shared" si="448"/>
        <v>0</v>
      </c>
      <c r="S964" s="710">
        <f t="shared" si="448"/>
        <v>0</v>
      </c>
      <c r="T964" s="710">
        <f t="shared" si="448"/>
        <v>42752726.5</v>
      </c>
      <c r="U964" s="710">
        <f t="shared" si="448"/>
        <v>0</v>
      </c>
      <c r="V964" s="710">
        <f t="shared" si="448"/>
        <v>42752726.5</v>
      </c>
      <c r="W964" s="710"/>
      <c r="X964" s="710"/>
      <c r="Y964" s="710"/>
      <c r="Z964" s="710"/>
    </row>
    <row r="966" spans="1:26" ht="12.6" customHeight="1" x14ac:dyDescent="0.25">
      <c r="A966" s="532" t="s">
        <v>432</v>
      </c>
      <c r="B966" s="532" t="s">
        <v>337</v>
      </c>
      <c r="C966" s="532" t="s">
        <v>97</v>
      </c>
      <c r="E966" s="533">
        <f t="shared" ref="E966:V966" si="449">E13</f>
        <v>175642.08</v>
      </c>
      <c r="F966" s="533">
        <f t="shared" si="449"/>
        <v>3103732.25</v>
      </c>
      <c r="G966" s="533">
        <f t="shared" si="449"/>
        <v>0</v>
      </c>
      <c r="H966" s="533">
        <f t="shared" si="449"/>
        <v>0</v>
      </c>
      <c r="I966" s="533">
        <f t="shared" si="449"/>
        <v>3008026.25</v>
      </c>
      <c r="J966" s="533">
        <f t="shared" si="449"/>
        <v>0</v>
      </c>
      <c r="K966" s="533">
        <f t="shared" si="449"/>
        <v>0</v>
      </c>
      <c r="L966" s="533">
        <f t="shared" si="449"/>
        <v>0</v>
      </c>
      <c r="M966" s="533">
        <f t="shared" si="449"/>
        <v>0</v>
      </c>
      <c r="N966" s="533">
        <f t="shared" si="449"/>
        <v>0</v>
      </c>
      <c r="O966" s="533">
        <f t="shared" si="449"/>
        <v>0</v>
      </c>
      <c r="P966" s="533">
        <f t="shared" si="449"/>
        <v>0</v>
      </c>
      <c r="Q966" s="533">
        <f t="shared" si="449"/>
        <v>0</v>
      </c>
      <c r="R966" s="533">
        <f t="shared" si="449"/>
        <v>0</v>
      </c>
      <c r="S966" s="533">
        <f t="shared" si="449"/>
        <v>0</v>
      </c>
      <c r="T966" s="533">
        <f t="shared" si="449"/>
        <v>6287400.5800000001</v>
      </c>
      <c r="U966" s="533">
        <f t="shared" si="449"/>
        <v>0</v>
      </c>
      <c r="V966" s="533">
        <f t="shared" si="449"/>
        <v>6287400.5800000001</v>
      </c>
    </row>
    <row r="967" spans="1:26" ht="12.6" customHeight="1" x14ac:dyDescent="0.25">
      <c r="C967" s="532" t="s">
        <v>98</v>
      </c>
      <c r="E967" s="533">
        <f t="shared" ref="E967:V967" si="450">E42+E69+E83+E109+E118+E199+E264+E332+E527+E599</f>
        <v>7307079.2999999998</v>
      </c>
      <c r="F967" s="533">
        <f t="shared" si="450"/>
        <v>1909702.77</v>
      </c>
      <c r="G967" s="533">
        <f t="shared" si="450"/>
        <v>0</v>
      </c>
      <c r="H967" s="533">
        <f t="shared" si="450"/>
        <v>0</v>
      </c>
      <c r="I967" s="533">
        <f t="shared" si="450"/>
        <v>0</v>
      </c>
      <c r="J967" s="533">
        <f t="shared" si="450"/>
        <v>0</v>
      </c>
      <c r="K967" s="533">
        <f t="shared" si="450"/>
        <v>0</v>
      </c>
      <c r="L967" s="533">
        <f t="shared" si="450"/>
        <v>0</v>
      </c>
      <c r="M967" s="533">
        <f t="shared" si="450"/>
        <v>0</v>
      </c>
      <c r="N967" s="533">
        <f t="shared" si="450"/>
        <v>0</v>
      </c>
      <c r="O967" s="533">
        <f t="shared" si="450"/>
        <v>0</v>
      </c>
      <c r="P967" s="533">
        <f t="shared" si="450"/>
        <v>0</v>
      </c>
      <c r="Q967" s="533">
        <f t="shared" si="450"/>
        <v>0</v>
      </c>
      <c r="R967" s="533">
        <f t="shared" si="450"/>
        <v>0</v>
      </c>
      <c r="S967" s="533">
        <f t="shared" si="450"/>
        <v>0</v>
      </c>
      <c r="T967" s="533">
        <f t="shared" si="450"/>
        <v>9216782.0700000003</v>
      </c>
      <c r="U967" s="533">
        <f t="shared" si="450"/>
        <v>0</v>
      </c>
      <c r="V967" s="533">
        <f t="shared" si="450"/>
        <v>9216782.0700000003</v>
      </c>
    </row>
    <row r="968" spans="1:26" ht="12.6" customHeight="1" x14ac:dyDescent="0.25">
      <c r="C968" s="532" t="s">
        <v>99</v>
      </c>
      <c r="E968" s="707">
        <f t="shared" ref="E968:V968" si="451">E681+E689+E700</f>
        <v>0</v>
      </c>
      <c r="F968" s="707">
        <f t="shared" si="451"/>
        <v>0</v>
      </c>
      <c r="G968" s="707">
        <f t="shared" si="451"/>
        <v>0</v>
      </c>
      <c r="H968" s="707">
        <f t="shared" si="451"/>
        <v>0</v>
      </c>
      <c r="I968" s="707">
        <f t="shared" si="451"/>
        <v>0</v>
      </c>
      <c r="J968" s="707">
        <f t="shared" si="451"/>
        <v>0</v>
      </c>
      <c r="K968" s="707">
        <f t="shared" si="451"/>
        <v>0</v>
      </c>
      <c r="L968" s="707">
        <f t="shared" si="451"/>
        <v>0</v>
      </c>
      <c r="M968" s="707">
        <f t="shared" si="451"/>
        <v>0</v>
      </c>
      <c r="N968" s="707">
        <f t="shared" si="451"/>
        <v>0</v>
      </c>
      <c r="O968" s="707">
        <f t="shared" si="451"/>
        <v>0</v>
      </c>
      <c r="P968" s="707">
        <f t="shared" si="451"/>
        <v>0</v>
      </c>
      <c r="Q968" s="707">
        <f t="shared" si="451"/>
        <v>0</v>
      </c>
      <c r="R968" s="707">
        <f t="shared" si="451"/>
        <v>0</v>
      </c>
      <c r="S968" s="707">
        <f t="shared" si="451"/>
        <v>0</v>
      </c>
      <c r="T968" s="707">
        <f t="shared" si="451"/>
        <v>0</v>
      </c>
      <c r="U968" s="707">
        <f t="shared" si="451"/>
        <v>0</v>
      </c>
      <c r="V968" s="707">
        <f t="shared" si="451"/>
        <v>0</v>
      </c>
    </row>
    <row r="969" spans="1:26" ht="12.6" customHeight="1" x14ac:dyDescent="0.25">
      <c r="E969" s="708">
        <f>SUM(E966:E968)</f>
        <v>7482721.3799999999</v>
      </c>
      <c r="F969" s="708">
        <f t="shared" ref="F969:V969" si="452">SUM(F966:F968)</f>
        <v>5013435.0199999996</v>
      </c>
      <c r="G969" s="708">
        <f t="shared" si="452"/>
        <v>0</v>
      </c>
      <c r="H969" s="708">
        <f>SUM(H966:H968)</f>
        <v>0</v>
      </c>
      <c r="I969" s="708">
        <f t="shared" si="452"/>
        <v>3008026.25</v>
      </c>
      <c r="J969" s="708">
        <f>SUM(J966:J968)</f>
        <v>0</v>
      </c>
      <c r="K969" s="708">
        <f t="shared" si="452"/>
        <v>0</v>
      </c>
      <c r="L969" s="708">
        <f t="shared" si="452"/>
        <v>0</v>
      </c>
      <c r="M969" s="708">
        <f t="shared" si="452"/>
        <v>0</v>
      </c>
      <c r="N969" s="708">
        <f t="shared" si="452"/>
        <v>0</v>
      </c>
      <c r="O969" s="708">
        <f t="shared" si="452"/>
        <v>0</v>
      </c>
      <c r="P969" s="708">
        <f t="shared" si="452"/>
        <v>0</v>
      </c>
      <c r="Q969" s="708">
        <f t="shared" si="452"/>
        <v>0</v>
      </c>
      <c r="R969" s="708">
        <f t="shared" si="452"/>
        <v>0</v>
      </c>
      <c r="S969" s="708">
        <f t="shared" si="452"/>
        <v>0</v>
      </c>
      <c r="T969" s="708">
        <f t="shared" si="452"/>
        <v>15504182.65</v>
      </c>
      <c r="U969" s="708">
        <f t="shared" si="452"/>
        <v>0</v>
      </c>
      <c r="V969" s="708">
        <f t="shared" si="452"/>
        <v>15504182.65</v>
      </c>
    </row>
    <row r="971" spans="1:26" ht="12.6" customHeight="1" x14ac:dyDescent="0.25">
      <c r="B971" s="532" t="s">
        <v>419</v>
      </c>
      <c r="C971" s="532" t="s">
        <v>97</v>
      </c>
    </row>
    <row r="972" spans="1:26" ht="12.6" customHeight="1" x14ac:dyDescent="0.25">
      <c r="C972" s="532" t="s">
        <v>98</v>
      </c>
      <c r="E972" s="533">
        <f t="shared" ref="E972:V972" si="453">E201+E302+E406+E370</f>
        <v>600000</v>
      </c>
      <c r="F972" s="533">
        <f t="shared" si="453"/>
        <v>0</v>
      </c>
      <c r="G972" s="533">
        <f t="shared" si="453"/>
        <v>0</v>
      </c>
      <c r="H972" s="533">
        <f t="shared" si="453"/>
        <v>4200000</v>
      </c>
      <c r="I972" s="533">
        <f t="shared" si="453"/>
        <v>1300000</v>
      </c>
      <c r="J972" s="533">
        <f t="shared" si="453"/>
        <v>0</v>
      </c>
      <c r="K972" s="533">
        <f t="shared" si="453"/>
        <v>0</v>
      </c>
      <c r="L972" s="533">
        <f t="shared" si="453"/>
        <v>0</v>
      </c>
      <c r="M972" s="533">
        <f t="shared" si="453"/>
        <v>0</v>
      </c>
      <c r="N972" s="533">
        <f t="shared" si="453"/>
        <v>0</v>
      </c>
      <c r="O972" s="533">
        <f t="shared" si="453"/>
        <v>0</v>
      </c>
      <c r="P972" s="533">
        <f t="shared" si="453"/>
        <v>0</v>
      </c>
      <c r="Q972" s="533">
        <f t="shared" si="453"/>
        <v>0</v>
      </c>
      <c r="R972" s="533">
        <f t="shared" si="453"/>
        <v>0</v>
      </c>
      <c r="S972" s="533">
        <f t="shared" si="453"/>
        <v>0</v>
      </c>
      <c r="T972" s="533">
        <f t="shared" si="453"/>
        <v>6100000</v>
      </c>
      <c r="U972" s="533">
        <f t="shared" si="453"/>
        <v>0</v>
      </c>
      <c r="V972" s="533">
        <f t="shared" si="453"/>
        <v>6100000</v>
      </c>
    </row>
    <row r="973" spans="1:26" ht="12.6" customHeight="1" x14ac:dyDescent="0.25">
      <c r="C973" s="532" t="s">
        <v>99</v>
      </c>
      <c r="E973" s="707">
        <f t="shared" ref="E973:V973" si="454">E639+E646+E666+E682+E701+E726+E757+E806+E832+E871+E822</f>
        <v>53291108.699999996</v>
      </c>
      <c r="F973" s="707">
        <f t="shared" si="454"/>
        <v>0</v>
      </c>
      <c r="G973" s="707">
        <f t="shared" si="454"/>
        <v>0</v>
      </c>
      <c r="H973" s="707">
        <f t="shared" si="454"/>
        <v>-13000000</v>
      </c>
      <c r="I973" s="707">
        <f t="shared" si="454"/>
        <v>-5500000</v>
      </c>
      <c r="J973" s="707">
        <f t="shared" si="454"/>
        <v>0</v>
      </c>
      <c r="K973" s="707">
        <f t="shared" si="454"/>
        <v>0</v>
      </c>
      <c r="L973" s="707">
        <f t="shared" si="454"/>
        <v>0</v>
      </c>
      <c r="M973" s="707">
        <f t="shared" si="454"/>
        <v>0</v>
      </c>
      <c r="N973" s="707">
        <f t="shared" si="454"/>
        <v>0</v>
      </c>
      <c r="O973" s="707">
        <f t="shared" si="454"/>
        <v>0</v>
      </c>
      <c r="P973" s="707">
        <f t="shared" si="454"/>
        <v>0</v>
      </c>
      <c r="Q973" s="707">
        <f t="shared" si="454"/>
        <v>0</v>
      </c>
      <c r="R973" s="707">
        <f t="shared" si="454"/>
        <v>0</v>
      </c>
      <c r="S973" s="707">
        <f t="shared" si="454"/>
        <v>0</v>
      </c>
      <c r="T973" s="707">
        <f t="shared" si="454"/>
        <v>34791108.699999996</v>
      </c>
      <c r="U973" s="707">
        <f t="shared" si="454"/>
        <v>0</v>
      </c>
      <c r="V973" s="707">
        <f t="shared" si="454"/>
        <v>34791108.699999996</v>
      </c>
    </row>
    <row r="974" spans="1:26" ht="12.6" customHeight="1" x14ac:dyDescent="0.25">
      <c r="E974" s="708">
        <f>SUM(E971:E973)</f>
        <v>53891108.699999996</v>
      </c>
      <c r="F974" s="708">
        <f t="shared" ref="F974:V974" si="455">SUM(F971:F973)</f>
        <v>0</v>
      </c>
      <c r="G974" s="708">
        <f t="shared" si="455"/>
        <v>0</v>
      </c>
      <c r="H974" s="708">
        <f>SUM(H971:H973)</f>
        <v>-8800000</v>
      </c>
      <c r="I974" s="708">
        <f t="shared" si="455"/>
        <v>-4200000</v>
      </c>
      <c r="J974" s="708">
        <f>SUM(J971:J973)</f>
        <v>0</v>
      </c>
      <c r="K974" s="708">
        <f t="shared" si="455"/>
        <v>0</v>
      </c>
      <c r="L974" s="708">
        <f t="shared" si="455"/>
        <v>0</v>
      </c>
      <c r="M974" s="708">
        <f t="shared" si="455"/>
        <v>0</v>
      </c>
      <c r="N974" s="708">
        <f t="shared" si="455"/>
        <v>0</v>
      </c>
      <c r="O974" s="708">
        <f t="shared" si="455"/>
        <v>0</v>
      </c>
      <c r="P974" s="708">
        <f t="shared" si="455"/>
        <v>0</v>
      </c>
      <c r="Q974" s="708">
        <f t="shared" si="455"/>
        <v>0</v>
      </c>
      <c r="R974" s="708">
        <f t="shared" si="455"/>
        <v>0</v>
      </c>
      <c r="S974" s="708">
        <f t="shared" si="455"/>
        <v>0</v>
      </c>
      <c r="T974" s="708">
        <f t="shared" si="455"/>
        <v>40891108.699999996</v>
      </c>
      <c r="U974" s="708">
        <f t="shared" si="455"/>
        <v>0</v>
      </c>
      <c r="V974" s="708">
        <f t="shared" si="455"/>
        <v>40891108.699999996</v>
      </c>
    </row>
    <row r="976" spans="1:26" ht="12.6" customHeight="1" x14ac:dyDescent="0.25">
      <c r="B976" s="532" t="s">
        <v>365</v>
      </c>
      <c r="C976" s="532" t="s">
        <v>97</v>
      </c>
    </row>
    <row r="977" spans="1:26" ht="12.6" customHeight="1" x14ac:dyDescent="0.25">
      <c r="C977" s="532" t="s">
        <v>98</v>
      </c>
      <c r="E977" s="533">
        <f t="shared" ref="E977:V977" si="456">E43+E84+E265+E333+E528+E600+E202+E371+E407</f>
        <v>1225750</v>
      </c>
      <c r="F977" s="533">
        <f t="shared" si="456"/>
        <v>318968.13</v>
      </c>
      <c r="G977" s="533">
        <f t="shared" si="456"/>
        <v>0</v>
      </c>
      <c r="H977" s="533">
        <f t="shared" si="456"/>
        <v>0</v>
      </c>
      <c r="I977" s="533">
        <f t="shared" si="456"/>
        <v>0</v>
      </c>
      <c r="J977" s="533">
        <f t="shared" si="456"/>
        <v>0</v>
      </c>
      <c r="K977" s="533">
        <f t="shared" si="456"/>
        <v>0</v>
      </c>
      <c r="L977" s="533">
        <f t="shared" si="456"/>
        <v>0</v>
      </c>
      <c r="M977" s="533">
        <f t="shared" si="456"/>
        <v>0</v>
      </c>
      <c r="N977" s="533">
        <f t="shared" si="456"/>
        <v>0</v>
      </c>
      <c r="O977" s="533">
        <f t="shared" si="456"/>
        <v>0</v>
      </c>
      <c r="P977" s="533">
        <f t="shared" si="456"/>
        <v>0</v>
      </c>
      <c r="Q977" s="533">
        <f t="shared" si="456"/>
        <v>0</v>
      </c>
      <c r="R977" s="533">
        <f t="shared" si="456"/>
        <v>0</v>
      </c>
      <c r="S977" s="533">
        <f t="shared" si="456"/>
        <v>0</v>
      </c>
      <c r="T977" s="533">
        <f t="shared" si="456"/>
        <v>1544718.13</v>
      </c>
      <c r="U977" s="533">
        <f t="shared" si="456"/>
        <v>0</v>
      </c>
      <c r="V977" s="533">
        <f t="shared" si="456"/>
        <v>1544718.13</v>
      </c>
    </row>
    <row r="978" spans="1:26" ht="12.6" customHeight="1" x14ac:dyDescent="0.25">
      <c r="C978" s="532" t="s">
        <v>99</v>
      </c>
      <c r="E978" s="707">
        <f t="shared" ref="E978:V978" si="457">E702+E727</f>
        <v>160888.4</v>
      </c>
      <c r="F978" s="707">
        <f t="shared" si="457"/>
        <v>0</v>
      </c>
      <c r="G978" s="707">
        <f t="shared" si="457"/>
        <v>0</v>
      </c>
      <c r="H978" s="707">
        <f t="shared" si="457"/>
        <v>0</v>
      </c>
      <c r="I978" s="707">
        <f t="shared" si="457"/>
        <v>0</v>
      </c>
      <c r="J978" s="707">
        <f t="shared" si="457"/>
        <v>0</v>
      </c>
      <c r="K978" s="707">
        <f t="shared" si="457"/>
        <v>0</v>
      </c>
      <c r="L978" s="707">
        <f t="shared" si="457"/>
        <v>0</v>
      </c>
      <c r="M978" s="707">
        <f t="shared" si="457"/>
        <v>0</v>
      </c>
      <c r="N978" s="707">
        <f t="shared" si="457"/>
        <v>0</v>
      </c>
      <c r="O978" s="707">
        <f t="shared" si="457"/>
        <v>0</v>
      </c>
      <c r="P978" s="707">
        <f t="shared" si="457"/>
        <v>0</v>
      </c>
      <c r="Q978" s="707">
        <f t="shared" si="457"/>
        <v>0</v>
      </c>
      <c r="R978" s="707">
        <f t="shared" si="457"/>
        <v>0</v>
      </c>
      <c r="S978" s="707">
        <f t="shared" si="457"/>
        <v>0</v>
      </c>
      <c r="T978" s="707">
        <f t="shared" si="457"/>
        <v>160888.4</v>
      </c>
      <c r="U978" s="707">
        <f t="shared" si="457"/>
        <v>0</v>
      </c>
      <c r="V978" s="707">
        <f t="shared" si="457"/>
        <v>160888.4</v>
      </c>
    </row>
    <row r="979" spans="1:26" ht="12.6" customHeight="1" x14ac:dyDescent="0.25">
      <c r="E979" s="708">
        <f>SUM(E976:E978)</f>
        <v>1386638.4</v>
      </c>
      <c r="F979" s="708">
        <f t="shared" ref="F979:V979" si="458">SUM(F976:F978)</f>
        <v>318968.13</v>
      </c>
      <c r="G979" s="708">
        <f t="shared" si="458"/>
        <v>0</v>
      </c>
      <c r="H979" s="708">
        <f>SUM(H976:H978)</f>
        <v>0</v>
      </c>
      <c r="I979" s="708">
        <f t="shared" si="458"/>
        <v>0</v>
      </c>
      <c r="J979" s="708">
        <f>SUM(J976:J978)</f>
        <v>0</v>
      </c>
      <c r="K979" s="708">
        <f t="shared" si="458"/>
        <v>0</v>
      </c>
      <c r="L979" s="708">
        <f t="shared" si="458"/>
        <v>0</v>
      </c>
      <c r="M979" s="708">
        <f t="shared" si="458"/>
        <v>0</v>
      </c>
      <c r="N979" s="708">
        <f t="shared" si="458"/>
        <v>0</v>
      </c>
      <c r="O979" s="708">
        <f t="shared" si="458"/>
        <v>0</v>
      </c>
      <c r="P979" s="708">
        <f t="shared" si="458"/>
        <v>0</v>
      </c>
      <c r="Q979" s="708">
        <f t="shared" si="458"/>
        <v>0</v>
      </c>
      <c r="R979" s="708">
        <f t="shared" si="458"/>
        <v>0</v>
      </c>
      <c r="S979" s="708">
        <f t="shared" si="458"/>
        <v>0</v>
      </c>
      <c r="T979" s="708">
        <f t="shared" si="458"/>
        <v>1705606.5299999998</v>
      </c>
      <c r="U979" s="708">
        <f t="shared" si="458"/>
        <v>0</v>
      </c>
      <c r="V979" s="708">
        <f t="shared" si="458"/>
        <v>1705606.5299999998</v>
      </c>
    </row>
    <row r="981" spans="1:26" s="591" customFormat="1" ht="12.6" customHeight="1" x14ac:dyDescent="0.25">
      <c r="A981" s="709" t="s">
        <v>432</v>
      </c>
      <c r="C981" s="709" t="s">
        <v>97</v>
      </c>
      <c r="E981" s="710">
        <f>E966+E971+E976</f>
        <v>175642.08</v>
      </c>
      <c r="F981" s="710">
        <f t="shared" ref="F981:V983" si="459">F966+F971+F976</f>
        <v>3103732.25</v>
      </c>
      <c r="G981" s="710">
        <f t="shared" si="459"/>
        <v>0</v>
      </c>
      <c r="H981" s="710">
        <f>H966+H971+H976</f>
        <v>0</v>
      </c>
      <c r="I981" s="710">
        <f t="shared" si="459"/>
        <v>3008026.25</v>
      </c>
      <c r="J981" s="710">
        <f>J966+J971+J976</f>
        <v>0</v>
      </c>
      <c r="K981" s="710">
        <f t="shared" si="459"/>
        <v>0</v>
      </c>
      <c r="L981" s="710">
        <f t="shared" si="459"/>
        <v>0</v>
      </c>
      <c r="M981" s="710">
        <f t="shared" si="459"/>
        <v>0</v>
      </c>
      <c r="N981" s="710">
        <f t="shared" si="459"/>
        <v>0</v>
      </c>
      <c r="O981" s="710">
        <f t="shared" si="459"/>
        <v>0</v>
      </c>
      <c r="P981" s="710">
        <f t="shared" si="459"/>
        <v>0</v>
      </c>
      <c r="Q981" s="710">
        <f t="shared" si="459"/>
        <v>0</v>
      </c>
      <c r="R981" s="710">
        <f t="shared" si="459"/>
        <v>0</v>
      </c>
      <c r="S981" s="710">
        <f t="shared" si="459"/>
        <v>0</v>
      </c>
      <c r="T981" s="710">
        <f t="shared" si="459"/>
        <v>6287400.5800000001</v>
      </c>
      <c r="U981" s="710">
        <f t="shared" si="459"/>
        <v>0</v>
      </c>
      <c r="V981" s="710">
        <f t="shared" si="459"/>
        <v>6287400.5800000001</v>
      </c>
      <c r="W981" s="697"/>
      <c r="X981" s="697"/>
      <c r="Y981" s="697"/>
      <c r="Z981" s="697"/>
    </row>
    <row r="982" spans="1:26" s="591" customFormat="1" ht="12.6" customHeight="1" x14ac:dyDescent="0.25">
      <c r="C982" s="709" t="s">
        <v>98</v>
      </c>
      <c r="E982" s="710">
        <f>E967+E972+E977</f>
        <v>9132829.3000000007</v>
      </c>
      <c r="F982" s="710">
        <f t="shared" si="459"/>
        <v>2228670.9</v>
      </c>
      <c r="G982" s="710">
        <f t="shared" si="459"/>
        <v>0</v>
      </c>
      <c r="H982" s="710">
        <f>H967+H972+H977</f>
        <v>4200000</v>
      </c>
      <c r="I982" s="710">
        <f t="shared" si="459"/>
        <v>1300000</v>
      </c>
      <c r="J982" s="710">
        <f>J967+J972+J977</f>
        <v>0</v>
      </c>
      <c r="K982" s="710">
        <f t="shared" si="459"/>
        <v>0</v>
      </c>
      <c r="L982" s="710">
        <f t="shared" si="459"/>
        <v>0</v>
      </c>
      <c r="M982" s="710">
        <f t="shared" si="459"/>
        <v>0</v>
      </c>
      <c r="N982" s="710">
        <f t="shared" si="459"/>
        <v>0</v>
      </c>
      <c r="O982" s="710">
        <f t="shared" si="459"/>
        <v>0</v>
      </c>
      <c r="P982" s="710">
        <f t="shared" si="459"/>
        <v>0</v>
      </c>
      <c r="Q982" s="710">
        <f t="shared" si="459"/>
        <v>0</v>
      </c>
      <c r="R982" s="710">
        <f t="shared" si="459"/>
        <v>0</v>
      </c>
      <c r="S982" s="710">
        <f t="shared" si="459"/>
        <v>0</v>
      </c>
      <c r="T982" s="710">
        <f t="shared" si="459"/>
        <v>16861500.199999999</v>
      </c>
      <c r="U982" s="710">
        <f t="shared" si="459"/>
        <v>0</v>
      </c>
      <c r="V982" s="710">
        <f t="shared" si="459"/>
        <v>16861500.199999999</v>
      </c>
      <c r="W982" s="697"/>
      <c r="X982" s="697"/>
      <c r="Y982" s="697"/>
      <c r="Z982" s="697"/>
    </row>
    <row r="983" spans="1:26" s="591" customFormat="1" ht="12.6" customHeight="1" x14ac:dyDescent="0.25">
      <c r="C983" s="709" t="s">
        <v>99</v>
      </c>
      <c r="E983" s="711">
        <f>E968+E973+E978</f>
        <v>53451997.099999994</v>
      </c>
      <c r="F983" s="711">
        <f t="shared" si="459"/>
        <v>0</v>
      </c>
      <c r="G983" s="711">
        <f t="shared" si="459"/>
        <v>0</v>
      </c>
      <c r="H983" s="711">
        <f>H968+H973+H978</f>
        <v>-13000000</v>
      </c>
      <c r="I983" s="711">
        <f t="shared" si="459"/>
        <v>-5500000</v>
      </c>
      <c r="J983" s="711">
        <f>J968+J973+J978</f>
        <v>0</v>
      </c>
      <c r="K983" s="711">
        <f t="shared" si="459"/>
        <v>0</v>
      </c>
      <c r="L983" s="711">
        <f t="shared" si="459"/>
        <v>0</v>
      </c>
      <c r="M983" s="711">
        <f t="shared" si="459"/>
        <v>0</v>
      </c>
      <c r="N983" s="711">
        <f t="shared" si="459"/>
        <v>0</v>
      </c>
      <c r="O983" s="711">
        <f t="shared" si="459"/>
        <v>0</v>
      </c>
      <c r="P983" s="711">
        <f t="shared" si="459"/>
        <v>0</v>
      </c>
      <c r="Q983" s="711">
        <f t="shared" si="459"/>
        <v>0</v>
      </c>
      <c r="R983" s="711">
        <f t="shared" si="459"/>
        <v>0</v>
      </c>
      <c r="S983" s="711">
        <f t="shared" si="459"/>
        <v>0</v>
      </c>
      <c r="T983" s="711">
        <f t="shared" si="459"/>
        <v>34951997.099999994</v>
      </c>
      <c r="U983" s="711">
        <f t="shared" si="459"/>
        <v>0</v>
      </c>
      <c r="V983" s="711">
        <f t="shared" si="459"/>
        <v>34951997.099999994</v>
      </c>
      <c r="W983" s="697"/>
      <c r="X983" s="697"/>
      <c r="Y983" s="697"/>
      <c r="Z983" s="697"/>
    </row>
    <row r="984" spans="1:26" s="591" customFormat="1" ht="12.6" customHeight="1" x14ac:dyDescent="0.25">
      <c r="C984" s="709"/>
      <c r="E984" s="710">
        <f>SUM(E981:E983)</f>
        <v>62760468.479999997</v>
      </c>
      <c r="F984" s="710">
        <f t="shared" ref="F984:V984" si="460">SUM(F981:F983)</f>
        <v>5332403.1500000004</v>
      </c>
      <c r="G984" s="710">
        <f t="shared" si="460"/>
        <v>0</v>
      </c>
      <c r="H984" s="710">
        <f>SUM(H981:H983)</f>
        <v>-8800000</v>
      </c>
      <c r="I984" s="710">
        <f t="shared" si="460"/>
        <v>-1191973.75</v>
      </c>
      <c r="J984" s="710">
        <f>SUM(J981:J983)</f>
        <v>0</v>
      </c>
      <c r="K984" s="710">
        <f t="shared" si="460"/>
        <v>0</v>
      </c>
      <c r="L984" s="710">
        <f t="shared" si="460"/>
        <v>0</v>
      </c>
      <c r="M984" s="710">
        <f t="shared" si="460"/>
        <v>0</v>
      </c>
      <c r="N984" s="710">
        <f t="shared" si="460"/>
        <v>0</v>
      </c>
      <c r="O984" s="710">
        <f t="shared" si="460"/>
        <v>0</v>
      </c>
      <c r="P984" s="710">
        <f t="shared" si="460"/>
        <v>0</v>
      </c>
      <c r="Q984" s="710">
        <f t="shared" si="460"/>
        <v>0</v>
      </c>
      <c r="R984" s="710">
        <f t="shared" si="460"/>
        <v>0</v>
      </c>
      <c r="S984" s="710">
        <f t="shared" si="460"/>
        <v>0</v>
      </c>
      <c r="T984" s="710">
        <f t="shared" si="460"/>
        <v>58100897.879999995</v>
      </c>
      <c r="U984" s="710">
        <f t="shared" si="460"/>
        <v>0</v>
      </c>
      <c r="V984" s="710">
        <f t="shared" si="460"/>
        <v>58100897.879999995</v>
      </c>
      <c r="W984" s="697"/>
      <c r="X984" s="697"/>
      <c r="Y984" s="697"/>
      <c r="Z984" s="697"/>
    </row>
    <row r="986" spans="1:26" s="709" customFormat="1" ht="12.6" customHeight="1" x14ac:dyDescent="0.25">
      <c r="A986" s="709" t="s">
        <v>433</v>
      </c>
      <c r="B986" s="709" t="s">
        <v>338</v>
      </c>
      <c r="C986" s="709" t="s">
        <v>97</v>
      </c>
      <c r="E986" s="710">
        <f t="shared" ref="E986:V986" si="461">E14</f>
        <v>0</v>
      </c>
      <c r="F986" s="710">
        <f t="shared" si="461"/>
        <v>0</v>
      </c>
      <c r="G986" s="710">
        <f t="shared" si="461"/>
        <v>0</v>
      </c>
      <c r="H986" s="710">
        <f t="shared" si="461"/>
        <v>0</v>
      </c>
      <c r="I986" s="710">
        <f t="shared" si="461"/>
        <v>0</v>
      </c>
      <c r="J986" s="710">
        <f t="shared" si="461"/>
        <v>0</v>
      </c>
      <c r="K986" s="710">
        <f t="shared" si="461"/>
        <v>0</v>
      </c>
      <c r="L986" s="710">
        <f t="shared" si="461"/>
        <v>0</v>
      </c>
      <c r="M986" s="710">
        <f t="shared" si="461"/>
        <v>0</v>
      </c>
      <c r="N986" s="710">
        <f t="shared" si="461"/>
        <v>0</v>
      </c>
      <c r="O986" s="710">
        <f t="shared" si="461"/>
        <v>0</v>
      </c>
      <c r="P986" s="710">
        <f t="shared" si="461"/>
        <v>0</v>
      </c>
      <c r="Q986" s="710">
        <f t="shared" si="461"/>
        <v>0</v>
      </c>
      <c r="R986" s="710">
        <f t="shared" si="461"/>
        <v>0</v>
      </c>
      <c r="S986" s="710">
        <f t="shared" si="461"/>
        <v>0</v>
      </c>
      <c r="T986" s="710">
        <f t="shared" si="461"/>
        <v>0</v>
      </c>
      <c r="U986" s="710">
        <f t="shared" si="461"/>
        <v>0</v>
      </c>
      <c r="V986" s="710">
        <f t="shared" si="461"/>
        <v>0</v>
      </c>
      <c r="W986" s="710"/>
      <c r="X986" s="710"/>
      <c r="Y986" s="710"/>
      <c r="Z986" s="710"/>
    </row>
    <row r="987" spans="1:26" s="709" customFormat="1" ht="12.6" customHeight="1" x14ac:dyDescent="0.25">
      <c r="C987" s="709" t="s">
        <v>98</v>
      </c>
      <c r="D987" s="712"/>
      <c r="E987" s="710">
        <f t="shared" ref="E987:V987" si="462">E44+E409</f>
        <v>334226.75</v>
      </c>
      <c r="F987" s="710">
        <f t="shared" si="462"/>
        <v>155621</v>
      </c>
      <c r="G987" s="710">
        <f t="shared" si="462"/>
        <v>0</v>
      </c>
      <c r="H987" s="710">
        <f t="shared" si="462"/>
        <v>0</v>
      </c>
      <c r="I987" s="710">
        <f t="shared" si="462"/>
        <v>0</v>
      </c>
      <c r="J987" s="710">
        <f t="shared" si="462"/>
        <v>0</v>
      </c>
      <c r="K987" s="710">
        <f t="shared" si="462"/>
        <v>0</v>
      </c>
      <c r="L987" s="710">
        <f t="shared" si="462"/>
        <v>0</v>
      </c>
      <c r="M987" s="710">
        <f t="shared" si="462"/>
        <v>0</v>
      </c>
      <c r="N987" s="710">
        <f t="shared" si="462"/>
        <v>0</v>
      </c>
      <c r="O987" s="710">
        <f t="shared" si="462"/>
        <v>0</v>
      </c>
      <c r="P987" s="710">
        <f t="shared" si="462"/>
        <v>0</v>
      </c>
      <c r="Q987" s="710">
        <f t="shared" si="462"/>
        <v>0</v>
      </c>
      <c r="R987" s="710">
        <f t="shared" si="462"/>
        <v>0</v>
      </c>
      <c r="S987" s="710">
        <f t="shared" si="462"/>
        <v>0</v>
      </c>
      <c r="T987" s="710">
        <f t="shared" si="462"/>
        <v>489847.75</v>
      </c>
      <c r="U987" s="710">
        <f t="shared" si="462"/>
        <v>0</v>
      </c>
      <c r="V987" s="710">
        <f t="shared" si="462"/>
        <v>489847.75</v>
      </c>
      <c r="W987" s="710"/>
      <c r="X987" s="710"/>
      <c r="Y987" s="710"/>
      <c r="Z987" s="710"/>
    </row>
    <row r="988" spans="1:26" s="709" customFormat="1" ht="12.6" customHeight="1" x14ac:dyDescent="0.25">
      <c r="C988" s="709" t="s">
        <v>99</v>
      </c>
      <c r="D988" s="712"/>
      <c r="E988" s="711"/>
      <c r="F988" s="711"/>
      <c r="G988" s="711"/>
      <c r="H988" s="711"/>
      <c r="I988" s="711"/>
      <c r="J988" s="711"/>
      <c r="K988" s="711"/>
      <c r="L988" s="711"/>
      <c r="M988" s="711"/>
      <c r="N988" s="711"/>
      <c r="O988" s="711"/>
      <c r="P988" s="711"/>
      <c r="Q988" s="711"/>
      <c r="R988" s="711"/>
      <c r="S988" s="711"/>
      <c r="T988" s="711"/>
      <c r="U988" s="711"/>
      <c r="V988" s="711"/>
      <c r="W988" s="710"/>
      <c r="X988" s="710"/>
      <c r="Y988" s="710"/>
      <c r="Z988" s="710"/>
    </row>
    <row r="989" spans="1:26" s="709" customFormat="1" ht="12.6" customHeight="1" x14ac:dyDescent="0.25">
      <c r="E989" s="710">
        <f>SUM(E986:E988)</f>
        <v>334226.75</v>
      </c>
      <c r="F989" s="710">
        <f t="shared" ref="F989:V989" si="463">SUM(F986:F988)</f>
        <v>155621</v>
      </c>
      <c r="G989" s="710">
        <f t="shared" si="463"/>
        <v>0</v>
      </c>
      <c r="H989" s="710">
        <f>SUM(H986:H988)</f>
        <v>0</v>
      </c>
      <c r="I989" s="710">
        <f t="shared" si="463"/>
        <v>0</v>
      </c>
      <c r="J989" s="710">
        <f>SUM(J986:J988)</f>
        <v>0</v>
      </c>
      <c r="K989" s="710">
        <f t="shared" si="463"/>
        <v>0</v>
      </c>
      <c r="L989" s="710">
        <f t="shared" si="463"/>
        <v>0</v>
      </c>
      <c r="M989" s="710">
        <f t="shared" si="463"/>
        <v>0</v>
      </c>
      <c r="N989" s="710">
        <f t="shared" si="463"/>
        <v>0</v>
      </c>
      <c r="O989" s="710">
        <f t="shared" si="463"/>
        <v>0</v>
      </c>
      <c r="P989" s="710">
        <f t="shared" si="463"/>
        <v>0</v>
      </c>
      <c r="Q989" s="710">
        <f t="shared" si="463"/>
        <v>0</v>
      </c>
      <c r="R989" s="710">
        <f t="shared" si="463"/>
        <v>0</v>
      </c>
      <c r="S989" s="710">
        <f t="shared" si="463"/>
        <v>0</v>
      </c>
      <c r="T989" s="710">
        <f t="shared" si="463"/>
        <v>489847.75</v>
      </c>
      <c r="U989" s="710">
        <f t="shared" si="463"/>
        <v>0</v>
      </c>
      <c r="V989" s="710">
        <f t="shared" si="463"/>
        <v>489847.75</v>
      </c>
      <c r="W989" s="710"/>
      <c r="X989" s="710"/>
      <c r="Y989" s="710"/>
      <c r="Z989" s="710"/>
    </row>
    <row r="990" spans="1:26" s="709" customFormat="1" ht="12.6" customHeight="1" x14ac:dyDescent="0.25">
      <c r="E990" s="710"/>
      <c r="F990" s="710"/>
      <c r="G990" s="710"/>
      <c r="H990" s="710"/>
      <c r="I990" s="710"/>
      <c r="J990" s="710"/>
      <c r="K990" s="710"/>
      <c r="L990" s="710"/>
      <c r="M990" s="710"/>
      <c r="N990" s="710"/>
      <c r="O990" s="710"/>
      <c r="P990" s="710"/>
      <c r="Q990" s="710"/>
      <c r="R990" s="710"/>
      <c r="S990" s="710"/>
      <c r="T990" s="710"/>
      <c r="U990" s="710"/>
      <c r="V990" s="710"/>
      <c r="W990" s="710"/>
      <c r="X990" s="710"/>
      <c r="Y990" s="710"/>
      <c r="Z990" s="710"/>
    </row>
    <row r="991" spans="1:26" s="709" customFormat="1" ht="12.6" customHeight="1" x14ac:dyDescent="0.25">
      <c r="A991" s="709" t="s">
        <v>354</v>
      </c>
      <c r="C991" s="709" t="s">
        <v>97</v>
      </c>
      <c r="E991" s="710">
        <f t="shared" ref="E991:V991" si="464">E15</f>
        <v>1975445.8</v>
      </c>
      <c r="F991" s="710">
        <f t="shared" si="464"/>
        <v>200000</v>
      </c>
      <c r="G991" s="710">
        <f t="shared" si="464"/>
        <v>0</v>
      </c>
      <c r="H991" s="710">
        <f t="shared" si="464"/>
        <v>0</v>
      </c>
      <c r="I991" s="710">
        <f t="shared" si="464"/>
        <v>200000</v>
      </c>
      <c r="J991" s="710">
        <f t="shared" si="464"/>
        <v>0</v>
      </c>
      <c r="K991" s="710">
        <f t="shared" si="464"/>
        <v>0</v>
      </c>
      <c r="L991" s="710">
        <f t="shared" si="464"/>
        <v>0</v>
      </c>
      <c r="M991" s="710">
        <f t="shared" si="464"/>
        <v>0</v>
      </c>
      <c r="N991" s="710">
        <f t="shared" si="464"/>
        <v>0</v>
      </c>
      <c r="O991" s="710">
        <f t="shared" si="464"/>
        <v>0</v>
      </c>
      <c r="P991" s="710">
        <f t="shared" si="464"/>
        <v>0</v>
      </c>
      <c r="Q991" s="710">
        <f t="shared" si="464"/>
        <v>0</v>
      </c>
      <c r="R991" s="710">
        <f t="shared" si="464"/>
        <v>0</v>
      </c>
      <c r="S991" s="710">
        <f t="shared" si="464"/>
        <v>0</v>
      </c>
      <c r="T991" s="710">
        <f t="shared" si="464"/>
        <v>2375445.7999999998</v>
      </c>
      <c r="U991" s="710">
        <f t="shared" si="464"/>
        <v>0</v>
      </c>
      <c r="V991" s="710">
        <f t="shared" si="464"/>
        <v>2375445.7999999998</v>
      </c>
      <c r="W991" s="710"/>
      <c r="X991" s="710"/>
      <c r="Y991" s="710"/>
      <c r="Z991" s="710"/>
    </row>
    <row r="992" spans="1:26" s="709" customFormat="1" ht="12.6" customHeight="1" x14ac:dyDescent="0.25">
      <c r="C992" s="709" t="s">
        <v>98</v>
      </c>
      <c r="E992" s="710">
        <f t="shared" ref="E992:V992" si="465">E45+E70+E85+E119+E203+E266+E287+E303+E319+E334+E408+E433+E487+E529+E548+E585+E601+E563+E351+E443+E451</f>
        <v>2019072.91</v>
      </c>
      <c r="F992" s="710">
        <f t="shared" si="465"/>
        <v>1543911</v>
      </c>
      <c r="G992" s="710">
        <f t="shared" si="465"/>
        <v>0</v>
      </c>
      <c r="H992" s="710">
        <f t="shared" si="465"/>
        <v>0</v>
      </c>
      <c r="I992" s="710">
        <f t="shared" si="465"/>
        <v>0</v>
      </c>
      <c r="J992" s="710">
        <f t="shared" si="465"/>
        <v>0</v>
      </c>
      <c r="K992" s="710">
        <f t="shared" si="465"/>
        <v>0</v>
      </c>
      <c r="L992" s="710">
        <f t="shared" si="465"/>
        <v>0</v>
      </c>
      <c r="M992" s="710">
        <f t="shared" si="465"/>
        <v>0</v>
      </c>
      <c r="N992" s="710">
        <f t="shared" si="465"/>
        <v>0</v>
      </c>
      <c r="O992" s="710">
        <f t="shared" si="465"/>
        <v>0</v>
      </c>
      <c r="P992" s="710">
        <f t="shared" si="465"/>
        <v>0</v>
      </c>
      <c r="Q992" s="710">
        <f t="shared" si="465"/>
        <v>0</v>
      </c>
      <c r="R992" s="710">
        <f t="shared" si="465"/>
        <v>0</v>
      </c>
      <c r="S992" s="710">
        <f t="shared" si="465"/>
        <v>0</v>
      </c>
      <c r="T992" s="710">
        <f t="shared" si="465"/>
        <v>3562983.91</v>
      </c>
      <c r="U992" s="710">
        <f t="shared" si="465"/>
        <v>0</v>
      </c>
      <c r="V992" s="710">
        <f t="shared" si="465"/>
        <v>3562983.91</v>
      </c>
      <c r="W992" s="710"/>
      <c r="X992" s="710"/>
      <c r="Y992" s="710"/>
      <c r="Z992" s="710"/>
    </row>
    <row r="993" spans="1:26" s="709" customFormat="1" ht="12.6" customHeight="1" x14ac:dyDescent="0.25">
      <c r="C993" s="709" t="s">
        <v>99</v>
      </c>
      <c r="E993" s="711">
        <f t="shared" ref="E993:V993" si="466">E703+E728+E794+E807+E872+E833</f>
        <v>4686482.3800000008</v>
      </c>
      <c r="F993" s="711">
        <f t="shared" si="466"/>
        <v>0</v>
      </c>
      <c r="G993" s="711">
        <f t="shared" si="466"/>
        <v>0</v>
      </c>
      <c r="H993" s="711">
        <f t="shared" si="466"/>
        <v>0</v>
      </c>
      <c r="I993" s="711">
        <f t="shared" si="466"/>
        <v>0</v>
      </c>
      <c r="J993" s="711">
        <f t="shared" si="466"/>
        <v>0</v>
      </c>
      <c r="K993" s="711">
        <f t="shared" si="466"/>
        <v>0</v>
      </c>
      <c r="L993" s="711">
        <f t="shared" si="466"/>
        <v>0</v>
      </c>
      <c r="M993" s="711">
        <f t="shared" si="466"/>
        <v>0</v>
      </c>
      <c r="N993" s="711">
        <f t="shared" si="466"/>
        <v>0</v>
      </c>
      <c r="O993" s="711">
        <f t="shared" si="466"/>
        <v>0</v>
      </c>
      <c r="P993" s="711">
        <f t="shared" si="466"/>
        <v>0</v>
      </c>
      <c r="Q993" s="711">
        <f t="shared" si="466"/>
        <v>0</v>
      </c>
      <c r="R993" s="711">
        <f t="shared" si="466"/>
        <v>0</v>
      </c>
      <c r="S993" s="711">
        <f t="shared" si="466"/>
        <v>0</v>
      </c>
      <c r="T993" s="711">
        <f t="shared" si="466"/>
        <v>4686482.3800000008</v>
      </c>
      <c r="U993" s="711">
        <f t="shared" si="466"/>
        <v>0</v>
      </c>
      <c r="V993" s="711">
        <f t="shared" si="466"/>
        <v>4686482.3800000008</v>
      </c>
      <c r="W993" s="710"/>
      <c r="X993" s="710"/>
      <c r="Y993" s="710"/>
      <c r="Z993" s="710"/>
    </row>
    <row r="994" spans="1:26" s="709" customFormat="1" ht="12.6" customHeight="1" x14ac:dyDescent="0.25">
      <c r="E994" s="710">
        <f>SUM(E991:E993)</f>
        <v>8681001.0899999999</v>
      </c>
      <c r="F994" s="710">
        <f t="shared" ref="F994:V994" si="467">SUM(F991:F993)</f>
        <v>1743911</v>
      </c>
      <c r="G994" s="710">
        <f t="shared" si="467"/>
        <v>0</v>
      </c>
      <c r="H994" s="710">
        <f>SUM(H991:H993)</f>
        <v>0</v>
      </c>
      <c r="I994" s="710">
        <f t="shared" si="467"/>
        <v>200000</v>
      </c>
      <c r="J994" s="710">
        <f>SUM(J991:J993)</f>
        <v>0</v>
      </c>
      <c r="K994" s="710">
        <f t="shared" si="467"/>
        <v>0</v>
      </c>
      <c r="L994" s="710">
        <f t="shared" si="467"/>
        <v>0</v>
      </c>
      <c r="M994" s="710">
        <f t="shared" si="467"/>
        <v>0</v>
      </c>
      <c r="N994" s="710">
        <f t="shared" si="467"/>
        <v>0</v>
      </c>
      <c r="O994" s="710">
        <f t="shared" si="467"/>
        <v>0</v>
      </c>
      <c r="P994" s="710">
        <f t="shared" si="467"/>
        <v>0</v>
      </c>
      <c r="Q994" s="710">
        <f t="shared" si="467"/>
        <v>0</v>
      </c>
      <c r="R994" s="710">
        <f t="shared" si="467"/>
        <v>0</v>
      </c>
      <c r="S994" s="710">
        <f t="shared" si="467"/>
        <v>0</v>
      </c>
      <c r="T994" s="710">
        <f t="shared" si="467"/>
        <v>10624912.09</v>
      </c>
      <c r="U994" s="710">
        <f t="shared" si="467"/>
        <v>0</v>
      </c>
      <c r="V994" s="710">
        <f t="shared" si="467"/>
        <v>10624912.09</v>
      </c>
      <c r="W994" s="710"/>
      <c r="X994" s="710"/>
      <c r="Y994" s="710"/>
      <c r="Z994" s="710"/>
    </row>
    <row r="995" spans="1:26" s="709" customFormat="1" ht="12.6" customHeight="1" x14ac:dyDescent="0.25">
      <c r="E995" s="710"/>
      <c r="F995" s="710"/>
      <c r="G995" s="710"/>
      <c r="H995" s="710"/>
      <c r="I995" s="710"/>
      <c r="J995" s="710"/>
      <c r="K995" s="710"/>
      <c r="L995" s="710"/>
      <c r="M995" s="710"/>
      <c r="N995" s="710"/>
      <c r="O995" s="710"/>
      <c r="P995" s="710"/>
      <c r="Q995" s="710"/>
      <c r="R995" s="710"/>
      <c r="S995" s="710"/>
      <c r="T995" s="710"/>
      <c r="U995" s="710"/>
      <c r="V995" s="710"/>
      <c r="W995" s="710"/>
      <c r="X995" s="710"/>
      <c r="Y995" s="710"/>
      <c r="Z995" s="710"/>
    </row>
    <row r="996" spans="1:26" s="709" customFormat="1" ht="12.6" customHeight="1" x14ac:dyDescent="0.25">
      <c r="A996" s="709" t="s">
        <v>262</v>
      </c>
      <c r="C996" s="709" t="s">
        <v>97</v>
      </c>
      <c r="E996" s="710">
        <f t="shared" ref="E996:V996" si="468">E16</f>
        <v>150000</v>
      </c>
      <c r="F996" s="710">
        <f t="shared" si="468"/>
        <v>200000</v>
      </c>
      <c r="G996" s="710">
        <f t="shared" si="468"/>
        <v>0</v>
      </c>
      <c r="H996" s="710">
        <f t="shared" si="468"/>
        <v>0</v>
      </c>
      <c r="I996" s="710">
        <f t="shared" si="468"/>
        <v>200000</v>
      </c>
      <c r="J996" s="710">
        <f t="shared" si="468"/>
        <v>0</v>
      </c>
      <c r="K996" s="710">
        <f t="shared" si="468"/>
        <v>0</v>
      </c>
      <c r="L996" s="710">
        <f t="shared" si="468"/>
        <v>0</v>
      </c>
      <c r="M996" s="710">
        <f t="shared" si="468"/>
        <v>0</v>
      </c>
      <c r="N996" s="710">
        <f t="shared" si="468"/>
        <v>0</v>
      </c>
      <c r="O996" s="710">
        <f t="shared" si="468"/>
        <v>0</v>
      </c>
      <c r="P996" s="710">
        <f t="shared" si="468"/>
        <v>0</v>
      </c>
      <c r="Q996" s="710">
        <f t="shared" si="468"/>
        <v>0</v>
      </c>
      <c r="R996" s="710">
        <f t="shared" si="468"/>
        <v>0</v>
      </c>
      <c r="S996" s="710">
        <f t="shared" si="468"/>
        <v>0</v>
      </c>
      <c r="T996" s="710">
        <f t="shared" si="468"/>
        <v>550000</v>
      </c>
      <c r="U996" s="710">
        <f t="shared" si="468"/>
        <v>0</v>
      </c>
      <c r="V996" s="710">
        <f t="shared" si="468"/>
        <v>550000</v>
      </c>
      <c r="W996" s="710"/>
      <c r="X996" s="710"/>
      <c r="Y996" s="710"/>
      <c r="Z996" s="710"/>
    </row>
    <row r="997" spans="1:26" s="709" customFormat="1" ht="12.6" customHeight="1" x14ac:dyDescent="0.25">
      <c r="C997" s="709" t="s">
        <v>98</v>
      </c>
      <c r="E997" s="710">
        <f t="shared" ref="E997:V997" si="469">E46+E71+E86+E120+E175+E204+E267+E304+E320+E335+E352+E434+E478+E488+E530+E549+E586+E602+E372</f>
        <v>5346963.54</v>
      </c>
      <c r="F997" s="710">
        <f t="shared" si="469"/>
        <v>1023052</v>
      </c>
      <c r="G997" s="710">
        <f t="shared" si="469"/>
        <v>0</v>
      </c>
      <c r="H997" s="710">
        <f t="shared" si="469"/>
        <v>0</v>
      </c>
      <c r="I997" s="710">
        <f t="shared" si="469"/>
        <v>0</v>
      </c>
      <c r="J997" s="710">
        <f t="shared" si="469"/>
        <v>0</v>
      </c>
      <c r="K997" s="710">
        <f t="shared" si="469"/>
        <v>0</v>
      </c>
      <c r="L997" s="710">
        <f t="shared" si="469"/>
        <v>0</v>
      </c>
      <c r="M997" s="710">
        <f t="shared" si="469"/>
        <v>0</v>
      </c>
      <c r="N997" s="710">
        <f t="shared" si="469"/>
        <v>0</v>
      </c>
      <c r="O997" s="710">
        <f t="shared" si="469"/>
        <v>0</v>
      </c>
      <c r="P997" s="710">
        <f t="shared" si="469"/>
        <v>0</v>
      </c>
      <c r="Q997" s="710">
        <f t="shared" si="469"/>
        <v>0</v>
      </c>
      <c r="R997" s="710">
        <f t="shared" si="469"/>
        <v>0</v>
      </c>
      <c r="S997" s="710">
        <f t="shared" si="469"/>
        <v>0</v>
      </c>
      <c r="T997" s="710">
        <f t="shared" si="469"/>
        <v>6370015.54</v>
      </c>
      <c r="U997" s="710">
        <f t="shared" si="469"/>
        <v>0</v>
      </c>
      <c r="V997" s="710">
        <f t="shared" si="469"/>
        <v>6370015.54</v>
      </c>
      <c r="W997" s="710"/>
      <c r="X997" s="710"/>
      <c r="Y997" s="710"/>
      <c r="Z997" s="710"/>
    </row>
    <row r="998" spans="1:26" s="709" customFormat="1" ht="12.6" customHeight="1" x14ac:dyDescent="0.25">
      <c r="C998" s="709" t="s">
        <v>99</v>
      </c>
      <c r="E998" s="711">
        <f t="shared" ref="E998:V998" si="470">E704+E729+E764+E795+E808+E834+E823+E859</f>
        <v>559815.72</v>
      </c>
      <c r="F998" s="711">
        <f t="shared" si="470"/>
        <v>0</v>
      </c>
      <c r="G998" s="711">
        <f t="shared" si="470"/>
        <v>0</v>
      </c>
      <c r="H998" s="711">
        <f t="shared" si="470"/>
        <v>0</v>
      </c>
      <c r="I998" s="711">
        <f t="shared" si="470"/>
        <v>0</v>
      </c>
      <c r="J998" s="711">
        <f t="shared" si="470"/>
        <v>0</v>
      </c>
      <c r="K998" s="711">
        <f t="shared" si="470"/>
        <v>0</v>
      </c>
      <c r="L998" s="711">
        <f t="shared" si="470"/>
        <v>0</v>
      </c>
      <c r="M998" s="711">
        <f t="shared" si="470"/>
        <v>0</v>
      </c>
      <c r="N998" s="711">
        <f t="shared" si="470"/>
        <v>0</v>
      </c>
      <c r="O998" s="711">
        <f t="shared" si="470"/>
        <v>0</v>
      </c>
      <c r="P998" s="711">
        <f t="shared" si="470"/>
        <v>0</v>
      </c>
      <c r="Q998" s="711">
        <f t="shared" si="470"/>
        <v>0</v>
      </c>
      <c r="R998" s="711">
        <f t="shared" si="470"/>
        <v>0</v>
      </c>
      <c r="S998" s="711">
        <f t="shared" si="470"/>
        <v>0</v>
      </c>
      <c r="T998" s="711">
        <f t="shared" si="470"/>
        <v>559815.72</v>
      </c>
      <c r="U998" s="711">
        <f t="shared" si="470"/>
        <v>0</v>
      </c>
      <c r="V998" s="711">
        <f t="shared" si="470"/>
        <v>559815.72</v>
      </c>
      <c r="W998" s="710"/>
      <c r="X998" s="710"/>
      <c r="Y998" s="710"/>
      <c r="Z998" s="710"/>
    </row>
    <row r="999" spans="1:26" s="709" customFormat="1" ht="12.6" customHeight="1" x14ac:dyDescent="0.25">
      <c r="E999" s="710">
        <f>SUM(E996:E998)</f>
        <v>6056779.2599999998</v>
      </c>
      <c r="F999" s="710">
        <f t="shared" ref="F999:V999" si="471">SUM(F996:F998)</f>
        <v>1223052</v>
      </c>
      <c r="G999" s="710">
        <f t="shared" si="471"/>
        <v>0</v>
      </c>
      <c r="H999" s="710">
        <f>SUM(H996:H998)</f>
        <v>0</v>
      </c>
      <c r="I999" s="710">
        <f t="shared" si="471"/>
        <v>200000</v>
      </c>
      <c r="J999" s="710">
        <f>SUM(J996:J998)</f>
        <v>0</v>
      </c>
      <c r="K999" s="710">
        <f t="shared" si="471"/>
        <v>0</v>
      </c>
      <c r="L999" s="710">
        <f t="shared" si="471"/>
        <v>0</v>
      </c>
      <c r="M999" s="710">
        <f t="shared" si="471"/>
        <v>0</v>
      </c>
      <c r="N999" s="710">
        <f t="shared" si="471"/>
        <v>0</v>
      </c>
      <c r="O999" s="710">
        <f t="shared" si="471"/>
        <v>0</v>
      </c>
      <c r="P999" s="710">
        <f t="shared" si="471"/>
        <v>0</v>
      </c>
      <c r="Q999" s="710">
        <f t="shared" si="471"/>
        <v>0</v>
      </c>
      <c r="R999" s="710">
        <f t="shared" si="471"/>
        <v>0</v>
      </c>
      <c r="S999" s="710">
        <f t="shared" si="471"/>
        <v>0</v>
      </c>
      <c r="T999" s="710">
        <f t="shared" si="471"/>
        <v>7479831.2599999998</v>
      </c>
      <c r="U999" s="710">
        <f t="shared" si="471"/>
        <v>0</v>
      </c>
      <c r="V999" s="710">
        <f t="shared" si="471"/>
        <v>7479831.2599999998</v>
      </c>
      <c r="W999" s="710"/>
      <c r="X999" s="710"/>
      <c r="Y999" s="710"/>
      <c r="Z999" s="710"/>
    </row>
    <row r="1000" spans="1:26" ht="12.6" customHeight="1" x14ac:dyDescent="0.25">
      <c r="E1000" s="708"/>
      <c r="F1000" s="708"/>
      <c r="G1000" s="708"/>
      <c r="H1000" s="708"/>
      <c r="I1000" s="708"/>
      <c r="J1000" s="708"/>
      <c r="K1000" s="708"/>
      <c r="L1000" s="708"/>
      <c r="M1000" s="708"/>
      <c r="N1000" s="708"/>
      <c r="O1000" s="708"/>
      <c r="P1000" s="708"/>
      <c r="Q1000" s="708"/>
      <c r="R1000" s="708"/>
      <c r="S1000" s="708"/>
      <c r="T1000" s="708"/>
      <c r="U1000" s="708"/>
      <c r="V1000" s="708"/>
    </row>
    <row r="1001" spans="1:26" s="591" customFormat="1" ht="12.6" customHeight="1" x14ac:dyDescent="0.25">
      <c r="A1001" s="591" t="s">
        <v>434</v>
      </c>
      <c r="B1001" s="591" t="s">
        <v>97</v>
      </c>
      <c r="E1001" s="697">
        <f>E961+E981+E986+E991+E996</f>
        <v>2301087.88</v>
      </c>
      <c r="F1001" s="697">
        <f t="shared" ref="F1001:V1003" si="472">F961+F981+F986+F991+F996</f>
        <v>3503732.25</v>
      </c>
      <c r="G1001" s="697">
        <f t="shared" si="472"/>
        <v>0</v>
      </c>
      <c r="H1001" s="697">
        <f>H961+H981+H986+H991+H996</f>
        <v>0</v>
      </c>
      <c r="I1001" s="697">
        <f t="shared" si="472"/>
        <v>3408026.25</v>
      </c>
      <c r="J1001" s="697">
        <f>J961+J981+J986+J991+J996</f>
        <v>0</v>
      </c>
      <c r="K1001" s="697">
        <f t="shared" si="472"/>
        <v>0</v>
      </c>
      <c r="L1001" s="697">
        <f t="shared" si="472"/>
        <v>0</v>
      </c>
      <c r="M1001" s="697">
        <f t="shared" si="472"/>
        <v>0</v>
      </c>
      <c r="N1001" s="697">
        <f t="shared" si="472"/>
        <v>0</v>
      </c>
      <c r="O1001" s="697">
        <f t="shared" si="472"/>
        <v>0</v>
      </c>
      <c r="P1001" s="697">
        <f t="shared" si="472"/>
        <v>0</v>
      </c>
      <c r="Q1001" s="697">
        <f t="shared" si="472"/>
        <v>0</v>
      </c>
      <c r="R1001" s="697">
        <f t="shared" si="472"/>
        <v>0</v>
      </c>
      <c r="S1001" s="697">
        <f t="shared" si="472"/>
        <v>0</v>
      </c>
      <c r="T1001" s="697">
        <f t="shared" si="472"/>
        <v>9212846.379999999</v>
      </c>
      <c r="U1001" s="697">
        <f t="shared" si="472"/>
        <v>0</v>
      </c>
      <c r="V1001" s="697">
        <f t="shared" si="472"/>
        <v>9212846.379999999</v>
      </c>
      <c r="W1001" s="697"/>
      <c r="X1001" s="697"/>
      <c r="Y1001" s="697"/>
      <c r="Z1001" s="697"/>
    </row>
    <row r="1002" spans="1:26" s="591" customFormat="1" ht="12.6" customHeight="1" x14ac:dyDescent="0.25">
      <c r="B1002" s="591" t="s">
        <v>98</v>
      </c>
      <c r="E1002" s="697">
        <f>E962+E982+E987+E992+E997</f>
        <v>27300031.66</v>
      </c>
      <c r="F1002" s="697">
        <f t="shared" si="472"/>
        <v>9847870.540000001</v>
      </c>
      <c r="G1002" s="697">
        <f t="shared" si="472"/>
        <v>0</v>
      </c>
      <c r="H1002" s="697">
        <f>H962+H982+H987+H992+H997</f>
        <v>4500000</v>
      </c>
      <c r="I1002" s="697">
        <f t="shared" si="472"/>
        <v>5000000</v>
      </c>
      <c r="J1002" s="697">
        <f>J962+J982+J987+J992+J997</f>
        <v>0</v>
      </c>
      <c r="K1002" s="697">
        <f t="shared" si="472"/>
        <v>0</v>
      </c>
      <c r="L1002" s="697">
        <f t="shared" si="472"/>
        <v>0</v>
      </c>
      <c r="M1002" s="697">
        <f t="shared" si="472"/>
        <v>0</v>
      </c>
      <c r="N1002" s="697">
        <f t="shared" si="472"/>
        <v>0</v>
      </c>
      <c r="O1002" s="697">
        <f t="shared" si="472"/>
        <v>0</v>
      </c>
      <c r="P1002" s="697">
        <f>P962+P982+P987+P992+P997</f>
        <v>0</v>
      </c>
      <c r="Q1002" s="697">
        <f t="shared" si="472"/>
        <v>0</v>
      </c>
      <c r="R1002" s="697">
        <f t="shared" si="472"/>
        <v>0</v>
      </c>
      <c r="S1002" s="697">
        <f t="shared" si="472"/>
        <v>0</v>
      </c>
      <c r="T1002" s="697">
        <f t="shared" si="472"/>
        <v>46647902.199999996</v>
      </c>
      <c r="U1002" s="697">
        <f t="shared" si="472"/>
        <v>0</v>
      </c>
      <c r="V1002" s="697">
        <f t="shared" si="472"/>
        <v>46647902.199999996</v>
      </c>
      <c r="W1002" s="697"/>
      <c r="X1002" s="697"/>
      <c r="Y1002" s="697"/>
      <c r="Z1002" s="697"/>
    </row>
    <row r="1003" spans="1:26" s="591" customFormat="1" ht="12.6" customHeight="1" x14ac:dyDescent="0.25">
      <c r="B1003" s="591" t="s">
        <v>99</v>
      </c>
      <c r="E1003" s="713">
        <f>E963+E983+E988+E993+E998</f>
        <v>82087466.899999976</v>
      </c>
      <c r="F1003" s="713">
        <f t="shared" si="472"/>
        <v>0</v>
      </c>
      <c r="G1003" s="713">
        <f t="shared" si="472"/>
        <v>0</v>
      </c>
      <c r="H1003" s="713">
        <f>H963+H983+H988+H993+H998</f>
        <v>-13000000</v>
      </c>
      <c r="I1003" s="713">
        <f t="shared" si="472"/>
        <v>-5500000</v>
      </c>
      <c r="J1003" s="713">
        <f>J963+J983+J988+J993+J998</f>
        <v>0</v>
      </c>
      <c r="K1003" s="713">
        <f t="shared" si="472"/>
        <v>0</v>
      </c>
      <c r="L1003" s="713">
        <f t="shared" si="472"/>
        <v>0</v>
      </c>
      <c r="M1003" s="713">
        <f t="shared" si="472"/>
        <v>0</v>
      </c>
      <c r="N1003" s="713">
        <f t="shared" si="472"/>
        <v>0</v>
      </c>
      <c r="O1003" s="713">
        <f t="shared" si="472"/>
        <v>0</v>
      </c>
      <c r="P1003" s="713">
        <f t="shared" si="472"/>
        <v>0</v>
      </c>
      <c r="Q1003" s="713">
        <f t="shared" si="472"/>
        <v>0</v>
      </c>
      <c r="R1003" s="713">
        <f t="shared" si="472"/>
        <v>0</v>
      </c>
      <c r="S1003" s="713">
        <f t="shared" si="472"/>
        <v>0</v>
      </c>
      <c r="T1003" s="713">
        <f t="shared" si="472"/>
        <v>63587466.899999991</v>
      </c>
      <c r="U1003" s="713">
        <f t="shared" si="472"/>
        <v>0</v>
      </c>
      <c r="V1003" s="713">
        <f t="shared" si="472"/>
        <v>63587466.899999991</v>
      </c>
      <c r="W1003" s="697"/>
      <c r="X1003" s="697"/>
      <c r="Y1003" s="697"/>
      <c r="Z1003" s="697"/>
    </row>
    <row r="1004" spans="1:26" s="591" customFormat="1" ht="12.6" customHeight="1" x14ac:dyDescent="0.25">
      <c r="E1004" s="710">
        <f>SUM(E1001:E1003)</f>
        <v>111688586.43999997</v>
      </c>
      <c r="F1004" s="710">
        <f t="shared" ref="F1004:V1004" si="473">SUM(F1001:F1003)</f>
        <v>13351602.790000001</v>
      </c>
      <c r="G1004" s="710">
        <f t="shared" si="473"/>
        <v>0</v>
      </c>
      <c r="H1004" s="710">
        <f>SUM(H1001:H1003)</f>
        <v>-8500000</v>
      </c>
      <c r="I1004" s="710">
        <f t="shared" si="473"/>
        <v>2908026.25</v>
      </c>
      <c r="J1004" s="710">
        <f>SUM(J1001:J1003)</f>
        <v>0</v>
      </c>
      <c r="K1004" s="710">
        <f t="shared" si="473"/>
        <v>0</v>
      </c>
      <c r="L1004" s="710">
        <f t="shared" si="473"/>
        <v>0</v>
      </c>
      <c r="M1004" s="710">
        <f t="shared" si="473"/>
        <v>0</v>
      </c>
      <c r="N1004" s="710">
        <f t="shared" si="473"/>
        <v>0</v>
      </c>
      <c r="O1004" s="710">
        <f t="shared" si="473"/>
        <v>0</v>
      </c>
      <c r="P1004" s="710">
        <f t="shared" si="473"/>
        <v>0</v>
      </c>
      <c r="Q1004" s="710">
        <f t="shared" si="473"/>
        <v>0</v>
      </c>
      <c r="R1004" s="710">
        <f t="shared" si="473"/>
        <v>0</v>
      </c>
      <c r="S1004" s="710">
        <f t="shared" si="473"/>
        <v>0</v>
      </c>
      <c r="T1004" s="710">
        <f t="shared" si="473"/>
        <v>119448215.47999999</v>
      </c>
      <c r="U1004" s="710">
        <f t="shared" si="473"/>
        <v>0</v>
      </c>
      <c r="V1004" s="710">
        <f t="shared" si="473"/>
        <v>119448215.47999999</v>
      </c>
      <c r="W1004" s="697"/>
      <c r="X1004" s="697"/>
      <c r="Y1004" s="697"/>
      <c r="Z1004" s="697"/>
    </row>
    <row r="1005" spans="1:26" ht="12.6" customHeight="1" x14ac:dyDescent="0.25">
      <c r="A1005" s="532" t="s">
        <v>347</v>
      </c>
      <c r="F1005" s="714">
        <f>F1004-F890</f>
        <v>-1074086.9999999981</v>
      </c>
    </row>
    <row r="1006" spans="1:26" ht="12.6" customHeight="1" x14ac:dyDescent="0.25">
      <c r="B1006" s="715" t="s">
        <v>435</v>
      </c>
      <c r="C1006" s="532" t="s">
        <v>97</v>
      </c>
    </row>
    <row r="1007" spans="1:26" ht="12.6" customHeight="1" x14ac:dyDescent="0.25">
      <c r="B1007" s="715"/>
      <c r="C1007" s="532" t="s">
        <v>98</v>
      </c>
      <c r="E1007" s="533">
        <f t="shared" ref="E1007:V1007" si="474">E121+E603+E205</f>
        <v>2185104.5</v>
      </c>
      <c r="F1007" s="533">
        <f t="shared" si="474"/>
        <v>160231</v>
      </c>
      <c r="G1007" s="533">
        <f t="shared" si="474"/>
        <v>0</v>
      </c>
      <c r="H1007" s="533">
        <f t="shared" si="474"/>
        <v>0</v>
      </c>
      <c r="I1007" s="533">
        <f t="shared" si="474"/>
        <v>0</v>
      </c>
      <c r="J1007" s="533">
        <f t="shared" si="474"/>
        <v>0</v>
      </c>
      <c r="K1007" s="533">
        <f t="shared" si="474"/>
        <v>0</v>
      </c>
      <c r="L1007" s="533">
        <f t="shared" si="474"/>
        <v>0</v>
      </c>
      <c r="M1007" s="533">
        <f t="shared" si="474"/>
        <v>0</v>
      </c>
      <c r="N1007" s="533">
        <f t="shared" si="474"/>
        <v>0</v>
      </c>
      <c r="O1007" s="533">
        <f t="shared" si="474"/>
        <v>0</v>
      </c>
      <c r="P1007" s="533">
        <f t="shared" si="474"/>
        <v>0</v>
      </c>
      <c r="Q1007" s="533">
        <f t="shared" si="474"/>
        <v>0</v>
      </c>
      <c r="R1007" s="533">
        <f t="shared" si="474"/>
        <v>0</v>
      </c>
      <c r="S1007" s="533">
        <f t="shared" si="474"/>
        <v>0</v>
      </c>
      <c r="T1007" s="533">
        <f t="shared" si="474"/>
        <v>2345335.5</v>
      </c>
      <c r="U1007" s="533">
        <f t="shared" si="474"/>
        <v>0</v>
      </c>
      <c r="V1007" s="533">
        <f t="shared" si="474"/>
        <v>2345335.5</v>
      </c>
    </row>
    <row r="1008" spans="1:26" ht="12.6" customHeight="1" x14ac:dyDescent="0.25">
      <c r="B1008" s="715"/>
      <c r="C1008" s="532" t="s">
        <v>99</v>
      </c>
      <c r="E1008" s="707"/>
      <c r="F1008" s="707"/>
      <c r="G1008" s="707"/>
      <c r="H1008" s="707"/>
      <c r="I1008" s="707"/>
      <c r="J1008" s="707"/>
      <c r="K1008" s="707"/>
      <c r="L1008" s="707"/>
      <c r="M1008" s="707"/>
      <c r="N1008" s="707"/>
      <c r="O1008" s="707"/>
      <c r="P1008" s="707"/>
      <c r="Q1008" s="707"/>
      <c r="R1008" s="707"/>
      <c r="S1008" s="707"/>
      <c r="T1008" s="707"/>
      <c r="U1008" s="707"/>
      <c r="V1008" s="707"/>
    </row>
    <row r="1009" spans="1:22" ht="12.6" customHeight="1" x14ac:dyDescent="0.25">
      <c r="B1009" s="715"/>
      <c r="E1009" s="708">
        <f>SUM(E1006:E1008)</f>
        <v>2185104.5</v>
      </c>
      <c r="F1009" s="708">
        <f t="shared" ref="F1009:V1009" si="475">SUM(F1006:F1008)</f>
        <v>160231</v>
      </c>
      <c r="G1009" s="708">
        <f t="shared" si="475"/>
        <v>0</v>
      </c>
      <c r="H1009" s="708">
        <f>SUM(H1006:H1008)</f>
        <v>0</v>
      </c>
      <c r="I1009" s="708">
        <f t="shared" si="475"/>
        <v>0</v>
      </c>
      <c r="J1009" s="708">
        <f>SUM(J1006:J1008)</f>
        <v>0</v>
      </c>
      <c r="K1009" s="708">
        <f t="shared" si="475"/>
        <v>0</v>
      </c>
      <c r="L1009" s="708">
        <f t="shared" si="475"/>
        <v>0</v>
      </c>
      <c r="M1009" s="708">
        <f t="shared" si="475"/>
        <v>0</v>
      </c>
      <c r="N1009" s="708">
        <f t="shared" si="475"/>
        <v>0</v>
      </c>
      <c r="O1009" s="708">
        <f t="shared" si="475"/>
        <v>0</v>
      </c>
      <c r="P1009" s="708">
        <f t="shared" si="475"/>
        <v>0</v>
      </c>
      <c r="Q1009" s="708">
        <f t="shared" si="475"/>
        <v>0</v>
      </c>
      <c r="R1009" s="708">
        <f t="shared" si="475"/>
        <v>0</v>
      </c>
      <c r="S1009" s="708">
        <f t="shared" si="475"/>
        <v>0</v>
      </c>
      <c r="T1009" s="708">
        <f t="shared" si="475"/>
        <v>2345335.5</v>
      </c>
      <c r="U1009" s="708">
        <f t="shared" si="475"/>
        <v>0</v>
      </c>
      <c r="V1009" s="708">
        <f t="shared" si="475"/>
        <v>2345335.5</v>
      </c>
    </row>
    <row r="1010" spans="1:22" s="533" customFormat="1" ht="12.6" customHeight="1" x14ac:dyDescent="0.25">
      <c r="A1010" s="532"/>
      <c r="B1010" s="715"/>
      <c r="C1010" s="532"/>
      <c r="D1010" s="532"/>
    </row>
    <row r="1011" spans="1:22" s="533" customFormat="1" ht="12.6" customHeight="1" x14ac:dyDescent="0.25">
      <c r="A1011" s="532"/>
      <c r="B1011" s="715" t="s">
        <v>355</v>
      </c>
      <c r="C1011" s="532" t="s">
        <v>97</v>
      </c>
      <c r="D1011" s="532"/>
      <c r="E1011" s="533">
        <f t="shared" ref="E1011:V1011" si="476">E18</f>
        <v>143029.20000000001</v>
      </c>
      <c r="F1011" s="533">
        <f t="shared" si="476"/>
        <v>99503.1</v>
      </c>
      <c r="G1011" s="533">
        <f t="shared" si="476"/>
        <v>0</v>
      </c>
      <c r="H1011" s="533">
        <f t="shared" si="476"/>
        <v>0</v>
      </c>
      <c r="I1011" s="533">
        <f t="shared" si="476"/>
        <v>98603.1</v>
      </c>
      <c r="J1011" s="533">
        <f t="shared" si="476"/>
        <v>0</v>
      </c>
      <c r="K1011" s="533">
        <f t="shared" si="476"/>
        <v>0</v>
      </c>
      <c r="L1011" s="533">
        <f t="shared" si="476"/>
        <v>0</v>
      </c>
      <c r="M1011" s="533">
        <f t="shared" si="476"/>
        <v>0</v>
      </c>
      <c r="N1011" s="533">
        <f t="shared" si="476"/>
        <v>0</v>
      </c>
      <c r="O1011" s="533">
        <f t="shared" si="476"/>
        <v>0</v>
      </c>
      <c r="P1011" s="533">
        <f t="shared" si="476"/>
        <v>0</v>
      </c>
      <c r="Q1011" s="533">
        <f t="shared" si="476"/>
        <v>0</v>
      </c>
      <c r="R1011" s="533">
        <f t="shared" si="476"/>
        <v>0</v>
      </c>
      <c r="S1011" s="533">
        <f t="shared" si="476"/>
        <v>0</v>
      </c>
      <c r="T1011" s="533">
        <f t="shared" si="476"/>
        <v>341135.4</v>
      </c>
      <c r="U1011" s="533">
        <f t="shared" si="476"/>
        <v>0</v>
      </c>
      <c r="V1011" s="533">
        <f t="shared" si="476"/>
        <v>341135.4</v>
      </c>
    </row>
    <row r="1012" spans="1:22" s="533" customFormat="1" ht="12.6" customHeight="1" x14ac:dyDescent="0.25">
      <c r="A1012" s="532"/>
      <c r="B1012" s="715"/>
      <c r="C1012" s="532" t="s">
        <v>98</v>
      </c>
      <c r="D1012" s="532"/>
      <c r="E1012" s="533">
        <f t="shared" ref="E1012:V1012" si="477">E47+E87+E122+E206+E268+E531+E604+E564</f>
        <v>2190067.69</v>
      </c>
      <c r="F1012" s="533">
        <f t="shared" si="477"/>
        <v>760663.34</v>
      </c>
      <c r="G1012" s="533">
        <f t="shared" si="477"/>
        <v>0</v>
      </c>
      <c r="H1012" s="533">
        <f t="shared" si="477"/>
        <v>0</v>
      </c>
      <c r="I1012" s="533">
        <f t="shared" si="477"/>
        <v>364436.8</v>
      </c>
      <c r="J1012" s="533">
        <f t="shared" si="477"/>
        <v>0</v>
      </c>
      <c r="K1012" s="533">
        <f t="shared" si="477"/>
        <v>0</v>
      </c>
      <c r="L1012" s="533">
        <f t="shared" si="477"/>
        <v>0</v>
      </c>
      <c r="M1012" s="533">
        <f t="shared" si="477"/>
        <v>0</v>
      </c>
      <c r="N1012" s="533">
        <f t="shared" si="477"/>
        <v>0</v>
      </c>
      <c r="O1012" s="533">
        <f t="shared" si="477"/>
        <v>0</v>
      </c>
      <c r="P1012" s="533">
        <f t="shared" si="477"/>
        <v>0</v>
      </c>
      <c r="Q1012" s="533">
        <f t="shared" si="477"/>
        <v>0</v>
      </c>
      <c r="R1012" s="533">
        <f t="shared" si="477"/>
        <v>0</v>
      </c>
      <c r="S1012" s="533">
        <f t="shared" si="477"/>
        <v>0</v>
      </c>
      <c r="T1012" s="533">
        <f t="shared" si="477"/>
        <v>3315167.83</v>
      </c>
      <c r="U1012" s="533">
        <f t="shared" si="477"/>
        <v>0</v>
      </c>
      <c r="V1012" s="533">
        <f t="shared" si="477"/>
        <v>3315167.83</v>
      </c>
    </row>
    <row r="1013" spans="1:22" s="533" customFormat="1" ht="12.6" customHeight="1" x14ac:dyDescent="0.25">
      <c r="A1013" s="532"/>
      <c r="B1013" s="715"/>
      <c r="C1013" s="532" t="s">
        <v>99</v>
      </c>
      <c r="D1013" s="532"/>
      <c r="E1013" s="707">
        <f t="shared" ref="E1013:V1013" si="478">E705+E730+E786</f>
        <v>200000</v>
      </c>
      <c r="F1013" s="707">
        <f t="shared" si="478"/>
        <v>0</v>
      </c>
      <c r="G1013" s="707">
        <f t="shared" si="478"/>
        <v>0</v>
      </c>
      <c r="H1013" s="707">
        <f t="shared" si="478"/>
        <v>0</v>
      </c>
      <c r="I1013" s="707">
        <f t="shared" si="478"/>
        <v>0</v>
      </c>
      <c r="J1013" s="707">
        <f t="shared" si="478"/>
        <v>0</v>
      </c>
      <c r="K1013" s="707">
        <f t="shared" si="478"/>
        <v>0</v>
      </c>
      <c r="L1013" s="707">
        <f t="shared" si="478"/>
        <v>0</v>
      </c>
      <c r="M1013" s="707">
        <f t="shared" si="478"/>
        <v>0</v>
      </c>
      <c r="N1013" s="707">
        <f t="shared" si="478"/>
        <v>0</v>
      </c>
      <c r="O1013" s="707">
        <f t="shared" si="478"/>
        <v>0</v>
      </c>
      <c r="P1013" s="707">
        <f t="shared" si="478"/>
        <v>0</v>
      </c>
      <c r="Q1013" s="707">
        <f t="shared" si="478"/>
        <v>0</v>
      </c>
      <c r="R1013" s="707">
        <f t="shared" si="478"/>
        <v>0</v>
      </c>
      <c r="S1013" s="707">
        <f t="shared" si="478"/>
        <v>0</v>
      </c>
      <c r="T1013" s="707">
        <f t="shared" si="478"/>
        <v>200000</v>
      </c>
      <c r="U1013" s="707">
        <f t="shared" si="478"/>
        <v>0</v>
      </c>
      <c r="V1013" s="707">
        <f t="shared" si="478"/>
        <v>200000</v>
      </c>
    </row>
    <row r="1014" spans="1:22" s="533" customFormat="1" ht="12.6" customHeight="1" x14ac:dyDescent="0.25">
      <c r="A1014" s="532"/>
      <c r="B1014" s="715"/>
      <c r="C1014" s="532"/>
      <c r="D1014" s="532"/>
      <c r="E1014" s="708">
        <f>SUM(E1011:E1013)</f>
        <v>2533096.89</v>
      </c>
      <c r="F1014" s="708">
        <f t="shared" ref="F1014:V1014" si="479">SUM(F1011:F1013)</f>
        <v>860166.44</v>
      </c>
      <c r="G1014" s="708">
        <f t="shared" si="479"/>
        <v>0</v>
      </c>
      <c r="H1014" s="708">
        <f>SUM(H1011:H1013)</f>
        <v>0</v>
      </c>
      <c r="I1014" s="708">
        <f t="shared" si="479"/>
        <v>463039.9</v>
      </c>
      <c r="J1014" s="708">
        <f>SUM(J1011:J1013)</f>
        <v>0</v>
      </c>
      <c r="K1014" s="708">
        <f t="shared" si="479"/>
        <v>0</v>
      </c>
      <c r="L1014" s="708">
        <f t="shared" si="479"/>
        <v>0</v>
      </c>
      <c r="M1014" s="708">
        <f t="shared" si="479"/>
        <v>0</v>
      </c>
      <c r="N1014" s="708">
        <f t="shared" si="479"/>
        <v>0</v>
      </c>
      <c r="O1014" s="708">
        <f t="shared" si="479"/>
        <v>0</v>
      </c>
      <c r="P1014" s="708">
        <f t="shared" si="479"/>
        <v>0</v>
      </c>
      <c r="Q1014" s="708">
        <f t="shared" si="479"/>
        <v>0</v>
      </c>
      <c r="R1014" s="708">
        <f t="shared" si="479"/>
        <v>0</v>
      </c>
      <c r="S1014" s="708">
        <f t="shared" si="479"/>
        <v>0</v>
      </c>
      <c r="T1014" s="708">
        <f t="shared" si="479"/>
        <v>3856303.23</v>
      </c>
      <c r="U1014" s="708">
        <f t="shared" si="479"/>
        <v>0</v>
      </c>
      <c r="V1014" s="708">
        <f t="shared" si="479"/>
        <v>3856303.23</v>
      </c>
    </row>
    <row r="1015" spans="1:22" s="533" customFormat="1" ht="12.6" customHeight="1" x14ac:dyDescent="0.25">
      <c r="A1015" s="532"/>
      <c r="B1015" s="715"/>
      <c r="C1015" s="532"/>
      <c r="D1015" s="532"/>
    </row>
    <row r="1016" spans="1:22" s="533" customFormat="1" ht="12.6" customHeight="1" x14ac:dyDescent="0.25">
      <c r="A1016" s="532"/>
      <c r="B1016" s="715" t="s">
        <v>145</v>
      </c>
      <c r="C1016" s="532" t="s">
        <v>97</v>
      </c>
      <c r="D1016" s="532"/>
      <c r="E1016" s="533">
        <f t="shared" ref="E1016:V1016" si="480">E19</f>
        <v>503376.06</v>
      </c>
      <c r="F1016" s="533">
        <f t="shared" si="480"/>
        <v>313585.15000000002</v>
      </c>
      <c r="G1016" s="533">
        <f t="shared" si="480"/>
        <v>0</v>
      </c>
      <c r="H1016" s="533">
        <f t="shared" si="480"/>
        <v>0</v>
      </c>
      <c r="I1016" s="533">
        <f t="shared" si="480"/>
        <v>313585.15000000002</v>
      </c>
      <c r="J1016" s="533">
        <f t="shared" si="480"/>
        <v>0</v>
      </c>
      <c r="K1016" s="533">
        <f t="shared" si="480"/>
        <v>0</v>
      </c>
      <c r="L1016" s="533">
        <f t="shared" si="480"/>
        <v>0</v>
      </c>
      <c r="M1016" s="533">
        <f t="shared" si="480"/>
        <v>0</v>
      </c>
      <c r="N1016" s="533">
        <f t="shared" si="480"/>
        <v>0</v>
      </c>
      <c r="O1016" s="533">
        <f t="shared" si="480"/>
        <v>0</v>
      </c>
      <c r="P1016" s="533">
        <f t="shared" si="480"/>
        <v>0</v>
      </c>
      <c r="Q1016" s="533">
        <f t="shared" si="480"/>
        <v>0</v>
      </c>
      <c r="R1016" s="533">
        <f t="shared" si="480"/>
        <v>0</v>
      </c>
      <c r="S1016" s="533">
        <f t="shared" si="480"/>
        <v>0</v>
      </c>
      <c r="T1016" s="533">
        <f t="shared" si="480"/>
        <v>1130546.3599999999</v>
      </c>
      <c r="U1016" s="533">
        <f t="shared" si="480"/>
        <v>0</v>
      </c>
      <c r="V1016" s="533">
        <f t="shared" si="480"/>
        <v>1130546.3599999999</v>
      </c>
    </row>
    <row r="1017" spans="1:22" s="533" customFormat="1" ht="12.6" customHeight="1" x14ac:dyDescent="0.25">
      <c r="A1017" s="532"/>
      <c r="B1017" s="715"/>
      <c r="C1017" s="532" t="s">
        <v>98</v>
      </c>
      <c r="D1017" s="532"/>
      <c r="E1017" s="533">
        <f t="shared" ref="E1017:V1017" si="481">E48+E88+E123+E154+E207+E269+E288+E306+E321+E410+E532+E565+E605+E489+E452</f>
        <v>189739.13</v>
      </c>
      <c r="F1017" s="533">
        <f t="shared" si="481"/>
        <v>194368.72</v>
      </c>
      <c r="G1017" s="533">
        <f t="shared" si="481"/>
        <v>0</v>
      </c>
      <c r="H1017" s="533">
        <f t="shared" si="481"/>
        <v>0</v>
      </c>
      <c r="I1017" s="533">
        <f t="shared" si="481"/>
        <v>194368.72</v>
      </c>
      <c r="J1017" s="533">
        <f t="shared" si="481"/>
        <v>0</v>
      </c>
      <c r="K1017" s="533">
        <f t="shared" si="481"/>
        <v>0</v>
      </c>
      <c r="L1017" s="533">
        <f t="shared" si="481"/>
        <v>0</v>
      </c>
      <c r="M1017" s="533">
        <f t="shared" si="481"/>
        <v>0</v>
      </c>
      <c r="N1017" s="533">
        <f t="shared" si="481"/>
        <v>0</v>
      </c>
      <c r="O1017" s="533">
        <f t="shared" si="481"/>
        <v>0</v>
      </c>
      <c r="P1017" s="533">
        <f t="shared" si="481"/>
        <v>0</v>
      </c>
      <c r="Q1017" s="533">
        <f t="shared" si="481"/>
        <v>0</v>
      </c>
      <c r="R1017" s="533">
        <f t="shared" si="481"/>
        <v>0</v>
      </c>
      <c r="S1017" s="533">
        <f t="shared" si="481"/>
        <v>0</v>
      </c>
      <c r="T1017" s="533">
        <f t="shared" si="481"/>
        <v>578476.56999999995</v>
      </c>
      <c r="U1017" s="533">
        <f t="shared" si="481"/>
        <v>0</v>
      </c>
      <c r="V1017" s="533">
        <f t="shared" si="481"/>
        <v>578476.56999999995</v>
      </c>
    </row>
    <row r="1018" spans="1:22" s="533" customFormat="1" ht="12.6" customHeight="1" x14ac:dyDescent="0.25">
      <c r="A1018" s="532"/>
      <c r="B1018" s="715"/>
      <c r="C1018" s="532" t="s">
        <v>99</v>
      </c>
      <c r="D1018" s="532"/>
      <c r="E1018" s="707">
        <f t="shared" ref="E1018:V1018" si="482">E667+E706+E731+E835+E873</f>
        <v>70000</v>
      </c>
      <c r="F1018" s="707">
        <f t="shared" si="482"/>
        <v>567775</v>
      </c>
      <c r="G1018" s="707">
        <f t="shared" si="482"/>
        <v>0</v>
      </c>
      <c r="H1018" s="707">
        <f t="shared" si="482"/>
        <v>0</v>
      </c>
      <c r="I1018" s="707">
        <f t="shared" si="482"/>
        <v>0</v>
      </c>
      <c r="J1018" s="707">
        <f t="shared" si="482"/>
        <v>0</v>
      </c>
      <c r="K1018" s="707">
        <f t="shared" si="482"/>
        <v>0</v>
      </c>
      <c r="L1018" s="707">
        <f t="shared" si="482"/>
        <v>0</v>
      </c>
      <c r="M1018" s="707">
        <f t="shared" si="482"/>
        <v>0</v>
      </c>
      <c r="N1018" s="707">
        <f t="shared" si="482"/>
        <v>0</v>
      </c>
      <c r="O1018" s="707">
        <f t="shared" si="482"/>
        <v>0</v>
      </c>
      <c r="P1018" s="707">
        <f t="shared" si="482"/>
        <v>0</v>
      </c>
      <c r="Q1018" s="707">
        <f t="shared" si="482"/>
        <v>0</v>
      </c>
      <c r="R1018" s="707">
        <f t="shared" si="482"/>
        <v>0</v>
      </c>
      <c r="S1018" s="707">
        <f t="shared" si="482"/>
        <v>0</v>
      </c>
      <c r="T1018" s="707">
        <f t="shared" si="482"/>
        <v>637775</v>
      </c>
      <c r="U1018" s="707">
        <f t="shared" si="482"/>
        <v>0</v>
      </c>
      <c r="V1018" s="707">
        <f t="shared" si="482"/>
        <v>637775</v>
      </c>
    </row>
    <row r="1019" spans="1:22" s="533" customFormat="1" ht="12.6" customHeight="1" x14ac:dyDescent="0.25">
      <c r="A1019" s="532"/>
      <c r="B1019" s="715"/>
      <c r="C1019" s="532"/>
      <c r="D1019" s="532"/>
      <c r="E1019" s="708">
        <f>SUM(E1016:E1018)</f>
        <v>763115.19</v>
      </c>
      <c r="F1019" s="708">
        <f t="shared" ref="F1019:V1019" si="483">SUM(F1016:F1018)</f>
        <v>1075728.8700000001</v>
      </c>
      <c r="G1019" s="708">
        <f t="shared" si="483"/>
        <v>0</v>
      </c>
      <c r="H1019" s="708">
        <f>SUM(H1016:H1018)</f>
        <v>0</v>
      </c>
      <c r="I1019" s="708">
        <f t="shared" si="483"/>
        <v>507953.87</v>
      </c>
      <c r="J1019" s="708">
        <f>SUM(J1016:J1018)</f>
        <v>0</v>
      </c>
      <c r="K1019" s="708">
        <f t="shared" si="483"/>
        <v>0</v>
      </c>
      <c r="L1019" s="708">
        <f t="shared" si="483"/>
        <v>0</v>
      </c>
      <c r="M1019" s="708">
        <f t="shared" si="483"/>
        <v>0</v>
      </c>
      <c r="N1019" s="708">
        <f t="shared" si="483"/>
        <v>0</v>
      </c>
      <c r="O1019" s="708">
        <f t="shared" si="483"/>
        <v>0</v>
      </c>
      <c r="P1019" s="708">
        <f t="shared" si="483"/>
        <v>0</v>
      </c>
      <c r="Q1019" s="708">
        <f t="shared" si="483"/>
        <v>0</v>
      </c>
      <c r="R1019" s="708">
        <f t="shared" si="483"/>
        <v>0</v>
      </c>
      <c r="S1019" s="708">
        <f t="shared" si="483"/>
        <v>0</v>
      </c>
      <c r="T1019" s="708">
        <f t="shared" si="483"/>
        <v>2346797.9299999997</v>
      </c>
      <c r="U1019" s="708">
        <f t="shared" si="483"/>
        <v>0</v>
      </c>
      <c r="V1019" s="708">
        <f t="shared" si="483"/>
        <v>2346797.9299999997</v>
      </c>
    </row>
    <row r="1020" spans="1:22" s="533" customFormat="1" ht="12.6" customHeight="1" x14ac:dyDescent="0.25">
      <c r="A1020" s="532"/>
      <c r="B1020" s="715"/>
      <c r="C1020" s="532"/>
      <c r="D1020" s="532"/>
    </row>
    <row r="1021" spans="1:22" s="533" customFormat="1" ht="12.6" customHeight="1" x14ac:dyDescent="0.25">
      <c r="A1021" s="532"/>
      <c r="B1021" s="715" t="s">
        <v>436</v>
      </c>
      <c r="C1021" s="532" t="s">
        <v>97</v>
      </c>
      <c r="D1021" s="532"/>
    </row>
    <row r="1022" spans="1:22" s="533" customFormat="1" ht="12.6" customHeight="1" x14ac:dyDescent="0.25">
      <c r="A1022" s="532"/>
      <c r="B1022" s="715"/>
      <c r="C1022" s="532" t="s">
        <v>98</v>
      </c>
      <c r="D1022" s="532"/>
      <c r="E1022" s="533">
        <f t="shared" ref="E1022:V1022" si="484">E615</f>
        <v>0</v>
      </c>
      <c r="F1022" s="533">
        <f t="shared" si="484"/>
        <v>0</v>
      </c>
      <c r="G1022" s="533">
        <f t="shared" si="484"/>
        <v>0</v>
      </c>
      <c r="H1022" s="533">
        <f t="shared" si="484"/>
        <v>0</v>
      </c>
      <c r="I1022" s="533">
        <f t="shared" si="484"/>
        <v>0</v>
      </c>
      <c r="J1022" s="533">
        <f t="shared" si="484"/>
        <v>0</v>
      </c>
      <c r="K1022" s="533">
        <f t="shared" si="484"/>
        <v>0</v>
      </c>
      <c r="L1022" s="533">
        <f t="shared" si="484"/>
        <v>0</v>
      </c>
      <c r="M1022" s="533">
        <f t="shared" si="484"/>
        <v>0</v>
      </c>
      <c r="N1022" s="533">
        <f t="shared" si="484"/>
        <v>0</v>
      </c>
      <c r="O1022" s="533">
        <f t="shared" si="484"/>
        <v>0</v>
      </c>
      <c r="P1022" s="533">
        <f t="shared" si="484"/>
        <v>0</v>
      </c>
      <c r="Q1022" s="533">
        <f t="shared" si="484"/>
        <v>0</v>
      </c>
      <c r="R1022" s="533">
        <f t="shared" si="484"/>
        <v>0</v>
      </c>
      <c r="S1022" s="533">
        <f t="shared" si="484"/>
        <v>0</v>
      </c>
      <c r="T1022" s="533">
        <f t="shared" si="484"/>
        <v>0</v>
      </c>
      <c r="U1022" s="533">
        <f t="shared" si="484"/>
        <v>0</v>
      </c>
      <c r="V1022" s="533">
        <f t="shared" si="484"/>
        <v>0</v>
      </c>
    </row>
    <row r="1023" spans="1:22" s="533" customFormat="1" ht="12.6" customHeight="1" x14ac:dyDescent="0.25">
      <c r="A1023" s="532"/>
      <c r="B1023" s="715"/>
      <c r="C1023" s="532" t="s">
        <v>99</v>
      </c>
      <c r="D1023" s="532"/>
      <c r="E1023" s="707"/>
      <c r="F1023" s="707"/>
      <c r="G1023" s="707"/>
      <c r="H1023" s="707"/>
      <c r="I1023" s="707"/>
      <c r="J1023" s="707"/>
      <c r="K1023" s="707"/>
      <c r="L1023" s="707"/>
      <c r="M1023" s="707"/>
      <c r="N1023" s="707"/>
      <c r="O1023" s="707"/>
      <c r="P1023" s="707"/>
      <c r="Q1023" s="707"/>
      <c r="R1023" s="707"/>
      <c r="S1023" s="707"/>
      <c r="T1023" s="707"/>
      <c r="U1023" s="707"/>
      <c r="V1023" s="707"/>
    </row>
    <row r="1024" spans="1:22" s="533" customFormat="1" ht="12.6" customHeight="1" x14ac:dyDescent="0.25">
      <c r="A1024" s="532"/>
      <c r="B1024" s="715"/>
      <c r="C1024" s="532"/>
      <c r="D1024" s="532"/>
      <c r="E1024" s="708">
        <f>SUM(E1021:E1023)</f>
        <v>0</v>
      </c>
      <c r="F1024" s="708">
        <f t="shared" ref="F1024:V1024" si="485">SUM(F1021:F1023)</f>
        <v>0</v>
      </c>
      <c r="G1024" s="708">
        <f t="shared" si="485"/>
        <v>0</v>
      </c>
      <c r="H1024" s="708">
        <f>SUM(H1021:H1023)</f>
        <v>0</v>
      </c>
      <c r="I1024" s="708">
        <f t="shared" si="485"/>
        <v>0</v>
      </c>
      <c r="J1024" s="708">
        <f>SUM(J1021:J1023)</f>
        <v>0</v>
      </c>
      <c r="K1024" s="708">
        <f t="shared" si="485"/>
        <v>0</v>
      </c>
      <c r="L1024" s="708">
        <f t="shared" si="485"/>
        <v>0</v>
      </c>
      <c r="M1024" s="708">
        <f t="shared" si="485"/>
        <v>0</v>
      </c>
      <c r="N1024" s="708">
        <f t="shared" si="485"/>
        <v>0</v>
      </c>
      <c r="O1024" s="708">
        <f t="shared" si="485"/>
        <v>0</v>
      </c>
      <c r="P1024" s="708">
        <f t="shared" si="485"/>
        <v>0</v>
      </c>
      <c r="Q1024" s="708">
        <f t="shared" si="485"/>
        <v>0</v>
      </c>
      <c r="R1024" s="708">
        <f t="shared" si="485"/>
        <v>0</v>
      </c>
      <c r="S1024" s="708">
        <f t="shared" si="485"/>
        <v>0</v>
      </c>
      <c r="T1024" s="708">
        <f t="shared" si="485"/>
        <v>0</v>
      </c>
      <c r="U1024" s="708">
        <f t="shared" si="485"/>
        <v>0</v>
      </c>
      <c r="V1024" s="708">
        <f t="shared" si="485"/>
        <v>0</v>
      </c>
    </row>
    <row r="1025" spans="1:22" s="533" customFormat="1" ht="12.6" customHeight="1" x14ac:dyDescent="0.25">
      <c r="A1025" s="532"/>
      <c r="B1025" s="715"/>
      <c r="C1025" s="532"/>
      <c r="D1025" s="532"/>
    </row>
    <row r="1026" spans="1:22" s="533" customFormat="1" ht="12.6" customHeight="1" x14ac:dyDescent="0.25">
      <c r="A1026" s="532"/>
      <c r="B1026" s="715" t="s">
        <v>179</v>
      </c>
      <c r="C1026" s="532" t="s">
        <v>97</v>
      </c>
      <c r="D1026" s="532"/>
    </row>
    <row r="1027" spans="1:22" s="533" customFormat="1" ht="12.6" customHeight="1" x14ac:dyDescent="0.25">
      <c r="A1027" s="532"/>
      <c r="B1027" s="715"/>
      <c r="C1027" s="532" t="s">
        <v>98</v>
      </c>
      <c r="D1027" s="532"/>
      <c r="E1027" s="533">
        <f t="shared" ref="E1027:V1027" si="486">E49+E89+E124+E208+E270+E289+E307+E411+E533+E566+E606</f>
        <v>1784273.35</v>
      </c>
      <c r="F1027" s="533">
        <f t="shared" si="486"/>
        <v>864566.44000000006</v>
      </c>
      <c r="G1027" s="533">
        <f t="shared" si="486"/>
        <v>0</v>
      </c>
      <c r="H1027" s="533">
        <f t="shared" si="486"/>
        <v>0</v>
      </c>
      <c r="I1027" s="533">
        <f t="shared" si="486"/>
        <v>0</v>
      </c>
      <c r="J1027" s="533">
        <f t="shared" si="486"/>
        <v>0</v>
      </c>
      <c r="K1027" s="533">
        <f t="shared" si="486"/>
        <v>0</v>
      </c>
      <c r="L1027" s="533">
        <f t="shared" si="486"/>
        <v>0</v>
      </c>
      <c r="M1027" s="533">
        <f t="shared" si="486"/>
        <v>0</v>
      </c>
      <c r="N1027" s="533">
        <f t="shared" si="486"/>
        <v>0</v>
      </c>
      <c r="O1027" s="533">
        <f t="shared" si="486"/>
        <v>0</v>
      </c>
      <c r="P1027" s="533">
        <f t="shared" si="486"/>
        <v>0</v>
      </c>
      <c r="Q1027" s="533">
        <f t="shared" si="486"/>
        <v>0</v>
      </c>
      <c r="R1027" s="533">
        <f t="shared" si="486"/>
        <v>0</v>
      </c>
      <c r="S1027" s="533">
        <f t="shared" si="486"/>
        <v>0</v>
      </c>
      <c r="T1027" s="533">
        <f t="shared" si="486"/>
        <v>2648839.79</v>
      </c>
      <c r="U1027" s="533">
        <f t="shared" si="486"/>
        <v>0</v>
      </c>
      <c r="V1027" s="533">
        <f t="shared" si="486"/>
        <v>2648839.79</v>
      </c>
    </row>
    <row r="1028" spans="1:22" s="533" customFormat="1" ht="12.6" customHeight="1" x14ac:dyDescent="0.25">
      <c r="A1028" s="532"/>
      <c r="B1028" s="715"/>
      <c r="C1028" s="532" t="s">
        <v>99</v>
      </c>
      <c r="D1028" s="532"/>
      <c r="E1028" s="707">
        <f t="shared" ref="E1028:V1028" si="487">E668+E707+E732+E836+E861</f>
        <v>60000</v>
      </c>
      <c r="F1028" s="707">
        <f t="shared" si="487"/>
        <v>0</v>
      </c>
      <c r="G1028" s="707">
        <f t="shared" si="487"/>
        <v>0</v>
      </c>
      <c r="H1028" s="707">
        <f t="shared" si="487"/>
        <v>0</v>
      </c>
      <c r="I1028" s="707">
        <f t="shared" si="487"/>
        <v>0</v>
      </c>
      <c r="J1028" s="707">
        <f t="shared" si="487"/>
        <v>0</v>
      </c>
      <c r="K1028" s="707">
        <f t="shared" si="487"/>
        <v>0</v>
      </c>
      <c r="L1028" s="707">
        <f t="shared" si="487"/>
        <v>0</v>
      </c>
      <c r="M1028" s="707">
        <f t="shared" si="487"/>
        <v>0</v>
      </c>
      <c r="N1028" s="707">
        <f t="shared" si="487"/>
        <v>0</v>
      </c>
      <c r="O1028" s="707">
        <f t="shared" si="487"/>
        <v>0</v>
      </c>
      <c r="P1028" s="707">
        <f t="shared" si="487"/>
        <v>0</v>
      </c>
      <c r="Q1028" s="707">
        <f t="shared" si="487"/>
        <v>0</v>
      </c>
      <c r="R1028" s="707">
        <f t="shared" si="487"/>
        <v>0</v>
      </c>
      <c r="S1028" s="707">
        <f t="shared" si="487"/>
        <v>0</v>
      </c>
      <c r="T1028" s="707">
        <f t="shared" si="487"/>
        <v>60000</v>
      </c>
      <c r="U1028" s="707">
        <f t="shared" si="487"/>
        <v>0</v>
      </c>
      <c r="V1028" s="707">
        <f t="shared" si="487"/>
        <v>60000</v>
      </c>
    </row>
    <row r="1029" spans="1:22" s="533" customFormat="1" ht="12.6" customHeight="1" x14ac:dyDescent="0.25">
      <c r="A1029" s="532"/>
      <c r="B1029" s="715"/>
      <c r="C1029" s="532"/>
      <c r="D1029" s="532"/>
      <c r="E1029" s="708">
        <f>SUM(E1026:E1028)</f>
        <v>1844273.35</v>
      </c>
      <c r="F1029" s="708">
        <f t="shared" ref="F1029:V1029" si="488">SUM(F1026:F1028)</f>
        <v>864566.44000000006</v>
      </c>
      <c r="G1029" s="708">
        <f t="shared" si="488"/>
        <v>0</v>
      </c>
      <c r="H1029" s="708">
        <f>SUM(H1026:H1028)</f>
        <v>0</v>
      </c>
      <c r="I1029" s="708">
        <f t="shared" si="488"/>
        <v>0</v>
      </c>
      <c r="J1029" s="708">
        <f>SUM(J1026:J1028)</f>
        <v>0</v>
      </c>
      <c r="K1029" s="708">
        <f t="shared" si="488"/>
        <v>0</v>
      </c>
      <c r="L1029" s="708">
        <f t="shared" si="488"/>
        <v>0</v>
      </c>
      <c r="M1029" s="708">
        <f t="shared" si="488"/>
        <v>0</v>
      </c>
      <c r="N1029" s="708">
        <f t="shared" si="488"/>
        <v>0</v>
      </c>
      <c r="O1029" s="708">
        <f t="shared" si="488"/>
        <v>0</v>
      </c>
      <c r="P1029" s="708">
        <f t="shared" si="488"/>
        <v>0</v>
      </c>
      <c r="Q1029" s="708">
        <f t="shared" si="488"/>
        <v>0</v>
      </c>
      <c r="R1029" s="708">
        <f t="shared" si="488"/>
        <v>0</v>
      </c>
      <c r="S1029" s="708">
        <f t="shared" si="488"/>
        <v>0</v>
      </c>
      <c r="T1029" s="708">
        <f t="shared" si="488"/>
        <v>2708839.79</v>
      </c>
      <c r="U1029" s="708">
        <f t="shared" si="488"/>
        <v>0</v>
      </c>
      <c r="V1029" s="708">
        <f t="shared" si="488"/>
        <v>2708839.79</v>
      </c>
    </row>
    <row r="1030" spans="1:22" s="533" customFormat="1" ht="12.6" customHeight="1" x14ac:dyDescent="0.25">
      <c r="A1030" s="532"/>
      <c r="B1030" s="715"/>
      <c r="C1030" s="532"/>
      <c r="D1030" s="532"/>
    </row>
    <row r="1031" spans="1:22" s="533" customFormat="1" ht="12.6" customHeight="1" x14ac:dyDescent="0.25">
      <c r="A1031" s="532"/>
      <c r="B1031" s="715" t="s">
        <v>356</v>
      </c>
      <c r="C1031" s="532" t="s">
        <v>97</v>
      </c>
      <c r="D1031" s="532"/>
    </row>
    <row r="1032" spans="1:22" s="533" customFormat="1" ht="12.6" customHeight="1" x14ac:dyDescent="0.25">
      <c r="A1032" s="532"/>
      <c r="B1032" s="715"/>
      <c r="C1032" s="532" t="s">
        <v>98</v>
      </c>
      <c r="D1032" s="532"/>
      <c r="E1032" s="533">
        <f t="shared" ref="E1032:V1032" si="489">E50+E90+E125+E146+E155+E209+E271+E290+E462+E490+E534+E607</f>
        <v>155456.83000000002</v>
      </c>
      <c r="F1032" s="533">
        <f t="shared" si="489"/>
        <v>180876.64</v>
      </c>
      <c r="G1032" s="533">
        <f t="shared" si="489"/>
        <v>0</v>
      </c>
      <c r="H1032" s="533">
        <f t="shared" si="489"/>
        <v>0</v>
      </c>
      <c r="I1032" s="533">
        <f t="shared" si="489"/>
        <v>87996.64</v>
      </c>
      <c r="J1032" s="533">
        <f t="shared" si="489"/>
        <v>0</v>
      </c>
      <c r="K1032" s="533">
        <f t="shared" si="489"/>
        <v>0</v>
      </c>
      <c r="L1032" s="533">
        <f t="shared" si="489"/>
        <v>0</v>
      </c>
      <c r="M1032" s="533">
        <f t="shared" si="489"/>
        <v>0</v>
      </c>
      <c r="N1032" s="533">
        <f t="shared" si="489"/>
        <v>0</v>
      </c>
      <c r="O1032" s="533">
        <f t="shared" si="489"/>
        <v>0</v>
      </c>
      <c r="P1032" s="533">
        <f t="shared" si="489"/>
        <v>0</v>
      </c>
      <c r="Q1032" s="533">
        <f t="shared" si="489"/>
        <v>0</v>
      </c>
      <c r="R1032" s="533">
        <f t="shared" si="489"/>
        <v>0</v>
      </c>
      <c r="S1032" s="533">
        <f t="shared" si="489"/>
        <v>0</v>
      </c>
      <c r="T1032" s="533">
        <f t="shared" si="489"/>
        <v>424330.11000000004</v>
      </c>
      <c r="U1032" s="533">
        <f t="shared" si="489"/>
        <v>0</v>
      </c>
      <c r="V1032" s="533">
        <f t="shared" si="489"/>
        <v>424330.11000000004</v>
      </c>
    </row>
    <row r="1033" spans="1:22" s="533" customFormat="1" ht="12.6" customHeight="1" x14ac:dyDescent="0.25">
      <c r="A1033" s="532"/>
      <c r="B1033" s="715"/>
      <c r="C1033" s="532" t="s">
        <v>99</v>
      </c>
      <c r="D1033" s="532"/>
      <c r="E1033" s="707">
        <f t="shared" ref="E1033:V1033" si="490">E669+E708+E733+E771+E837</f>
        <v>290000</v>
      </c>
      <c r="F1033" s="707">
        <f t="shared" si="490"/>
        <v>0</v>
      </c>
      <c r="G1033" s="707">
        <f t="shared" si="490"/>
        <v>0</v>
      </c>
      <c r="H1033" s="707">
        <f t="shared" si="490"/>
        <v>0</v>
      </c>
      <c r="I1033" s="707">
        <f t="shared" si="490"/>
        <v>0</v>
      </c>
      <c r="J1033" s="707">
        <f t="shared" si="490"/>
        <v>0</v>
      </c>
      <c r="K1033" s="707">
        <f t="shared" si="490"/>
        <v>0</v>
      </c>
      <c r="L1033" s="707">
        <f t="shared" si="490"/>
        <v>0</v>
      </c>
      <c r="M1033" s="707">
        <f t="shared" si="490"/>
        <v>0</v>
      </c>
      <c r="N1033" s="707">
        <f t="shared" si="490"/>
        <v>0</v>
      </c>
      <c r="O1033" s="707">
        <f t="shared" si="490"/>
        <v>0</v>
      </c>
      <c r="P1033" s="707">
        <f t="shared" si="490"/>
        <v>0</v>
      </c>
      <c r="Q1033" s="707">
        <f t="shared" si="490"/>
        <v>0</v>
      </c>
      <c r="R1033" s="707">
        <f t="shared" si="490"/>
        <v>0</v>
      </c>
      <c r="S1033" s="707">
        <f t="shared" si="490"/>
        <v>0</v>
      </c>
      <c r="T1033" s="707">
        <f t="shared" si="490"/>
        <v>290000</v>
      </c>
      <c r="U1033" s="707">
        <f t="shared" si="490"/>
        <v>0</v>
      </c>
      <c r="V1033" s="707">
        <f t="shared" si="490"/>
        <v>290000</v>
      </c>
    </row>
    <row r="1034" spans="1:22" s="533" customFormat="1" ht="12.6" customHeight="1" x14ac:dyDescent="0.25">
      <c r="A1034" s="532"/>
      <c r="B1034" s="715"/>
      <c r="C1034" s="532"/>
      <c r="D1034" s="532"/>
      <c r="E1034" s="708">
        <f>SUM(E1031:E1033)</f>
        <v>445456.83</v>
      </c>
      <c r="F1034" s="708">
        <f t="shared" ref="F1034:V1034" si="491">SUM(F1031:F1033)</f>
        <v>180876.64</v>
      </c>
      <c r="G1034" s="708">
        <f t="shared" si="491"/>
        <v>0</v>
      </c>
      <c r="H1034" s="708">
        <f>SUM(H1031:H1033)</f>
        <v>0</v>
      </c>
      <c r="I1034" s="708">
        <f t="shared" si="491"/>
        <v>87996.64</v>
      </c>
      <c r="J1034" s="708">
        <f>SUM(J1031:J1033)</f>
        <v>0</v>
      </c>
      <c r="K1034" s="708">
        <f t="shared" si="491"/>
        <v>0</v>
      </c>
      <c r="L1034" s="708">
        <f t="shared" si="491"/>
        <v>0</v>
      </c>
      <c r="M1034" s="708">
        <f t="shared" si="491"/>
        <v>0</v>
      </c>
      <c r="N1034" s="708">
        <f t="shared" si="491"/>
        <v>0</v>
      </c>
      <c r="O1034" s="708">
        <f t="shared" si="491"/>
        <v>0</v>
      </c>
      <c r="P1034" s="708">
        <f t="shared" si="491"/>
        <v>0</v>
      </c>
      <c r="Q1034" s="708">
        <f t="shared" si="491"/>
        <v>0</v>
      </c>
      <c r="R1034" s="708">
        <f t="shared" si="491"/>
        <v>0</v>
      </c>
      <c r="S1034" s="708">
        <f t="shared" si="491"/>
        <v>0</v>
      </c>
      <c r="T1034" s="708">
        <f t="shared" si="491"/>
        <v>714330.1100000001</v>
      </c>
      <c r="U1034" s="708">
        <f t="shared" si="491"/>
        <v>0</v>
      </c>
      <c r="V1034" s="708">
        <f t="shared" si="491"/>
        <v>714330.1100000001</v>
      </c>
    </row>
    <row r="1035" spans="1:22" s="533" customFormat="1" ht="12.6" customHeight="1" x14ac:dyDescent="0.25">
      <c r="A1035" s="532"/>
      <c r="B1035" s="715"/>
      <c r="C1035" s="532"/>
      <c r="D1035" s="532"/>
    </row>
    <row r="1036" spans="1:22" s="533" customFormat="1" ht="12.6" customHeight="1" x14ac:dyDescent="0.25">
      <c r="A1036" s="532"/>
      <c r="B1036" s="715" t="s">
        <v>357</v>
      </c>
      <c r="C1036" s="532" t="s">
        <v>97</v>
      </c>
      <c r="D1036" s="532"/>
    </row>
    <row r="1037" spans="1:22" s="533" customFormat="1" ht="12.6" customHeight="1" x14ac:dyDescent="0.25">
      <c r="A1037" s="532"/>
      <c r="B1037" s="715"/>
      <c r="C1037" s="532" t="s">
        <v>98</v>
      </c>
      <c r="D1037" s="532"/>
      <c r="E1037" s="533">
        <f t="shared" ref="E1037:V1037" si="492">E52+E127+E211+E609</f>
        <v>30000</v>
      </c>
      <c r="F1037" s="533">
        <f t="shared" si="492"/>
        <v>506378.5</v>
      </c>
      <c r="G1037" s="533">
        <f t="shared" si="492"/>
        <v>0</v>
      </c>
      <c r="H1037" s="533">
        <f t="shared" si="492"/>
        <v>0</v>
      </c>
      <c r="I1037" s="533">
        <f t="shared" si="492"/>
        <v>0</v>
      </c>
      <c r="J1037" s="533">
        <f t="shared" si="492"/>
        <v>0</v>
      </c>
      <c r="K1037" s="533">
        <f t="shared" si="492"/>
        <v>0</v>
      </c>
      <c r="L1037" s="533">
        <f t="shared" si="492"/>
        <v>0</v>
      </c>
      <c r="M1037" s="533">
        <f t="shared" si="492"/>
        <v>0</v>
      </c>
      <c r="N1037" s="533">
        <f t="shared" si="492"/>
        <v>0</v>
      </c>
      <c r="O1037" s="533">
        <f t="shared" si="492"/>
        <v>0</v>
      </c>
      <c r="P1037" s="533">
        <f t="shared" si="492"/>
        <v>0</v>
      </c>
      <c r="Q1037" s="533">
        <f t="shared" si="492"/>
        <v>0</v>
      </c>
      <c r="R1037" s="533">
        <f t="shared" si="492"/>
        <v>0</v>
      </c>
      <c r="S1037" s="533">
        <f t="shared" si="492"/>
        <v>0</v>
      </c>
      <c r="T1037" s="533">
        <f t="shared" si="492"/>
        <v>536378.5</v>
      </c>
      <c r="U1037" s="533">
        <f t="shared" si="492"/>
        <v>0</v>
      </c>
      <c r="V1037" s="533">
        <f t="shared" si="492"/>
        <v>536378.5</v>
      </c>
    </row>
    <row r="1038" spans="1:22" s="533" customFormat="1" ht="12.6" customHeight="1" x14ac:dyDescent="0.25">
      <c r="A1038" s="532"/>
      <c r="B1038" s="715"/>
      <c r="C1038" s="532" t="s">
        <v>99</v>
      </c>
      <c r="D1038" s="532"/>
      <c r="E1038" s="707"/>
      <c r="F1038" s="707"/>
      <c r="G1038" s="707"/>
      <c r="H1038" s="707"/>
      <c r="I1038" s="707"/>
      <c r="J1038" s="707"/>
      <c r="K1038" s="707"/>
      <c r="L1038" s="707"/>
      <c r="M1038" s="707"/>
      <c r="N1038" s="707"/>
      <c r="O1038" s="707"/>
      <c r="P1038" s="707"/>
      <c r="Q1038" s="707"/>
      <c r="R1038" s="707"/>
      <c r="S1038" s="707"/>
      <c r="T1038" s="707"/>
      <c r="U1038" s="707"/>
      <c r="V1038" s="707"/>
    </row>
    <row r="1039" spans="1:22" s="533" customFormat="1" ht="12.6" customHeight="1" x14ac:dyDescent="0.25">
      <c r="A1039" s="532"/>
      <c r="B1039" s="715"/>
      <c r="C1039" s="532"/>
      <c r="D1039" s="532"/>
      <c r="E1039" s="708">
        <f>SUM(E1036:E1038)</f>
        <v>30000</v>
      </c>
      <c r="F1039" s="708">
        <f t="shared" ref="F1039:V1039" si="493">SUM(F1036:F1038)</f>
        <v>506378.5</v>
      </c>
      <c r="G1039" s="708">
        <f t="shared" si="493"/>
        <v>0</v>
      </c>
      <c r="H1039" s="708">
        <f>SUM(H1036:H1038)</f>
        <v>0</v>
      </c>
      <c r="I1039" s="708">
        <f t="shared" si="493"/>
        <v>0</v>
      </c>
      <c r="J1039" s="708">
        <f>SUM(J1036:J1038)</f>
        <v>0</v>
      </c>
      <c r="K1039" s="708">
        <f t="shared" si="493"/>
        <v>0</v>
      </c>
      <c r="L1039" s="708">
        <f t="shared" si="493"/>
        <v>0</v>
      </c>
      <c r="M1039" s="708">
        <f t="shared" si="493"/>
        <v>0</v>
      </c>
      <c r="N1039" s="708">
        <f t="shared" si="493"/>
        <v>0</v>
      </c>
      <c r="O1039" s="708">
        <f t="shared" si="493"/>
        <v>0</v>
      </c>
      <c r="P1039" s="708">
        <f t="shared" si="493"/>
        <v>0</v>
      </c>
      <c r="Q1039" s="708">
        <f t="shared" si="493"/>
        <v>0</v>
      </c>
      <c r="R1039" s="708">
        <f t="shared" si="493"/>
        <v>0</v>
      </c>
      <c r="S1039" s="708">
        <f t="shared" si="493"/>
        <v>0</v>
      </c>
      <c r="T1039" s="708">
        <f t="shared" si="493"/>
        <v>536378.5</v>
      </c>
      <c r="U1039" s="708">
        <f t="shared" si="493"/>
        <v>0</v>
      </c>
      <c r="V1039" s="708">
        <f t="shared" si="493"/>
        <v>536378.5</v>
      </c>
    </row>
    <row r="1040" spans="1:22" s="533" customFormat="1" ht="12.6" customHeight="1" x14ac:dyDescent="0.25">
      <c r="A1040" s="532"/>
      <c r="B1040" s="715"/>
      <c r="C1040" s="532"/>
      <c r="D1040" s="532"/>
    </row>
    <row r="1041" spans="1:22" s="533" customFormat="1" ht="12.6" customHeight="1" x14ac:dyDescent="0.25">
      <c r="A1041" s="532"/>
      <c r="B1041" s="715" t="s">
        <v>342</v>
      </c>
      <c r="C1041" s="532" t="s">
        <v>97</v>
      </c>
      <c r="D1041" s="532"/>
      <c r="E1041" s="533">
        <f t="shared" ref="E1041:V1041" si="494">E23</f>
        <v>5000</v>
      </c>
      <c r="F1041" s="533">
        <f t="shared" si="494"/>
        <v>0</v>
      </c>
      <c r="G1041" s="533">
        <f t="shared" si="494"/>
        <v>0</v>
      </c>
      <c r="H1041" s="533">
        <f t="shared" si="494"/>
        <v>0</v>
      </c>
      <c r="I1041" s="533">
        <f t="shared" si="494"/>
        <v>0</v>
      </c>
      <c r="J1041" s="533">
        <f t="shared" si="494"/>
        <v>0</v>
      </c>
      <c r="K1041" s="533">
        <f t="shared" si="494"/>
        <v>0</v>
      </c>
      <c r="L1041" s="533">
        <f t="shared" si="494"/>
        <v>0</v>
      </c>
      <c r="M1041" s="533">
        <f t="shared" si="494"/>
        <v>0</v>
      </c>
      <c r="N1041" s="533">
        <f t="shared" si="494"/>
        <v>0</v>
      </c>
      <c r="O1041" s="533">
        <f t="shared" si="494"/>
        <v>0</v>
      </c>
      <c r="P1041" s="533">
        <f t="shared" si="494"/>
        <v>0</v>
      </c>
      <c r="Q1041" s="533">
        <f t="shared" si="494"/>
        <v>0</v>
      </c>
      <c r="R1041" s="533">
        <f t="shared" si="494"/>
        <v>0</v>
      </c>
      <c r="S1041" s="533">
        <f t="shared" si="494"/>
        <v>0</v>
      </c>
      <c r="T1041" s="533">
        <f t="shared" si="494"/>
        <v>5000</v>
      </c>
      <c r="U1041" s="533">
        <f t="shared" si="494"/>
        <v>0</v>
      </c>
      <c r="V1041" s="533">
        <f t="shared" si="494"/>
        <v>5000</v>
      </c>
    </row>
    <row r="1042" spans="1:22" s="533" customFormat="1" ht="12.6" customHeight="1" x14ac:dyDescent="0.25">
      <c r="A1042" s="532"/>
      <c r="B1042" s="715"/>
      <c r="C1042" s="532" t="s">
        <v>98</v>
      </c>
      <c r="D1042" s="532"/>
      <c r="E1042" s="533">
        <f t="shared" ref="E1042:V1042" si="495">E51+E91+E126+E210+E272+E308+E535+E608</f>
        <v>438832.16</v>
      </c>
      <c r="F1042" s="533">
        <f t="shared" si="495"/>
        <v>172933.29</v>
      </c>
      <c r="G1042" s="533">
        <f t="shared" si="495"/>
        <v>0</v>
      </c>
      <c r="H1042" s="533">
        <f t="shared" si="495"/>
        <v>0</v>
      </c>
      <c r="I1042" s="533">
        <f t="shared" si="495"/>
        <v>0</v>
      </c>
      <c r="J1042" s="533">
        <f t="shared" si="495"/>
        <v>0</v>
      </c>
      <c r="K1042" s="533">
        <f t="shared" si="495"/>
        <v>0</v>
      </c>
      <c r="L1042" s="533">
        <f t="shared" si="495"/>
        <v>0</v>
      </c>
      <c r="M1042" s="533">
        <f t="shared" si="495"/>
        <v>0</v>
      </c>
      <c r="N1042" s="533">
        <f t="shared" si="495"/>
        <v>0</v>
      </c>
      <c r="O1042" s="533">
        <f t="shared" si="495"/>
        <v>0</v>
      </c>
      <c r="P1042" s="533">
        <f t="shared" si="495"/>
        <v>0</v>
      </c>
      <c r="Q1042" s="533">
        <f t="shared" si="495"/>
        <v>0</v>
      </c>
      <c r="R1042" s="533">
        <f t="shared" si="495"/>
        <v>0</v>
      </c>
      <c r="S1042" s="533">
        <f t="shared" si="495"/>
        <v>0</v>
      </c>
      <c r="T1042" s="533">
        <f t="shared" si="495"/>
        <v>611765.44999999995</v>
      </c>
      <c r="U1042" s="533">
        <f t="shared" si="495"/>
        <v>0</v>
      </c>
      <c r="V1042" s="533">
        <f t="shared" si="495"/>
        <v>611765.44999999995</v>
      </c>
    </row>
    <row r="1043" spans="1:22" s="533" customFormat="1" ht="12.6" customHeight="1" x14ac:dyDescent="0.25">
      <c r="A1043" s="532"/>
      <c r="B1043" s="715"/>
      <c r="C1043" s="532" t="s">
        <v>99</v>
      </c>
      <c r="D1043" s="532"/>
      <c r="E1043" s="707">
        <f t="shared" ref="E1043:V1043" si="496">E734</f>
        <v>60000</v>
      </c>
      <c r="F1043" s="707">
        <f t="shared" si="496"/>
        <v>0</v>
      </c>
      <c r="G1043" s="707">
        <f t="shared" si="496"/>
        <v>0</v>
      </c>
      <c r="H1043" s="707">
        <f t="shared" si="496"/>
        <v>0</v>
      </c>
      <c r="I1043" s="707">
        <f t="shared" si="496"/>
        <v>0</v>
      </c>
      <c r="J1043" s="707">
        <f t="shared" si="496"/>
        <v>0</v>
      </c>
      <c r="K1043" s="707">
        <f t="shared" si="496"/>
        <v>0</v>
      </c>
      <c r="L1043" s="707">
        <f t="shared" si="496"/>
        <v>0</v>
      </c>
      <c r="M1043" s="707">
        <f t="shared" si="496"/>
        <v>0</v>
      </c>
      <c r="N1043" s="707">
        <f t="shared" si="496"/>
        <v>0</v>
      </c>
      <c r="O1043" s="707">
        <f t="shared" si="496"/>
        <v>0</v>
      </c>
      <c r="P1043" s="707">
        <f t="shared" si="496"/>
        <v>0</v>
      </c>
      <c r="Q1043" s="707">
        <f t="shared" si="496"/>
        <v>0</v>
      </c>
      <c r="R1043" s="707">
        <f t="shared" si="496"/>
        <v>0</v>
      </c>
      <c r="S1043" s="707">
        <f t="shared" si="496"/>
        <v>0</v>
      </c>
      <c r="T1043" s="707">
        <f t="shared" si="496"/>
        <v>60000</v>
      </c>
      <c r="U1043" s="707">
        <f t="shared" si="496"/>
        <v>0</v>
      </c>
      <c r="V1043" s="707">
        <f t="shared" si="496"/>
        <v>60000</v>
      </c>
    </row>
    <row r="1044" spans="1:22" s="533" customFormat="1" ht="12.6" customHeight="1" x14ac:dyDescent="0.25">
      <c r="A1044" s="532"/>
      <c r="B1044" s="715"/>
      <c r="C1044" s="532"/>
      <c r="D1044" s="532"/>
      <c r="E1044" s="708">
        <f>SUM(E1041:E1043)</f>
        <v>503832.16</v>
      </c>
      <c r="F1044" s="708">
        <f t="shared" ref="F1044:V1044" si="497">SUM(F1041:F1043)</f>
        <v>172933.29</v>
      </c>
      <c r="G1044" s="708">
        <f t="shared" si="497"/>
        <v>0</v>
      </c>
      <c r="H1044" s="708">
        <f>SUM(H1041:H1043)</f>
        <v>0</v>
      </c>
      <c r="I1044" s="708">
        <f t="shared" si="497"/>
        <v>0</v>
      </c>
      <c r="J1044" s="708">
        <f>SUM(J1041:J1043)</f>
        <v>0</v>
      </c>
      <c r="K1044" s="708">
        <f t="shared" si="497"/>
        <v>0</v>
      </c>
      <c r="L1044" s="708">
        <f t="shared" si="497"/>
        <v>0</v>
      </c>
      <c r="M1044" s="708">
        <f t="shared" si="497"/>
        <v>0</v>
      </c>
      <c r="N1044" s="708">
        <f t="shared" si="497"/>
        <v>0</v>
      </c>
      <c r="O1044" s="708">
        <f t="shared" si="497"/>
        <v>0</v>
      </c>
      <c r="P1044" s="708">
        <f t="shared" si="497"/>
        <v>0</v>
      </c>
      <c r="Q1044" s="708">
        <f t="shared" si="497"/>
        <v>0</v>
      </c>
      <c r="R1044" s="708">
        <f t="shared" si="497"/>
        <v>0</v>
      </c>
      <c r="S1044" s="708">
        <f t="shared" si="497"/>
        <v>0</v>
      </c>
      <c r="T1044" s="708">
        <f t="shared" si="497"/>
        <v>676765.45</v>
      </c>
      <c r="U1044" s="708">
        <f t="shared" si="497"/>
        <v>0</v>
      </c>
      <c r="V1044" s="708">
        <f t="shared" si="497"/>
        <v>676765.45</v>
      </c>
    </row>
    <row r="1045" spans="1:22" s="533" customFormat="1" ht="12.6" customHeight="1" x14ac:dyDescent="0.25">
      <c r="A1045" s="532"/>
      <c r="B1045" s="715"/>
      <c r="C1045" s="532"/>
      <c r="D1045" s="532"/>
    </row>
    <row r="1046" spans="1:22" s="533" customFormat="1" ht="12.6" customHeight="1" x14ac:dyDescent="0.25">
      <c r="A1046" s="532"/>
      <c r="B1046" s="715" t="s">
        <v>232</v>
      </c>
      <c r="C1046" s="532" t="s">
        <v>97</v>
      </c>
      <c r="D1046" s="532"/>
    </row>
    <row r="1047" spans="1:22" s="533" customFormat="1" ht="12.6" customHeight="1" x14ac:dyDescent="0.25">
      <c r="A1047" s="532"/>
      <c r="B1047" s="715"/>
      <c r="C1047" s="532" t="s">
        <v>98</v>
      </c>
      <c r="D1047" s="532"/>
      <c r="E1047" s="533">
        <f t="shared" ref="E1047:V1047" si="498">E212+E128+E550</f>
        <v>0</v>
      </c>
      <c r="F1047" s="533">
        <f t="shared" si="498"/>
        <v>0</v>
      </c>
      <c r="G1047" s="533">
        <f t="shared" si="498"/>
        <v>0</v>
      </c>
      <c r="H1047" s="533">
        <f t="shared" si="498"/>
        <v>0</v>
      </c>
      <c r="I1047" s="533">
        <f t="shared" si="498"/>
        <v>0</v>
      </c>
      <c r="J1047" s="533">
        <f t="shared" si="498"/>
        <v>0</v>
      </c>
      <c r="K1047" s="533">
        <f t="shared" si="498"/>
        <v>0</v>
      </c>
      <c r="L1047" s="533">
        <f t="shared" si="498"/>
        <v>0</v>
      </c>
      <c r="M1047" s="533">
        <f t="shared" si="498"/>
        <v>0</v>
      </c>
      <c r="N1047" s="533">
        <f t="shared" si="498"/>
        <v>0</v>
      </c>
      <c r="O1047" s="533">
        <f t="shared" si="498"/>
        <v>0</v>
      </c>
      <c r="P1047" s="533">
        <f t="shared" si="498"/>
        <v>0</v>
      </c>
      <c r="Q1047" s="533">
        <f t="shared" si="498"/>
        <v>0</v>
      </c>
      <c r="R1047" s="533">
        <f t="shared" si="498"/>
        <v>0</v>
      </c>
      <c r="S1047" s="533">
        <f t="shared" si="498"/>
        <v>0</v>
      </c>
      <c r="T1047" s="533">
        <f t="shared" si="498"/>
        <v>0</v>
      </c>
      <c r="U1047" s="533">
        <f t="shared" si="498"/>
        <v>0</v>
      </c>
      <c r="V1047" s="533">
        <f t="shared" si="498"/>
        <v>0</v>
      </c>
    </row>
    <row r="1048" spans="1:22" s="533" customFormat="1" ht="12.6" customHeight="1" x14ac:dyDescent="0.25">
      <c r="A1048" s="532"/>
      <c r="B1048" s="715"/>
      <c r="C1048" s="532" t="s">
        <v>99</v>
      </c>
      <c r="D1048" s="532"/>
      <c r="E1048" s="707"/>
      <c r="F1048" s="707"/>
      <c r="G1048" s="707"/>
      <c r="H1048" s="707"/>
      <c r="I1048" s="707"/>
      <c r="J1048" s="707"/>
      <c r="K1048" s="707"/>
      <c r="L1048" s="707"/>
      <c r="M1048" s="707"/>
      <c r="N1048" s="707"/>
      <c r="O1048" s="707"/>
      <c r="P1048" s="707"/>
      <c r="Q1048" s="707"/>
      <c r="R1048" s="707"/>
      <c r="S1048" s="707"/>
      <c r="T1048" s="707"/>
      <c r="U1048" s="707"/>
      <c r="V1048" s="707"/>
    </row>
    <row r="1049" spans="1:22" s="533" customFormat="1" ht="12.6" customHeight="1" x14ac:dyDescent="0.25">
      <c r="A1049" s="532"/>
      <c r="B1049" s="715"/>
      <c r="C1049" s="532"/>
      <c r="D1049" s="532"/>
      <c r="E1049" s="708">
        <f>SUM(E1046:E1048)</f>
        <v>0</v>
      </c>
      <c r="F1049" s="708">
        <f t="shared" ref="F1049:V1049" si="499">SUM(F1046:F1048)</f>
        <v>0</v>
      </c>
      <c r="G1049" s="708">
        <f t="shared" si="499"/>
        <v>0</v>
      </c>
      <c r="H1049" s="708">
        <f>SUM(H1046:H1048)</f>
        <v>0</v>
      </c>
      <c r="I1049" s="708">
        <f t="shared" si="499"/>
        <v>0</v>
      </c>
      <c r="J1049" s="708">
        <f>SUM(J1046:J1048)</f>
        <v>0</v>
      </c>
      <c r="K1049" s="708">
        <f t="shared" si="499"/>
        <v>0</v>
      </c>
      <c r="L1049" s="708">
        <f t="shared" si="499"/>
        <v>0</v>
      </c>
      <c r="M1049" s="708">
        <f t="shared" si="499"/>
        <v>0</v>
      </c>
      <c r="N1049" s="708">
        <f t="shared" si="499"/>
        <v>0</v>
      </c>
      <c r="O1049" s="708">
        <f t="shared" si="499"/>
        <v>0</v>
      </c>
      <c r="P1049" s="708">
        <f t="shared" si="499"/>
        <v>0</v>
      </c>
      <c r="Q1049" s="708">
        <f t="shared" si="499"/>
        <v>0</v>
      </c>
      <c r="R1049" s="708">
        <f t="shared" si="499"/>
        <v>0</v>
      </c>
      <c r="S1049" s="708">
        <f t="shared" si="499"/>
        <v>0</v>
      </c>
      <c r="T1049" s="708">
        <f t="shared" si="499"/>
        <v>0</v>
      </c>
      <c r="U1049" s="708">
        <f t="shared" si="499"/>
        <v>0</v>
      </c>
      <c r="V1049" s="708">
        <f t="shared" si="499"/>
        <v>0</v>
      </c>
    </row>
    <row r="1050" spans="1:22" s="533" customFormat="1" ht="12.6" customHeight="1" x14ac:dyDescent="0.25">
      <c r="A1050" s="532"/>
      <c r="B1050" s="715"/>
      <c r="C1050" s="532"/>
      <c r="D1050" s="532"/>
    </row>
    <row r="1051" spans="1:22" s="533" customFormat="1" ht="12.6" customHeight="1" x14ac:dyDescent="0.25">
      <c r="A1051" s="532"/>
      <c r="B1051" s="715" t="s">
        <v>405</v>
      </c>
      <c r="C1051" s="532" t="s">
        <v>97</v>
      </c>
      <c r="D1051" s="532"/>
    </row>
    <row r="1052" spans="1:22" s="533" customFormat="1" ht="12.6" customHeight="1" x14ac:dyDescent="0.25">
      <c r="A1052" s="532"/>
      <c r="B1052" s="715"/>
      <c r="C1052" s="532" t="s">
        <v>98</v>
      </c>
      <c r="D1052" s="532"/>
      <c r="E1052" s="533">
        <f t="shared" ref="E1052:V1052" si="500">E518</f>
        <v>1476732</v>
      </c>
      <c r="F1052" s="533">
        <f t="shared" si="500"/>
        <v>426280</v>
      </c>
      <c r="G1052" s="533">
        <f t="shared" si="500"/>
        <v>0</v>
      </c>
      <c r="H1052" s="533">
        <f t="shared" si="500"/>
        <v>0</v>
      </c>
      <c r="I1052" s="533">
        <f t="shared" si="500"/>
        <v>0</v>
      </c>
      <c r="J1052" s="533">
        <f t="shared" si="500"/>
        <v>0</v>
      </c>
      <c r="K1052" s="533">
        <f t="shared" si="500"/>
        <v>0</v>
      </c>
      <c r="L1052" s="533">
        <f t="shared" si="500"/>
        <v>0</v>
      </c>
      <c r="M1052" s="533">
        <f t="shared" si="500"/>
        <v>0</v>
      </c>
      <c r="N1052" s="533">
        <f t="shared" si="500"/>
        <v>0</v>
      </c>
      <c r="O1052" s="533">
        <f t="shared" si="500"/>
        <v>0</v>
      </c>
      <c r="P1052" s="533">
        <f t="shared" si="500"/>
        <v>0</v>
      </c>
      <c r="Q1052" s="533">
        <f t="shared" si="500"/>
        <v>0</v>
      </c>
      <c r="R1052" s="533">
        <f t="shared" si="500"/>
        <v>0</v>
      </c>
      <c r="S1052" s="533">
        <f t="shared" si="500"/>
        <v>0</v>
      </c>
      <c r="T1052" s="533">
        <f t="shared" si="500"/>
        <v>1903012</v>
      </c>
      <c r="U1052" s="533">
        <f t="shared" si="500"/>
        <v>0</v>
      </c>
      <c r="V1052" s="533">
        <f t="shared" si="500"/>
        <v>1903012</v>
      </c>
    </row>
    <row r="1053" spans="1:22" s="533" customFormat="1" ht="12.6" customHeight="1" x14ac:dyDescent="0.25">
      <c r="A1053" s="532"/>
      <c r="B1053" s="715"/>
      <c r="C1053" s="532" t="s">
        <v>99</v>
      </c>
      <c r="D1053" s="532"/>
      <c r="E1053" s="707"/>
      <c r="F1053" s="707"/>
      <c r="G1053" s="707"/>
      <c r="H1053" s="707"/>
      <c r="I1053" s="707"/>
      <c r="J1053" s="707"/>
      <c r="K1053" s="707"/>
      <c r="L1053" s="707"/>
      <c r="M1053" s="707"/>
      <c r="N1053" s="707"/>
      <c r="O1053" s="707"/>
      <c r="P1053" s="707"/>
      <c r="Q1053" s="707"/>
      <c r="R1053" s="707"/>
      <c r="S1053" s="707"/>
      <c r="T1053" s="707"/>
      <c r="U1053" s="707"/>
      <c r="V1053" s="707"/>
    </row>
    <row r="1054" spans="1:22" s="533" customFormat="1" ht="12.6" customHeight="1" x14ac:dyDescent="0.25">
      <c r="A1054" s="532"/>
      <c r="B1054" s="715"/>
      <c r="C1054" s="532"/>
      <c r="D1054" s="532"/>
      <c r="E1054" s="708">
        <f>SUM(E1051:E1053)</f>
        <v>1476732</v>
      </c>
      <c r="F1054" s="708">
        <f t="shared" ref="F1054:V1054" si="501">SUM(F1051:F1053)</f>
        <v>426280</v>
      </c>
      <c r="G1054" s="708">
        <f t="shared" si="501"/>
        <v>0</v>
      </c>
      <c r="H1054" s="708">
        <f>SUM(H1051:H1053)</f>
        <v>0</v>
      </c>
      <c r="I1054" s="708">
        <f t="shared" si="501"/>
        <v>0</v>
      </c>
      <c r="J1054" s="708">
        <f>SUM(J1051:J1053)</f>
        <v>0</v>
      </c>
      <c r="K1054" s="708">
        <f t="shared" si="501"/>
        <v>0</v>
      </c>
      <c r="L1054" s="708">
        <f t="shared" si="501"/>
        <v>0</v>
      </c>
      <c r="M1054" s="708">
        <f t="shared" si="501"/>
        <v>0</v>
      </c>
      <c r="N1054" s="708">
        <f t="shared" si="501"/>
        <v>0</v>
      </c>
      <c r="O1054" s="708">
        <f t="shared" si="501"/>
        <v>0</v>
      </c>
      <c r="P1054" s="708">
        <f t="shared" si="501"/>
        <v>0</v>
      </c>
      <c r="Q1054" s="708">
        <f t="shared" si="501"/>
        <v>0</v>
      </c>
      <c r="R1054" s="708">
        <f t="shared" si="501"/>
        <v>0</v>
      </c>
      <c r="S1054" s="708">
        <f t="shared" si="501"/>
        <v>0</v>
      </c>
      <c r="T1054" s="708">
        <f t="shared" si="501"/>
        <v>1903012</v>
      </c>
      <c r="U1054" s="708">
        <f t="shared" si="501"/>
        <v>0</v>
      </c>
      <c r="V1054" s="708">
        <f t="shared" si="501"/>
        <v>1903012</v>
      </c>
    </row>
    <row r="1055" spans="1:22" s="533" customFormat="1" ht="12.6" customHeight="1" x14ac:dyDescent="0.25">
      <c r="A1055" s="532"/>
      <c r="B1055" s="715"/>
      <c r="C1055" s="532"/>
      <c r="D1055" s="532"/>
    </row>
    <row r="1056" spans="1:22" s="533" customFormat="1" ht="12.6" customHeight="1" x14ac:dyDescent="0.25">
      <c r="A1056" s="532"/>
      <c r="B1056" s="715" t="s">
        <v>340</v>
      </c>
      <c r="C1056" s="532" t="s">
        <v>97</v>
      </c>
      <c r="D1056" s="532"/>
    </row>
    <row r="1057" spans="1:22" s="533" customFormat="1" ht="12.6" customHeight="1" x14ac:dyDescent="0.25">
      <c r="A1057" s="532"/>
      <c r="B1057" s="715"/>
      <c r="C1057" s="532" t="s">
        <v>98</v>
      </c>
      <c r="D1057" s="532"/>
      <c r="E1057" s="533">
        <f t="shared" ref="E1057:V1057" si="502">E53+E73+E157+E322+E214+E309+E412+E435+E492+E536+E588+E273+E93+E130+E611</f>
        <v>3488252.04</v>
      </c>
      <c r="F1057" s="533">
        <f t="shared" si="502"/>
        <v>0</v>
      </c>
      <c r="G1057" s="533">
        <f t="shared" si="502"/>
        <v>0</v>
      </c>
      <c r="H1057" s="533">
        <f t="shared" si="502"/>
        <v>0</v>
      </c>
      <c r="I1057" s="533">
        <f t="shared" si="502"/>
        <v>0</v>
      </c>
      <c r="J1057" s="533">
        <f t="shared" si="502"/>
        <v>0</v>
      </c>
      <c r="K1057" s="533">
        <f t="shared" si="502"/>
        <v>0</v>
      </c>
      <c r="L1057" s="533">
        <f t="shared" si="502"/>
        <v>0</v>
      </c>
      <c r="M1057" s="533">
        <f t="shared" si="502"/>
        <v>0</v>
      </c>
      <c r="N1057" s="533">
        <f t="shared" si="502"/>
        <v>0</v>
      </c>
      <c r="O1057" s="533">
        <f t="shared" si="502"/>
        <v>0</v>
      </c>
      <c r="P1057" s="533">
        <f t="shared" si="502"/>
        <v>0</v>
      </c>
      <c r="Q1057" s="533">
        <f t="shared" si="502"/>
        <v>0</v>
      </c>
      <c r="R1057" s="533">
        <f t="shared" si="502"/>
        <v>0</v>
      </c>
      <c r="S1057" s="533">
        <f t="shared" si="502"/>
        <v>0</v>
      </c>
      <c r="T1057" s="533">
        <f t="shared" si="502"/>
        <v>3488252.04</v>
      </c>
      <c r="U1057" s="533">
        <f t="shared" si="502"/>
        <v>0</v>
      </c>
      <c r="V1057" s="533">
        <f t="shared" si="502"/>
        <v>3488252.04</v>
      </c>
    </row>
    <row r="1058" spans="1:22" s="533" customFormat="1" ht="12.6" customHeight="1" x14ac:dyDescent="0.25">
      <c r="A1058" s="532"/>
      <c r="B1058" s="715"/>
      <c r="C1058" s="532" t="s">
        <v>99</v>
      </c>
      <c r="D1058" s="532"/>
      <c r="E1058" s="707">
        <f t="shared" ref="E1058:V1058" si="503">E655+E647+E670+E690+E709+E735+E796+E809+E838+E862+E874</f>
        <v>3958693.9499999997</v>
      </c>
      <c r="F1058" s="707">
        <f t="shared" si="503"/>
        <v>0</v>
      </c>
      <c r="G1058" s="707">
        <f t="shared" si="503"/>
        <v>0</v>
      </c>
      <c r="H1058" s="707">
        <f t="shared" si="503"/>
        <v>0</v>
      </c>
      <c r="I1058" s="707">
        <f t="shared" si="503"/>
        <v>0</v>
      </c>
      <c r="J1058" s="707">
        <f t="shared" si="503"/>
        <v>0</v>
      </c>
      <c r="K1058" s="707">
        <f t="shared" si="503"/>
        <v>0</v>
      </c>
      <c r="L1058" s="707">
        <f t="shared" si="503"/>
        <v>0</v>
      </c>
      <c r="M1058" s="707">
        <f t="shared" si="503"/>
        <v>0</v>
      </c>
      <c r="N1058" s="707">
        <f t="shared" si="503"/>
        <v>0</v>
      </c>
      <c r="O1058" s="707">
        <f t="shared" si="503"/>
        <v>0</v>
      </c>
      <c r="P1058" s="707">
        <f t="shared" si="503"/>
        <v>0</v>
      </c>
      <c r="Q1058" s="707">
        <f t="shared" si="503"/>
        <v>0</v>
      </c>
      <c r="R1058" s="707">
        <f t="shared" si="503"/>
        <v>0</v>
      </c>
      <c r="S1058" s="707">
        <f t="shared" si="503"/>
        <v>0</v>
      </c>
      <c r="T1058" s="707">
        <f t="shared" si="503"/>
        <v>3958693.9499999997</v>
      </c>
      <c r="U1058" s="707">
        <f t="shared" si="503"/>
        <v>0</v>
      </c>
      <c r="V1058" s="707">
        <f t="shared" si="503"/>
        <v>3958693.9499999997</v>
      </c>
    </row>
    <row r="1059" spans="1:22" s="533" customFormat="1" ht="12.6" customHeight="1" x14ac:dyDescent="0.25">
      <c r="A1059" s="532"/>
      <c r="B1059" s="715"/>
      <c r="C1059" s="532"/>
      <c r="D1059" s="532"/>
      <c r="E1059" s="708">
        <f>SUM(E1056:E1058)</f>
        <v>7446945.9900000002</v>
      </c>
      <c r="F1059" s="708">
        <f t="shared" ref="F1059:V1059" si="504">SUM(F1056:F1058)</f>
        <v>0</v>
      </c>
      <c r="G1059" s="708">
        <f t="shared" si="504"/>
        <v>0</v>
      </c>
      <c r="H1059" s="708">
        <f>SUM(H1056:H1058)</f>
        <v>0</v>
      </c>
      <c r="I1059" s="708">
        <f t="shared" si="504"/>
        <v>0</v>
      </c>
      <c r="J1059" s="708">
        <f>SUM(J1056:J1058)</f>
        <v>0</v>
      </c>
      <c r="K1059" s="708">
        <f t="shared" si="504"/>
        <v>0</v>
      </c>
      <c r="L1059" s="708">
        <f t="shared" si="504"/>
        <v>0</v>
      </c>
      <c r="M1059" s="708">
        <f t="shared" si="504"/>
        <v>0</v>
      </c>
      <c r="N1059" s="708">
        <f t="shared" si="504"/>
        <v>0</v>
      </c>
      <c r="O1059" s="708">
        <f t="shared" si="504"/>
        <v>0</v>
      </c>
      <c r="P1059" s="708">
        <f t="shared" si="504"/>
        <v>0</v>
      </c>
      <c r="Q1059" s="708">
        <f t="shared" si="504"/>
        <v>0</v>
      </c>
      <c r="R1059" s="708">
        <f t="shared" si="504"/>
        <v>0</v>
      </c>
      <c r="S1059" s="708">
        <f t="shared" si="504"/>
        <v>0</v>
      </c>
      <c r="T1059" s="708">
        <f t="shared" si="504"/>
        <v>7446945.9900000002</v>
      </c>
      <c r="U1059" s="708">
        <f t="shared" si="504"/>
        <v>0</v>
      </c>
      <c r="V1059" s="708">
        <f t="shared" si="504"/>
        <v>7446945.9900000002</v>
      </c>
    </row>
    <row r="1060" spans="1:22" s="533" customFormat="1" ht="12.6" customHeight="1" x14ac:dyDescent="0.25">
      <c r="A1060" s="532"/>
      <c r="B1060" s="715"/>
      <c r="C1060" s="532"/>
      <c r="D1060" s="532"/>
    </row>
    <row r="1061" spans="1:22" s="533" customFormat="1" ht="12.6" customHeight="1" x14ac:dyDescent="0.25">
      <c r="A1061" s="532"/>
      <c r="B1061" s="715" t="s">
        <v>358</v>
      </c>
      <c r="C1061" s="532" t="s">
        <v>97</v>
      </c>
      <c r="D1061" s="532"/>
    </row>
    <row r="1062" spans="1:22" s="533" customFormat="1" ht="12.6" customHeight="1" x14ac:dyDescent="0.25">
      <c r="A1062" s="532"/>
      <c r="B1062" s="715"/>
      <c r="C1062" s="532" t="s">
        <v>98</v>
      </c>
      <c r="D1062" s="532"/>
      <c r="E1062" s="533">
        <f t="shared" ref="E1062:V1062" si="505">E54+E94+E131+E185+E215+E274+E323+E413+E510+E537+E589+E612</f>
        <v>1668678.46</v>
      </c>
      <c r="F1062" s="533">
        <f t="shared" si="505"/>
        <v>864666.44</v>
      </c>
      <c r="G1062" s="533">
        <f t="shared" si="505"/>
        <v>0</v>
      </c>
      <c r="H1062" s="533">
        <f t="shared" si="505"/>
        <v>0</v>
      </c>
      <c r="I1062" s="533">
        <f t="shared" si="505"/>
        <v>50000</v>
      </c>
      <c r="J1062" s="533">
        <f t="shared" si="505"/>
        <v>0</v>
      </c>
      <c r="K1062" s="533">
        <f t="shared" si="505"/>
        <v>0</v>
      </c>
      <c r="L1062" s="533">
        <f t="shared" si="505"/>
        <v>0</v>
      </c>
      <c r="M1062" s="533">
        <f t="shared" si="505"/>
        <v>0</v>
      </c>
      <c r="N1062" s="533">
        <f t="shared" si="505"/>
        <v>0</v>
      </c>
      <c r="O1062" s="533">
        <f t="shared" si="505"/>
        <v>0</v>
      </c>
      <c r="P1062" s="533">
        <f t="shared" si="505"/>
        <v>0</v>
      </c>
      <c r="Q1062" s="533">
        <f t="shared" si="505"/>
        <v>0</v>
      </c>
      <c r="R1062" s="533">
        <f t="shared" si="505"/>
        <v>0</v>
      </c>
      <c r="S1062" s="533">
        <f t="shared" si="505"/>
        <v>0</v>
      </c>
      <c r="T1062" s="533">
        <f t="shared" si="505"/>
        <v>2583344.9000000004</v>
      </c>
      <c r="U1062" s="533">
        <f t="shared" si="505"/>
        <v>0</v>
      </c>
      <c r="V1062" s="533">
        <f t="shared" si="505"/>
        <v>2583344.9000000004</v>
      </c>
    </row>
    <row r="1063" spans="1:22" s="533" customFormat="1" ht="12.6" customHeight="1" x14ac:dyDescent="0.25">
      <c r="A1063" s="532"/>
      <c r="B1063" s="715"/>
      <c r="C1063" s="532" t="s">
        <v>99</v>
      </c>
      <c r="D1063" s="532"/>
      <c r="E1063" s="707">
        <f t="shared" ref="E1063:V1063" si="506">E710+E736+E839+E852</f>
        <v>200000</v>
      </c>
      <c r="F1063" s="707">
        <f t="shared" si="506"/>
        <v>0</v>
      </c>
      <c r="G1063" s="707">
        <f t="shared" si="506"/>
        <v>0</v>
      </c>
      <c r="H1063" s="707">
        <f t="shared" si="506"/>
        <v>0</v>
      </c>
      <c r="I1063" s="707">
        <f t="shared" si="506"/>
        <v>0</v>
      </c>
      <c r="J1063" s="707">
        <f t="shared" si="506"/>
        <v>0</v>
      </c>
      <c r="K1063" s="707">
        <f t="shared" si="506"/>
        <v>0</v>
      </c>
      <c r="L1063" s="707">
        <f t="shared" si="506"/>
        <v>0</v>
      </c>
      <c r="M1063" s="707">
        <f t="shared" si="506"/>
        <v>0</v>
      </c>
      <c r="N1063" s="707">
        <f t="shared" si="506"/>
        <v>0</v>
      </c>
      <c r="O1063" s="707">
        <f t="shared" si="506"/>
        <v>0</v>
      </c>
      <c r="P1063" s="707">
        <f t="shared" si="506"/>
        <v>0</v>
      </c>
      <c r="Q1063" s="707">
        <f t="shared" si="506"/>
        <v>0</v>
      </c>
      <c r="R1063" s="707">
        <f t="shared" si="506"/>
        <v>0</v>
      </c>
      <c r="S1063" s="707">
        <f t="shared" si="506"/>
        <v>0</v>
      </c>
      <c r="T1063" s="707">
        <f t="shared" si="506"/>
        <v>200000</v>
      </c>
      <c r="U1063" s="707">
        <f t="shared" si="506"/>
        <v>0</v>
      </c>
      <c r="V1063" s="707">
        <f t="shared" si="506"/>
        <v>200000</v>
      </c>
    </row>
    <row r="1064" spans="1:22" s="533" customFormat="1" ht="12.6" customHeight="1" x14ac:dyDescent="0.25">
      <c r="A1064" s="532"/>
      <c r="B1064" s="715"/>
      <c r="C1064" s="532"/>
      <c r="D1064" s="532"/>
      <c r="E1064" s="708">
        <f>SUM(E1061:E1063)</f>
        <v>1868678.46</v>
      </c>
      <c r="F1064" s="708">
        <f t="shared" ref="F1064:V1064" si="507">SUM(F1061:F1063)</f>
        <v>864666.44</v>
      </c>
      <c r="G1064" s="708">
        <f t="shared" si="507"/>
        <v>0</v>
      </c>
      <c r="H1064" s="708">
        <f>SUM(H1061:H1063)</f>
        <v>0</v>
      </c>
      <c r="I1064" s="708">
        <f t="shared" si="507"/>
        <v>50000</v>
      </c>
      <c r="J1064" s="708">
        <f>SUM(J1061:J1063)</f>
        <v>0</v>
      </c>
      <c r="K1064" s="708">
        <f t="shared" si="507"/>
        <v>0</v>
      </c>
      <c r="L1064" s="708">
        <f t="shared" si="507"/>
        <v>0</v>
      </c>
      <c r="M1064" s="708">
        <f t="shared" si="507"/>
        <v>0</v>
      </c>
      <c r="N1064" s="708">
        <f t="shared" si="507"/>
        <v>0</v>
      </c>
      <c r="O1064" s="708">
        <f t="shared" si="507"/>
        <v>0</v>
      </c>
      <c r="P1064" s="708">
        <f t="shared" si="507"/>
        <v>0</v>
      </c>
      <c r="Q1064" s="708">
        <f t="shared" si="507"/>
        <v>0</v>
      </c>
      <c r="R1064" s="708">
        <f t="shared" si="507"/>
        <v>0</v>
      </c>
      <c r="S1064" s="708">
        <f t="shared" si="507"/>
        <v>0</v>
      </c>
      <c r="T1064" s="708">
        <f t="shared" si="507"/>
        <v>2783344.9000000004</v>
      </c>
      <c r="U1064" s="708">
        <f t="shared" si="507"/>
        <v>0</v>
      </c>
      <c r="V1064" s="708">
        <f t="shared" si="507"/>
        <v>2783344.9000000004</v>
      </c>
    </row>
    <row r="1065" spans="1:22" s="533" customFormat="1" ht="12.6" customHeight="1" x14ac:dyDescent="0.25">
      <c r="A1065" s="532"/>
      <c r="B1065" s="715"/>
      <c r="C1065" s="532"/>
      <c r="D1065" s="532"/>
    </row>
    <row r="1066" spans="1:22" s="533" customFormat="1" ht="12.6" customHeight="1" x14ac:dyDescent="0.25">
      <c r="A1066" s="532"/>
      <c r="B1066" s="715" t="s">
        <v>343</v>
      </c>
      <c r="C1066" s="532" t="s">
        <v>97</v>
      </c>
      <c r="D1066" s="532"/>
      <c r="E1066" s="533">
        <f t="shared" ref="E1066:V1066" si="508">E24</f>
        <v>90000</v>
      </c>
      <c r="F1066" s="533">
        <f t="shared" si="508"/>
        <v>0</v>
      </c>
      <c r="G1066" s="533">
        <f t="shared" si="508"/>
        <v>0</v>
      </c>
      <c r="H1066" s="533">
        <f t="shared" si="508"/>
        <v>0</v>
      </c>
      <c r="I1066" s="533">
        <f t="shared" si="508"/>
        <v>0</v>
      </c>
      <c r="J1066" s="533">
        <f t="shared" si="508"/>
        <v>0</v>
      </c>
      <c r="K1066" s="533">
        <f t="shared" si="508"/>
        <v>0</v>
      </c>
      <c r="L1066" s="533">
        <f t="shared" si="508"/>
        <v>0</v>
      </c>
      <c r="M1066" s="533">
        <f t="shared" si="508"/>
        <v>0</v>
      </c>
      <c r="N1066" s="533">
        <f t="shared" si="508"/>
        <v>0</v>
      </c>
      <c r="O1066" s="533">
        <f t="shared" si="508"/>
        <v>0</v>
      </c>
      <c r="P1066" s="533">
        <f t="shared" si="508"/>
        <v>0</v>
      </c>
      <c r="Q1066" s="533">
        <f t="shared" si="508"/>
        <v>0</v>
      </c>
      <c r="R1066" s="533">
        <f t="shared" si="508"/>
        <v>0</v>
      </c>
      <c r="S1066" s="533">
        <f t="shared" si="508"/>
        <v>0</v>
      </c>
      <c r="T1066" s="533">
        <f t="shared" si="508"/>
        <v>90000</v>
      </c>
      <c r="U1066" s="533">
        <f t="shared" si="508"/>
        <v>0</v>
      </c>
      <c r="V1066" s="533">
        <f t="shared" si="508"/>
        <v>90000</v>
      </c>
    </row>
    <row r="1067" spans="1:22" s="533" customFormat="1" ht="12.6" customHeight="1" x14ac:dyDescent="0.25">
      <c r="A1067" s="532"/>
      <c r="B1067" s="715"/>
      <c r="C1067" s="532" t="s">
        <v>98</v>
      </c>
      <c r="D1067" s="532"/>
      <c r="E1067" s="533">
        <f t="shared" ref="E1067:V1067" si="509">E55+E95+E132+E147+E158+E216+E275+E291+E463+E491+E538+E552+E613</f>
        <v>791260.1</v>
      </c>
      <c r="F1067" s="533">
        <f t="shared" si="509"/>
        <v>476444</v>
      </c>
      <c r="G1067" s="533">
        <f t="shared" si="509"/>
        <v>0</v>
      </c>
      <c r="H1067" s="533">
        <f t="shared" si="509"/>
        <v>0</v>
      </c>
      <c r="I1067" s="533">
        <f t="shared" si="509"/>
        <v>50000</v>
      </c>
      <c r="J1067" s="533">
        <f t="shared" si="509"/>
        <v>0</v>
      </c>
      <c r="K1067" s="533">
        <f t="shared" si="509"/>
        <v>0</v>
      </c>
      <c r="L1067" s="533">
        <f t="shared" si="509"/>
        <v>0</v>
      </c>
      <c r="M1067" s="533">
        <f t="shared" si="509"/>
        <v>0</v>
      </c>
      <c r="N1067" s="533">
        <f t="shared" si="509"/>
        <v>0</v>
      </c>
      <c r="O1067" s="533">
        <f t="shared" si="509"/>
        <v>0</v>
      </c>
      <c r="P1067" s="533">
        <f t="shared" si="509"/>
        <v>0</v>
      </c>
      <c r="Q1067" s="533">
        <f t="shared" si="509"/>
        <v>0</v>
      </c>
      <c r="R1067" s="533">
        <f t="shared" si="509"/>
        <v>0</v>
      </c>
      <c r="S1067" s="533">
        <f t="shared" si="509"/>
        <v>0</v>
      </c>
      <c r="T1067" s="533">
        <f t="shared" si="509"/>
        <v>1317704.1000000001</v>
      </c>
      <c r="U1067" s="533">
        <f t="shared" si="509"/>
        <v>0</v>
      </c>
      <c r="V1067" s="533">
        <f t="shared" si="509"/>
        <v>1317704.1000000001</v>
      </c>
    </row>
    <row r="1068" spans="1:22" s="533" customFormat="1" ht="12.6" customHeight="1" x14ac:dyDescent="0.25">
      <c r="A1068" s="532"/>
      <c r="B1068" s="715"/>
      <c r="C1068" s="532" t="s">
        <v>99</v>
      </c>
      <c r="D1068" s="532"/>
      <c r="E1068" s="707">
        <f t="shared" ref="E1068:V1068" si="510">E671+E711+E737+E840</f>
        <v>100000</v>
      </c>
      <c r="F1068" s="707">
        <f t="shared" si="510"/>
        <v>0</v>
      </c>
      <c r="G1068" s="707">
        <f t="shared" si="510"/>
        <v>0</v>
      </c>
      <c r="H1068" s="707">
        <f t="shared" si="510"/>
        <v>0</v>
      </c>
      <c r="I1068" s="707">
        <f t="shared" si="510"/>
        <v>0</v>
      </c>
      <c r="J1068" s="707">
        <f t="shared" si="510"/>
        <v>0</v>
      </c>
      <c r="K1068" s="707">
        <f t="shared" si="510"/>
        <v>0</v>
      </c>
      <c r="L1068" s="707">
        <f t="shared" si="510"/>
        <v>0</v>
      </c>
      <c r="M1068" s="707">
        <f t="shared" si="510"/>
        <v>0</v>
      </c>
      <c r="N1068" s="707">
        <f t="shared" si="510"/>
        <v>0</v>
      </c>
      <c r="O1068" s="707">
        <f t="shared" si="510"/>
        <v>0</v>
      </c>
      <c r="P1068" s="707">
        <f t="shared" si="510"/>
        <v>0</v>
      </c>
      <c r="Q1068" s="707">
        <f t="shared" si="510"/>
        <v>0</v>
      </c>
      <c r="R1068" s="707">
        <f t="shared" si="510"/>
        <v>0</v>
      </c>
      <c r="S1068" s="707">
        <f t="shared" si="510"/>
        <v>0</v>
      </c>
      <c r="T1068" s="707">
        <f t="shared" si="510"/>
        <v>100000</v>
      </c>
      <c r="U1068" s="707">
        <f t="shared" si="510"/>
        <v>0</v>
      </c>
      <c r="V1068" s="707">
        <f t="shared" si="510"/>
        <v>100000</v>
      </c>
    </row>
    <row r="1069" spans="1:22" s="533" customFormat="1" ht="12.6" customHeight="1" x14ac:dyDescent="0.25">
      <c r="A1069" s="532"/>
      <c r="B1069" s="715"/>
      <c r="C1069" s="532"/>
      <c r="D1069" s="532"/>
      <c r="E1069" s="708">
        <f>SUM(E1066:E1068)</f>
        <v>981260.1</v>
      </c>
      <c r="F1069" s="708">
        <f t="shared" ref="F1069:V1069" si="511">SUM(F1066:F1068)</f>
        <v>476444</v>
      </c>
      <c r="G1069" s="708">
        <f t="shared" si="511"/>
        <v>0</v>
      </c>
      <c r="H1069" s="708">
        <f>SUM(H1066:H1068)</f>
        <v>0</v>
      </c>
      <c r="I1069" s="708">
        <f t="shared" si="511"/>
        <v>50000</v>
      </c>
      <c r="J1069" s="708">
        <f>SUM(J1066:J1068)</f>
        <v>0</v>
      </c>
      <c r="K1069" s="708">
        <f t="shared" si="511"/>
        <v>0</v>
      </c>
      <c r="L1069" s="708">
        <f t="shared" si="511"/>
        <v>0</v>
      </c>
      <c r="M1069" s="708">
        <f t="shared" si="511"/>
        <v>0</v>
      </c>
      <c r="N1069" s="708">
        <f t="shared" si="511"/>
        <v>0</v>
      </c>
      <c r="O1069" s="708">
        <f t="shared" si="511"/>
        <v>0</v>
      </c>
      <c r="P1069" s="708">
        <f t="shared" si="511"/>
        <v>0</v>
      </c>
      <c r="Q1069" s="708">
        <f t="shared" si="511"/>
        <v>0</v>
      </c>
      <c r="R1069" s="708">
        <f t="shared" si="511"/>
        <v>0</v>
      </c>
      <c r="S1069" s="708">
        <f t="shared" si="511"/>
        <v>0</v>
      </c>
      <c r="T1069" s="708">
        <f t="shared" si="511"/>
        <v>1507704.1</v>
      </c>
      <c r="U1069" s="708">
        <f t="shared" si="511"/>
        <v>0</v>
      </c>
      <c r="V1069" s="708">
        <f t="shared" si="511"/>
        <v>1507704.1</v>
      </c>
    </row>
    <row r="1070" spans="1:22" s="533" customFormat="1" ht="12.6" customHeight="1" x14ac:dyDescent="0.25">
      <c r="A1070" s="532"/>
      <c r="B1070" s="715"/>
      <c r="C1070" s="532"/>
      <c r="D1070" s="532"/>
    </row>
    <row r="1071" spans="1:22" s="533" customFormat="1" ht="12.6" customHeight="1" x14ac:dyDescent="0.25">
      <c r="A1071" s="532"/>
      <c r="B1071" s="715" t="s">
        <v>344</v>
      </c>
      <c r="C1071" s="532" t="s">
        <v>97</v>
      </c>
      <c r="D1071" s="532"/>
      <c r="E1071" s="533">
        <f t="shared" ref="E1071:V1071" si="512">E25</f>
        <v>172563.74</v>
      </c>
      <c r="F1071" s="533">
        <f t="shared" si="512"/>
        <v>196781.93</v>
      </c>
      <c r="G1071" s="533">
        <f t="shared" si="512"/>
        <v>0</v>
      </c>
      <c r="H1071" s="533">
        <f t="shared" si="512"/>
        <v>0</v>
      </c>
      <c r="I1071" s="533">
        <f t="shared" si="512"/>
        <v>196781.93</v>
      </c>
      <c r="J1071" s="533">
        <f t="shared" si="512"/>
        <v>0</v>
      </c>
      <c r="K1071" s="533">
        <f t="shared" si="512"/>
        <v>0</v>
      </c>
      <c r="L1071" s="533">
        <f t="shared" si="512"/>
        <v>0</v>
      </c>
      <c r="M1071" s="533">
        <f t="shared" si="512"/>
        <v>0</v>
      </c>
      <c r="N1071" s="533">
        <f t="shared" si="512"/>
        <v>0</v>
      </c>
      <c r="O1071" s="533">
        <f t="shared" si="512"/>
        <v>0</v>
      </c>
      <c r="P1071" s="533">
        <f t="shared" si="512"/>
        <v>0</v>
      </c>
      <c r="Q1071" s="533">
        <f t="shared" si="512"/>
        <v>0</v>
      </c>
      <c r="R1071" s="533">
        <f t="shared" si="512"/>
        <v>0</v>
      </c>
      <c r="S1071" s="533">
        <f t="shared" si="512"/>
        <v>0</v>
      </c>
      <c r="T1071" s="533">
        <f t="shared" si="512"/>
        <v>566127.6</v>
      </c>
      <c r="U1071" s="533">
        <f t="shared" si="512"/>
        <v>0</v>
      </c>
      <c r="V1071" s="533">
        <f t="shared" si="512"/>
        <v>566127.6</v>
      </c>
    </row>
    <row r="1072" spans="1:22" s="533" customFormat="1" ht="12.6" customHeight="1" x14ac:dyDescent="0.25">
      <c r="A1072" s="532"/>
      <c r="B1072" s="715"/>
      <c r="C1072" s="532" t="s">
        <v>98</v>
      </c>
      <c r="D1072" s="532"/>
      <c r="E1072" s="533">
        <f t="shared" ref="E1072:V1072" si="513">E56+E96+E133+E218+E614</f>
        <v>780586.74</v>
      </c>
      <c r="F1072" s="533">
        <f t="shared" si="513"/>
        <v>79000</v>
      </c>
      <c r="G1072" s="533">
        <f t="shared" si="513"/>
        <v>0</v>
      </c>
      <c r="H1072" s="533">
        <f t="shared" si="513"/>
        <v>0</v>
      </c>
      <c r="I1072" s="533">
        <f t="shared" si="513"/>
        <v>59000</v>
      </c>
      <c r="J1072" s="533">
        <f t="shared" si="513"/>
        <v>0</v>
      </c>
      <c r="K1072" s="533">
        <f t="shared" si="513"/>
        <v>0</v>
      </c>
      <c r="L1072" s="533">
        <f t="shared" si="513"/>
        <v>0</v>
      </c>
      <c r="M1072" s="533">
        <f t="shared" si="513"/>
        <v>0</v>
      </c>
      <c r="N1072" s="533">
        <f t="shared" si="513"/>
        <v>0</v>
      </c>
      <c r="O1072" s="533">
        <f t="shared" si="513"/>
        <v>0</v>
      </c>
      <c r="P1072" s="533">
        <f t="shared" si="513"/>
        <v>0</v>
      </c>
      <c r="Q1072" s="533">
        <f t="shared" si="513"/>
        <v>0</v>
      </c>
      <c r="R1072" s="533">
        <f t="shared" si="513"/>
        <v>0</v>
      </c>
      <c r="S1072" s="533">
        <f t="shared" si="513"/>
        <v>0</v>
      </c>
      <c r="T1072" s="533">
        <f t="shared" si="513"/>
        <v>918586.74</v>
      </c>
      <c r="U1072" s="533">
        <f t="shared" si="513"/>
        <v>0</v>
      </c>
      <c r="V1072" s="533">
        <f t="shared" si="513"/>
        <v>918586.74</v>
      </c>
    </row>
    <row r="1073" spans="1:22" s="533" customFormat="1" ht="12.6" customHeight="1" x14ac:dyDescent="0.25">
      <c r="A1073" s="532"/>
      <c r="B1073" s="715"/>
      <c r="C1073" s="532" t="s">
        <v>99</v>
      </c>
      <c r="D1073" s="532"/>
      <c r="E1073" s="707">
        <f t="shared" ref="E1073:V1073" si="514">E712+E738+E811+E841+E863</f>
        <v>370000</v>
      </c>
      <c r="F1073" s="707">
        <f t="shared" si="514"/>
        <v>0</v>
      </c>
      <c r="G1073" s="707">
        <f t="shared" si="514"/>
        <v>0</v>
      </c>
      <c r="H1073" s="707">
        <f t="shared" si="514"/>
        <v>0</v>
      </c>
      <c r="I1073" s="707">
        <f t="shared" si="514"/>
        <v>0</v>
      </c>
      <c r="J1073" s="707">
        <f t="shared" si="514"/>
        <v>0</v>
      </c>
      <c r="K1073" s="707">
        <f t="shared" si="514"/>
        <v>0</v>
      </c>
      <c r="L1073" s="707">
        <f t="shared" si="514"/>
        <v>0</v>
      </c>
      <c r="M1073" s="707">
        <f t="shared" si="514"/>
        <v>0</v>
      </c>
      <c r="N1073" s="707">
        <f t="shared" si="514"/>
        <v>0</v>
      </c>
      <c r="O1073" s="707">
        <f t="shared" si="514"/>
        <v>0</v>
      </c>
      <c r="P1073" s="707">
        <f t="shared" si="514"/>
        <v>0</v>
      </c>
      <c r="Q1073" s="707">
        <f t="shared" si="514"/>
        <v>0</v>
      </c>
      <c r="R1073" s="707">
        <f t="shared" si="514"/>
        <v>0</v>
      </c>
      <c r="S1073" s="707">
        <f t="shared" si="514"/>
        <v>0</v>
      </c>
      <c r="T1073" s="707">
        <f t="shared" si="514"/>
        <v>370000</v>
      </c>
      <c r="U1073" s="707">
        <f t="shared" si="514"/>
        <v>0</v>
      </c>
      <c r="V1073" s="707">
        <f t="shared" si="514"/>
        <v>370000</v>
      </c>
    </row>
    <row r="1074" spans="1:22" s="533" customFormat="1" ht="12.6" customHeight="1" x14ac:dyDescent="0.25">
      <c r="A1074" s="532"/>
      <c r="B1074" s="715"/>
      <c r="C1074" s="532"/>
      <c r="D1074" s="532"/>
      <c r="E1074" s="708">
        <f>SUM(E1071:E1073)</f>
        <v>1323150.48</v>
      </c>
      <c r="F1074" s="708">
        <f t="shared" ref="F1074:V1074" si="515">SUM(F1071:F1073)</f>
        <v>275781.93</v>
      </c>
      <c r="G1074" s="708">
        <f t="shared" si="515"/>
        <v>0</v>
      </c>
      <c r="H1074" s="708">
        <f>SUM(H1071:H1073)</f>
        <v>0</v>
      </c>
      <c r="I1074" s="708">
        <f t="shared" si="515"/>
        <v>255781.93</v>
      </c>
      <c r="J1074" s="708">
        <f>SUM(J1071:J1073)</f>
        <v>0</v>
      </c>
      <c r="K1074" s="708">
        <f t="shared" si="515"/>
        <v>0</v>
      </c>
      <c r="L1074" s="708">
        <f t="shared" si="515"/>
        <v>0</v>
      </c>
      <c r="M1074" s="708">
        <f t="shared" si="515"/>
        <v>0</v>
      </c>
      <c r="N1074" s="708">
        <f t="shared" si="515"/>
        <v>0</v>
      </c>
      <c r="O1074" s="708">
        <f t="shared" si="515"/>
        <v>0</v>
      </c>
      <c r="P1074" s="708">
        <f t="shared" si="515"/>
        <v>0</v>
      </c>
      <c r="Q1074" s="708">
        <f t="shared" si="515"/>
        <v>0</v>
      </c>
      <c r="R1074" s="708">
        <f t="shared" si="515"/>
        <v>0</v>
      </c>
      <c r="S1074" s="708">
        <f t="shared" si="515"/>
        <v>0</v>
      </c>
      <c r="T1074" s="708">
        <f t="shared" si="515"/>
        <v>1854714.3399999999</v>
      </c>
      <c r="U1074" s="708">
        <f t="shared" si="515"/>
        <v>0</v>
      </c>
      <c r="V1074" s="708">
        <f t="shared" si="515"/>
        <v>1854714.3399999999</v>
      </c>
    </row>
    <row r="1075" spans="1:22" s="533" customFormat="1" ht="12.6" customHeight="1" x14ac:dyDescent="0.25">
      <c r="A1075" s="532"/>
      <c r="B1075" s="715"/>
      <c r="C1075" s="532"/>
      <c r="D1075" s="532"/>
    </row>
    <row r="1076" spans="1:22" s="533" customFormat="1" ht="12.6" customHeight="1" x14ac:dyDescent="0.25">
      <c r="A1076" s="532"/>
      <c r="B1076" s="715" t="s">
        <v>188</v>
      </c>
      <c r="C1076" s="532" t="s">
        <v>97</v>
      </c>
      <c r="D1076" s="532"/>
      <c r="E1076" s="533">
        <f t="shared" ref="E1076:V1076" si="516">E26</f>
        <v>50000</v>
      </c>
      <c r="F1076" s="533">
        <f t="shared" si="516"/>
        <v>208500</v>
      </c>
      <c r="G1076" s="533">
        <f t="shared" si="516"/>
        <v>0</v>
      </c>
      <c r="H1076" s="533">
        <f t="shared" si="516"/>
        <v>0</v>
      </c>
      <c r="I1076" s="533">
        <f t="shared" si="516"/>
        <v>0</v>
      </c>
      <c r="J1076" s="533">
        <f t="shared" si="516"/>
        <v>0</v>
      </c>
      <c r="K1076" s="533">
        <f t="shared" si="516"/>
        <v>0</v>
      </c>
      <c r="L1076" s="533">
        <f t="shared" si="516"/>
        <v>0</v>
      </c>
      <c r="M1076" s="533">
        <f t="shared" si="516"/>
        <v>0</v>
      </c>
      <c r="N1076" s="533">
        <f t="shared" si="516"/>
        <v>0</v>
      </c>
      <c r="O1076" s="533">
        <f t="shared" si="516"/>
        <v>0</v>
      </c>
      <c r="P1076" s="533">
        <f t="shared" si="516"/>
        <v>0</v>
      </c>
      <c r="Q1076" s="533">
        <f t="shared" si="516"/>
        <v>0</v>
      </c>
      <c r="R1076" s="533">
        <f t="shared" si="516"/>
        <v>0</v>
      </c>
      <c r="S1076" s="533">
        <f t="shared" si="516"/>
        <v>0</v>
      </c>
      <c r="T1076" s="533">
        <f t="shared" si="516"/>
        <v>258500</v>
      </c>
      <c r="U1076" s="533">
        <f t="shared" si="516"/>
        <v>0</v>
      </c>
      <c r="V1076" s="533">
        <f t="shared" si="516"/>
        <v>258500</v>
      </c>
    </row>
    <row r="1077" spans="1:22" s="533" customFormat="1" ht="12.6" customHeight="1" x14ac:dyDescent="0.25">
      <c r="A1077" s="532"/>
      <c r="B1077" s="715"/>
      <c r="C1077" s="532" t="s">
        <v>98</v>
      </c>
      <c r="D1077" s="532"/>
      <c r="E1077" s="533">
        <f t="shared" ref="E1077:V1077" si="517">E57+E72+E97+E134+E616</f>
        <v>0</v>
      </c>
      <c r="F1077" s="533">
        <f t="shared" si="517"/>
        <v>0</v>
      </c>
      <c r="G1077" s="533">
        <f t="shared" si="517"/>
        <v>0</v>
      </c>
      <c r="H1077" s="533">
        <f t="shared" si="517"/>
        <v>0</v>
      </c>
      <c r="I1077" s="533">
        <f t="shared" si="517"/>
        <v>0</v>
      </c>
      <c r="J1077" s="533">
        <f t="shared" si="517"/>
        <v>0</v>
      </c>
      <c r="K1077" s="533">
        <f t="shared" si="517"/>
        <v>0</v>
      </c>
      <c r="L1077" s="533">
        <f t="shared" si="517"/>
        <v>0</v>
      </c>
      <c r="M1077" s="533">
        <f t="shared" si="517"/>
        <v>0</v>
      </c>
      <c r="N1077" s="533">
        <f t="shared" si="517"/>
        <v>0</v>
      </c>
      <c r="O1077" s="533">
        <f t="shared" si="517"/>
        <v>0</v>
      </c>
      <c r="P1077" s="533">
        <f t="shared" si="517"/>
        <v>0</v>
      </c>
      <c r="Q1077" s="533">
        <f t="shared" si="517"/>
        <v>0</v>
      </c>
      <c r="R1077" s="533">
        <f t="shared" si="517"/>
        <v>0</v>
      </c>
      <c r="S1077" s="533">
        <f t="shared" si="517"/>
        <v>0</v>
      </c>
      <c r="T1077" s="533">
        <f t="shared" si="517"/>
        <v>0</v>
      </c>
      <c r="U1077" s="533">
        <f t="shared" si="517"/>
        <v>0</v>
      </c>
      <c r="V1077" s="533">
        <f t="shared" si="517"/>
        <v>0</v>
      </c>
    </row>
    <row r="1078" spans="1:22" s="533" customFormat="1" ht="12.6" customHeight="1" x14ac:dyDescent="0.25">
      <c r="A1078" s="532"/>
      <c r="B1078" s="715"/>
      <c r="C1078" s="532" t="s">
        <v>99</v>
      </c>
      <c r="D1078" s="532"/>
      <c r="E1078" s="707"/>
      <c r="F1078" s="707"/>
      <c r="G1078" s="707"/>
      <c r="H1078" s="707"/>
      <c r="I1078" s="707"/>
      <c r="J1078" s="707"/>
      <c r="K1078" s="707"/>
      <c r="L1078" s="707"/>
      <c r="M1078" s="707"/>
      <c r="N1078" s="707"/>
      <c r="O1078" s="707"/>
      <c r="P1078" s="707"/>
      <c r="Q1078" s="707"/>
      <c r="R1078" s="707"/>
      <c r="S1078" s="707"/>
      <c r="T1078" s="707"/>
      <c r="U1078" s="707"/>
      <c r="V1078" s="707"/>
    </row>
    <row r="1079" spans="1:22" s="533" customFormat="1" ht="12.6" customHeight="1" x14ac:dyDescent="0.25">
      <c r="A1079" s="532"/>
      <c r="B1079" s="715"/>
      <c r="C1079" s="532"/>
      <c r="D1079" s="532"/>
      <c r="E1079" s="708">
        <f>SUM(E1076:E1078)</f>
        <v>50000</v>
      </c>
      <c r="F1079" s="708">
        <f t="shared" ref="F1079:V1079" si="518">SUM(F1076:F1078)</f>
        <v>208500</v>
      </c>
      <c r="G1079" s="708">
        <f t="shared" si="518"/>
        <v>0</v>
      </c>
      <c r="H1079" s="708">
        <f>SUM(H1076:H1078)</f>
        <v>0</v>
      </c>
      <c r="I1079" s="708">
        <f t="shared" si="518"/>
        <v>0</v>
      </c>
      <c r="J1079" s="708">
        <f>SUM(J1076:J1078)</f>
        <v>0</v>
      </c>
      <c r="K1079" s="708">
        <f t="shared" si="518"/>
        <v>0</v>
      </c>
      <c r="L1079" s="708">
        <f t="shared" si="518"/>
        <v>0</v>
      </c>
      <c r="M1079" s="708">
        <f t="shared" si="518"/>
        <v>0</v>
      </c>
      <c r="N1079" s="708">
        <f t="shared" si="518"/>
        <v>0</v>
      </c>
      <c r="O1079" s="708">
        <f t="shared" si="518"/>
        <v>0</v>
      </c>
      <c r="P1079" s="708">
        <f t="shared" si="518"/>
        <v>0</v>
      </c>
      <c r="Q1079" s="708">
        <f t="shared" si="518"/>
        <v>0</v>
      </c>
      <c r="R1079" s="708">
        <f t="shared" si="518"/>
        <v>0</v>
      </c>
      <c r="S1079" s="708">
        <f t="shared" si="518"/>
        <v>0</v>
      </c>
      <c r="T1079" s="708">
        <f t="shared" si="518"/>
        <v>258500</v>
      </c>
      <c r="U1079" s="708">
        <f t="shared" si="518"/>
        <v>0</v>
      </c>
      <c r="V1079" s="708">
        <f t="shared" si="518"/>
        <v>258500</v>
      </c>
    </row>
    <row r="1080" spans="1:22" s="533" customFormat="1" ht="12.6" customHeight="1" x14ac:dyDescent="0.25">
      <c r="A1080" s="532"/>
      <c r="B1080" s="715"/>
      <c r="C1080" s="532"/>
      <c r="D1080" s="532"/>
    </row>
    <row r="1081" spans="1:22" s="533" customFormat="1" ht="12.6" customHeight="1" x14ac:dyDescent="0.25">
      <c r="A1081" s="532"/>
      <c r="B1081" s="715" t="s">
        <v>437</v>
      </c>
      <c r="C1081" s="532" t="s">
        <v>97</v>
      </c>
      <c r="D1081" s="532"/>
      <c r="E1081" s="533">
        <f t="shared" ref="E1081:V1081" si="519">E27</f>
        <v>9778.91</v>
      </c>
      <c r="F1081" s="533">
        <f t="shared" si="519"/>
        <v>186834</v>
      </c>
      <c r="G1081" s="533">
        <f t="shared" si="519"/>
        <v>0</v>
      </c>
      <c r="H1081" s="533">
        <f t="shared" si="519"/>
        <v>0</v>
      </c>
      <c r="I1081" s="533">
        <f t="shared" si="519"/>
        <v>0</v>
      </c>
      <c r="J1081" s="533">
        <f t="shared" si="519"/>
        <v>0</v>
      </c>
      <c r="K1081" s="533">
        <f t="shared" si="519"/>
        <v>0</v>
      </c>
      <c r="L1081" s="533">
        <f t="shared" si="519"/>
        <v>0</v>
      </c>
      <c r="M1081" s="533">
        <f t="shared" si="519"/>
        <v>0</v>
      </c>
      <c r="N1081" s="533">
        <f t="shared" si="519"/>
        <v>0</v>
      </c>
      <c r="O1081" s="533">
        <f t="shared" si="519"/>
        <v>0</v>
      </c>
      <c r="P1081" s="533">
        <f t="shared" si="519"/>
        <v>0</v>
      </c>
      <c r="Q1081" s="533">
        <f t="shared" si="519"/>
        <v>0</v>
      </c>
      <c r="R1081" s="533">
        <f t="shared" si="519"/>
        <v>0</v>
      </c>
      <c r="S1081" s="533">
        <f t="shared" si="519"/>
        <v>0</v>
      </c>
      <c r="T1081" s="533">
        <f t="shared" si="519"/>
        <v>196612.91</v>
      </c>
      <c r="U1081" s="533">
        <f t="shared" si="519"/>
        <v>0</v>
      </c>
      <c r="V1081" s="533">
        <f t="shared" si="519"/>
        <v>196612.91</v>
      </c>
    </row>
    <row r="1082" spans="1:22" s="533" customFormat="1" ht="12.6" customHeight="1" x14ac:dyDescent="0.25">
      <c r="A1082" s="532"/>
      <c r="B1082" s="715"/>
      <c r="C1082" s="532" t="s">
        <v>98</v>
      </c>
      <c r="D1082" s="532"/>
    </row>
    <row r="1083" spans="1:22" s="533" customFormat="1" ht="12.6" customHeight="1" x14ac:dyDescent="0.25">
      <c r="A1083" s="532"/>
      <c r="B1083" s="715"/>
      <c r="C1083" s="532" t="s">
        <v>99</v>
      </c>
      <c r="D1083" s="532"/>
      <c r="E1083" s="707">
        <f t="shared" ref="E1083:U1083" si="520">E842</f>
        <v>0</v>
      </c>
      <c r="F1083" s="707">
        <f t="shared" si="520"/>
        <v>0</v>
      </c>
      <c r="G1083" s="707">
        <f t="shared" si="520"/>
        <v>0</v>
      </c>
      <c r="H1083" s="707">
        <f>H842</f>
        <v>0</v>
      </c>
      <c r="I1083" s="707">
        <f t="shared" si="520"/>
        <v>0</v>
      </c>
      <c r="J1083" s="707">
        <f>J842</f>
        <v>0</v>
      </c>
      <c r="K1083" s="707">
        <f t="shared" si="520"/>
        <v>0</v>
      </c>
      <c r="L1083" s="707">
        <f t="shared" si="520"/>
        <v>0</v>
      </c>
      <c r="M1083" s="707">
        <f t="shared" si="520"/>
        <v>0</v>
      </c>
      <c r="N1083" s="707">
        <f t="shared" si="520"/>
        <v>0</v>
      </c>
      <c r="O1083" s="707">
        <f t="shared" si="520"/>
        <v>0</v>
      </c>
      <c r="P1083" s="707">
        <f t="shared" si="520"/>
        <v>0</v>
      </c>
      <c r="Q1083" s="707">
        <f t="shared" si="520"/>
        <v>0</v>
      </c>
      <c r="R1083" s="707">
        <f t="shared" si="520"/>
        <v>0</v>
      </c>
      <c r="S1083" s="707">
        <f t="shared" si="520"/>
        <v>0</v>
      </c>
      <c r="T1083" s="707">
        <f t="shared" si="520"/>
        <v>0</v>
      </c>
      <c r="U1083" s="707">
        <f t="shared" si="520"/>
        <v>0</v>
      </c>
      <c r="V1083" s="707">
        <f>V842</f>
        <v>0</v>
      </c>
    </row>
    <row r="1084" spans="1:22" s="533" customFormat="1" ht="12.6" customHeight="1" x14ac:dyDescent="0.25">
      <c r="A1084" s="532"/>
      <c r="B1084" s="715"/>
      <c r="C1084" s="532"/>
      <c r="D1084" s="532"/>
      <c r="E1084" s="708">
        <f>SUM(E1081:E1083)</f>
        <v>9778.91</v>
      </c>
      <c r="F1084" s="708">
        <f t="shared" ref="F1084:V1084" si="521">SUM(F1081:F1083)</f>
        <v>186834</v>
      </c>
      <c r="G1084" s="708">
        <f t="shared" si="521"/>
        <v>0</v>
      </c>
      <c r="H1084" s="708">
        <f>SUM(H1081:H1083)</f>
        <v>0</v>
      </c>
      <c r="I1084" s="708">
        <f t="shared" si="521"/>
        <v>0</v>
      </c>
      <c r="J1084" s="708">
        <f>SUM(J1081:J1083)</f>
        <v>0</v>
      </c>
      <c r="K1084" s="708">
        <f t="shared" si="521"/>
        <v>0</v>
      </c>
      <c r="L1084" s="708">
        <f t="shared" si="521"/>
        <v>0</v>
      </c>
      <c r="M1084" s="708">
        <f t="shared" si="521"/>
        <v>0</v>
      </c>
      <c r="N1084" s="708">
        <f t="shared" si="521"/>
        <v>0</v>
      </c>
      <c r="O1084" s="708">
        <f t="shared" si="521"/>
        <v>0</v>
      </c>
      <c r="P1084" s="708">
        <f t="shared" si="521"/>
        <v>0</v>
      </c>
      <c r="Q1084" s="708">
        <f t="shared" si="521"/>
        <v>0</v>
      </c>
      <c r="R1084" s="708">
        <f t="shared" si="521"/>
        <v>0</v>
      </c>
      <c r="S1084" s="708">
        <f t="shared" si="521"/>
        <v>0</v>
      </c>
      <c r="T1084" s="708">
        <f t="shared" si="521"/>
        <v>196612.91</v>
      </c>
      <c r="U1084" s="708">
        <f t="shared" si="521"/>
        <v>0</v>
      </c>
      <c r="V1084" s="708">
        <f t="shared" si="521"/>
        <v>196612.91</v>
      </c>
    </row>
    <row r="1085" spans="1:22" s="533" customFormat="1" ht="12.6" customHeight="1" x14ac:dyDescent="0.25">
      <c r="A1085" s="532"/>
      <c r="B1085" s="715"/>
      <c r="C1085" s="532"/>
      <c r="D1085" s="532"/>
    </row>
    <row r="1086" spans="1:22" s="533" customFormat="1" ht="12.6" customHeight="1" x14ac:dyDescent="0.25">
      <c r="A1086" s="532"/>
      <c r="B1086" s="715" t="s">
        <v>414</v>
      </c>
      <c r="C1086" s="532" t="s">
        <v>97</v>
      </c>
      <c r="D1086" s="532"/>
    </row>
    <row r="1087" spans="1:22" s="533" customFormat="1" ht="12.6" customHeight="1" x14ac:dyDescent="0.25">
      <c r="A1087" s="532"/>
      <c r="B1087" s="715"/>
      <c r="C1087" s="532" t="s">
        <v>98</v>
      </c>
      <c r="D1087" s="532"/>
      <c r="E1087" s="533">
        <f t="shared" ref="E1087:V1087" si="522">E618</f>
        <v>0</v>
      </c>
      <c r="F1087" s="533">
        <f t="shared" si="522"/>
        <v>83085</v>
      </c>
      <c r="G1087" s="533">
        <f t="shared" si="522"/>
        <v>0</v>
      </c>
      <c r="H1087" s="533">
        <f t="shared" si="522"/>
        <v>0</v>
      </c>
      <c r="I1087" s="533">
        <f t="shared" si="522"/>
        <v>0</v>
      </c>
      <c r="J1087" s="533">
        <f t="shared" si="522"/>
        <v>0</v>
      </c>
      <c r="K1087" s="533">
        <f t="shared" si="522"/>
        <v>0</v>
      </c>
      <c r="L1087" s="533">
        <f t="shared" si="522"/>
        <v>0</v>
      </c>
      <c r="M1087" s="533">
        <f t="shared" si="522"/>
        <v>0</v>
      </c>
      <c r="N1087" s="533">
        <f t="shared" si="522"/>
        <v>0</v>
      </c>
      <c r="O1087" s="533">
        <f t="shared" si="522"/>
        <v>0</v>
      </c>
      <c r="P1087" s="533">
        <f t="shared" si="522"/>
        <v>0</v>
      </c>
      <c r="Q1087" s="533">
        <f t="shared" si="522"/>
        <v>0</v>
      </c>
      <c r="R1087" s="533">
        <f t="shared" si="522"/>
        <v>0</v>
      </c>
      <c r="S1087" s="533">
        <f t="shared" si="522"/>
        <v>0</v>
      </c>
      <c r="T1087" s="533">
        <f t="shared" si="522"/>
        <v>83085</v>
      </c>
      <c r="U1087" s="533">
        <f t="shared" si="522"/>
        <v>0</v>
      </c>
      <c r="V1087" s="533">
        <f t="shared" si="522"/>
        <v>83085</v>
      </c>
    </row>
    <row r="1088" spans="1:22" s="533" customFormat="1" ht="12.6" customHeight="1" x14ac:dyDescent="0.25">
      <c r="A1088" s="532"/>
      <c r="B1088" s="715"/>
      <c r="C1088" s="532" t="s">
        <v>99</v>
      </c>
      <c r="D1088" s="532"/>
      <c r="E1088" s="707"/>
      <c r="F1088" s="707"/>
      <c r="G1088" s="707"/>
      <c r="H1088" s="707"/>
      <c r="I1088" s="707"/>
      <c r="J1088" s="707"/>
      <c r="K1088" s="707"/>
      <c r="L1088" s="707"/>
      <c r="M1088" s="707"/>
      <c r="N1088" s="707"/>
      <c r="O1088" s="707"/>
      <c r="P1088" s="707"/>
      <c r="Q1088" s="707"/>
      <c r="R1088" s="707"/>
      <c r="S1088" s="707"/>
      <c r="T1088" s="707"/>
      <c r="U1088" s="707"/>
      <c r="V1088" s="707"/>
    </row>
    <row r="1089" spans="1:22" s="533" customFormat="1" ht="12.6" customHeight="1" x14ac:dyDescent="0.25">
      <c r="A1089" s="532"/>
      <c r="B1089" s="715"/>
      <c r="C1089" s="532"/>
      <c r="D1089" s="532"/>
      <c r="E1089" s="708">
        <f>SUM(E1086:E1088)</f>
        <v>0</v>
      </c>
      <c r="F1089" s="708">
        <f t="shared" ref="F1089:V1089" si="523">SUM(F1086:F1088)</f>
        <v>83085</v>
      </c>
      <c r="G1089" s="708">
        <f t="shared" si="523"/>
        <v>0</v>
      </c>
      <c r="H1089" s="708">
        <f>SUM(H1086:H1088)</f>
        <v>0</v>
      </c>
      <c r="I1089" s="708">
        <f t="shared" si="523"/>
        <v>0</v>
      </c>
      <c r="J1089" s="708">
        <f>SUM(J1086:J1088)</f>
        <v>0</v>
      </c>
      <c r="K1089" s="708">
        <f t="shared" si="523"/>
        <v>0</v>
      </c>
      <c r="L1089" s="708">
        <f t="shared" si="523"/>
        <v>0</v>
      </c>
      <c r="M1089" s="708">
        <f t="shared" si="523"/>
        <v>0</v>
      </c>
      <c r="N1089" s="708">
        <f t="shared" si="523"/>
        <v>0</v>
      </c>
      <c r="O1089" s="708">
        <f t="shared" si="523"/>
        <v>0</v>
      </c>
      <c r="P1089" s="708">
        <f t="shared" si="523"/>
        <v>0</v>
      </c>
      <c r="Q1089" s="708">
        <f t="shared" si="523"/>
        <v>0</v>
      </c>
      <c r="R1089" s="708">
        <f t="shared" si="523"/>
        <v>0</v>
      </c>
      <c r="S1089" s="708">
        <f t="shared" si="523"/>
        <v>0</v>
      </c>
      <c r="T1089" s="708">
        <f t="shared" si="523"/>
        <v>83085</v>
      </c>
      <c r="U1089" s="708">
        <f t="shared" si="523"/>
        <v>0</v>
      </c>
      <c r="V1089" s="708">
        <f t="shared" si="523"/>
        <v>83085</v>
      </c>
    </row>
    <row r="1090" spans="1:22" s="533" customFormat="1" ht="12.6" customHeight="1" x14ac:dyDescent="0.25">
      <c r="A1090" s="532"/>
      <c r="B1090" s="715"/>
      <c r="C1090" s="532"/>
      <c r="D1090" s="532"/>
    </row>
    <row r="1091" spans="1:22" s="533" customFormat="1" ht="12.6" customHeight="1" x14ac:dyDescent="0.25">
      <c r="A1091" s="532"/>
      <c r="B1091" s="715" t="s">
        <v>154</v>
      </c>
      <c r="C1091" s="532" t="s">
        <v>97</v>
      </c>
      <c r="D1091" s="532"/>
      <c r="E1091" s="533">
        <f t="shared" ref="E1091:V1091" si="524">E28</f>
        <v>30000</v>
      </c>
      <c r="F1091" s="533">
        <f t="shared" si="524"/>
        <v>0</v>
      </c>
      <c r="G1091" s="533">
        <f t="shared" si="524"/>
        <v>0</v>
      </c>
      <c r="H1091" s="533">
        <f t="shared" si="524"/>
        <v>0</v>
      </c>
      <c r="I1091" s="533">
        <f t="shared" si="524"/>
        <v>0</v>
      </c>
      <c r="J1091" s="533">
        <f t="shared" si="524"/>
        <v>0</v>
      </c>
      <c r="K1091" s="533">
        <f t="shared" si="524"/>
        <v>0</v>
      </c>
      <c r="L1091" s="533">
        <f t="shared" si="524"/>
        <v>0</v>
      </c>
      <c r="M1091" s="533">
        <f t="shared" si="524"/>
        <v>0</v>
      </c>
      <c r="N1091" s="533">
        <f t="shared" si="524"/>
        <v>0</v>
      </c>
      <c r="O1091" s="533">
        <f t="shared" si="524"/>
        <v>0</v>
      </c>
      <c r="P1091" s="533">
        <f t="shared" si="524"/>
        <v>0</v>
      </c>
      <c r="Q1091" s="533">
        <f t="shared" si="524"/>
        <v>0</v>
      </c>
      <c r="R1091" s="533">
        <f t="shared" si="524"/>
        <v>0</v>
      </c>
      <c r="S1091" s="533">
        <f t="shared" si="524"/>
        <v>0</v>
      </c>
      <c r="T1091" s="533">
        <f t="shared" si="524"/>
        <v>30000</v>
      </c>
      <c r="U1091" s="533">
        <f t="shared" si="524"/>
        <v>0</v>
      </c>
      <c r="V1091" s="533">
        <f t="shared" si="524"/>
        <v>30000</v>
      </c>
    </row>
    <row r="1092" spans="1:22" s="533" customFormat="1" ht="12.6" customHeight="1" x14ac:dyDescent="0.25">
      <c r="A1092" s="532"/>
      <c r="B1092" s="715"/>
      <c r="C1092" s="532" t="s">
        <v>98</v>
      </c>
      <c r="D1092" s="532"/>
      <c r="E1092" s="533">
        <f t="shared" ref="E1092:V1092" si="525">E58+E98+E135+E219+E292+E310+E553+E619+E276+E337</f>
        <v>2594503.23</v>
      </c>
      <c r="F1092" s="533">
        <f t="shared" si="525"/>
        <v>667894.30000000005</v>
      </c>
      <c r="G1092" s="533">
        <f t="shared" si="525"/>
        <v>0</v>
      </c>
      <c r="H1092" s="533">
        <f t="shared" si="525"/>
        <v>0</v>
      </c>
      <c r="I1092" s="533">
        <f t="shared" si="525"/>
        <v>53800</v>
      </c>
      <c r="J1092" s="533">
        <f t="shared" si="525"/>
        <v>0</v>
      </c>
      <c r="K1092" s="533">
        <f t="shared" si="525"/>
        <v>0</v>
      </c>
      <c r="L1092" s="533">
        <f t="shared" si="525"/>
        <v>0</v>
      </c>
      <c r="M1092" s="533">
        <f t="shared" si="525"/>
        <v>0</v>
      </c>
      <c r="N1092" s="533">
        <f t="shared" si="525"/>
        <v>0</v>
      </c>
      <c r="O1092" s="533">
        <f t="shared" si="525"/>
        <v>0</v>
      </c>
      <c r="P1092" s="533">
        <f t="shared" si="525"/>
        <v>0</v>
      </c>
      <c r="Q1092" s="533">
        <f t="shared" si="525"/>
        <v>0</v>
      </c>
      <c r="R1092" s="533">
        <f t="shared" si="525"/>
        <v>0</v>
      </c>
      <c r="S1092" s="533">
        <f t="shared" si="525"/>
        <v>0</v>
      </c>
      <c r="T1092" s="533">
        <f t="shared" si="525"/>
        <v>3316197.53</v>
      </c>
      <c r="U1092" s="533">
        <f t="shared" si="525"/>
        <v>0</v>
      </c>
      <c r="V1092" s="533">
        <f t="shared" si="525"/>
        <v>3316197.53</v>
      </c>
    </row>
    <row r="1093" spans="1:22" s="533" customFormat="1" ht="12.6" customHeight="1" x14ac:dyDescent="0.25">
      <c r="A1093" s="532"/>
      <c r="B1093" s="715"/>
      <c r="C1093" s="532" t="s">
        <v>99</v>
      </c>
      <c r="D1093" s="532"/>
      <c r="E1093" s="707">
        <f t="shared" ref="E1093:V1093" si="526">E713+E739+E812+E843</f>
        <v>60000</v>
      </c>
      <c r="F1093" s="707">
        <f t="shared" si="526"/>
        <v>0</v>
      </c>
      <c r="G1093" s="707">
        <f t="shared" si="526"/>
        <v>0</v>
      </c>
      <c r="H1093" s="707">
        <f t="shared" si="526"/>
        <v>0</v>
      </c>
      <c r="I1093" s="707">
        <f t="shared" si="526"/>
        <v>0</v>
      </c>
      <c r="J1093" s="707">
        <f t="shared" si="526"/>
        <v>0</v>
      </c>
      <c r="K1093" s="707">
        <f t="shared" si="526"/>
        <v>0</v>
      </c>
      <c r="L1093" s="707">
        <f t="shared" si="526"/>
        <v>0</v>
      </c>
      <c r="M1093" s="707">
        <f t="shared" si="526"/>
        <v>0</v>
      </c>
      <c r="N1093" s="707">
        <f t="shared" si="526"/>
        <v>0</v>
      </c>
      <c r="O1093" s="707">
        <f t="shared" si="526"/>
        <v>0</v>
      </c>
      <c r="P1093" s="707">
        <f t="shared" si="526"/>
        <v>0</v>
      </c>
      <c r="Q1093" s="707">
        <f t="shared" si="526"/>
        <v>0</v>
      </c>
      <c r="R1093" s="707">
        <f t="shared" si="526"/>
        <v>0</v>
      </c>
      <c r="S1093" s="707">
        <f t="shared" si="526"/>
        <v>0</v>
      </c>
      <c r="T1093" s="707">
        <f t="shared" si="526"/>
        <v>60000</v>
      </c>
      <c r="U1093" s="707">
        <f t="shared" si="526"/>
        <v>0</v>
      </c>
      <c r="V1093" s="707">
        <f t="shared" si="526"/>
        <v>60000</v>
      </c>
    </row>
    <row r="1094" spans="1:22" s="533" customFormat="1" ht="12.6" customHeight="1" x14ac:dyDescent="0.25">
      <c r="A1094" s="532"/>
      <c r="B1094" s="715"/>
      <c r="C1094" s="532"/>
      <c r="D1094" s="532"/>
      <c r="E1094" s="708">
        <f>SUM(E1091:E1093)</f>
        <v>2684503.23</v>
      </c>
      <c r="F1094" s="708">
        <f t="shared" ref="F1094:V1094" si="527">SUM(F1091:F1093)</f>
        <v>667894.30000000005</v>
      </c>
      <c r="G1094" s="708">
        <f t="shared" si="527"/>
        <v>0</v>
      </c>
      <c r="H1094" s="708">
        <f>SUM(H1091:H1093)</f>
        <v>0</v>
      </c>
      <c r="I1094" s="708">
        <f t="shared" si="527"/>
        <v>53800</v>
      </c>
      <c r="J1094" s="708">
        <f>SUM(J1091:J1093)</f>
        <v>0</v>
      </c>
      <c r="K1094" s="708">
        <f t="shared" si="527"/>
        <v>0</v>
      </c>
      <c r="L1094" s="708">
        <f t="shared" si="527"/>
        <v>0</v>
      </c>
      <c r="M1094" s="708">
        <f t="shared" si="527"/>
        <v>0</v>
      </c>
      <c r="N1094" s="708">
        <f t="shared" si="527"/>
        <v>0</v>
      </c>
      <c r="O1094" s="708">
        <f t="shared" si="527"/>
        <v>0</v>
      </c>
      <c r="P1094" s="708">
        <f t="shared" si="527"/>
        <v>0</v>
      </c>
      <c r="Q1094" s="708">
        <f t="shared" si="527"/>
        <v>0</v>
      </c>
      <c r="R1094" s="708">
        <f t="shared" si="527"/>
        <v>0</v>
      </c>
      <c r="S1094" s="708">
        <f t="shared" si="527"/>
        <v>0</v>
      </c>
      <c r="T1094" s="708">
        <f t="shared" si="527"/>
        <v>3406197.53</v>
      </c>
      <c r="U1094" s="708">
        <f t="shared" si="527"/>
        <v>0</v>
      </c>
      <c r="V1094" s="708">
        <f t="shared" si="527"/>
        <v>3406197.53</v>
      </c>
    </row>
    <row r="1095" spans="1:22" s="533" customFormat="1" ht="12.6" customHeight="1" x14ac:dyDescent="0.25">
      <c r="A1095" s="532"/>
      <c r="B1095" s="715"/>
      <c r="C1095" s="532"/>
      <c r="D1095" s="532"/>
    </row>
    <row r="1096" spans="1:22" s="533" customFormat="1" ht="12.6" customHeight="1" x14ac:dyDescent="0.25">
      <c r="A1096" s="532"/>
      <c r="B1096" s="715" t="s">
        <v>438</v>
      </c>
      <c r="C1096" s="532" t="s">
        <v>97</v>
      </c>
      <c r="D1096" s="532"/>
    </row>
    <row r="1097" spans="1:22" s="533" customFormat="1" ht="12.6" customHeight="1" x14ac:dyDescent="0.25">
      <c r="A1097" s="532"/>
      <c r="B1097" s="715"/>
      <c r="C1097" s="532" t="s">
        <v>98</v>
      </c>
      <c r="D1097" s="532"/>
      <c r="E1097" s="533">
        <f t="shared" ref="E1097:V1097" si="528">E220+E136</f>
        <v>0</v>
      </c>
      <c r="F1097" s="533">
        <f t="shared" si="528"/>
        <v>0</v>
      </c>
      <c r="G1097" s="533">
        <f t="shared" si="528"/>
        <v>0</v>
      </c>
      <c r="H1097" s="533">
        <f t="shared" si="528"/>
        <v>0</v>
      </c>
      <c r="I1097" s="533">
        <f t="shared" si="528"/>
        <v>0</v>
      </c>
      <c r="J1097" s="533">
        <f t="shared" si="528"/>
        <v>0</v>
      </c>
      <c r="K1097" s="533">
        <f t="shared" si="528"/>
        <v>0</v>
      </c>
      <c r="L1097" s="533">
        <f t="shared" si="528"/>
        <v>0</v>
      </c>
      <c r="M1097" s="533">
        <f t="shared" si="528"/>
        <v>0</v>
      </c>
      <c r="N1097" s="533">
        <f t="shared" si="528"/>
        <v>0</v>
      </c>
      <c r="O1097" s="533">
        <f t="shared" si="528"/>
        <v>0</v>
      </c>
      <c r="P1097" s="533">
        <f t="shared" si="528"/>
        <v>0</v>
      </c>
      <c r="Q1097" s="533">
        <f t="shared" si="528"/>
        <v>0</v>
      </c>
      <c r="R1097" s="533">
        <f t="shared" si="528"/>
        <v>0</v>
      </c>
      <c r="S1097" s="533">
        <f t="shared" si="528"/>
        <v>0</v>
      </c>
      <c r="T1097" s="533">
        <f t="shared" si="528"/>
        <v>0</v>
      </c>
      <c r="U1097" s="533">
        <f t="shared" si="528"/>
        <v>0</v>
      </c>
      <c r="V1097" s="533">
        <f t="shared" si="528"/>
        <v>0</v>
      </c>
    </row>
    <row r="1098" spans="1:22" s="533" customFormat="1" ht="12.6" customHeight="1" x14ac:dyDescent="0.25">
      <c r="A1098" s="532"/>
      <c r="B1098" s="715"/>
      <c r="C1098" s="532" t="s">
        <v>99</v>
      </c>
      <c r="D1098" s="532"/>
      <c r="E1098" s="707">
        <f t="shared" ref="E1098:V1098" si="529">E779</f>
        <v>0</v>
      </c>
      <c r="F1098" s="707">
        <f t="shared" si="529"/>
        <v>0</v>
      </c>
      <c r="G1098" s="707">
        <f t="shared" si="529"/>
        <v>0</v>
      </c>
      <c r="H1098" s="707">
        <f t="shared" si="529"/>
        <v>0</v>
      </c>
      <c r="I1098" s="707">
        <f t="shared" si="529"/>
        <v>0</v>
      </c>
      <c r="J1098" s="707">
        <f t="shared" si="529"/>
        <v>0</v>
      </c>
      <c r="K1098" s="707">
        <f t="shared" si="529"/>
        <v>0</v>
      </c>
      <c r="L1098" s="707">
        <f t="shared" si="529"/>
        <v>0</v>
      </c>
      <c r="M1098" s="707">
        <f t="shared" si="529"/>
        <v>0</v>
      </c>
      <c r="N1098" s="707">
        <f t="shared" si="529"/>
        <v>0</v>
      </c>
      <c r="O1098" s="707">
        <f t="shared" si="529"/>
        <v>0</v>
      </c>
      <c r="P1098" s="707">
        <f t="shared" si="529"/>
        <v>0</v>
      </c>
      <c r="Q1098" s="707">
        <f t="shared" si="529"/>
        <v>0</v>
      </c>
      <c r="R1098" s="707">
        <f t="shared" si="529"/>
        <v>0</v>
      </c>
      <c r="S1098" s="707">
        <f t="shared" si="529"/>
        <v>0</v>
      </c>
      <c r="T1098" s="707">
        <f t="shared" si="529"/>
        <v>0</v>
      </c>
      <c r="U1098" s="707">
        <f t="shared" si="529"/>
        <v>0</v>
      </c>
      <c r="V1098" s="707">
        <f t="shared" si="529"/>
        <v>0</v>
      </c>
    </row>
    <row r="1099" spans="1:22" s="533" customFormat="1" ht="12.6" customHeight="1" x14ac:dyDescent="0.25">
      <c r="A1099" s="532"/>
      <c r="B1099" s="715"/>
      <c r="C1099" s="532"/>
      <c r="D1099" s="532"/>
      <c r="E1099" s="708">
        <f>SUM(E1096:E1098)</f>
        <v>0</v>
      </c>
      <c r="F1099" s="708">
        <f t="shared" ref="F1099:V1099" si="530">SUM(F1096:F1098)</f>
        <v>0</v>
      </c>
      <c r="G1099" s="708">
        <f t="shared" si="530"/>
        <v>0</v>
      </c>
      <c r="H1099" s="708">
        <f>SUM(H1096:H1098)</f>
        <v>0</v>
      </c>
      <c r="I1099" s="708">
        <f t="shared" si="530"/>
        <v>0</v>
      </c>
      <c r="J1099" s="708">
        <f>SUM(J1096:J1098)</f>
        <v>0</v>
      </c>
      <c r="K1099" s="708">
        <f t="shared" si="530"/>
        <v>0</v>
      </c>
      <c r="L1099" s="708">
        <f t="shared" si="530"/>
        <v>0</v>
      </c>
      <c r="M1099" s="708">
        <f t="shared" si="530"/>
        <v>0</v>
      </c>
      <c r="N1099" s="708">
        <f t="shared" si="530"/>
        <v>0</v>
      </c>
      <c r="O1099" s="708">
        <f t="shared" si="530"/>
        <v>0</v>
      </c>
      <c r="P1099" s="708">
        <f t="shared" si="530"/>
        <v>0</v>
      </c>
      <c r="Q1099" s="708">
        <f t="shared" si="530"/>
        <v>0</v>
      </c>
      <c r="R1099" s="708">
        <f t="shared" si="530"/>
        <v>0</v>
      </c>
      <c r="S1099" s="708">
        <f t="shared" si="530"/>
        <v>0</v>
      </c>
      <c r="T1099" s="708">
        <f t="shared" si="530"/>
        <v>0</v>
      </c>
      <c r="U1099" s="708">
        <f t="shared" si="530"/>
        <v>0</v>
      </c>
      <c r="V1099" s="708">
        <f t="shared" si="530"/>
        <v>0</v>
      </c>
    </row>
    <row r="1100" spans="1:22" s="533" customFormat="1" ht="12.6" customHeight="1" x14ac:dyDescent="0.25">
      <c r="A1100" s="532"/>
      <c r="B1100" s="715"/>
      <c r="C1100" s="532"/>
      <c r="D1100" s="532"/>
    </row>
    <row r="1101" spans="1:22" s="533" customFormat="1" ht="12.6" customHeight="1" x14ac:dyDescent="0.25">
      <c r="A1101" s="532"/>
      <c r="B1101" s="715" t="s">
        <v>409</v>
      </c>
      <c r="C1101" s="532" t="s">
        <v>97</v>
      </c>
      <c r="D1101" s="532"/>
    </row>
    <row r="1102" spans="1:22" s="533" customFormat="1" ht="12.6" customHeight="1" x14ac:dyDescent="0.25">
      <c r="A1102" s="532"/>
      <c r="B1102" s="715"/>
      <c r="C1102" s="532" t="s">
        <v>98</v>
      </c>
      <c r="D1102" s="532"/>
      <c r="E1102" s="533">
        <f t="shared" ref="E1102:V1102" si="531">E567</f>
        <v>0</v>
      </c>
      <c r="F1102" s="533">
        <f t="shared" si="531"/>
        <v>0</v>
      </c>
      <c r="G1102" s="533">
        <f t="shared" si="531"/>
        <v>0</v>
      </c>
      <c r="H1102" s="533">
        <f t="shared" si="531"/>
        <v>0</v>
      </c>
      <c r="I1102" s="533">
        <f t="shared" si="531"/>
        <v>0</v>
      </c>
      <c r="J1102" s="533">
        <f t="shared" si="531"/>
        <v>0</v>
      </c>
      <c r="K1102" s="533">
        <f t="shared" si="531"/>
        <v>0</v>
      </c>
      <c r="L1102" s="533">
        <f t="shared" si="531"/>
        <v>0</v>
      </c>
      <c r="M1102" s="533">
        <f t="shared" si="531"/>
        <v>0</v>
      </c>
      <c r="N1102" s="533">
        <f t="shared" si="531"/>
        <v>0</v>
      </c>
      <c r="O1102" s="533">
        <f t="shared" si="531"/>
        <v>0</v>
      </c>
      <c r="P1102" s="533">
        <f t="shared" si="531"/>
        <v>0</v>
      </c>
      <c r="Q1102" s="533">
        <f t="shared" si="531"/>
        <v>0</v>
      </c>
      <c r="R1102" s="533">
        <f t="shared" si="531"/>
        <v>0</v>
      </c>
      <c r="S1102" s="533">
        <f t="shared" si="531"/>
        <v>0</v>
      </c>
      <c r="T1102" s="533">
        <f t="shared" si="531"/>
        <v>0</v>
      </c>
      <c r="U1102" s="533">
        <f t="shared" si="531"/>
        <v>0</v>
      </c>
      <c r="V1102" s="533">
        <f t="shared" si="531"/>
        <v>0</v>
      </c>
    </row>
    <row r="1103" spans="1:22" s="533" customFormat="1" ht="12.6" customHeight="1" x14ac:dyDescent="0.25">
      <c r="A1103" s="532"/>
      <c r="B1103" s="715"/>
      <c r="C1103" s="532" t="s">
        <v>99</v>
      </c>
      <c r="D1103" s="532"/>
      <c r="E1103" s="707"/>
      <c r="F1103" s="707"/>
      <c r="G1103" s="707"/>
      <c r="H1103" s="707"/>
      <c r="I1103" s="707"/>
      <c r="J1103" s="707"/>
      <c r="K1103" s="707"/>
      <c r="L1103" s="707"/>
      <c r="M1103" s="707"/>
      <c r="N1103" s="707"/>
      <c r="O1103" s="707"/>
      <c r="P1103" s="707"/>
      <c r="Q1103" s="707"/>
      <c r="R1103" s="707"/>
      <c r="S1103" s="707"/>
      <c r="T1103" s="707"/>
      <c r="U1103" s="707"/>
      <c r="V1103" s="707"/>
    </row>
    <row r="1104" spans="1:22" s="533" customFormat="1" ht="12.6" customHeight="1" x14ac:dyDescent="0.25">
      <c r="A1104" s="532"/>
      <c r="B1104" s="715"/>
      <c r="C1104" s="532"/>
      <c r="D1104" s="532"/>
      <c r="E1104" s="708">
        <f>SUM(E1101:E1103)</f>
        <v>0</v>
      </c>
      <c r="F1104" s="708">
        <f t="shared" ref="F1104:V1104" si="532">SUM(F1101:F1103)</f>
        <v>0</v>
      </c>
      <c r="G1104" s="708">
        <f t="shared" si="532"/>
        <v>0</v>
      </c>
      <c r="H1104" s="708">
        <f>SUM(H1101:H1103)</f>
        <v>0</v>
      </c>
      <c r="I1104" s="708">
        <f t="shared" si="532"/>
        <v>0</v>
      </c>
      <c r="J1104" s="708">
        <f>SUM(J1101:J1103)</f>
        <v>0</v>
      </c>
      <c r="K1104" s="708">
        <f t="shared" si="532"/>
        <v>0</v>
      </c>
      <c r="L1104" s="708">
        <f t="shared" si="532"/>
        <v>0</v>
      </c>
      <c r="M1104" s="708">
        <f t="shared" si="532"/>
        <v>0</v>
      </c>
      <c r="N1104" s="708">
        <f t="shared" si="532"/>
        <v>0</v>
      </c>
      <c r="O1104" s="708">
        <f t="shared" si="532"/>
        <v>0</v>
      </c>
      <c r="P1104" s="708">
        <f t="shared" si="532"/>
        <v>0</v>
      </c>
      <c r="Q1104" s="708">
        <f t="shared" si="532"/>
        <v>0</v>
      </c>
      <c r="R1104" s="708">
        <f t="shared" si="532"/>
        <v>0</v>
      </c>
      <c r="S1104" s="708">
        <f t="shared" si="532"/>
        <v>0</v>
      </c>
      <c r="T1104" s="708">
        <f t="shared" si="532"/>
        <v>0</v>
      </c>
      <c r="U1104" s="708">
        <f t="shared" si="532"/>
        <v>0</v>
      </c>
      <c r="V1104" s="708">
        <f t="shared" si="532"/>
        <v>0</v>
      </c>
    </row>
    <row r="1105" spans="1:22" s="533" customFormat="1" ht="12.6" customHeight="1" x14ac:dyDescent="0.25">
      <c r="A1105" s="532"/>
      <c r="B1105" s="715"/>
      <c r="C1105" s="532"/>
      <c r="D1105" s="532"/>
    </row>
    <row r="1106" spans="1:22" s="533" customFormat="1" ht="12.6" customHeight="1" x14ac:dyDescent="0.25">
      <c r="A1106" s="532"/>
      <c r="B1106" s="715" t="s">
        <v>359</v>
      </c>
      <c r="C1106" s="532" t="s">
        <v>97</v>
      </c>
      <c r="D1106" s="532"/>
    </row>
    <row r="1107" spans="1:22" s="533" customFormat="1" ht="12.6" customHeight="1" x14ac:dyDescent="0.25">
      <c r="A1107" s="532"/>
      <c r="B1107" s="715"/>
      <c r="C1107" s="532" t="s">
        <v>98</v>
      </c>
      <c r="D1107" s="532"/>
      <c r="E1107" s="533">
        <f t="shared" ref="E1107:V1107" si="533">E59+E99+E137+E221+E277+E293+E539+E620</f>
        <v>735456.86</v>
      </c>
      <c r="F1107" s="533">
        <f t="shared" si="533"/>
        <v>305393.15000000002</v>
      </c>
      <c r="G1107" s="533">
        <f t="shared" si="533"/>
        <v>0</v>
      </c>
      <c r="H1107" s="533">
        <f t="shared" si="533"/>
        <v>0</v>
      </c>
      <c r="I1107" s="533">
        <f t="shared" si="533"/>
        <v>22471</v>
      </c>
      <c r="J1107" s="533">
        <f t="shared" si="533"/>
        <v>0</v>
      </c>
      <c r="K1107" s="533">
        <f t="shared" si="533"/>
        <v>0</v>
      </c>
      <c r="L1107" s="533">
        <f t="shared" si="533"/>
        <v>0</v>
      </c>
      <c r="M1107" s="533">
        <f t="shared" si="533"/>
        <v>0</v>
      </c>
      <c r="N1107" s="533">
        <f t="shared" si="533"/>
        <v>0</v>
      </c>
      <c r="O1107" s="533">
        <f t="shared" si="533"/>
        <v>0</v>
      </c>
      <c r="P1107" s="533">
        <f t="shared" si="533"/>
        <v>0</v>
      </c>
      <c r="Q1107" s="533">
        <f t="shared" si="533"/>
        <v>0</v>
      </c>
      <c r="R1107" s="533">
        <f t="shared" si="533"/>
        <v>0</v>
      </c>
      <c r="S1107" s="533">
        <f t="shared" si="533"/>
        <v>0</v>
      </c>
      <c r="T1107" s="533">
        <f t="shared" si="533"/>
        <v>1063321.01</v>
      </c>
      <c r="U1107" s="533">
        <f t="shared" si="533"/>
        <v>0</v>
      </c>
      <c r="V1107" s="533">
        <f t="shared" si="533"/>
        <v>1063321.01</v>
      </c>
    </row>
    <row r="1108" spans="1:22" s="533" customFormat="1" ht="12.6" customHeight="1" x14ac:dyDescent="0.25">
      <c r="A1108" s="532"/>
      <c r="B1108" s="715"/>
      <c r="C1108" s="532" t="s">
        <v>99</v>
      </c>
      <c r="D1108" s="532"/>
      <c r="E1108" s="707">
        <f t="shared" ref="E1108:V1108" si="534">E714+E740+E844</f>
        <v>60000</v>
      </c>
      <c r="F1108" s="707">
        <f t="shared" si="534"/>
        <v>0</v>
      </c>
      <c r="G1108" s="707">
        <f t="shared" si="534"/>
        <v>0</v>
      </c>
      <c r="H1108" s="707">
        <f t="shared" si="534"/>
        <v>0</v>
      </c>
      <c r="I1108" s="707">
        <f t="shared" si="534"/>
        <v>0</v>
      </c>
      <c r="J1108" s="707">
        <f t="shared" si="534"/>
        <v>0</v>
      </c>
      <c r="K1108" s="707">
        <f t="shared" si="534"/>
        <v>0</v>
      </c>
      <c r="L1108" s="707">
        <f t="shared" si="534"/>
        <v>0</v>
      </c>
      <c r="M1108" s="707">
        <f t="shared" si="534"/>
        <v>0</v>
      </c>
      <c r="N1108" s="707">
        <f t="shared" si="534"/>
        <v>0</v>
      </c>
      <c r="O1108" s="707">
        <f t="shared" si="534"/>
        <v>0</v>
      </c>
      <c r="P1108" s="707">
        <f t="shared" si="534"/>
        <v>0</v>
      </c>
      <c r="Q1108" s="707">
        <f t="shared" si="534"/>
        <v>0</v>
      </c>
      <c r="R1108" s="707">
        <f t="shared" si="534"/>
        <v>0</v>
      </c>
      <c r="S1108" s="707">
        <f t="shared" si="534"/>
        <v>0</v>
      </c>
      <c r="T1108" s="707">
        <f t="shared" si="534"/>
        <v>60000</v>
      </c>
      <c r="U1108" s="707">
        <f t="shared" si="534"/>
        <v>0</v>
      </c>
      <c r="V1108" s="707">
        <f t="shared" si="534"/>
        <v>60000</v>
      </c>
    </row>
    <row r="1109" spans="1:22" s="533" customFormat="1" ht="12.6" customHeight="1" x14ac:dyDescent="0.25">
      <c r="A1109" s="532"/>
      <c r="B1109" s="715"/>
      <c r="C1109" s="532"/>
      <c r="D1109" s="532"/>
      <c r="E1109" s="708">
        <f>SUM(E1106:E1108)</f>
        <v>795456.86</v>
      </c>
      <c r="F1109" s="708">
        <f t="shared" ref="F1109:V1109" si="535">SUM(F1106:F1108)</f>
        <v>305393.15000000002</v>
      </c>
      <c r="G1109" s="708">
        <f t="shared" si="535"/>
        <v>0</v>
      </c>
      <c r="H1109" s="708">
        <f>SUM(H1106:H1108)</f>
        <v>0</v>
      </c>
      <c r="I1109" s="708">
        <f t="shared" si="535"/>
        <v>22471</v>
      </c>
      <c r="J1109" s="708">
        <f>SUM(J1106:J1108)</f>
        <v>0</v>
      </c>
      <c r="K1109" s="708">
        <f t="shared" si="535"/>
        <v>0</v>
      </c>
      <c r="L1109" s="708">
        <f t="shared" si="535"/>
        <v>0</v>
      </c>
      <c r="M1109" s="708">
        <f t="shared" si="535"/>
        <v>0</v>
      </c>
      <c r="N1109" s="708">
        <f t="shared" si="535"/>
        <v>0</v>
      </c>
      <c r="O1109" s="708">
        <f t="shared" si="535"/>
        <v>0</v>
      </c>
      <c r="P1109" s="708">
        <f t="shared" si="535"/>
        <v>0</v>
      </c>
      <c r="Q1109" s="708">
        <f t="shared" si="535"/>
        <v>0</v>
      </c>
      <c r="R1109" s="708">
        <f t="shared" si="535"/>
        <v>0</v>
      </c>
      <c r="S1109" s="708">
        <f t="shared" si="535"/>
        <v>0</v>
      </c>
      <c r="T1109" s="708">
        <f t="shared" si="535"/>
        <v>1123321.01</v>
      </c>
      <c r="U1109" s="708">
        <f t="shared" si="535"/>
        <v>0</v>
      </c>
      <c r="V1109" s="708">
        <f t="shared" si="535"/>
        <v>1123321.01</v>
      </c>
    </row>
    <row r="1110" spans="1:22" s="533" customFormat="1" ht="12.6" customHeight="1" x14ac:dyDescent="0.25">
      <c r="A1110" s="532"/>
      <c r="B1110" s="715"/>
      <c r="C1110" s="532"/>
      <c r="D1110" s="532"/>
    </row>
    <row r="1111" spans="1:22" s="533" customFormat="1" ht="12.6" customHeight="1" x14ac:dyDescent="0.25">
      <c r="A1111" s="532"/>
      <c r="B1111" s="715" t="s">
        <v>360</v>
      </c>
      <c r="C1111" s="532" t="s">
        <v>97</v>
      </c>
      <c r="D1111" s="532"/>
    </row>
    <row r="1112" spans="1:22" s="533" customFormat="1" ht="12.6" customHeight="1" x14ac:dyDescent="0.25">
      <c r="A1112" s="532"/>
      <c r="B1112" s="715"/>
      <c r="C1112" s="532" t="s">
        <v>98</v>
      </c>
      <c r="D1112" s="532"/>
      <c r="E1112" s="533">
        <f t="shared" ref="E1112:V1112" si="536">E278+E60+E100+E138+E222+E621</f>
        <v>808501.23</v>
      </c>
      <c r="F1112" s="533">
        <f t="shared" si="536"/>
        <v>288222.15000000002</v>
      </c>
      <c r="G1112" s="533">
        <f t="shared" si="536"/>
        <v>0</v>
      </c>
      <c r="H1112" s="533">
        <f t="shared" si="536"/>
        <v>0</v>
      </c>
      <c r="I1112" s="533">
        <f t="shared" si="536"/>
        <v>60000</v>
      </c>
      <c r="J1112" s="533">
        <f t="shared" si="536"/>
        <v>0</v>
      </c>
      <c r="K1112" s="533">
        <f t="shared" si="536"/>
        <v>0</v>
      </c>
      <c r="L1112" s="533">
        <f t="shared" si="536"/>
        <v>0</v>
      </c>
      <c r="M1112" s="533">
        <f t="shared" si="536"/>
        <v>0</v>
      </c>
      <c r="N1112" s="533">
        <f t="shared" si="536"/>
        <v>0</v>
      </c>
      <c r="O1112" s="533">
        <f t="shared" si="536"/>
        <v>0</v>
      </c>
      <c r="P1112" s="533">
        <f t="shared" si="536"/>
        <v>0</v>
      </c>
      <c r="Q1112" s="533">
        <f t="shared" si="536"/>
        <v>0</v>
      </c>
      <c r="R1112" s="533">
        <f t="shared" si="536"/>
        <v>0</v>
      </c>
      <c r="S1112" s="533">
        <f t="shared" si="536"/>
        <v>0</v>
      </c>
      <c r="T1112" s="533">
        <f t="shared" si="536"/>
        <v>1156723.3799999999</v>
      </c>
      <c r="U1112" s="533">
        <f t="shared" si="536"/>
        <v>0</v>
      </c>
      <c r="V1112" s="533">
        <f t="shared" si="536"/>
        <v>1156723.3799999999</v>
      </c>
    </row>
    <row r="1113" spans="1:22" s="533" customFormat="1" ht="12.6" customHeight="1" x14ac:dyDescent="0.25">
      <c r="A1113" s="532"/>
      <c r="B1113" s="715"/>
      <c r="C1113" s="532" t="s">
        <v>99</v>
      </c>
      <c r="D1113" s="532"/>
      <c r="E1113" s="707">
        <f t="shared" ref="E1113:V1113" si="537">E715+E741</f>
        <v>60000</v>
      </c>
      <c r="F1113" s="707">
        <f t="shared" si="537"/>
        <v>0</v>
      </c>
      <c r="G1113" s="707">
        <f t="shared" si="537"/>
        <v>0</v>
      </c>
      <c r="H1113" s="707">
        <f t="shared" si="537"/>
        <v>0</v>
      </c>
      <c r="I1113" s="707">
        <f t="shared" si="537"/>
        <v>0</v>
      </c>
      <c r="J1113" s="707">
        <f t="shared" si="537"/>
        <v>0</v>
      </c>
      <c r="K1113" s="707">
        <f t="shared" si="537"/>
        <v>0</v>
      </c>
      <c r="L1113" s="707">
        <f t="shared" si="537"/>
        <v>0</v>
      </c>
      <c r="M1113" s="707">
        <f t="shared" si="537"/>
        <v>0</v>
      </c>
      <c r="N1113" s="707">
        <f t="shared" si="537"/>
        <v>0</v>
      </c>
      <c r="O1113" s="707">
        <f t="shared" si="537"/>
        <v>0</v>
      </c>
      <c r="P1113" s="707">
        <f t="shared" si="537"/>
        <v>0</v>
      </c>
      <c r="Q1113" s="707">
        <f t="shared" si="537"/>
        <v>0</v>
      </c>
      <c r="R1113" s="707">
        <f t="shared" si="537"/>
        <v>0</v>
      </c>
      <c r="S1113" s="707">
        <f t="shared" si="537"/>
        <v>0</v>
      </c>
      <c r="T1113" s="707">
        <f t="shared" si="537"/>
        <v>60000</v>
      </c>
      <c r="U1113" s="707">
        <f t="shared" si="537"/>
        <v>0</v>
      </c>
      <c r="V1113" s="707">
        <f t="shared" si="537"/>
        <v>60000</v>
      </c>
    </row>
    <row r="1114" spans="1:22" s="533" customFormat="1" ht="12.6" customHeight="1" x14ac:dyDescent="0.25">
      <c r="A1114" s="532"/>
      <c r="B1114" s="715"/>
      <c r="C1114" s="532"/>
      <c r="D1114" s="532"/>
      <c r="E1114" s="708">
        <f>SUM(E1111:E1113)</f>
        <v>868501.23</v>
      </c>
      <c r="F1114" s="708">
        <f t="shared" ref="F1114:V1114" si="538">SUM(F1111:F1113)</f>
        <v>288222.15000000002</v>
      </c>
      <c r="G1114" s="708">
        <f t="shared" si="538"/>
        <v>0</v>
      </c>
      <c r="H1114" s="708">
        <f>SUM(H1111:H1113)</f>
        <v>0</v>
      </c>
      <c r="I1114" s="708">
        <f t="shared" si="538"/>
        <v>60000</v>
      </c>
      <c r="J1114" s="708">
        <f>SUM(J1111:J1113)</f>
        <v>0</v>
      </c>
      <c r="K1114" s="708">
        <f t="shared" si="538"/>
        <v>0</v>
      </c>
      <c r="L1114" s="708">
        <f t="shared" si="538"/>
        <v>0</v>
      </c>
      <c r="M1114" s="708">
        <f t="shared" si="538"/>
        <v>0</v>
      </c>
      <c r="N1114" s="708">
        <f t="shared" si="538"/>
        <v>0</v>
      </c>
      <c r="O1114" s="708">
        <f t="shared" si="538"/>
        <v>0</v>
      </c>
      <c r="P1114" s="708">
        <f t="shared" si="538"/>
        <v>0</v>
      </c>
      <c r="Q1114" s="708">
        <f t="shared" si="538"/>
        <v>0</v>
      </c>
      <c r="R1114" s="708">
        <f t="shared" si="538"/>
        <v>0</v>
      </c>
      <c r="S1114" s="708">
        <f t="shared" si="538"/>
        <v>0</v>
      </c>
      <c r="T1114" s="708">
        <f t="shared" si="538"/>
        <v>1216723.3799999999</v>
      </c>
      <c r="U1114" s="708">
        <f t="shared" si="538"/>
        <v>0</v>
      </c>
      <c r="V1114" s="708">
        <f t="shared" si="538"/>
        <v>1216723.3799999999</v>
      </c>
    </row>
    <row r="1115" spans="1:22" s="533" customFormat="1" ht="12.6" customHeight="1" x14ac:dyDescent="0.25">
      <c r="A1115" s="532"/>
      <c r="B1115" s="715"/>
      <c r="C1115" s="532"/>
      <c r="D1115" s="532"/>
    </row>
    <row r="1116" spans="1:22" s="533" customFormat="1" ht="12.6" customHeight="1" x14ac:dyDescent="0.25">
      <c r="A1116" s="532"/>
      <c r="B1116" s="715" t="s">
        <v>439</v>
      </c>
      <c r="C1116" s="532" t="s">
        <v>97</v>
      </c>
      <c r="D1116" s="532"/>
    </row>
    <row r="1117" spans="1:22" s="533" customFormat="1" ht="12.6" customHeight="1" x14ac:dyDescent="0.25">
      <c r="A1117" s="532"/>
      <c r="B1117" s="715"/>
      <c r="C1117" s="532" t="s">
        <v>98</v>
      </c>
      <c r="D1117" s="532"/>
      <c r="E1117" s="533" t="e">
        <f>#REF!+#REF!+#REF!+#REF!+#REF!</f>
        <v>#REF!</v>
      </c>
      <c r="F1117" s="533" t="e">
        <f>#REF!+#REF!+#REF!+#REF!+#REF!</f>
        <v>#REF!</v>
      </c>
      <c r="G1117" s="533" t="e">
        <f>#REF!+#REF!+#REF!+#REF!+#REF!</f>
        <v>#REF!</v>
      </c>
      <c r="H1117" s="533" t="e">
        <f>#REF!+#REF!+#REF!+#REF!+#REF!</f>
        <v>#REF!</v>
      </c>
      <c r="I1117" s="533" t="e">
        <f>#REF!+#REF!+#REF!+#REF!+#REF!</f>
        <v>#REF!</v>
      </c>
      <c r="J1117" s="533" t="e">
        <f>#REF!+#REF!+#REF!+#REF!+#REF!</f>
        <v>#REF!</v>
      </c>
      <c r="K1117" s="533" t="e">
        <f>#REF!+#REF!+#REF!+#REF!+#REF!</f>
        <v>#REF!</v>
      </c>
      <c r="L1117" s="533" t="e">
        <f>#REF!+#REF!+#REF!+#REF!+#REF!</f>
        <v>#REF!</v>
      </c>
      <c r="M1117" s="533" t="e">
        <f>#REF!+#REF!+#REF!+#REF!+#REF!</f>
        <v>#REF!</v>
      </c>
      <c r="N1117" s="533" t="e">
        <f>#REF!+#REF!+#REF!+#REF!+#REF!</f>
        <v>#REF!</v>
      </c>
      <c r="O1117" s="533" t="e">
        <f>#REF!+#REF!+#REF!+#REF!+#REF!</f>
        <v>#REF!</v>
      </c>
      <c r="P1117" s="533" t="e">
        <f>#REF!+#REF!+#REF!+#REF!+#REF!</f>
        <v>#REF!</v>
      </c>
      <c r="Q1117" s="533" t="e">
        <f>#REF!+#REF!+#REF!+#REF!+#REF!</f>
        <v>#REF!</v>
      </c>
      <c r="R1117" s="533" t="e">
        <f>#REF!+#REF!+#REF!+#REF!+#REF!</f>
        <v>#REF!</v>
      </c>
      <c r="S1117" s="533" t="e">
        <f>#REF!+#REF!+#REF!+#REF!+#REF!</f>
        <v>#REF!</v>
      </c>
      <c r="T1117" s="533" t="e">
        <f>#REF!+#REF!+#REF!+#REF!+#REF!</f>
        <v>#REF!</v>
      </c>
      <c r="U1117" s="533" t="e">
        <f>#REF!+#REF!+#REF!+#REF!+#REF!</f>
        <v>#REF!</v>
      </c>
      <c r="V1117" s="533" t="e">
        <f>#REF!+#REF!+#REF!+#REF!+#REF!</f>
        <v>#REF!</v>
      </c>
    </row>
    <row r="1118" spans="1:22" s="533" customFormat="1" ht="12.6" customHeight="1" x14ac:dyDescent="0.25">
      <c r="A1118" s="532"/>
      <c r="B1118" s="715"/>
      <c r="C1118" s="532" t="s">
        <v>99</v>
      </c>
      <c r="D1118" s="532"/>
      <c r="E1118" s="707"/>
      <c r="F1118" s="707"/>
      <c r="G1118" s="707"/>
      <c r="H1118" s="707"/>
      <c r="I1118" s="707"/>
      <c r="J1118" s="707"/>
      <c r="K1118" s="707"/>
      <c r="L1118" s="707"/>
      <c r="M1118" s="707"/>
      <c r="N1118" s="707"/>
      <c r="O1118" s="707"/>
      <c r="P1118" s="707"/>
      <c r="Q1118" s="707"/>
      <c r="R1118" s="707"/>
      <c r="S1118" s="707"/>
      <c r="T1118" s="707"/>
      <c r="U1118" s="707"/>
      <c r="V1118" s="707"/>
    </row>
    <row r="1119" spans="1:22" s="533" customFormat="1" ht="12.6" customHeight="1" x14ac:dyDescent="0.25">
      <c r="A1119" s="532"/>
      <c r="B1119" s="715"/>
      <c r="C1119" s="532"/>
      <c r="D1119" s="532"/>
      <c r="E1119" s="708" t="e">
        <f>SUM(E1116:E1118)</f>
        <v>#REF!</v>
      </c>
      <c r="F1119" s="708" t="e">
        <f t="shared" ref="F1119:V1119" si="539">SUM(F1116:F1118)</f>
        <v>#REF!</v>
      </c>
      <c r="G1119" s="708" t="e">
        <f t="shared" si="539"/>
        <v>#REF!</v>
      </c>
      <c r="H1119" s="708" t="e">
        <f>SUM(H1116:H1118)</f>
        <v>#REF!</v>
      </c>
      <c r="I1119" s="708" t="e">
        <f t="shared" si="539"/>
        <v>#REF!</v>
      </c>
      <c r="J1119" s="708" t="e">
        <f>SUM(J1116:J1118)</f>
        <v>#REF!</v>
      </c>
      <c r="K1119" s="708" t="e">
        <f t="shared" si="539"/>
        <v>#REF!</v>
      </c>
      <c r="L1119" s="708" t="e">
        <f t="shared" si="539"/>
        <v>#REF!</v>
      </c>
      <c r="M1119" s="708" t="e">
        <f t="shared" si="539"/>
        <v>#REF!</v>
      </c>
      <c r="N1119" s="708" t="e">
        <f t="shared" si="539"/>
        <v>#REF!</v>
      </c>
      <c r="O1119" s="708" t="e">
        <f t="shared" si="539"/>
        <v>#REF!</v>
      </c>
      <c r="P1119" s="708" t="e">
        <f t="shared" si="539"/>
        <v>#REF!</v>
      </c>
      <c r="Q1119" s="708" t="e">
        <f t="shared" si="539"/>
        <v>#REF!</v>
      </c>
      <c r="R1119" s="708" t="e">
        <f t="shared" si="539"/>
        <v>#REF!</v>
      </c>
      <c r="S1119" s="708" t="e">
        <f t="shared" si="539"/>
        <v>#REF!</v>
      </c>
      <c r="T1119" s="708" t="e">
        <f t="shared" si="539"/>
        <v>#REF!</v>
      </c>
      <c r="U1119" s="708" t="e">
        <f t="shared" si="539"/>
        <v>#REF!</v>
      </c>
      <c r="V1119" s="708" t="e">
        <f t="shared" si="539"/>
        <v>#REF!</v>
      </c>
    </row>
    <row r="1120" spans="1:22" s="533" customFormat="1" ht="12.6" customHeight="1" x14ac:dyDescent="0.25">
      <c r="A1120" s="532"/>
      <c r="B1120" s="715"/>
      <c r="C1120" s="532"/>
      <c r="D1120" s="532"/>
    </row>
    <row r="1121" spans="1:22" s="533" customFormat="1" ht="12.6" customHeight="1" x14ac:dyDescent="0.25">
      <c r="A1121" s="532"/>
      <c r="B1121" s="715" t="s">
        <v>361</v>
      </c>
      <c r="C1121" s="532" t="s">
        <v>97</v>
      </c>
      <c r="D1121" s="532"/>
      <c r="E1121" s="533">
        <f t="shared" ref="E1121:V1121" si="540">E29</f>
        <v>0</v>
      </c>
      <c r="F1121" s="533">
        <f t="shared" si="540"/>
        <v>2000000</v>
      </c>
      <c r="G1121" s="533">
        <f t="shared" si="540"/>
        <v>0</v>
      </c>
      <c r="H1121" s="533">
        <f t="shared" si="540"/>
        <v>0</v>
      </c>
      <c r="I1121" s="533">
        <f t="shared" si="540"/>
        <v>2000000</v>
      </c>
      <c r="J1121" s="533">
        <f t="shared" si="540"/>
        <v>0</v>
      </c>
      <c r="K1121" s="533">
        <f t="shared" si="540"/>
        <v>0</v>
      </c>
      <c r="L1121" s="533">
        <f t="shared" si="540"/>
        <v>0</v>
      </c>
      <c r="M1121" s="533">
        <f t="shared" si="540"/>
        <v>0</v>
      </c>
      <c r="N1121" s="533">
        <f t="shared" si="540"/>
        <v>0</v>
      </c>
      <c r="O1121" s="533">
        <f t="shared" si="540"/>
        <v>0</v>
      </c>
      <c r="P1121" s="533">
        <f t="shared" si="540"/>
        <v>0</v>
      </c>
      <c r="Q1121" s="533">
        <f t="shared" si="540"/>
        <v>0</v>
      </c>
      <c r="R1121" s="533">
        <f t="shared" si="540"/>
        <v>0</v>
      </c>
      <c r="S1121" s="533">
        <f t="shared" si="540"/>
        <v>0</v>
      </c>
      <c r="T1121" s="533">
        <f t="shared" si="540"/>
        <v>4000000</v>
      </c>
      <c r="U1121" s="533">
        <f t="shared" si="540"/>
        <v>0</v>
      </c>
      <c r="V1121" s="533">
        <f t="shared" si="540"/>
        <v>4000000</v>
      </c>
    </row>
    <row r="1122" spans="1:22" s="533" customFormat="1" ht="12.6" customHeight="1" x14ac:dyDescent="0.25">
      <c r="A1122" s="532"/>
      <c r="B1122" s="715"/>
      <c r="C1122" s="532" t="s">
        <v>98</v>
      </c>
      <c r="D1122" s="532"/>
      <c r="E1122" s="533">
        <f t="shared" ref="E1122:V1122" si="541">E61+E74+E101+E139+E159+E223+E279+E294+E311+E324+E414+E540+E622+E493+E554+E454</f>
        <v>1743815.5499999998</v>
      </c>
      <c r="F1122" s="533">
        <f t="shared" si="541"/>
        <v>403000</v>
      </c>
      <c r="G1122" s="533">
        <f t="shared" si="541"/>
        <v>0</v>
      </c>
      <c r="H1122" s="533">
        <f t="shared" si="541"/>
        <v>0</v>
      </c>
      <c r="I1122" s="533">
        <f t="shared" si="541"/>
        <v>0</v>
      </c>
      <c r="J1122" s="533">
        <f t="shared" si="541"/>
        <v>0</v>
      </c>
      <c r="K1122" s="533">
        <f t="shared" si="541"/>
        <v>0</v>
      </c>
      <c r="L1122" s="533">
        <f t="shared" si="541"/>
        <v>0</v>
      </c>
      <c r="M1122" s="533">
        <f t="shared" si="541"/>
        <v>0</v>
      </c>
      <c r="N1122" s="533">
        <f t="shared" si="541"/>
        <v>0</v>
      </c>
      <c r="O1122" s="533">
        <f t="shared" si="541"/>
        <v>0</v>
      </c>
      <c r="P1122" s="533">
        <f t="shared" si="541"/>
        <v>0</v>
      </c>
      <c r="Q1122" s="533">
        <f t="shared" si="541"/>
        <v>0</v>
      </c>
      <c r="R1122" s="533">
        <f t="shared" si="541"/>
        <v>0</v>
      </c>
      <c r="S1122" s="533">
        <f t="shared" si="541"/>
        <v>0</v>
      </c>
      <c r="T1122" s="533">
        <f t="shared" si="541"/>
        <v>2146815.5499999998</v>
      </c>
      <c r="U1122" s="533">
        <f t="shared" si="541"/>
        <v>0</v>
      </c>
      <c r="V1122" s="533">
        <f t="shared" si="541"/>
        <v>2146815.5499999998</v>
      </c>
    </row>
    <row r="1123" spans="1:22" s="533" customFormat="1" ht="12.6" customHeight="1" x14ac:dyDescent="0.25">
      <c r="A1123" s="532"/>
      <c r="B1123" s="715"/>
      <c r="C1123" s="532" t="s">
        <v>99</v>
      </c>
      <c r="D1123" s="532"/>
      <c r="E1123" s="707">
        <f t="shared" ref="E1123:V1123" si="542">E672+E691+E716+E742+E797+E813+E845+E875+E656+E864</f>
        <v>64226448.140000001</v>
      </c>
      <c r="F1123" s="707">
        <f t="shared" si="542"/>
        <v>0</v>
      </c>
      <c r="G1123" s="707">
        <f t="shared" si="542"/>
        <v>0</v>
      </c>
      <c r="H1123" s="707">
        <f t="shared" si="542"/>
        <v>0</v>
      </c>
      <c r="I1123" s="707">
        <f t="shared" si="542"/>
        <v>0</v>
      </c>
      <c r="J1123" s="707">
        <f t="shared" si="542"/>
        <v>0</v>
      </c>
      <c r="K1123" s="707">
        <f t="shared" si="542"/>
        <v>0</v>
      </c>
      <c r="L1123" s="707">
        <f t="shared" si="542"/>
        <v>0</v>
      </c>
      <c r="M1123" s="707">
        <f t="shared" si="542"/>
        <v>0</v>
      </c>
      <c r="N1123" s="707">
        <f t="shared" si="542"/>
        <v>0</v>
      </c>
      <c r="O1123" s="707">
        <f t="shared" si="542"/>
        <v>0</v>
      </c>
      <c r="P1123" s="707">
        <f t="shared" si="542"/>
        <v>0</v>
      </c>
      <c r="Q1123" s="707">
        <f t="shared" si="542"/>
        <v>0</v>
      </c>
      <c r="R1123" s="707">
        <f t="shared" si="542"/>
        <v>0</v>
      </c>
      <c r="S1123" s="707">
        <f t="shared" si="542"/>
        <v>0</v>
      </c>
      <c r="T1123" s="707">
        <f t="shared" si="542"/>
        <v>64226448.140000001</v>
      </c>
      <c r="U1123" s="707">
        <f t="shared" si="542"/>
        <v>0</v>
      </c>
      <c r="V1123" s="707">
        <f t="shared" si="542"/>
        <v>64226448.140000001</v>
      </c>
    </row>
    <row r="1124" spans="1:22" s="533" customFormat="1" ht="12.6" customHeight="1" x14ac:dyDescent="0.25">
      <c r="A1124" s="532"/>
      <c r="B1124" s="715"/>
      <c r="C1124" s="532"/>
      <c r="D1124" s="532"/>
      <c r="E1124" s="708">
        <f>SUM(E1121:E1123)</f>
        <v>65970263.689999998</v>
      </c>
      <c r="F1124" s="708">
        <f t="shared" ref="F1124:V1124" si="543">SUM(F1121:F1123)</f>
        <v>2403000</v>
      </c>
      <c r="G1124" s="708">
        <f t="shared" si="543"/>
        <v>0</v>
      </c>
      <c r="H1124" s="708">
        <f>SUM(H1121:H1123)</f>
        <v>0</v>
      </c>
      <c r="I1124" s="708">
        <f t="shared" si="543"/>
        <v>2000000</v>
      </c>
      <c r="J1124" s="708">
        <f>SUM(J1121:J1123)</f>
        <v>0</v>
      </c>
      <c r="K1124" s="708">
        <f t="shared" si="543"/>
        <v>0</v>
      </c>
      <c r="L1124" s="708">
        <f t="shared" si="543"/>
        <v>0</v>
      </c>
      <c r="M1124" s="708">
        <f t="shared" si="543"/>
        <v>0</v>
      </c>
      <c r="N1124" s="708">
        <f t="shared" si="543"/>
        <v>0</v>
      </c>
      <c r="O1124" s="708">
        <f t="shared" si="543"/>
        <v>0</v>
      </c>
      <c r="P1124" s="708">
        <f t="shared" si="543"/>
        <v>0</v>
      </c>
      <c r="Q1124" s="708">
        <f t="shared" si="543"/>
        <v>0</v>
      </c>
      <c r="R1124" s="708">
        <f t="shared" si="543"/>
        <v>0</v>
      </c>
      <c r="S1124" s="708">
        <f t="shared" si="543"/>
        <v>0</v>
      </c>
      <c r="T1124" s="708">
        <f t="shared" si="543"/>
        <v>70373263.689999998</v>
      </c>
      <c r="U1124" s="708">
        <f t="shared" si="543"/>
        <v>0</v>
      </c>
      <c r="V1124" s="708">
        <f t="shared" si="543"/>
        <v>70373263.689999998</v>
      </c>
    </row>
    <row r="1125" spans="1:22" s="533" customFormat="1" ht="12.6" customHeight="1" x14ac:dyDescent="0.25">
      <c r="A1125" s="532"/>
      <c r="B1125" s="715"/>
      <c r="C1125" s="532"/>
      <c r="D1125" s="532"/>
    </row>
    <row r="1126" spans="1:22" s="533" customFormat="1" ht="12.6" customHeight="1" x14ac:dyDescent="0.25">
      <c r="A1126" s="532"/>
      <c r="B1126" s="715" t="s">
        <v>362</v>
      </c>
      <c r="C1126" s="532" t="s">
        <v>97</v>
      </c>
      <c r="D1126" s="532"/>
      <c r="E1126" s="533" t="e">
        <f>#REF!</f>
        <v>#REF!</v>
      </c>
      <c r="F1126" s="533" t="e">
        <f>#REF!</f>
        <v>#REF!</v>
      </c>
      <c r="G1126" s="533" t="e">
        <f>#REF!</f>
        <v>#REF!</v>
      </c>
      <c r="H1126" s="533" t="e">
        <f>#REF!</f>
        <v>#REF!</v>
      </c>
      <c r="I1126" s="533" t="e">
        <f>#REF!</f>
        <v>#REF!</v>
      </c>
      <c r="J1126" s="533" t="e">
        <f>#REF!</f>
        <v>#REF!</v>
      </c>
      <c r="K1126" s="533" t="e">
        <f>#REF!</f>
        <v>#REF!</v>
      </c>
      <c r="L1126" s="533" t="e">
        <f>#REF!</f>
        <v>#REF!</v>
      </c>
      <c r="M1126" s="533" t="e">
        <f>#REF!</f>
        <v>#REF!</v>
      </c>
      <c r="N1126" s="533" t="e">
        <f>#REF!</f>
        <v>#REF!</v>
      </c>
      <c r="O1126" s="533" t="e">
        <f>#REF!</f>
        <v>#REF!</v>
      </c>
      <c r="P1126" s="533" t="e">
        <f>#REF!</f>
        <v>#REF!</v>
      </c>
      <c r="Q1126" s="533" t="e">
        <f>#REF!</f>
        <v>#REF!</v>
      </c>
      <c r="R1126" s="533" t="e">
        <f>#REF!</f>
        <v>#REF!</v>
      </c>
      <c r="S1126" s="533" t="e">
        <f>#REF!</f>
        <v>#REF!</v>
      </c>
      <c r="T1126" s="533" t="e">
        <f>#REF!</f>
        <v>#REF!</v>
      </c>
      <c r="U1126" s="533" t="e">
        <f>#REF!</f>
        <v>#REF!</v>
      </c>
      <c r="V1126" s="533" t="e">
        <f>#REF!</f>
        <v>#REF!</v>
      </c>
    </row>
    <row r="1127" spans="1:22" s="533" customFormat="1" ht="12.6" customHeight="1" x14ac:dyDescent="0.25">
      <c r="A1127" s="532"/>
      <c r="B1127" s="715"/>
      <c r="C1127" s="532" t="s">
        <v>98</v>
      </c>
      <c r="D1127" s="532"/>
      <c r="E1127" s="533" t="e">
        <f>#REF!+#REF!+#REF!+#REF!+#REF!+#REF!+E555+#REF!</f>
        <v>#REF!</v>
      </c>
      <c r="F1127" s="533" t="e">
        <f>#REF!+#REF!+#REF!+#REF!+#REF!+#REF!+F555+#REF!</f>
        <v>#REF!</v>
      </c>
      <c r="G1127" s="533" t="e">
        <f>#REF!+#REF!+#REF!+#REF!+#REF!+#REF!+G555+#REF!</f>
        <v>#REF!</v>
      </c>
      <c r="H1127" s="533" t="e">
        <f>#REF!+#REF!+#REF!+#REF!+#REF!+#REF!+H555+#REF!</f>
        <v>#REF!</v>
      </c>
      <c r="I1127" s="533" t="e">
        <f>#REF!+#REF!+#REF!+#REF!+#REF!+#REF!+I555+#REF!</f>
        <v>#REF!</v>
      </c>
      <c r="J1127" s="533" t="e">
        <f>#REF!+#REF!+#REF!+#REF!+#REF!+#REF!+J555+#REF!</f>
        <v>#REF!</v>
      </c>
      <c r="K1127" s="533" t="e">
        <f>#REF!+#REF!+#REF!+#REF!+#REF!+#REF!+K555+#REF!</f>
        <v>#REF!</v>
      </c>
      <c r="L1127" s="533" t="e">
        <f>#REF!+#REF!+#REF!+#REF!+#REF!+#REF!+L555+#REF!</f>
        <v>#REF!</v>
      </c>
      <c r="M1127" s="533" t="e">
        <f>#REF!+#REF!+#REF!+#REF!+#REF!+#REF!+M555+#REF!</f>
        <v>#REF!</v>
      </c>
      <c r="N1127" s="533" t="e">
        <f>#REF!+#REF!+#REF!+#REF!+#REF!+#REF!+N555+#REF!</f>
        <v>#REF!</v>
      </c>
      <c r="O1127" s="533" t="e">
        <f>#REF!+#REF!+#REF!+#REF!+#REF!+#REF!+O555+#REF!</f>
        <v>#REF!</v>
      </c>
      <c r="P1127" s="533" t="e">
        <f>#REF!+#REF!+#REF!+#REF!+#REF!+#REF!+P555+#REF!</f>
        <v>#REF!</v>
      </c>
      <c r="Q1127" s="533" t="e">
        <f>#REF!+#REF!+#REF!+#REF!+#REF!+#REF!+Q555+#REF!</f>
        <v>#REF!</v>
      </c>
      <c r="R1127" s="533" t="e">
        <f>#REF!+#REF!+#REF!+#REF!+#REF!+#REF!+R555+#REF!</f>
        <v>#REF!</v>
      </c>
      <c r="S1127" s="533" t="e">
        <f>#REF!+#REF!+#REF!+#REF!+#REF!+#REF!+S555+#REF!</f>
        <v>#REF!</v>
      </c>
      <c r="T1127" s="533" t="e">
        <f>#REF!+#REF!+#REF!+#REF!+#REF!+#REF!+T555+#REF!</f>
        <v>#REF!</v>
      </c>
      <c r="U1127" s="533" t="e">
        <f>#REF!+#REF!+#REF!+#REF!+#REF!+#REF!+U555+#REF!</f>
        <v>#REF!</v>
      </c>
      <c r="V1127" s="533" t="e">
        <f>#REF!+#REF!+#REF!+#REF!+#REF!+#REF!+V555+#REF!</f>
        <v>#REF!</v>
      </c>
    </row>
    <row r="1128" spans="1:22" s="533" customFormat="1" ht="12.6" customHeight="1" x14ac:dyDescent="0.25">
      <c r="A1128" s="532"/>
      <c r="B1128" s="715"/>
      <c r="C1128" s="532" t="s">
        <v>99</v>
      </c>
      <c r="D1128" s="532"/>
      <c r="E1128" s="707" t="e">
        <f>#REF!+#REF!</f>
        <v>#REF!</v>
      </c>
      <c r="F1128" s="707" t="e">
        <f>#REF!+#REF!</f>
        <v>#REF!</v>
      </c>
      <c r="G1128" s="707" t="e">
        <f>#REF!+#REF!</f>
        <v>#REF!</v>
      </c>
      <c r="H1128" s="707" t="e">
        <f>#REF!+#REF!</f>
        <v>#REF!</v>
      </c>
      <c r="I1128" s="707" t="e">
        <f>#REF!+#REF!</f>
        <v>#REF!</v>
      </c>
      <c r="J1128" s="707" t="e">
        <f>#REF!+#REF!</f>
        <v>#REF!</v>
      </c>
      <c r="K1128" s="707" t="e">
        <f>#REF!+#REF!</f>
        <v>#REF!</v>
      </c>
      <c r="L1128" s="707" t="e">
        <f>#REF!+#REF!</f>
        <v>#REF!</v>
      </c>
      <c r="M1128" s="707" t="e">
        <f>#REF!+#REF!</f>
        <v>#REF!</v>
      </c>
      <c r="N1128" s="707" t="e">
        <f>#REF!+#REF!</f>
        <v>#REF!</v>
      </c>
      <c r="O1128" s="707" t="e">
        <f>#REF!+#REF!</f>
        <v>#REF!</v>
      </c>
      <c r="P1128" s="707" t="e">
        <f>#REF!+#REF!</f>
        <v>#REF!</v>
      </c>
      <c r="Q1128" s="707" t="e">
        <f>#REF!+#REF!</f>
        <v>#REF!</v>
      </c>
      <c r="R1128" s="707" t="e">
        <f>#REF!+#REF!</f>
        <v>#REF!</v>
      </c>
      <c r="S1128" s="707" t="e">
        <f>#REF!+#REF!</f>
        <v>#REF!</v>
      </c>
      <c r="T1128" s="707" t="e">
        <f>#REF!+#REF!</f>
        <v>#REF!</v>
      </c>
      <c r="U1128" s="707" t="e">
        <f>#REF!+#REF!</f>
        <v>#REF!</v>
      </c>
      <c r="V1128" s="707" t="e">
        <f>#REF!+#REF!</f>
        <v>#REF!</v>
      </c>
    </row>
    <row r="1129" spans="1:22" s="533" customFormat="1" ht="12.6" customHeight="1" x14ac:dyDescent="0.25">
      <c r="A1129" s="532"/>
      <c r="B1129" s="715"/>
      <c r="C1129" s="532"/>
      <c r="D1129" s="532"/>
      <c r="E1129" s="708" t="e">
        <f>SUM(E1126:E1128)</f>
        <v>#REF!</v>
      </c>
      <c r="F1129" s="708" t="e">
        <f t="shared" ref="F1129:V1129" si="544">SUM(F1126:F1128)</f>
        <v>#REF!</v>
      </c>
      <c r="G1129" s="708" t="e">
        <f t="shared" si="544"/>
        <v>#REF!</v>
      </c>
      <c r="H1129" s="708" t="e">
        <f>SUM(H1126:H1128)</f>
        <v>#REF!</v>
      </c>
      <c r="I1129" s="708" t="e">
        <f t="shared" si="544"/>
        <v>#REF!</v>
      </c>
      <c r="J1129" s="708" t="e">
        <f>SUM(J1126:J1128)</f>
        <v>#REF!</v>
      </c>
      <c r="K1129" s="708" t="e">
        <f t="shared" si="544"/>
        <v>#REF!</v>
      </c>
      <c r="L1129" s="708" t="e">
        <f t="shared" si="544"/>
        <v>#REF!</v>
      </c>
      <c r="M1129" s="708" t="e">
        <f t="shared" si="544"/>
        <v>#REF!</v>
      </c>
      <c r="N1129" s="708" t="e">
        <f t="shared" si="544"/>
        <v>#REF!</v>
      </c>
      <c r="O1129" s="708" t="e">
        <f t="shared" si="544"/>
        <v>#REF!</v>
      </c>
      <c r="P1129" s="708" t="e">
        <f t="shared" si="544"/>
        <v>#REF!</v>
      </c>
      <c r="Q1129" s="708" t="e">
        <f t="shared" si="544"/>
        <v>#REF!</v>
      </c>
      <c r="R1129" s="708" t="e">
        <f t="shared" si="544"/>
        <v>#REF!</v>
      </c>
      <c r="S1129" s="708" t="e">
        <f t="shared" si="544"/>
        <v>#REF!</v>
      </c>
      <c r="T1129" s="708" t="e">
        <f t="shared" si="544"/>
        <v>#REF!</v>
      </c>
      <c r="U1129" s="708" t="e">
        <f t="shared" si="544"/>
        <v>#REF!</v>
      </c>
      <c r="V1129" s="708" t="e">
        <f t="shared" si="544"/>
        <v>#REF!</v>
      </c>
    </row>
    <row r="1130" spans="1:22" s="533" customFormat="1" ht="12.6" customHeight="1" x14ac:dyDescent="0.25">
      <c r="A1130" s="532"/>
      <c r="B1130" s="715"/>
      <c r="C1130" s="532"/>
      <c r="D1130" s="532"/>
    </row>
    <row r="1131" spans="1:22" s="533" customFormat="1" ht="12.6" customHeight="1" x14ac:dyDescent="0.25">
      <c r="A1131" s="532"/>
      <c r="B1131" s="715" t="s">
        <v>440</v>
      </c>
      <c r="C1131" s="532" t="s">
        <v>97</v>
      </c>
      <c r="D1131" s="532"/>
      <c r="E1131" s="533" t="e">
        <f>#REF!</f>
        <v>#REF!</v>
      </c>
      <c r="F1131" s="533" t="e">
        <f>#REF!</f>
        <v>#REF!</v>
      </c>
      <c r="G1131" s="533" t="e">
        <f>#REF!</f>
        <v>#REF!</v>
      </c>
      <c r="H1131" s="533" t="e">
        <f>#REF!</f>
        <v>#REF!</v>
      </c>
      <c r="I1131" s="533" t="e">
        <f>#REF!</f>
        <v>#REF!</v>
      </c>
      <c r="J1131" s="533" t="e">
        <f>#REF!</f>
        <v>#REF!</v>
      </c>
      <c r="K1131" s="533" t="e">
        <f>#REF!</f>
        <v>#REF!</v>
      </c>
      <c r="L1131" s="533" t="e">
        <f>#REF!</f>
        <v>#REF!</v>
      </c>
      <c r="M1131" s="533" t="e">
        <f>#REF!</f>
        <v>#REF!</v>
      </c>
      <c r="N1131" s="533" t="e">
        <f>#REF!</f>
        <v>#REF!</v>
      </c>
      <c r="O1131" s="533" t="e">
        <f>#REF!</f>
        <v>#REF!</v>
      </c>
      <c r="P1131" s="533" t="e">
        <f>#REF!</f>
        <v>#REF!</v>
      </c>
      <c r="Q1131" s="533" t="e">
        <f>#REF!</f>
        <v>#REF!</v>
      </c>
      <c r="R1131" s="533" t="e">
        <f>#REF!</f>
        <v>#REF!</v>
      </c>
      <c r="S1131" s="533" t="e">
        <f>#REF!</f>
        <v>#REF!</v>
      </c>
      <c r="T1131" s="533" t="e">
        <f>#REF!</f>
        <v>#REF!</v>
      </c>
      <c r="U1131" s="533" t="e">
        <f>#REF!</f>
        <v>#REF!</v>
      </c>
      <c r="V1131" s="533" t="e">
        <f>#REF!</f>
        <v>#REF!</v>
      </c>
    </row>
    <row r="1132" spans="1:22" s="533" customFormat="1" ht="12.6" customHeight="1" x14ac:dyDescent="0.25">
      <c r="A1132" s="532"/>
      <c r="B1132" s="715"/>
      <c r="C1132" s="532" t="s">
        <v>98</v>
      </c>
      <c r="D1132" s="532"/>
      <c r="E1132" s="533" t="e">
        <f>#REF!+#REF!+#REF!+#REF!+#REF!+#REF!+E160+#REF!</f>
        <v>#REF!</v>
      </c>
      <c r="F1132" s="533" t="e">
        <f>#REF!+#REF!+#REF!+#REF!+#REF!+#REF!+F160+#REF!</f>
        <v>#REF!</v>
      </c>
      <c r="G1132" s="533" t="e">
        <f>#REF!+#REF!+#REF!+#REF!+#REF!+#REF!+G160+#REF!</f>
        <v>#REF!</v>
      </c>
      <c r="H1132" s="533" t="e">
        <f>#REF!+#REF!+#REF!+#REF!+#REF!+#REF!+H160+#REF!</f>
        <v>#REF!</v>
      </c>
      <c r="I1132" s="533" t="e">
        <f>#REF!+#REF!+#REF!+#REF!+#REF!+#REF!+I160+#REF!</f>
        <v>#REF!</v>
      </c>
      <c r="J1132" s="533" t="e">
        <f>#REF!+#REF!+#REF!+#REF!+#REF!+#REF!+J160+#REF!</f>
        <v>#REF!</v>
      </c>
      <c r="K1132" s="533" t="e">
        <f>#REF!+#REF!+#REF!+#REF!+#REF!+#REF!+K160+#REF!</f>
        <v>#REF!</v>
      </c>
      <c r="L1132" s="533" t="e">
        <f>#REF!+#REF!+#REF!+#REF!+#REF!+#REF!+L160+#REF!</f>
        <v>#REF!</v>
      </c>
      <c r="M1132" s="533" t="e">
        <f>#REF!+#REF!+#REF!+#REF!+#REF!+#REF!+M160+#REF!</f>
        <v>#REF!</v>
      </c>
      <c r="N1132" s="533" t="e">
        <f>#REF!+#REF!+#REF!+#REF!+#REF!+#REF!+N160+#REF!</f>
        <v>#REF!</v>
      </c>
      <c r="O1132" s="533" t="e">
        <f>#REF!+#REF!+#REF!+#REF!+#REF!+#REF!+O160+#REF!</f>
        <v>#REF!</v>
      </c>
      <c r="P1132" s="533" t="e">
        <f>#REF!+#REF!+#REF!+#REF!+#REF!+#REF!+P160+#REF!</f>
        <v>#REF!</v>
      </c>
      <c r="Q1132" s="533" t="e">
        <f>#REF!+#REF!+#REF!+#REF!+#REF!+#REF!+Q160+#REF!</f>
        <v>#REF!</v>
      </c>
      <c r="R1132" s="533" t="e">
        <f>#REF!+#REF!+#REF!+#REF!+#REF!+#REF!+R160+#REF!</f>
        <v>#REF!</v>
      </c>
      <c r="S1132" s="533" t="e">
        <f>#REF!+#REF!+#REF!+#REF!+#REF!+#REF!+S160+#REF!</f>
        <v>#REF!</v>
      </c>
      <c r="T1132" s="533" t="e">
        <f>#REF!+#REF!+#REF!+#REF!+#REF!+#REF!+T160+#REF!</f>
        <v>#REF!</v>
      </c>
      <c r="U1132" s="533" t="e">
        <f>#REF!+#REF!+#REF!+#REF!+#REF!+#REF!+U160+#REF!</f>
        <v>#REF!</v>
      </c>
      <c r="V1132" s="533" t="e">
        <f>#REF!+#REF!+#REF!+#REF!+#REF!+#REF!+V160+#REF!</f>
        <v>#REF!</v>
      </c>
    </row>
    <row r="1133" spans="1:22" s="533" customFormat="1" ht="12.6" customHeight="1" x14ac:dyDescent="0.25">
      <c r="A1133" s="532"/>
      <c r="B1133" s="715"/>
      <c r="C1133" s="532" t="s">
        <v>99</v>
      </c>
      <c r="D1133" s="532"/>
      <c r="E1133" s="707" t="e">
        <f>#REF!+#REF!+#REF!</f>
        <v>#REF!</v>
      </c>
      <c r="F1133" s="707" t="e">
        <f>#REF!+#REF!+#REF!</f>
        <v>#REF!</v>
      </c>
      <c r="G1133" s="707" t="e">
        <f>#REF!+#REF!+#REF!</f>
        <v>#REF!</v>
      </c>
      <c r="H1133" s="707" t="e">
        <f>#REF!+#REF!+#REF!</f>
        <v>#REF!</v>
      </c>
      <c r="I1133" s="707" t="e">
        <f>#REF!+#REF!+#REF!</f>
        <v>#REF!</v>
      </c>
      <c r="J1133" s="707" t="e">
        <f>#REF!+#REF!+#REF!</f>
        <v>#REF!</v>
      </c>
      <c r="K1133" s="707" t="e">
        <f>#REF!+#REF!+#REF!</f>
        <v>#REF!</v>
      </c>
      <c r="L1133" s="707" t="e">
        <f>#REF!+#REF!+#REF!</f>
        <v>#REF!</v>
      </c>
      <c r="M1133" s="707" t="e">
        <f>#REF!+#REF!+#REF!</f>
        <v>#REF!</v>
      </c>
      <c r="N1133" s="707" t="e">
        <f>#REF!+#REF!+#REF!</f>
        <v>#REF!</v>
      </c>
      <c r="O1133" s="707" t="e">
        <f>#REF!+#REF!+#REF!</f>
        <v>#REF!</v>
      </c>
      <c r="P1133" s="707" t="e">
        <f>#REF!+#REF!+#REF!</f>
        <v>#REF!</v>
      </c>
      <c r="Q1133" s="707" t="e">
        <f>#REF!+#REF!+#REF!</f>
        <v>#REF!</v>
      </c>
      <c r="R1133" s="707" t="e">
        <f>#REF!+#REF!+#REF!</f>
        <v>#REF!</v>
      </c>
      <c r="S1133" s="707" t="e">
        <f>#REF!+#REF!+#REF!</f>
        <v>#REF!</v>
      </c>
      <c r="T1133" s="707" t="e">
        <f>#REF!+#REF!+#REF!</f>
        <v>#REF!</v>
      </c>
      <c r="U1133" s="707" t="e">
        <f>#REF!+#REF!+#REF!</f>
        <v>#REF!</v>
      </c>
      <c r="V1133" s="707" t="e">
        <f>#REF!+#REF!+#REF!</f>
        <v>#REF!</v>
      </c>
    </row>
    <row r="1134" spans="1:22" s="533" customFormat="1" ht="12.6" customHeight="1" x14ac:dyDescent="0.25">
      <c r="A1134" s="532"/>
      <c r="B1134" s="715"/>
      <c r="C1134" s="532"/>
      <c r="D1134" s="532"/>
      <c r="E1134" s="708" t="e">
        <f>SUM(E1131:E1133)</f>
        <v>#REF!</v>
      </c>
      <c r="F1134" s="708" t="e">
        <f t="shared" ref="F1134:V1134" si="545">SUM(F1131:F1133)</f>
        <v>#REF!</v>
      </c>
      <c r="G1134" s="708" t="e">
        <f t="shared" si="545"/>
        <v>#REF!</v>
      </c>
      <c r="H1134" s="708" t="e">
        <f>SUM(H1131:H1133)</f>
        <v>#REF!</v>
      </c>
      <c r="I1134" s="708" t="e">
        <f t="shared" si="545"/>
        <v>#REF!</v>
      </c>
      <c r="J1134" s="708" t="e">
        <f>SUM(J1131:J1133)</f>
        <v>#REF!</v>
      </c>
      <c r="K1134" s="708" t="e">
        <f t="shared" si="545"/>
        <v>#REF!</v>
      </c>
      <c r="L1134" s="708" t="e">
        <f t="shared" si="545"/>
        <v>#REF!</v>
      </c>
      <c r="M1134" s="708" t="e">
        <f t="shared" si="545"/>
        <v>#REF!</v>
      </c>
      <c r="N1134" s="708" t="e">
        <f t="shared" si="545"/>
        <v>#REF!</v>
      </c>
      <c r="O1134" s="708" t="e">
        <f t="shared" si="545"/>
        <v>#REF!</v>
      </c>
      <c r="P1134" s="708" t="e">
        <f t="shared" si="545"/>
        <v>#REF!</v>
      </c>
      <c r="Q1134" s="708" t="e">
        <f t="shared" si="545"/>
        <v>#REF!</v>
      </c>
      <c r="R1134" s="708" t="e">
        <f t="shared" si="545"/>
        <v>#REF!</v>
      </c>
      <c r="S1134" s="708" t="e">
        <f t="shared" si="545"/>
        <v>#REF!</v>
      </c>
      <c r="T1134" s="708" t="e">
        <f t="shared" si="545"/>
        <v>#REF!</v>
      </c>
      <c r="U1134" s="708" t="e">
        <f t="shared" si="545"/>
        <v>#REF!</v>
      </c>
      <c r="V1134" s="708" t="e">
        <f t="shared" si="545"/>
        <v>#REF!</v>
      </c>
    </row>
    <row r="1135" spans="1:22" s="533" customFormat="1" ht="12.6" customHeight="1" x14ac:dyDescent="0.25">
      <c r="A1135" s="532"/>
      <c r="B1135" s="715"/>
      <c r="C1135" s="532"/>
      <c r="D1135" s="532"/>
    </row>
    <row r="1136" spans="1:22" s="533" customFormat="1" ht="12.6" customHeight="1" x14ac:dyDescent="0.25">
      <c r="A1136" s="532"/>
      <c r="B1136" s="715" t="s">
        <v>441</v>
      </c>
      <c r="C1136" s="532" t="s">
        <v>97</v>
      </c>
      <c r="D1136" s="532"/>
    </row>
    <row r="1137" spans="1:26" s="533" customFormat="1" ht="12.6" customHeight="1" x14ac:dyDescent="0.25">
      <c r="A1137" s="532"/>
      <c r="B1137" s="715"/>
      <c r="C1137" s="532" t="s">
        <v>98</v>
      </c>
      <c r="D1137" s="532"/>
      <c r="E1137" s="533" t="e">
        <f>#REF!+#REF!</f>
        <v>#REF!</v>
      </c>
      <c r="F1137" s="533" t="e">
        <f>#REF!+#REF!</f>
        <v>#REF!</v>
      </c>
      <c r="G1137" s="533" t="e">
        <f>#REF!+#REF!</f>
        <v>#REF!</v>
      </c>
      <c r="H1137" s="533" t="e">
        <f>#REF!+#REF!</f>
        <v>#REF!</v>
      </c>
      <c r="I1137" s="533" t="e">
        <f>#REF!+#REF!</f>
        <v>#REF!</v>
      </c>
      <c r="J1137" s="533" t="e">
        <f>#REF!+#REF!</f>
        <v>#REF!</v>
      </c>
      <c r="K1137" s="533" t="e">
        <f>#REF!+#REF!</f>
        <v>#REF!</v>
      </c>
      <c r="L1137" s="533" t="e">
        <f>#REF!+#REF!</f>
        <v>#REF!</v>
      </c>
      <c r="M1137" s="533" t="e">
        <f>#REF!+#REF!</f>
        <v>#REF!</v>
      </c>
      <c r="N1137" s="533" t="e">
        <f>#REF!+#REF!</f>
        <v>#REF!</v>
      </c>
      <c r="O1137" s="533" t="e">
        <f>#REF!+#REF!</f>
        <v>#REF!</v>
      </c>
      <c r="P1137" s="533" t="e">
        <f>#REF!+#REF!</f>
        <v>#REF!</v>
      </c>
      <c r="Q1137" s="533" t="e">
        <f>#REF!+#REF!</f>
        <v>#REF!</v>
      </c>
      <c r="R1137" s="533" t="e">
        <f>#REF!+#REF!</f>
        <v>#REF!</v>
      </c>
      <c r="S1137" s="533" t="e">
        <f>#REF!+#REF!</f>
        <v>#REF!</v>
      </c>
      <c r="T1137" s="533" t="e">
        <f>#REF!+#REF!</f>
        <v>#REF!</v>
      </c>
      <c r="U1137" s="533" t="e">
        <f>#REF!+#REF!</f>
        <v>#REF!</v>
      </c>
      <c r="V1137" s="533" t="e">
        <f>#REF!+#REF!</f>
        <v>#REF!</v>
      </c>
    </row>
    <row r="1138" spans="1:26" s="533" customFormat="1" ht="12.6" customHeight="1" x14ac:dyDescent="0.25">
      <c r="A1138" s="532"/>
      <c r="B1138" s="715"/>
      <c r="C1138" s="532" t="s">
        <v>99</v>
      </c>
      <c r="D1138" s="532"/>
      <c r="E1138" s="707"/>
      <c r="F1138" s="707"/>
      <c r="G1138" s="707"/>
      <c r="H1138" s="707"/>
      <c r="I1138" s="707"/>
      <c r="J1138" s="707"/>
      <c r="K1138" s="707"/>
      <c r="L1138" s="707"/>
      <c r="M1138" s="707"/>
      <c r="N1138" s="707"/>
      <c r="O1138" s="707"/>
      <c r="P1138" s="707"/>
      <c r="Q1138" s="707"/>
      <c r="R1138" s="707"/>
      <c r="S1138" s="707"/>
      <c r="T1138" s="707"/>
      <c r="U1138" s="707"/>
      <c r="V1138" s="707"/>
    </row>
    <row r="1139" spans="1:26" s="533" customFormat="1" ht="12.6" customHeight="1" x14ac:dyDescent="0.25">
      <c r="A1139" s="532"/>
      <c r="B1139" s="532"/>
      <c r="C1139" s="532"/>
      <c r="D1139" s="532"/>
      <c r="E1139" s="708" t="e">
        <f>SUM(E1136:E1138)</f>
        <v>#REF!</v>
      </c>
      <c r="F1139" s="708" t="e">
        <f t="shared" ref="F1139:V1139" si="546">SUM(F1136:F1138)</f>
        <v>#REF!</v>
      </c>
      <c r="G1139" s="708" t="e">
        <f t="shared" si="546"/>
        <v>#REF!</v>
      </c>
      <c r="H1139" s="708" t="e">
        <f>SUM(H1136:H1138)</f>
        <v>#REF!</v>
      </c>
      <c r="I1139" s="708" t="e">
        <f t="shared" si="546"/>
        <v>#REF!</v>
      </c>
      <c r="J1139" s="708" t="e">
        <f>SUM(J1136:J1138)</f>
        <v>#REF!</v>
      </c>
      <c r="K1139" s="708" t="e">
        <f t="shared" si="546"/>
        <v>#REF!</v>
      </c>
      <c r="L1139" s="708" t="e">
        <f t="shared" si="546"/>
        <v>#REF!</v>
      </c>
      <c r="M1139" s="708" t="e">
        <f t="shared" si="546"/>
        <v>#REF!</v>
      </c>
      <c r="N1139" s="708" t="e">
        <f t="shared" si="546"/>
        <v>#REF!</v>
      </c>
      <c r="O1139" s="708" t="e">
        <f t="shared" si="546"/>
        <v>#REF!</v>
      </c>
      <c r="P1139" s="708" t="e">
        <f t="shared" si="546"/>
        <v>#REF!</v>
      </c>
      <c r="Q1139" s="708" t="e">
        <f t="shared" si="546"/>
        <v>#REF!</v>
      </c>
      <c r="R1139" s="708" t="e">
        <f t="shared" si="546"/>
        <v>#REF!</v>
      </c>
      <c r="S1139" s="708" t="e">
        <f t="shared" si="546"/>
        <v>#REF!</v>
      </c>
      <c r="T1139" s="708" t="e">
        <f t="shared" si="546"/>
        <v>#REF!</v>
      </c>
      <c r="U1139" s="708" t="e">
        <f t="shared" si="546"/>
        <v>#REF!</v>
      </c>
      <c r="V1139" s="708" t="e">
        <f t="shared" si="546"/>
        <v>#REF!</v>
      </c>
    </row>
    <row r="1140" spans="1:26" ht="12.6" customHeight="1" x14ac:dyDescent="0.25">
      <c r="E1140" s="708"/>
      <c r="F1140" s="708"/>
      <c r="G1140" s="708"/>
      <c r="H1140" s="708"/>
      <c r="I1140" s="708"/>
      <c r="J1140" s="708"/>
      <c r="K1140" s="708"/>
      <c r="L1140" s="708"/>
      <c r="M1140" s="708"/>
      <c r="N1140" s="708"/>
      <c r="O1140" s="708"/>
      <c r="P1140" s="708"/>
      <c r="Q1140" s="708"/>
      <c r="R1140" s="708"/>
      <c r="S1140" s="708"/>
      <c r="T1140" s="708"/>
      <c r="U1140" s="708"/>
      <c r="V1140" s="708"/>
    </row>
    <row r="1141" spans="1:26" s="591" customFormat="1" ht="12.6" customHeight="1" x14ac:dyDescent="0.25">
      <c r="A1141" s="591" t="s">
        <v>442</v>
      </c>
      <c r="B1141" s="591" t="s">
        <v>97</v>
      </c>
      <c r="E1141" s="697" t="e">
        <f>E1006+E1011+E1016+E1021+E1026+E1031+E1036+E1041+E1046+E1051+E1056+E1061+E1066+E1071+E1076+E1081+E1086+E1091+E1096+E1101+E1131+E1106+E1111+E1121+E1136+E1126+E1116</f>
        <v>#REF!</v>
      </c>
      <c r="F1141" s="697" t="e">
        <f t="shared" ref="F1141:V1143" si="547">F1006+F1011+F1016+F1021+F1026+F1031+F1036+F1041+F1046+F1051+F1056+F1061+F1066+F1071+F1076+F1081+F1086+F1091+F1096+F1101+F1131+F1106+F1111+F1121+F1136+F1126+F1116</f>
        <v>#REF!</v>
      </c>
      <c r="G1141" s="697" t="e">
        <f t="shared" si="547"/>
        <v>#REF!</v>
      </c>
      <c r="H1141" s="697" t="e">
        <f>H1006+H1011+H1016+H1021+H1026+H1031+H1036+H1041+H1046+H1051+H1056+H1061+H1066+H1071+H1076+H1081+H1086+H1091+H1096+H1101+H1131+H1106+H1111+H1121+H1136+H1126+H1116</f>
        <v>#REF!</v>
      </c>
      <c r="I1141" s="697" t="e">
        <f t="shared" si="547"/>
        <v>#REF!</v>
      </c>
      <c r="J1141" s="697" t="e">
        <f>J1006+J1011+J1016+J1021+J1026+J1031+J1036+J1041+J1046+J1051+J1056+J1061+J1066+J1071+J1076+J1081+J1086+J1091+J1096+J1101+J1131+J1106+J1111+J1121+J1136+J1126+J1116</f>
        <v>#REF!</v>
      </c>
      <c r="K1141" s="697" t="e">
        <f t="shared" si="547"/>
        <v>#REF!</v>
      </c>
      <c r="L1141" s="697" t="e">
        <f t="shared" si="547"/>
        <v>#REF!</v>
      </c>
      <c r="M1141" s="697" t="e">
        <f t="shared" si="547"/>
        <v>#REF!</v>
      </c>
      <c r="N1141" s="697" t="e">
        <f t="shared" si="547"/>
        <v>#REF!</v>
      </c>
      <c r="O1141" s="697" t="e">
        <f t="shared" si="547"/>
        <v>#REF!</v>
      </c>
      <c r="P1141" s="697" t="e">
        <f t="shared" si="547"/>
        <v>#REF!</v>
      </c>
      <c r="Q1141" s="697" t="e">
        <f t="shared" si="547"/>
        <v>#REF!</v>
      </c>
      <c r="R1141" s="697" t="e">
        <f t="shared" si="547"/>
        <v>#REF!</v>
      </c>
      <c r="S1141" s="697" t="e">
        <f t="shared" si="547"/>
        <v>#REF!</v>
      </c>
      <c r="T1141" s="697" t="e">
        <f t="shared" si="547"/>
        <v>#REF!</v>
      </c>
      <c r="U1141" s="697" t="e">
        <f t="shared" si="547"/>
        <v>#REF!</v>
      </c>
      <c r="V1141" s="697" t="e">
        <f t="shared" si="547"/>
        <v>#REF!</v>
      </c>
      <c r="W1141" s="697"/>
      <c r="X1141" s="697"/>
      <c r="Y1141" s="697"/>
      <c r="Z1141" s="697"/>
    </row>
    <row r="1142" spans="1:26" s="591" customFormat="1" ht="12.6" customHeight="1" x14ac:dyDescent="0.25">
      <c r="B1142" s="591" t="s">
        <v>98</v>
      </c>
      <c r="E1142" s="697" t="e">
        <f>E1007+E1012+E1017+E1022+E1027+E1032+E1037+E1042+E1047+E1052+E1057+E1062+E1067+E1072+E1077+E1082+E1087+E1092+E1097+E1102+E1132+E1107+E1112+E1122+E1137+E1127+E1117</f>
        <v>#REF!</v>
      </c>
      <c r="F1142" s="697" t="e">
        <f t="shared" si="547"/>
        <v>#REF!</v>
      </c>
      <c r="G1142" s="697" t="e">
        <f t="shared" si="547"/>
        <v>#REF!</v>
      </c>
      <c r="H1142" s="697" t="e">
        <f>H1007+H1012+H1017+H1022+H1027+H1032+H1037+H1042+H1047+H1052+H1057+H1062+H1067+H1072+H1077+H1082+H1087+H1092+H1097+H1102+H1132+H1107+H1112+H1122+H1137+H1127+H1117</f>
        <v>#REF!</v>
      </c>
      <c r="I1142" s="697" t="e">
        <f t="shared" si="547"/>
        <v>#REF!</v>
      </c>
      <c r="J1142" s="697" t="e">
        <f>J1007+J1012+J1017+J1022+J1027+J1032+J1037+J1042+J1047+J1052+J1057+J1062+J1067+J1072+J1077+J1082+J1087+J1092+J1097+J1102+J1132+J1107+J1112+J1122+J1137+J1127+J1117</f>
        <v>#REF!</v>
      </c>
      <c r="K1142" s="697" t="e">
        <f t="shared" si="547"/>
        <v>#REF!</v>
      </c>
      <c r="L1142" s="697" t="e">
        <f t="shared" si="547"/>
        <v>#REF!</v>
      </c>
      <c r="M1142" s="697" t="e">
        <f t="shared" si="547"/>
        <v>#REF!</v>
      </c>
      <c r="N1142" s="697" t="e">
        <f t="shared" si="547"/>
        <v>#REF!</v>
      </c>
      <c r="O1142" s="697" t="e">
        <f t="shared" si="547"/>
        <v>#REF!</v>
      </c>
      <c r="P1142" s="697" t="e">
        <f t="shared" si="547"/>
        <v>#REF!</v>
      </c>
      <c r="Q1142" s="697" t="e">
        <f t="shared" si="547"/>
        <v>#REF!</v>
      </c>
      <c r="R1142" s="697" t="e">
        <f t="shared" si="547"/>
        <v>#REF!</v>
      </c>
      <c r="S1142" s="697" t="e">
        <f t="shared" si="547"/>
        <v>#REF!</v>
      </c>
      <c r="T1142" s="697" t="e">
        <f t="shared" si="547"/>
        <v>#REF!</v>
      </c>
      <c r="U1142" s="697" t="e">
        <f t="shared" si="547"/>
        <v>#REF!</v>
      </c>
      <c r="V1142" s="697" t="e">
        <f t="shared" si="547"/>
        <v>#REF!</v>
      </c>
      <c r="W1142" s="697"/>
      <c r="X1142" s="697"/>
      <c r="Y1142" s="697"/>
      <c r="Z1142" s="697"/>
    </row>
    <row r="1143" spans="1:26" s="591" customFormat="1" ht="12.6" customHeight="1" x14ac:dyDescent="0.25">
      <c r="B1143" s="591" t="s">
        <v>99</v>
      </c>
      <c r="E1143" s="713" t="e">
        <f>E1008+E1013+E1018+E1023+E1028+E1033+E1038+E1043+E1048+E1053+E1058+E1063+E1068+E1073+E1078+E1083+E1088+E1093+E1098+E1103+E1133+E1108+E1113+E1123+E1138+E1128+E1118</f>
        <v>#REF!</v>
      </c>
      <c r="F1143" s="713" t="e">
        <f t="shared" si="547"/>
        <v>#REF!</v>
      </c>
      <c r="G1143" s="713" t="e">
        <f t="shared" si="547"/>
        <v>#REF!</v>
      </c>
      <c r="H1143" s="713" t="e">
        <f>H1008+H1013+H1018+H1023+H1028+H1033+H1038+H1043+H1048+H1053+H1058+H1063+H1068+H1073+H1078+H1083+H1088+H1093+H1098+H1103+H1133+H1108+H1113+H1123+H1138+H1128+H1118</f>
        <v>#REF!</v>
      </c>
      <c r="I1143" s="713" t="e">
        <f t="shared" si="547"/>
        <v>#REF!</v>
      </c>
      <c r="J1143" s="713" t="e">
        <f>J1008+J1013+J1018+J1023+J1028+J1033+J1038+J1043+J1048+J1053+J1058+J1063+J1068+J1073+J1078+J1083+J1088+J1093+J1098+J1103+J1133+J1108+J1113+J1123+J1138+J1128+J1118</f>
        <v>#REF!</v>
      </c>
      <c r="K1143" s="713" t="e">
        <f t="shared" si="547"/>
        <v>#REF!</v>
      </c>
      <c r="L1143" s="713" t="e">
        <f t="shared" si="547"/>
        <v>#REF!</v>
      </c>
      <c r="M1143" s="713" t="e">
        <f t="shared" si="547"/>
        <v>#REF!</v>
      </c>
      <c r="N1143" s="713" t="e">
        <f t="shared" si="547"/>
        <v>#REF!</v>
      </c>
      <c r="O1143" s="713" t="e">
        <f t="shared" si="547"/>
        <v>#REF!</v>
      </c>
      <c r="P1143" s="713" t="e">
        <f t="shared" si="547"/>
        <v>#REF!</v>
      </c>
      <c r="Q1143" s="713" t="e">
        <f t="shared" si="547"/>
        <v>#REF!</v>
      </c>
      <c r="R1143" s="713" t="e">
        <f t="shared" si="547"/>
        <v>#REF!</v>
      </c>
      <c r="S1143" s="713" t="e">
        <f t="shared" si="547"/>
        <v>#REF!</v>
      </c>
      <c r="T1143" s="713" t="e">
        <f t="shared" si="547"/>
        <v>#REF!</v>
      </c>
      <c r="U1143" s="713" t="e">
        <f t="shared" si="547"/>
        <v>#REF!</v>
      </c>
      <c r="V1143" s="713" t="e">
        <f t="shared" si="547"/>
        <v>#REF!</v>
      </c>
      <c r="W1143" s="697"/>
      <c r="X1143" s="697"/>
      <c r="Y1143" s="697"/>
      <c r="Z1143" s="697"/>
    </row>
    <row r="1144" spans="1:26" s="591" customFormat="1" ht="12.6" customHeight="1" x14ac:dyDescent="0.25">
      <c r="E1144" s="710" t="e">
        <f t="shared" ref="E1144:V1144" si="548">SUM(E1141:E1143)</f>
        <v>#REF!</v>
      </c>
      <c r="F1144" s="710" t="e">
        <f t="shared" si="548"/>
        <v>#REF!</v>
      </c>
      <c r="G1144" s="710" t="e">
        <f t="shared" si="548"/>
        <v>#REF!</v>
      </c>
      <c r="H1144" s="710" t="e">
        <f>SUM(H1141:H1143)</f>
        <v>#REF!</v>
      </c>
      <c r="I1144" s="710" t="e">
        <f t="shared" si="548"/>
        <v>#REF!</v>
      </c>
      <c r="J1144" s="710" t="e">
        <f>SUM(J1141:J1143)</f>
        <v>#REF!</v>
      </c>
      <c r="K1144" s="710" t="e">
        <f t="shared" ref="K1144:R1144" si="549">SUM(K1141:K1143)</f>
        <v>#REF!</v>
      </c>
      <c r="L1144" s="710" t="e">
        <f t="shared" si="549"/>
        <v>#REF!</v>
      </c>
      <c r="M1144" s="710" t="e">
        <f t="shared" si="549"/>
        <v>#REF!</v>
      </c>
      <c r="N1144" s="710" t="e">
        <f t="shared" si="549"/>
        <v>#REF!</v>
      </c>
      <c r="O1144" s="710" t="e">
        <f t="shared" si="549"/>
        <v>#REF!</v>
      </c>
      <c r="P1144" s="710" t="e">
        <f t="shared" si="549"/>
        <v>#REF!</v>
      </c>
      <c r="Q1144" s="710" t="e">
        <f t="shared" si="549"/>
        <v>#REF!</v>
      </c>
      <c r="R1144" s="710" t="e">
        <f t="shared" si="549"/>
        <v>#REF!</v>
      </c>
      <c r="S1144" s="710" t="e">
        <f t="shared" si="548"/>
        <v>#REF!</v>
      </c>
      <c r="T1144" s="710" t="e">
        <f t="shared" si="548"/>
        <v>#REF!</v>
      </c>
      <c r="U1144" s="710" t="e">
        <f t="shared" si="548"/>
        <v>#REF!</v>
      </c>
      <c r="V1144" s="710" t="e">
        <f t="shared" si="548"/>
        <v>#REF!</v>
      </c>
      <c r="W1144" s="697"/>
      <c r="X1144" s="697"/>
      <c r="Y1144" s="697"/>
      <c r="Z1144" s="697"/>
    </row>
    <row r="1145" spans="1:26" ht="12.6" customHeight="1" x14ac:dyDescent="0.25">
      <c r="E1145" s="708"/>
      <c r="F1145" s="716"/>
      <c r="G1145" s="708"/>
      <c r="H1145" s="708"/>
      <c r="I1145" s="708"/>
      <c r="J1145" s="708"/>
      <c r="K1145" s="708"/>
      <c r="L1145" s="708"/>
      <c r="M1145" s="708"/>
      <c r="N1145" s="708"/>
      <c r="O1145" s="708"/>
      <c r="P1145" s="708"/>
      <c r="Q1145" s="708"/>
      <c r="R1145" s="708"/>
      <c r="S1145" s="708"/>
      <c r="T1145" s="708"/>
      <c r="U1145" s="708"/>
      <c r="V1145" s="708"/>
    </row>
    <row r="1146" spans="1:26" s="533" customFormat="1" ht="12.6" customHeight="1" x14ac:dyDescent="0.25">
      <c r="A1146" s="532"/>
      <c r="B1146" s="715" t="s">
        <v>443</v>
      </c>
      <c r="C1146" s="532" t="s">
        <v>97</v>
      </c>
      <c r="D1146" s="712" t="s">
        <v>444</v>
      </c>
      <c r="E1146" s="533">
        <f t="shared" ref="E1146:V1146" si="550">E20</f>
        <v>0</v>
      </c>
      <c r="F1146" s="533">
        <f t="shared" si="550"/>
        <v>3082650.9699999997</v>
      </c>
      <c r="G1146" s="533">
        <f t="shared" si="550"/>
        <v>0</v>
      </c>
      <c r="H1146" s="533">
        <f t="shared" si="550"/>
        <v>0</v>
      </c>
      <c r="I1146" s="533">
        <f t="shared" si="550"/>
        <v>3082650.9699999997</v>
      </c>
      <c r="J1146" s="533">
        <f t="shared" si="550"/>
        <v>0</v>
      </c>
      <c r="K1146" s="533">
        <f t="shared" si="550"/>
        <v>0</v>
      </c>
      <c r="L1146" s="533">
        <f t="shared" si="550"/>
        <v>0</v>
      </c>
      <c r="M1146" s="533">
        <f t="shared" si="550"/>
        <v>0</v>
      </c>
      <c r="N1146" s="533">
        <f t="shared" si="550"/>
        <v>0</v>
      </c>
      <c r="O1146" s="533">
        <f t="shared" si="550"/>
        <v>0</v>
      </c>
      <c r="P1146" s="533">
        <f t="shared" si="550"/>
        <v>0</v>
      </c>
      <c r="Q1146" s="533">
        <f t="shared" si="550"/>
        <v>0</v>
      </c>
      <c r="R1146" s="533">
        <f t="shared" si="550"/>
        <v>0</v>
      </c>
      <c r="S1146" s="533">
        <f t="shared" si="550"/>
        <v>0</v>
      </c>
      <c r="T1146" s="533">
        <f t="shared" si="550"/>
        <v>6165301.9399999995</v>
      </c>
      <c r="U1146" s="533">
        <f t="shared" si="550"/>
        <v>0</v>
      </c>
      <c r="V1146" s="533">
        <f t="shared" si="550"/>
        <v>6165301.9399999995</v>
      </c>
    </row>
    <row r="1147" spans="1:26" s="533" customFormat="1" ht="12.6" customHeight="1" x14ac:dyDescent="0.25">
      <c r="A1147" s="532"/>
      <c r="B1147" s="715"/>
      <c r="C1147" s="532" t="s">
        <v>98</v>
      </c>
      <c r="D1147" s="712" t="s">
        <v>444</v>
      </c>
    </row>
    <row r="1148" spans="1:26" s="533" customFormat="1" ht="12.6" customHeight="1" x14ac:dyDescent="0.25">
      <c r="A1148" s="532"/>
      <c r="B1148" s="715"/>
      <c r="C1148" s="532" t="s">
        <v>99</v>
      </c>
      <c r="D1148" s="712" t="s">
        <v>444</v>
      </c>
      <c r="E1148" s="707"/>
      <c r="F1148" s="707"/>
      <c r="G1148" s="707"/>
      <c r="H1148" s="707"/>
      <c r="I1148" s="707"/>
      <c r="J1148" s="707"/>
      <c r="K1148" s="707"/>
      <c r="L1148" s="707"/>
      <c r="M1148" s="707"/>
      <c r="N1148" s="707"/>
      <c r="O1148" s="707"/>
      <c r="P1148" s="707"/>
      <c r="Q1148" s="707"/>
      <c r="R1148" s="707"/>
      <c r="S1148" s="707"/>
      <c r="T1148" s="707"/>
      <c r="U1148" s="707"/>
      <c r="V1148" s="707"/>
    </row>
    <row r="1149" spans="1:26" s="533" customFormat="1" ht="12.6" customHeight="1" x14ac:dyDescent="0.25">
      <c r="A1149" s="532"/>
      <c r="B1149" s="715"/>
      <c r="C1149" s="532"/>
      <c r="D1149" s="532"/>
      <c r="E1149" s="708">
        <f>SUM(E1146:E1148)</f>
        <v>0</v>
      </c>
      <c r="F1149" s="708">
        <f t="shared" ref="F1149:V1149" si="551">SUM(F1146:F1148)</f>
        <v>3082650.9699999997</v>
      </c>
      <c r="G1149" s="708">
        <f t="shared" si="551"/>
        <v>0</v>
      </c>
      <c r="H1149" s="708">
        <f>SUM(H1146:H1148)</f>
        <v>0</v>
      </c>
      <c r="I1149" s="708">
        <f t="shared" si="551"/>
        <v>3082650.9699999997</v>
      </c>
      <c r="J1149" s="708">
        <f>SUM(J1146:J1148)</f>
        <v>0</v>
      </c>
      <c r="K1149" s="708">
        <f t="shared" si="551"/>
        <v>0</v>
      </c>
      <c r="L1149" s="708">
        <f t="shared" si="551"/>
        <v>0</v>
      </c>
      <c r="M1149" s="708">
        <f t="shared" si="551"/>
        <v>0</v>
      </c>
      <c r="N1149" s="708">
        <f t="shared" si="551"/>
        <v>0</v>
      </c>
      <c r="O1149" s="708">
        <f t="shared" si="551"/>
        <v>0</v>
      </c>
      <c r="P1149" s="708">
        <f t="shared" si="551"/>
        <v>0</v>
      </c>
      <c r="Q1149" s="708">
        <f t="shared" si="551"/>
        <v>0</v>
      </c>
      <c r="R1149" s="708">
        <f t="shared" si="551"/>
        <v>0</v>
      </c>
      <c r="S1149" s="708">
        <f t="shared" si="551"/>
        <v>0</v>
      </c>
      <c r="T1149" s="708">
        <f t="shared" si="551"/>
        <v>6165301.9399999995</v>
      </c>
      <c r="U1149" s="708">
        <f t="shared" si="551"/>
        <v>0</v>
      </c>
      <c r="V1149" s="708">
        <f t="shared" si="551"/>
        <v>6165301.9399999995</v>
      </c>
    </row>
    <row r="1150" spans="1:26" s="533" customFormat="1" ht="12.6" customHeight="1" x14ac:dyDescent="0.25">
      <c r="A1150" s="532"/>
      <c r="B1150" s="715"/>
      <c r="C1150" s="532"/>
      <c r="D1150" s="532"/>
    </row>
    <row r="1151" spans="1:26" s="533" customFormat="1" ht="12.6" customHeight="1" x14ac:dyDescent="0.25">
      <c r="A1151" s="532"/>
      <c r="B1151" s="715" t="s">
        <v>341</v>
      </c>
      <c r="C1151" s="532" t="s">
        <v>97</v>
      </c>
      <c r="D1151" s="712" t="s">
        <v>444</v>
      </c>
      <c r="E1151" s="533">
        <f t="shared" ref="E1151:V1151" si="552">E21</f>
        <v>50000</v>
      </c>
      <c r="F1151" s="533">
        <f t="shared" si="552"/>
        <v>0</v>
      </c>
      <c r="G1151" s="533">
        <f t="shared" si="552"/>
        <v>0</v>
      </c>
      <c r="H1151" s="533">
        <f t="shared" si="552"/>
        <v>0</v>
      </c>
      <c r="I1151" s="533">
        <f t="shared" si="552"/>
        <v>0</v>
      </c>
      <c r="J1151" s="533">
        <f t="shared" si="552"/>
        <v>0</v>
      </c>
      <c r="K1151" s="533">
        <f t="shared" si="552"/>
        <v>0</v>
      </c>
      <c r="L1151" s="533">
        <f t="shared" si="552"/>
        <v>0</v>
      </c>
      <c r="M1151" s="533">
        <f t="shared" si="552"/>
        <v>0</v>
      </c>
      <c r="N1151" s="533">
        <f t="shared" si="552"/>
        <v>0</v>
      </c>
      <c r="O1151" s="533">
        <f t="shared" si="552"/>
        <v>0</v>
      </c>
      <c r="P1151" s="533">
        <f t="shared" si="552"/>
        <v>0</v>
      </c>
      <c r="Q1151" s="533">
        <f t="shared" si="552"/>
        <v>0</v>
      </c>
      <c r="R1151" s="533">
        <f t="shared" si="552"/>
        <v>0</v>
      </c>
      <c r="S1151" s="533">
        <f t="shared" si="552"/>
        <v>0</v>
      </c>
      <c r="T1151" s="533">
        <f t="shared" si="552"/>
        <v>50000</v>
      </c>
      <c r="U1151" s="533">
        <f t="shared" si="552"/>
        <v>0</v>
      </c>
      <c r="V1151" s="533">
        <f t="shared" si="552"/>
        <v>50000</v>
      </c>
    </row>
    <row r="1152" spans="1:26" s="533" customFormat="1" ht="12.6" customHeight="1" x14ac:dyDescent="0.25">
      <c r="A1152" s="532"/>
      <c r="B1152" s="715"/>
      <c r="C1152" s="532" t="s">
        <v>98</v>
      </c>
      <c r="D1152" s="712" t="s">
        <v>444</v>
      </c>
    </row>
    <row r="1153" spans="1:22" s="533" customFormat="1" ht="12.6" customHeight="1" x14ac:dyDescent="0.25">
      <c r="A1153" s="532"/>
      <c r="B1153" s="715"/>
      <c r="C1153" s="532" t="s">
        <v>99</v>
      </c>
      <c r="D1153" s="712" t="s">
        <v>444</v>
      </c>
      <c r="E1153" s="707"/>
      <c r="F1153" s="707"/>
      <c r="G1153" s="707"/>
      <c r="H1153" s="707"/>
      <c r="I1153" s="707"/>
      <c r="J1153" s="707"/>
      <c r="K1153" s="707"/>
      <c r="L1153" s="707"/>
      <c r="M1153" s="707"/>
      <c r="N1153" s="707"/>
      <c r="O1153" s="707"/>
      <c r="P1153" s="707"/>
      <c r="Q1153" s="707"/>
      <c r="R1153" s="707"/>
      <c r="S1153" s="707"/>
      <c r="T1153" s="707"/>
      <c r="U1153" s="707"/>
      <c r="V1153" s="707"/>
    </row>
    <row r="1154" spans="1:22" s="533" customFormat="1" ht="12.6" customHeight="1" x14ac:dyDescent="0.25">
      <c r="A1154" s="532"/>
      <c r="B1154" s="715"/>
      <c r="C1154" s="532"/>
      <c r="D1154" s="532"/>
      <c r="E1154" s="708">
        <f>SUM(E1151:E1153)</f>
        <v>50000</v>
      </c>
      <c r="F1154" s="708">
        <f t="shared" ref="F1154:U1154" si="553">SUM(F1151:F1153)</f>
        <v>0</v>
      </c>
      <c r="G1154" s="708">
        <f t="shared" si="553"/>
        <v>0</v>
      </c>
      <c r="H1154" s="708">
        <f>SUM(H1151:H1153)</f>
        <v>0</v>
      </c>
      <c r="I1154" s="708">
        <f t="shared" si="553"/>
        <v>0</v>
      </c>
      <c r="J1154" s="708">
        <f>SUM(J1151:J1153)</f>
        <v>0</v>
      </c>
      <c r="K1154" s="708">
        <f t="shared" si="553"/>
        <v>0</v>
      </c>
      <c r="L1154" s="708">
        <f t="shared" si="553"/>
        <v>0</v>
      </c>
      <c r="M1154" s="708">
        <f t="shared" si="553"/>
        <v>0</v>
      </c>
      <c r="N1154" s="708">
        <f t="shared" si="553"/>
        <v>0</v>
      </c>
      <c r="O1154" s="708">
        <f t="shared" si="553"/>
        <v>0</v>
      </c>
      <c r="P1154" s="708">
        <f t="shared" si="553"/>
        <v>0</v>
      </c>
      <c r="Q1154" s="708">
        <f t="shared" si="553"/>
        <v>0</v>
      </c>
      <c r="R1154" s="708">
        <f t="shared" si="553"/>
        <v>0</v>
      </c>
      <c r="S1154" s="708">
        <f t="shared" si="553"/>
        <v>0</v>
      </c>
      <c r="T1154" s="708">
        <f t="shared" si="553"/>
        <v>50000</v>
      </c>
      <c r="U1154" s="708">
        <f t="shared" si="553"/>
        <v>0</v>
      </c>
      <c r="V1154" s="708">
        <f>SUM(V1151:V1153)</f>
        <v>50000</v>
      </c>
    </row>
    <row r="1155" spans="1:22" s="533" customFormat="1" ht="12.6" customHeight="1" x14ac:dyDescent="0.25">
      <c r="A1155" s="532"/>
      <c r="B1155" s="715"/>
      <c r="C1155" s="532"/>
      <c r="D1155" s="532"/>
    </row>
    <row r="1156" spans="1:22" s="533" customFormat="1" ht="12.6" customHeight="1" x14ac:dyDescent="0.25">
      <c r="A1156" s="532"/>
      <c r="B1156" s="715" t="s">
        <v>370</v>
      </c>
      <c r="C1156" s="532" t="s">
        <v>97</v>
      </c>
      <c r="D1156" s="712" t="s">
        <v>444</v>
      </c>
    </row>
    <row r="1157" spans="1:22" s="533" customFormat="1" ht="12.6" customHeight="1" x14ac:dyDescent="0.25">
      <c r="A1157" s="532"/>
      <c r="B1157" s="715"/>
      <c r="C1157" s="532" t="s">
        <v>98</v>
      </c>
      <c r="D1157" s="712" t="s">
        <v>444</v>
      </c>
      <c r="E1157" s="533">
        <f t="shared" ref="E1157:V1157" si="554">E156</f>
        <v>0</v>
      </c>
      <c r="F1157" s="533">
        <f t="shared" si="554"/>
        <v>0</v>
      </c>
      <c r="G1157" s="533">
        <f t="shared" si="554"/>
        <v>0</v>
      </c>
      <c r="H1157" s="533">
        <f t="shared" si="554"/>
        <v>0</v>
      </c>
      <c r="I1157" s="533">
        <f t="shared" si="554"/>
        <v>0</v>
      </c>
      <c r="J1157" s="533">
        <f t="shared" si="554"/>
        <v>0</v>
      </c>
      <c r="K1157" s="533">
        <f t="shared" si="554"/>
        <v>0</v>
      </c>
      <c r="L1157" s="533">
        <f t="shared" si="554"/>
        <v>0</v>
      </c>
      <c r="M1157" s="533">
        <f t="shared" si="554"/>
        <v>0</v>
      </c>
      <c r="N1157" s="533">
        <f t="shared" si="554"/>
        <v>0</v>
      </c>
      <c r="O1157" s="533">
        <f t="shared" si="554"/>
        <v>0</v>
      </c>
      <c r="P1157" s="533">
        <f t="shared" si="554"/>
        <v>0</v>
      </c>
      <c r="Q1157" s="533">
        <f t="shared" si="554"/>
        <v>0</v>
      </c>
      <c r="R1157" s="533">
        <f t="shared" si="554"/>
        <v>0</v>
      </c>
      <c r="S1157" s="533">
        <f t="shared" si="554"/>
        <v>0</v>
      </c>
      <c r="T1157" s="533">
        <f t="shared" si="554"/>
        <v>0</v>
      </c>
      <c r="U1157" s="533">
        <f t="shared" si="554"/>
        <v>0</v>
      </c>
      <c r="V1157" s="533">
        <f t="shared" si="554"/>
        <v>0</v>
      </c>
    </row>
    <row r="1158" spans="1:22" s="533" customFormat="1" ht="12.6" customHeight="1" x14ac:dyDescent="0.25">
      <c r="A1158" s="532"/>
      <c r="B1158" s="715"/>
      <c r="C1158" s="532" t="s">
        <v>99</v>
      </c>
      <c r="D1158" s="712" t="s">
        <v>444</v>
      </c>
      <c r="E1158" s="707" t="e">
        <f>#REF!+E810</f>
        <v>#REF!</v>
      </c>
      <c r="F1158" s="707" t="e">
        <f>#REF!+F810</f>
        <v>#REF!</v>
      </c>
      <c r="G1158" s="707" t="e">
        <f>#REF!+G810</f>
        <v>#REF!</v>
      </c>
      <c r="H1158" s="707" t="e">
        <f>#REF!+H810</f>
        <v>#REF!</v>
      </c>
      <c r="I1158" s="707" t="e">
        <f>#REF!+I810</f>
        <v>#REF!</v>
      </c>
      <c r="J1158" s="707" t="e">
        <f>#REF!+J810</f>
        <v>#REF!</v>
      </c>
      <c r="K1158" s="707" t="e">
        <f>#REF!+K810</f>
        <v>#REF!</v>
      </c>
      <c r="L1158" s="707" t="e">
        <f>#REF!+L810</f>
        <v>#REF!</v>
      </c>
      <c r="M1158" s="707" t="e">
        <f>#REF!+M810</f>
        <v>#REF!</v>
      </c>
      <c r="N1158" s="707" t="e">
        <f>#REF!+N810</f>
        <v>#REF!</v>
      </c>
      <c r="O1158" s="707" t="e">
        <f>#REF!+O810</f>
        <v>#REF!</v>
      </c>
      <c r="P1158" s="707" t="e">
        <f>#REF!+P810</f>
        <v>#REF!</v>
      </c>
      <c r="Q1158" s="707" t="e">
        <f>#REF!+Q810</f>
        <v>#REF!</v>
      </c>
      <c r="R1158" s="707" t="e">
        <f>#REF!+R810</f>
        <v>#REF!</v>
      </c>
      <c r="S1158" s="707" t="e">
        <f>#REF!+S810</f>
        <v>#REF!</v>
      </c>
      <c r="T1158" s="707" t="e">
        <f>#REF!+T810</f>
        <v>#REF!</v>
      </c>
      <c r="U1158" s="707" t="e">
        <f>#REF!+U810</f>
        <v>#REF!</v>
      </c>
      <c r="V1158" s="707" t="e">
        <f>#REF!+V810</f>
        <v>#REF!</v>
      </c>
    </row>
    <row r="1159" spans="1:22" s="533" customFormat="1" ht="12.6" customHeight="1" x14ac:dyDescent="0.25">
      <c r="A1159" s="532"/>
      <c r="B1159" s="715"/>
      <c r="C1159" s="532"/>
      <c r="D1159" s="532"/>
      <c r="E1159" s="708" t="e">
        <f>SUM(E1156:E1158)</f>
        <v>#REF!</v>
      </c>
      <c r="F1159" s="708" t="e">
        <f t="shared" ref="F1159:V1159" si="555">SUM(F1156:F1158)</f>
        <v>#REF!</v>
      </c>
      <c r="G1159" s="708" t="e">
        <f t="shared" si="555"/>
        <v>#REF!</v>
      </c>
      <c r="H1159" s="708" t="e">
        <f>SUM(H1156:H1158)</f>
        <v>#REF!</v>
      </c>
      <c r="I1159" s="708" t="e">
        <f t="shared" si="555"/>
        <v>#REF!</v>
      </c>
      <c r="J1159" s="708" t="e">
        <f>SUM(J1156:J1158)</f>
        <v>#REF!</v>
      </c>
      <c r="K1159" s="708" t="e">
        <f t="shared" si="555"/>
        <v>#REF!</v>
      </c>
      <c r="L1159" s="708" t="e">
        <f t="shared" si="555"/>
        <v>#REF!</v>
      </c>
      <c r="M1159" s="708" t="e">
        <f t="shared" si="555"/>
        <v>#REF!</v>
      </c>
      <c r="N1159" s="708" t="e">
        <f t="shared" si="555"/>
        <v>#REF!</v>
      </c>
      <c r="O1159" s="708" t="e">
        <f t="shared" si="555"/>
        <v>#REF!</v>
      </c>
      <c r="P1159" s="708" t="e">
        <f t="shared" si="555"/>
        <v>#REF!</v>
      </c>
      <c r="Q1159" s="708" t="e">
        <f t="shared" si="555"/>
        <v>#REF!</v>
      </c>
      <c r="R1159" s="708" t="e">
        <f t="shared" si="555"/>
        <v>#REF!</v>
      </c>
      <c r="S1159" s="708" t="e">
        <f t="shared" si="555"/>
        <v>#REF!</v>
      </c>
      <c r="T1159" s="708" t="e">
        <f t="shared" si="555"/>
        <v>#REF!</v>
      </c>
      <c r="U1159" s="708" t="e">
        <f t="shared" si="555"/>
        <v>#REF!</v>
      </c>
      <c r="V1159" s="708" t="e">
        <f t="shared" si="555"/>
        <v>#REF!</v>
      </c>
    </row>
    <row r="1160" spans="1:22" s="533" customFormat="1" ht="12.6" customHeight="1" x14ac:dyDescent="0.25">
      <c r="A1160" s="532"/>
      <c r="B1160" s="715"/>
      <c r="C1160" s="532"/>
      <c r="D1160" s="532"/>
    </row>
    <row r="1161" spans="1:22" s="533" customFormat="1" ht="12.6" customHeight="1" x14ac:dyDescent="0.25">
      <c r="A1161" s="532"/>
      <c r="B1161" s="715" t="s">
        <v>445</v>
      </c>
      <c r="C1161" s="532" t="s">
        <v>97</v>
      </c>
      <c r="D1161" s="712" t="s">
        <v>444</v>
      </c>
      <c r="E1161" s="533">
        <f t="shared" ref="E1161:V1161" si="556">E22</f>
        <v>200000</v>
      </c>
      <c r="F1161" s="533">
        <f t="shared" si="556"/>
        <v>0</v>
      </c>
      <c r="G1161" s="533">
        <f t="shared" si="556"/>
        <v>0</v>
      </c>
      <c r="H1161" s="533">
        <f t="shared" si="556"/>
        <v>0</v>
      </c>
      <c r="I1161" s="533">
        <f t="shared" si="556"/>
        <v>0</v>
      </c>
      <c r="J1161" s="533">
        <f t="shared" si="556"/>
        <v>0</v>
      </c>
      <c r="K1161" s="533">
        <f t="shared" si="556"/>
        <v>0</v>
      </c>
      <c r="L1161" s="533">
        <f t="shared" si="556"/>
        <v>0</v>
      </c>
      <c r="M1161" s="533">
        <f t="shared" si="556"/>
        <v>0</v>
      </c>
      <c r="N1161" s="533">
        <f t="shared" si="556"/>
        <v>0</v>
      </c>
      <c r="O1161" s="533">
        <f t="shared" si="556"/>
        <v>0</v>
      </c>
      <c r="P1161" s="533">
        <f t="shared" si="556"/>
        <v>0</v>
      </c>
      <c r="Q1161" s="533">
        <f t="shared" si="556"/>
        <v>0</v>
      </c>
      <c r="R1161" s="533">
        <f t="shared" si="556"/>
        <v>0</v>
      </c>
      <c r="S1161" s="533">
        <f t="shared" si="556"/>
        <v>0</v>
      </c>
      <c r="T1161" s="533">
        <f t="shared" si="556"/>
        <v>200000</v>
      </c>
      <c r="U1161" s="533">
        <f t="shared" si="556"/>
        <v>0</v>
      </c>
      <c r="V1161" s="533">
        <f t="shared" si="556"/>
        <v>200000</v>
      </c>
    </row>
    <row r="1162" spans="1:22" s="533" customFormat="1" ht="12.6" customHeight="1" x14ac:dyDescent="0.25">
      <c r="A1162" s="532"/>
      <c r="B1162" s="715"/>
      <c r="C1162" s="532" t="s">
        <v>98</v>
      </c>
      <c r="D1162" s="712" t="s">
        <v>444</v>
      </c>
      <c r="E1162" s="533" t="e">
        <f>#REF!+#REF!+#REF!+#REF!+#REF!+#REF!+#REF!</f>
        <v>#REF!</v>
      </c>
      <c r="F1162" s="533" t="e">
        <f>#REF!+#REF!+#REF!+#REF!+#REF!+#REF!+#REF!</f>
        <v>#REF!</v>
      </c>
      <c r="G1162" s="533" t="e">
        <f>#REF!+#REF!+#REF!+#REF!+#REF!+#REF!+#REF!</f>
        <v>#REF!</v>
      </c>
      <c r="H1162" s="533" t="e">
        <f>#REF!+#REF!+#REF!+#REF!+#REF!+#REF!+#REF!</f>
        <v>#REF!</v>
      </c>
      <c r="I1162" s="533" t="e">
        <f>#REF!+#REF!+#REF!+#REF!+#REF!+#REF!+#REF!</f>
        <v>#REF!</v>
      </c>
      <c r="J1162" s="533" t="e">
        <f>#REF!+#REF!+#REF!+#REF!+#REF!+#REF!+#REF!</f>
        <v>#REF!</v>
      </c>
      <c r="K1162" s="533" t="e">
        <f>#REF!+#REF!+#REF!+#REF!+#REF!+#REF!+#REF!</f>
        <v>#REF!</v>
      </c>
      <c r="L1162" s="533" t="e">
        <f>#REF!+#REF!+#REF!+#REF!+#REF!+#REF!+#REF!</f>
        <v>#REF!</v>
      </c>
      <c r="M1162" s="533" t="e">
        <f>#REF!+#REF!+#REF!+#REF!+#REF!+#REF!+#REF!</f>
        <v>#REF!</v>
      </c>
      <c r="N1162" s="533" t="e">
        <f>#REF!+#REF!+#REF!+#REF!+#REF!+#REF!+#REF!</f>
        <v>#REF!</v>
      </c>
      <c r="O1162" s="533" t="e">
        <f>#REF!+#REF!+#REF!+#REF!+#REF!+#REF!+#REF!</f>
        <v>#REF!</v>
      </c>
      <c r="P1162" s="533" t="e">
        <f>#REF!+#REF!+#REF!+#REF!+#REF!+#REF!+#REF!</f>
        <v>#REF!</v>
      </c>
      <c r="Q1162" s="533" t="e">
        <f>#REF!+#REF!+#REF!+#REF!+#REF!+#REF!+#REF!</f>
        <v>#REF!</v>
      </c>
      <c r="R1162" s="533" t="e">
        <f>#REF!+#REF!+#REF!+#REF!+#REF!+#REF!+#REF!</f>
        <v>#REF!</v>
      </c>
      <c r="S1162" s="533" t="e">
        <f>#REF!+#REF!+#REF!+#REF!+#REF!+#REF!+#REF!</f>
        <v>#REF!</v>
      </c>
      <c r="T1162" s="533" t="e">
        <f>#REF!+#REF!+#REF!+#REF!+#REF!+#REF!+#REF!</f>
        <v>#REF!</v>
      </c>
      <c r="U1162" s="533" t="e">
        <f>#REF!+#REF!+#REF!+#REF!+#REF!+#REF!+#REF!</f>
        <v>#REF!</v>
      </c>
      <c r="V1162" s="533" t="e">
        <f>#REF!+#REF!+#REF!+#REF!+#REF!+#REF!+#REF!</f>
        <v>#REF!</v>
      </c>
    </row>
    <row r="1163" spans="1:22" s="533" customFormat="1" ht="12.6" customHeight="1" x14ac:dyDescent="0.25">
      <c r="A1163" s="532"/>
      <c r="B1163" s="715"/>
      <c r="C1163" s="532" t="s">
        <v>99</v>
      </c>
      <c r="D1163" s="712" t="s">
        <v>444</v>
      </c>
      <c r="E1163" s="707" t="e">
        <f>#REF!+#REF!</f>
        <v>#REF!</v>
      </c>
      <c r="F1163" s="707" t="e">
        <f>#REF!+#REF!</f>
        <v>#REF!</v>
      </c>
      <c r="G1163" s="707" t="e">
        <f>#REF!+#REF!</f>
        <v>#REF!</v>
      </c>
      <c r="H1163" s="707" t="e">
        <f>#REF!+#REF!</f>
        <v>#REF!</v>
      </c>
      <c r="I1163" s="707" t="e">
        <f>#REF!+#REF!</f>
        <v>#REF!</v>
      </c>
      <c r="J1163" s="707" t="e">
        <f>#REF!+#REF!</f>
        <v>#REF!</v>
      </c>
      <c r="K1163" s="707" t="e">
        <f>#REF!+#REF!</f>
        <v>#REF!</v>
      </c>
      <c r="L1163" s="707" t="e">
        <f>#REF!+#REF!</f>
        <v>#REF!</v>
      </c>
      <c r="M1163" s="707" t="e">
        <f>#REF!+#REF!</f>
        <v>#REF!</v>
      </c>
      <c r="N1163" s="707" t="e">
        <f>#REF!+#REF!</f>
        <v>#REF!</v>
      </c>
      <c r="O1163" s="707" t="e">
        <f>#REF!+#REF!</f>
        <v>#REF!</v>
      </c>
      <c r="P1163" s="707" t="e">
        <f>#REF!+#REF!</f>
        <v>#REF!</v>
      </c>
      <c r="Q1163" s="707" t="e">
        <f>#REF!+#REF!</f>
        <v>#REF!</v>
      </c>
      <c r="R1163" s="707" t="e">
        <f>#REF!+#REF!</f>
        <v>#REF!</v>
      </c>
      <c r="S1163" s="707" t="e">
        <f>#REF!+#REF!</f>
        <v>#REF!</v>
      </c>
      <c r="T1163" s="707" t="e">
        <f>#REF!+#REF!</f>
        <v>#REF!</v>
      </c>
      <c r="U1163" s="707" t="e">
        <f>#REF!+#REF!</f>
        <v>#REF!</v>
      </c>
      <c r="V1163" s="707" t="e">
        <f>#REF!+#REF!</f>
        <v>#REF!</v>
      </c>
    </row>
    <row r="1164" spans="1:22" s="533" customFormat="1" ht="12.6" customHeight="1" x14ac:dyDescent="0.25">
      <c r="A1164" s="532"/>
      <c r="B1164" s="715"/>
      <c r="C1164" s="532"/>
      <c r="D1164" s="532"/>
      <c r="E1164" s="708" t="e">
        <f>SUM(E1161:E1163)</f>
        <v>#REF!</v>
      </c>
      <c r="F1164" s="708" t="e">
        <f t="shared" ref="F1164:U1164" si="557">SUM(F1161:F1163)</f>
        <v>#REF!</v>
      </c>
      <c r="G1164" s="708" t="e">
        <f t="shared" si="557"/>
        <v>#REF!</v>
      </c>
      <c r="H1164" s="708" t="e">
        <f>SUM(H1161:H1163)</f>
        <v>#REF!</v>
      </c>
      <c r="I1164" s="708" t="e">
        <f t="shared" si="557"/>
        <v>#REF!</v>
      </c>
      <c r="J1164" s="708" t="e">
        <f>SUM(J1161:J1163)</f>
        <v>#REF!</v>
      </c>
      <c r="K1164" s="708" t="e">
        <f t="shared" si="557"/>
        <v>#REF!</v>
      </c>
      <c r="L1164" s="708" t="e">
        <f t="shared" si="557"/>
        <v>#REF!</v>
      </c>
      <c r="M1164" s="708" t="e">
        <f t="shared" si="557"/>
        <v>#REF!</v>
      </c>
      <c r="N1164" s="708" t="e">
        <f t="shared" si="557"/>
        <v>#REF!</v>
      </c>
      <c r="O1164" s="708" t="e">
        <f t="shared" si="557"/>
        <v>#REF!</v>
      </c>
      <c r="P1164" s="708" t="e">
        <f t="shared" si="557"/>
        <v>#REF!</v>
      </c>
      <c r="Q1164" s="708" t="e">
        <f t="shared" si="557"/>
        <v>#REF!</v>
      </c>
      <c r="R1164" s="708" t="e">
        <f t="shared" si="557"/>
        <v>#REF!</v>
      </c>
      <c r="S1164" s="708" t="e">
        <f t="shared" si="557"/>
        <v>#REF!</v>
      </c>
      <c r="T1164" s="708" t="e">
        <f t="shared" si="557"/>
        <v>#REF!</v>
      </c>
      <c r="U1164" s="708" t="e">
        <f t="shared" si="557"/>
        <v>#REF!</v>
      </c>
      <c r="V1164" s="708" t="e">
        <f>SUM(V1161:V1163)</f>
        <v>#REF!</v>
      </c>
    </row>
    <row r="1165" spans="1:22" s="533" customFormat="1" ht="12.6" customHeight="1" x14ac:dyDescent="0.25">
      <c r="A1165" s="532"/>
      <c r="B1165" s="715"/>
      <c r="C1165" s="532"/>
      <c r="D1165" s="532"/>
    </row>
    <row r="1166" spans="1:22" s="533" customFormat="1" ht="12.6" customHeight="1" x14ac:dyDescent="0.25">
      <c r="A1166" s="532"/>
      <c r="B1166" s="715" t="s">
        <v>446</v>
      </c>
      <c r="C1166" s="532" t="s">
        <v>97</v>
      </c>
      <c r="D1166" s="712" t="s">
        <v>444</v>
      </c>
    </row>
    <row r="1167" spans="1:22" s="533" customFormat="1" ht="12.6" customHeight="1" x14ac:dyDescent="0.25">
      <c r="A1167" s="532"/>
      <c r="B1167" s="715"/>
      <c r="C1167" s="532" t="s">
        <v>98</v>
      </c>
      <c r="D1167" s="712" t="s">
        <v>444</v>
      </c>
      <c r="E1167" s="533">
        <f t="shared" ref="E1167:V1167" si="558">E92+E129+E213+E551+E610+E587</f>
        <v>580586.75</v>
      </c>
      <c r="F1167" s="533">
        <f t="shared" si="558"/>
        <v>0</v>
      </c>
      <c r="G1167" s="533">
        <f t="shared" si="558"/>
        <v>0</v>
      </c>
      <c r="H1167" s="533">
        <f t="shared" si="558"/>
        <v>0</v>
      </c>
      <c r="I1167" s="533">
        <f t="shared" si="558"/>
        <v>0</v>
      </c>
      <c r="J1167" s="533">
        <f t="shared" si="558"/>
        <v>0</v>
      </c>
      <c r="K1167" s="533">
        <f t="shared" si="558"/>
        <v>0</v>
      </c>
      <c r="L1167" s="533">
        <f t="shared" si="558"/>
        <v>0</v>
      </c>
      <c r="M1167" s="533">
        <f t="shared" si="558"/>
        <v>0</v>
      </c>
      <c r="N1167" s="533">
        <f t="shared" si="558"/>
        <v>0</v>
      </c>
      <c r="O1167" s="533">
        <f t="shared" si="558"/>
        <v>0</v>
      </c>
      <c r="P1167" s="533">
        <f t="shared" si="558"/>
        <v>0</v>
      </c>
      <c r="Q1167" s="533">
        <f t="shared" si="558"/>
        <v>0</v>
      </c>
      <c r="R1167" s="533">
        <f t="shared" si="558"/>
        <v>0</v>
      </c>
      <c r="S1167" s="533">
        <f t="shared" si="558"/>
        <v>0</v>
      </c>
      <c r="T1167" s="533">
        <f t="shared" si="558"/>
        <v>580586.75</v>
      </c>
      <c r="U1167" s="533">
        <f t="shared" si="558"/>
        <v>0</v>
      </c>
      <c r="V1167" s="533">
        <f t="shared" si="558"/>
        <v>580586.75</v>
      </c>
    </row>
    <row r="1168" spans="1:22" s="533" customFormat="1" ht="12.6" customHeight="1" x14ac:dyDescent="0.25">
      <c r="A1168" s="532"/>
      <c r="B1168" s="715"/>
      <c r="C1168" s="532" t="s">
        <v>99</v>
      </c>
      <c r="D1168" s="712" t="s">
        <v>444</v>
      </c>
      <c r="E1168" s="707"/>
      <c r="F1168" s="707"/>
      <c r="G1168" s="707"/>
      <c r="H1168" s="707"/>
      <c r="I1168" s="707"/>
      <c r="J1168" s="707"/>
      <c r="K1168" s="707"/>
      <c r="L1168" s="707"/>
      <c r="M1168" s="707"/>
      <c r="N1168" s="707"/>
      <c r="O1168" s="707"/>
      <c r="P1168" s="707"/>
      <c r="Q1168" s="707"/>
      <c r="R1168" s="707"/>
      <c r="S1168" s="707"/>
      <c r="T1168" s="707"/>
      <c r="U1168" s="707"/>
      <c r="V1168" s="707"/>
    </row>
    <row r="1169" spans="1:26" s="533" customFormat="1" ht="12.6" customHeight="1" x14ac:dyDescent="0.25">
      <c r="A1169" s="532"/>
      <c r="B1169" s="715"/>
      <c r="C1169" s="532"/>
      <c r="D1169" s="532"/>
      <c r="E1169" s="708">
        <f>SUM(E1166:E1168)</f>
        <v>580586.75</v>
      </c>
      <c r="F1169" s="708">
        <f t="shared" ref="F1169:V1169" si="559">SUM(F1166:F1168)</f>
        <v>0</v>
      </c>
      <c r="G1169" s="708">
        <f t="shared" si="559"/>
        <v>0</v>
      </c>
      <c r="H1169" s="708">
        <f>SUM(H1166:H1168)</f>
        <v>0</v>
      </c>
      <c r="I1169" s="708">
        <f t="shared" si="559"/>
        <v>0</v>
      </c>
      <c r="J1169" s="708">
        <f>SUM(J1166:J1168)</f>
        <v>0</v>
      </c>
      <c r="K1169" s="708">
        <f t="shared" si="559"/>
        <v>0</v>
      </c>
      <c r="L1169" s="708">
        <f t="shared" si="559"/>
        <v>0</v>
      </c>
      <c r="M1169" s="708">
        <f t="shared" si="559"/>
        <v>0</v>
      </c>
      <c r="N1169" s="708">
        <f t="shared" si="559"/>
        <v>0</v>
      </c>
      <c r="O1169" s="708">
        <f t="shared" si="559"/>
        <v>0</v>
      </c>
      <c r="P1169" s="708">
        <f t="shared" si="559"/>
        <v>0</v>
      </c>
      <c r="Q1169" s="708">
        <f t="shared" si="559"/>
        <v>0</v>
      </c>
      <c r="R1169" s="708">
        <f t="shared" si="559"/>
        <v>0</v>
      </c>
      <c r="S1169" s="708">
        <f t="shared" si="559"/>
        <v>0</v>
      </c>
      <c r="T1169" s="708">
        <f t="shared" si="559"/>
        <v>580586.75</v>
      </c>
      <c r="U1169" s="708">
        <f t="shared" si="559"/>
        <v>0</v>
      </c>
      <c r="V1169" s="708">
        <f t="shared" si="559"/>
        <v>580586.75</v>
      </c>
    </row>
    <row r="1170" spans="1:26" s="533" customFormat="1" ht="12.6" customHeight="1" x14ac:dyDescent="0.25">
      <c r="A1170" s="532"/>
      <c r="B1170" s="715"/>
      <c r="C1170" s="532"/>
      <c r="D1170" s="532"/>
    </row>
    <row r="1171" spans="1:26" s="591" customFormat="1" ht="12.6" customHeight="1" x14ac:dyDescent="0.25">
      <c r="A1171" s="591" t="s">
        <v>447</v>
      </c>
      <c r="B1171" s="591" t="s">
        <v>97</v>
      </c>
      <c r="E1171" s="697">
        <f>E1146+E1151+E1156+E1161+E1166</f>
        <v>250000</v>
      </c>
      <c r="F1171" s="697">
        <f t="shared" ref="F1171:V1174" si="560">F1146+F1151+F1156+F1161+F1166</f>
        <v>3082650.9699999997</v>
      </c>
      <c r="G1171" s="697">
        <f t="shared" si="560"/>
        <v>0</v>
      </c>
      <c r="H1171" s="697">
        <f>H1146+H1151+H1156+H1161+H1166</f>
        <v>0</v>
      </c>
      <c r="I1171" s="697">
        <f t="shared" si="560"/>
        <v>3082650.9699999997</v>
      </c>
      <c r="J1171" s="697">
        <f>J1146+J1151+J1156+J1161+J1166</f>
        <v>0</v>
      </c>
      <c r="K1171" s="697">
        <f t="shared" si="560"/>
        <v>0</v>
      </c>
      <c r="L1171" s="697">
        <f t="shared" si="560"/>
        <v>0</v>
      </c>
      <c r="M1171" s="697">
        <f t="shared" si="560"/>
        <v>0</v>
      </c>
      <c r="N1171" s="697">
        <f t="shared" si="560"/>
        <v>0</v>
      </c>
      <c r="O1171" s="697">
        <f t="shared" si="560"/>
        <v>0</v>
      </c>
      <c r="P1171" s="697">
        <f t="shared" si="560"/>
        <v>0</v>
      </c>
      <c r="Q1171" s="697">
        <f t="shared" si="560"/>
        <v>0</v>
      </c>
      <c r="R1171" s="697">
        <f t="shared" si="560"/>
        <v>0</v>
      </c>
      <c r="S1171" s="697">
        <f t="shared" si="560"/>
        <v>0</v>
      </c>
      <c r="T1171" s="697">
        <f t="shared" si="560"/>
        <v>6415301.9399999995</v>
      </c>
      <c r="U1171" s="697">
        <f t="shared" si="560"/>
        <v>0</v>
      </c>
      <c r="V1171" s="697">
        <f t="shared" si="560"/>
        <v>6415301.9399999995</v>
      </c>
      <c r="W1171" s="697"/>
      <c r="X1171" s="697"/>
      <c r="Y1171" s="697"/>
      <c r="Z1171" s="697"/>
    </row>
    <row r="1172" spans="1:26" s="591" customFormat="1" ht="12.6" customHeight="1" x14ac:dyDescent="0.25">
      <c r="B1172" s="591" t="s">
        <v>98</v>
      </c>
      <c r="E1172" s="697" t="e">
        <f>E1147+E1152+E1157+E1162+E1167</f>
        <v>#REF!</v>
      </c>
      <c r="F1172" s="697" t="e">
        <f t="shared" si="560"/>
        <v>#REF!</v>
      </c>
      <c r="G1172" s="697" t="e">
        <f t="shared" si="560"/>
        <v>#REF!</v>
      </c>
      <c r="H1172" s="697" t="e">
        <f>H1147+H1152+H1157+H1162+H1167</f>
        <v>#REF!</v>
      </c>
      <c r="I1172" s="697" t="e">
        <f t="shared" si="560"/>
        <v>#REF!</v>
      </c>
      <c r="J1172" s="697" t="e">
        <f>J1147+J1152+J1157+J1162+J1167</f>
        <v>#REF!</v>
      </c>
      <c r="K1172" s="697" t="e">
        <f t="shared" si="560"/>
        <v>#REF!</v>
      </c>
      <c r="L1172" s="697" t="e">
        <f t="shared" si="560"/>
        <v>#REF!</v>
      </c>
      <c r="M1172" s="697" t="e">
        <f t="shared" si="560"/>
        <v>#REF!</v>
      </c>
      <c r="N1172" s="697" t="e">
        <f t="shared" si="560"/>
        <v>#REF!</v>
      </c>
      <c r="O1172" s="697" t="e">
        <f t="shared" si="560"/>
        <v>#REF!</v>
      </c>
      <c r="P1172" s="697" t="e">
        <f>P1147+P1152+P1157+P1162+P1167</f>
        <v>#REF!</v>
      </c>
      <c r="Q1172" s="697" t="e">
        <f t="shared" si="560"/>
        <v>#REF!</v>
      </c>
      <c r="R1172" s="697" t="e">
        <f t="shared" si="560"/>
        <v>#REF!</v>
      </c>
      <c r="S1172" s="697" t="e">
        <f t="shared" si="560"/>
        <v>#REF!</v>
      </c>
      <c r="T1172" s="697" t="e">
        <f t="shared" si="560"/>
        <v>#REF!</v>
      </c>
      <c r="U1172" s="697" t="e">
        <f t="shared" si="560"/>
        <v>#REF!</v>
      </c>
      <c r="V1172" s="697" t="e">
        <f t="shared" si="560"/>
        <v>#REF!</v>
      </c>
      <c r="W1172" s="697"/>
      <c r="X1172" s="697"/>
      <c r="Y1172" s="697"/>
      <c r="Z1172" s="697"/>
    </row>
    <row r="1173" spans="1:26" s="591" customFormat="1" ht="12.6" customHeight="1" x14ac:dyDescent="0.25">
      <c r="B1173" s="591" t="s">
        <v>99</v>
      </c>
      <c r="E1173" s="713" t="e">
        <f>E1148+E1153+E1158+E1163+E1168</f>
        <v>#REF!</v>
      </c>
      <c r="F1173" s="713" t="e">
        <f t="shared" si="560"/>
        <v>#REF!</v>
      </c>
      <c r="G1173" s="713" t="e">
        <f t="shared" si="560"/>
        <v>#REF!</v>
      </c>
      <c r="H1173" s="713" t="e">
        <f>H1148+H1153+H1158+H1163+H1168</f>
        <v>#REF!</v>
      </c>
      <c r="I1173" s="713" t="e">
        <f t="shared" si="560"/>
        <v>#REF!</v>
      </c>
      <c r="J1173" s="713" t="e">
        <f>J1148+J1153+J1158+J1163+J1168</f>
        <v>#REF!</v>
      </c>
      <c r="K1173" s="713" t="e">
        <f t="shared" si="560"/>
        <v>#REF!</v>
      </c>
      <c r="L1173" s="713" t="e">
        <f t="shared" si="560"/>
        <v>#REF!</v>
      </c>
      <c r="M1173" s="713" t="e">
        <f t="shared" si="560"/>
        <v>#REF!</v>
      </c>
      <c r="N1173" s="713" t="e">
        <f t="shared" si="560"/>
        <v>#REF!</v>
      </c>
      <c r="O1173" s="713" t="e">
        <f t="shared" si="560"/>
        <v>#REF!</v>
      </c>
      <c r="P1173" s="713" t="e">
        <f t="shared" si="560"/>
        <v>#REF!</v>
      </c>
      <c r="Q1173" s="713" t="e">
        <f t="shared" si="560"/>
        <v>#REF!</v>
      </c>
      <c r="R1173" s="713" t="e">
        <f t="shared" si="560"/>
        <v>#REF!</v>
      </c>
      <c r="S1173" s="713" t="e">
        <f t="shared" si="560"/>
        <v>#REF!</v>
      </c>
      <c r="T1173" s="713" t="e">
        <f t="shared" si="560"/>
        <v>#REF!</v>
      </c>
      <c r="U1173" s="713" t="e">
        <f t="shared" si="560"/>
        <v>#REF!</v>
      </c>
      <c r="V1173" s="713" t="e">
        <f t="shared" si="560"/>
        <v>#REF!</v>
      </c>
      <c r="W1173" s="697"/>
      <c r="X1173" s="697"/>
      <c r="Y1173" s="697"/>
      <c r="Z1173" s="697"/>
    </row>
    <row r="1174" spans="1:26" s="591" customFormat="1" ht="12.6" customHeight="1" x14ac:dyDescent="0.25">
      <c r="E1174" s="697" t="e">
        <f t="shared" ref="E1174:V1174" si="561">E1149+E1154+E1159+E1164+E1169</f>
        <v>#REF!</v>
      </c>
      <c r="F1174" s="697" t="e">
        <f t="shared" si="561"/>
        <v>#REF!</v>
      </c>
      <c r="G1174" s="697" t="e">
        <f t="shared" si="561"/>
        <v>#REF!</v>
      </c>
      <c r="H1174" s="697" t="e">
        <f>H1149+H1154+H1159+H1164+H1169</f>
        <v>#REF!</v>
      </c>
      <c r="I1174" s="697" t="e">
        <f t="shared" si="561"/>
        <v>#REF!</v>
      </c>
      <c r="J1174" s="697" t="e">
        <f>J1149+J1154+J1159+J1164+J1169</f>
        <v>#REF!</v>
      </c>
      <c r="K1174" s="697" t="e">
        <f t="shared" si="560"/>
        <v>#REF!</v>
      </c>
      <c r="L1174" s="697" t="e">
        <f t="shared" si="560"/>
        <v>#REF!</v>
      </c>
      <c r="M1174" s="697" t="e">
        <f t="shared" si="560"/>
        <v>#REF!</v>
      </c>
      <c r="N1174" s="697" t="e">
        <f t="shared" si="560"/>
        <v>#REF!</v>
      </c>
      <c r="O1174" s="697" t="e">
        <f t="shared" si="560"/>
        <v>#REF!</v>
      </c>
      <c r="P1174" s="697" t="e">
        <f t="shared" si="560"/>
        <v>#REF!</v>
      </c>
      <c r="Q1174" s="697" t="e">
        <f t="shared" si="560"/>
        <v>#REF!</v>
      </c>
      <c r="R1174" s="697" t="e">
        <f t="shared" si="560"/>
        <v>#REF!</v>
      </c>
      <c r="S1174" s="697" t="e">
        <f t="shared" si="561"/>
        <v>#REF!</v>
      </c>
      <c r="T1174" s="697" t="e">
        <f t="shared" si="561"/>
        <v>#REF!</v>
      </c>
      <c r="U1174" s="697" t="e">
        <f t="shared" si="561"/>
        <v>#REF!</v>
      </c>
      <c r="V1174" s="697" t="e">
        <f t="shared" si="561"/>
        <v>#REF!</v>
      </c>
      <c r="W1174" s="697"/>
      <c r="X1174" s="697"/>
      <c r="Y1174" s="697"/>
      <c r="Z1174" s="697"/>
    </row>
    <row r="1177" spans="1:26" s="709" customFormat="1" ht="12.6" customHeight="1" x14ac:dyDescent="0.25">
      <c r="A1177" s="1374" t="s">
        <v>3</v>
      </c>
      <c r="B1177" s="1374"/>
      <c r="C1177" s="709" t="s">
        <v>97</v>
      </c>
      <c r="E1177" s="710" t="e">
        <f t="shared" ref="E1177:V1179" si="562">E1001+E1141+E1171</f>
        <v>#REF!</v>
      </c>
      <c r="F1177" s="710" t="e">
        <f t="shared" si="562"/>
        <v>#REF!</v>
      </c>
      <c r="G1177" s="710" t="e">
        <f t="shared" si="562"/>
        <v>#REF!</v>
      </c>
      <c r="H1177" s="710" t="e">
        <f>H1001+H1141+H1171</f>
        <v>#REF!</v>
      </c>
      <c r="I1177" s="710" t="e">
        <f t="shared" si="562"/>
        <v>#REF!</v>
      </c>
      <c r="J1177" s="710" t="e">
        <f>J1001+J1141+J1171</f>
        <v>#REF!</v>
      </c>
      <c r="K1177" s="710" t="e">
        <f t="shared" si="562"/>
        <v>#REF!</v>
      </c>
      <c r="L1177" s="710" t="e">
        <f t="shared" si="562"/>
        <v>#REF!</v>
      </c>
      <c r="M1177" s="710" t="e">
        <f t="shared" si="562"/>
        <v>#REF!</v>
      </c>
      <c r="N1177" s="710" t="e">
        <f t="shared" si="562"/>
        <v>#REF!</v>
      </c>
      <c r="O1177" s="710" t="e">
        <f t="shared" si="562"/>
        <v>#REF!</v>
      </c>
      <c r="P1177" s="710" t="e">
        <f t="shared" si="562"/>
        <v>#REF!</v>
      </c>
      <c r="Q1177" s="710" t="e">
        <f t="shared" si="562"/>
        <v>#REF!</v>
      </c>
      <c r="R1177" s="710" t="e">
        <f t="shared" si="562"/>
        <v>#REF!</v>
      </c>
      <c r="S1177" s="710" t="e">
        <f t="shared" si="562"/>
        <v>#REF!</v>
      </c>
      <c r="T1177" s="710" t="e">
        <f t="shared" si="562"/>
        <v>#REF!</v>
      </c>
      <c r="U1177" s="710" t="e">
        <f t="shared" si="562"/>
        <v>#REF!</v>
      </c>
      <c r="V1177" s="710" t="e">
        <f t="shared" si="562"/>
        <v>#REF!</v>
      </c>
      <c r="W1177" s="710"/>
      <c r="X1177" s="710"/>
      <c r="Y1177" s="710"/>
      <c r="Z1177" s="710"/>
    </row>
    <row r="1178" spans="1:26" s="709" customFormat="1" ht="12.6" customHeight="1" x14ac:dyDescent="0.25">
      <c r="A1178" s="1374" t="s">
        <v>448</v>
      </c>
      <c r="B1178" s="1374"/>
      <c r="C1178" s="709" t="s">
        <v>98</v>
      </c>
      <c r="E1178" s="710" t="e">
        <f t="shared" si="562"/>
        <v>#REF!</v>
      </c>
      <c r="F1178" s="710" t="e">
        <f t="shared" si="562"/>
        <v>#REF!</v>
      </c>
      <c r="G1178" s="710" t="e">
        <f t="shared" si="562"/>
        <v>#REF!</v>
      </c>
      <c r="H1178" s="710" t="e">
        <f>H1002+H1142+H1172</f>
        <v>#REF!</v>
      </c>
      <c r="I1178" s="710" t="e">
        <f t="shared" si="562"/>
        <v>#REF!</v>
      </c>
      <c r="J1178" s="710" t="e">
        <f>J1002+J1142+J1172</f>
        <v>#REF!</v>
      </c>
      <c r="K1178" s="710" t="e">
        <f t="shared" si="562"/>
        <v>#REF!</v>
      </c>
      <c r="L1178" s="710" t="e">
        <f t="shared" si="562"/>
        <v>#REF!</v>
      </c>
      <c r="M1178" s="710" t="e">
        <f t="shared" si="562"/>
        <v>#REF!</v>
      </c>
      <c r="N1178" s="710" t="e">
        <f t="shared" si="562"/>
        <v>#REF!</v>
      </c>
      <c r="O1178" s="710" t="e">
        <f t="shared" si="562"/>
        <v>#REF!</v>
      </c>
      <c r="P1178" s="710" t="e">
        <f t="shared" si="562"/>
        <v>#REF!</v>
      </c>
      <c r="Q1178" s="710" t="e">
        <f t="shared" si="562"/>
        <v>#REF!</v>
      </c>
      <c r="R1178" s="710" t="e">
        <f t="shared" si="562"/>
        <v>#REF!</v>
      </c>
      <c r="S1178" s="710" t="e">
        <f t="shared" si="562"/>
        <v>#REF!</v>
      </c>
      <c r="T1178" s="710" t="e">
        <f t="shared" si="562"/>
        <v>#REF!</v>
      </c>
      <c r="U1178" s="710" t="e">
        <f t="shared" si="562"/>
        <v>#REF!</v>
      </c>
      <c r="V1178" s="710" t="e">
        <f t="shared" si="562"/>
        <v>#REF!</v>
      </c>
      <c r="W1178" s="710"/>
      <c r="X1178" s="710"/>
      <c r="Y1178" s="710"/>
      <c r="Z1178" s="710"/>
    </row>
    <row r="1179" spans="1:26" s="709" customFormat="1" ht="12.6" customHeight="1" x14ac:dyDescent="0.25">
      <c r="C1179" s="709" t="s">
        <v>99</v>
      </c>
      <c r="E1179" s="711" t="e">
        <f t="shared" si="562"/>
        <v>#REF!</v>
      </c>
      <c r="F1179" s="711" t="e">
        <f t="shared" si="562"/>
        <v>#REF!</v>
      </c>
      <c r="G1179" s="711" t="e">
        <f t="shared" si="562"/>
        <v>#REF!</v>
      </c>
      <c r="H1179" s="711" t="e">
        <f>H1003+H1143+H1173</f>
        <v>#REF!</v>
      </c>
      <c r="I1179" s="711" t="e">
        <f t="shared" si="562"/>
        <v>#REF!</v>
      </c>
      <c r="J1179" s="711" t="e">
        <f>J1003+J1143+J1173</f>
        <v>#REF!</v>
      </c>
      <c r="K1179" s="711" t="e">
        <f t="shared" si="562"/>
        <v>#REF!</v>
      </c>
      <c r="L1179" s="711" t="e">
        <f t="shared" si="562"/>
        <v>#REF!</v>
      </c>
      <c r="M1179" s="711" t="e">
        <f t="shared" si="562"/>
        <v>#REF!</v>
      </c>
      <c r="N1179" s="711" t="e">
        <f t="shared" si="562"/>
        <v>#REF!</v>
      </c>
      <c r="O1179" s="711" t="e">
        <f t="shared" si="562"/>
        <v>#REF!</v>
      </c>
      <c r="P1179" s="711" t="e">
        <f t="shared" si="562"/>
        <v>#REF!</v>
      </c>
      <c r="Q1179" s="711" t="e">
        <f t="shared" si="562"/>
        <v>#REF!</v>
      </c>
      <c r="R1179" s="711" t="e">
        <f t="shared" si="562"/>
        <v>#REF!</v>
      </c>
      <c r="S1179" s="711" t="e">
        <f t="shared" si="562"/>
        <v>#REF!</v>
      </c>
      <c r="T1179" s="711" t="e">
        <f t="shared" si="562"/>
        <v>#REF!</v>
      </c>
      <c r="U1179" s="711" t="e">
        <f t="shared" si="562"/>
        <v>#REF!</v>
      </c>
      <c r="V1179" s="711" t="e">
        <f t="shared" si="562"/>
        <v>#REF!</v>
      </c>
      <c r="W1179" s="710"/>
      <c r="X1179" s="710"/>
      <c r="Y1179" s="710"/>
      <c r="Z1179" s="710"/>
    </row>
    <row r="1180" spans="1:26" s="709" customFormat="1" ht="12.6" customHeight="1" x14ac:dyDescent="0.25">
      <c r="E1180" s="710" t="e">
        <f>SUM(E1177:E1179)</f>
        <v>#REF!</v>
      </c>
      <c r="F1180" s="710" t="e">
        <f>SUM(F1177:F1179)</f>
        <v>#REF!</v>
      </c>
      <c r="G1180" s="710" t="e">
        <f t="shared" ref="G1180:V1180" si="563">SUM(G1177:G1179)</f>
        <v>#REF!</v>
      </c>
      <c r="H1180" s="710" t="e">
        <f>SUM(H1177:H1179)</f>
        <v>#REF!</v>
      </c>
      <c r="I1180" s="710" t="e">
        <f t="shared" si="563"/>
        <v>#REF!</v>
      </c>
      <c r="J1180" s="710" t="e">
        <f>SUM(J1177:J1179)</f>
        <v>#REF!</v>
      </c>
      <c r="K1180" s="710" t="e">
        <f t="shared" si="563"/>
        <v>#REF!</v>
      </c>
      <c r="L1180" s="710" t="e">
        <f t="shared" si="563"/>
        <v>#REF!</v>
      </c>
      <c r="M1180" s="710" t="e">
        <f t="shared" si="563"/>
        <v>#REF!</v>
      </c>
      <c r="N1180" s="710" t="e">
        <f t="shared" si="563"/>
        <v>#REF!</v>
      </c>
      <c r="O1180" s="710" t="e">
        <f t="shared" si="563"/>
        <v>#REF!</v>
      </c>
      <c r="P1180" s="710" t="e">
        <f t="shared" si="563"/>
        <v>#REF!</v>
      </c>
      <c r="Q1180" s="710" t="e">
        <f t="shared" si="563"/>
        <v>#REF!</v>
      </c>
      <c r="R1180" s="710" t="e">
        <f t="shared" si="563"/>
        <v>#REF!</v>
      </c>
      <c r="S1180" s="710" t="e">
        <f t="shared" si="563"/>
        <v>#REF!</v>
      </c>
      <c r="T1180" s="710" t="e">
        <f t="shared" si="563"/>
        <v>#REF!</v>
      </c>
      <c r="U1180" s="710" t="e">
        <f t="shared" si="563"/>
        <v>#REF!</v>
      </c>
      <c r="V1180" s="710" t="e">
        <f t="shared" si="563"/>
        <v>#REF!</v>
      </c>
      <c r="W1180" s="710"/>
      <c r="X1180" s="710"/>
      <c r="Y1180" s="710"/>
      <c r="Z1180" s="710"/>
    </row>
    <row r="1182" spans="1:26" s="717" customFormat="1" ht="12.6" customHeight="1" x14ac:dyDescent="0.25">
      <c r="E1182" s="718" t="e">
        <f t="shared" ref="E1182:V1182" si="564">E1180-E888</f>
        <v>#REF!</v>
      </c>
      <c r="F1182" s="718" t="e">
        <f t="shared" si="564"/>
        <v>#REF!</v>
      </c>
      <c r="G1182" s="718" t="e">
        <f t="shared" si="564"/>
        <v>#REF!</v>
      </c>
      <c r="H1182" s="718" t="e">
        <f>H1180-H888</f>
        <v>#REF!</v>
      </c>
      <c r="I1182" s="718" t="e">
        <f t="shared" si="564"/>
        <v>#REF!</v>
      </c>
      <c r="J1182" s="718" t="e">
        <f>J1180-J888</f>
        <v>#REF!</v>
      </c>
      <c r="K1182" s="718" t="e">
        <f t="shared" si="564"/>
        <v>#REF!</v>
      </c>
      <c r="L1182" s="718" t="e">
        <f t="shared" si="564"/>
        <v>#REF!</v>
      </c>
      <c r="M1182" s="718" t="e">
        <f t="shared" si="564"/>
        <v>#REF!</v>
      </c>
      <c r="N1182" s="718" t="e">
        <f t="shared" si="564"/>
        <v>#REF!</v>
      </c>
      <c r="O1182" s="718" t="e">
        <f t="shared" si="564"/>
        <v>#REF!</v>
      </c>
      <c r="P1182" s="718" t="e">
        <f t="shared" si="564"/>
        <v>#REF!</v>
      </c>
      <c r="Q1182" s="718" t="e">
        <f t="shared" si="564"/>
        <v>#REF!</v>
      </c>
      <c r="R1182" s="718" t="e">
        <f t="shared" si="564"/>
        <v>#REF!</v>
      </c>
      <c r="S1182" s="718" t="e">
        <f t="shared" si="564"/>
        <v>#REF!</v>
      </c>
      <c r="T1182" s="718" t="e">
        <f t="shared" si="564"/>
        <v>#REF!</v>
      </c>
      <c r="U1182" s="718" t="e">
        <f t="shared" si="564"/>
        <v>#REF!</v>
      </c>
      <c r="V1182" s="718" t="e">
        <f t="shared" si="564"/>
        <v>#REF!</v>
      </c>
      <c r="W1182" s="716"/>
      <c r="X1182" s="716"/>
      <c r="Y1182" s="716"/>
      <c r="Z1182" s="716"/>
    </row>
    <row r="1184" spans="1:26" s="719" customFormat="1" ht="12.6" customHeight="1" x14ac:dyDescent="0.25">
      <c r="E1184" s="714" t="e">
        <f t="shared" ref="E1184:V1184" si="565">E1177-E35</f>
        <v>#REF!</v>
      </c>
      <c r="F1184" s="714" t="e">
        <f t="shared" si="565"/>
        <v>#REF!</v>
      </c>
      <c r="G1184" s="714" t="e">
        <f t="shared" si="565"/>
        <v>#REF!</v>
      </c>
      <c r="H1184" s="714" t="e">
        <f t="shared" si="565"/>
        <v>#REF!</v>
      </c>
      <c r="I1184" s="714" t="e">
        <f t="shared" si="565"/>
        <v>#REF!</v>
      </c>
      <c r="J1184" s="714" t="e">
        <f t="shared" si="565"/>
        <v>#REF!</v>
      </c>
      <c r="K1184" s="714" t="e">
        <f t="shared" si="565"/>
        <v>#REF!</v>
      </c>
      <c r="L1184" s="714" t="e">
        <f t="shared" si="565"/>
        <v>#REF!</v>
      </c>
      <c r="M1184" s="714" t="e">
        <f t="shared" si="565"/>
        <v>#REF!</v>
      </c>
      <c r="N1184" s="714" t="e">
        <f t="shared" si="565"/>
        <v>#REF!</v>
      </c>
      <c r="O1184" s="714" t="e">
        <f t="shared" si="565"/>
        <v>#REF!</v>
      </c>
      <c r="P1184" s="714" t="e">
        <f t="shared" si="565"/>
        <v>#REF!</v>
      </c>
      <c r="Q1184" s="714" t="e">
        <f t="shared" si="565"/>
        <v>#REF!</v>
      </c>
      <c r="R1184" s="714" t="e">
        <f t="shared" si="565"/>
        <v>#REF!</v>
      </c>
      <c r="S1184" s="714" t="e">
        <f t="shared" si="565"/>
        <v>#REF!</v>
      </c>
      <c r="T1184" s="714" t="e">
        <f t="shared" si="565"/>
        <v>#REF!</v>
      </c>
      <c r="U1184" s="714" t="e">
        <f t="shared" si="565"/>
        <v>#REF!</v>
      </c>
      <c r="V1184" s="714" t="e">
        <f t="shared" si="565"/>
        <v>#REF!</v>
      </c>
      <c r="W1184" s="714"/>
      <c r="X1184" s="714"/>
      <c r="Y1184" s="714"/>
      <c r="Z1184" s="714"/>
    </row>
    <row r="1185" spans="1:26" s="719" customFormat="1" ht="12.6" customHeight="1" x14ac:dyDescent="0.25">
      <c r="E1185" s="714" t="e">
        <f t="shared" ref="E1185:V1185" si="566">E1178-E629</f>
        <v>#REF!</v>
      </c>
      <c r="F1185" s="714" t="e">
        <f t="shared" si="566"/>
        <v>#REF!</v>
      </c>
      <c r="G1185" s="714" t="e">
        <f t="shared" si="566"/>
        <v>#REF!</v>
      </c>
      <c r="H1185" s="714" t="e">
        <f t="shared" si="566"/>
        <v>#REF!</v>
      </c>
      <c r="I1185" s="714" t="e">
        <f t="shared" si="566"/>
        <v>#REF!</v>
      </c>
      <c r="J1185" s="714" t="e">
        <f t="shared" si="566"/>
        <v>#REF!</v>
      </c>
      <c r="K1185" s="714" t="e">
        <f t="shared" si="566"/>
        <v>#REF!</v>
      </c>
      <c r="L1185" s="714" t="e">
        <f t="shared" si="566"/>
        <v>#REF!</v>
      </c>
      <c r="M1185" s="714" t="e">
        <f t="shared" si="566"/>
        <v>#REF!</v>
      </c>
      <c r="N1185" s="714" t="e">
        <f t="shared" si="566"/>
        <v>#REF!</v>
      </c>
      <c r="O1185" s="714" t="e">
        <f t="shared" si="566"/>
        <v>#REF!</v>
      </c>
      <c r="P1185" s="714" t="e">
        <f t="shared" si="566"/>
        <v>#REF!</v>
      </c>
      <c r="Q1185" s="714" t="e">
        <f t="shared" si="566"/>
        <v>#REF!</v>
      </c>
      <c r="R1185" s="714" t="e">
        <f t="shared" si="566"/>
        <v>#REF!</v>
      </c>
      <c r="S1185" s="714" t="e">
        <f t="shared" si="566"/>
        <v>#REF!</v>
      </c>
      <c r="T1185" s="714" t="e">
        <f t="shared" si="566"/>
        <v>#REF!</v>
      </c>
      <c r="U1185" s="714" t="e">
        <f t="shared" si="566"/>
        <v>#REF!</v>
      </c>
      <c r="V1185" s="714" t="e">
        <f t="shared" si="566"/>
        <v>#REF!</v>
      </c>
      <c r="W1185" s="714"/>
      <c r="X1185" s="714"/>
      <c r="Y1185" s="714"/>
      <c r="Z1185" s="714"/>
    </row>
    <row r="1186" spans="1:26" s="719" customFormat="1" ht="12.6" customHeight="1" x14ac:dyDescent="0.25">
      <c r="E1186" s="714" t="e">
        <f t="shared" ref="E1186:V1186" si="567">E1179-E882</f>
        <v>#REF!</v>
      </c>
      <c r="F1186" s="714" t="e">
        <f t="shared" si="567"/>
        <v>#REF!</v>
      </c>
      <c r="G1186" s="714" t="e">
        <f t="shared" si="567"/>
        <v>#REF!</v>
      </c>
      <c r="H1186" s="714" t="e">
        <f>H1179-H882</f>
        <v>#REF!</v>
      </c>
      <c r="I1186" s="714" t="e">
        <f t="shared" si="567"/>
        <v>#REF!</v>
      </c>
      <c r="J1186" s="714" t="e">
        <f>J1179-J882</f>
        <v>#REF!</v>
      </c>
      <c r="K1186" s="714" t="e">
        <f t="shared" si="567"/>
        <v>#REF!</v>
      </c>
      <c r="L1186" s="714" t="e">
        <f t="shared" si="567"/>
        <v>#REF!</v>
      </c>
      <c r="M1186" s="714" t="e">
        <f t="shared" si="567"/>
        <v>#REF!</v>
      </c>
      <c r="N1186" s="714" t="e">
        <f t="shared" si="567"/>
        <v>#REF!</v>
      </c>
      <c r="O1186" s="714" t="e">
        <f t="shared" si="567"/>
        <v>#REF!</v>
      </c>
      <c r="P1186" s="714" t="e">
        <f t="shared" si="567"/>
        <v>#REF!</v>
      </c>
      <c r="Q1186" s="714" t="e">
        <f t="shared" si="567"/>
        <v>#REF!</v>
      </c>
      <c r="R1186" s="714" t="e">
        <f t="shared" si="567"/>
        <v>#REF!</v>
      </c>
      <c r="S1186" s="714" t="e">
        <f t="shared" si="567"/>
        <v>#REF!</v>
      </c>
      <c r="T1186" s="714" t="e">
        <f t="shared" si="567"/>
        <v>#REF!</v>
      </c>
      <c r="U1186" s="714" t="e">
        <f t="shared" si="567"/>
        <v>#REF!</v>
      </c>
      <c r="V1186" s="714" t="e">
        <f t="shared" si="567"/>
        <v>#REF!</v>
      </c>
      <c r="W1186" s="714"/>
      <c r="X1186" s="714"/>
      <c r="Y1186" s="714"/>
      <c r="Z1186" s="714"/>
    </row>
    <row r="1189" spans="1:26" s="720" customFormat="1" ht="12.6" customHeight="1" x14ac:dyDescent="0.25">
      <c r="A1189" s="709" t="s">
        <v>449</v>
      </c>
      <c r="C1189" s="709" t="s">
        <v>97</v>
      </c>
      <c r="E1189" s="710" t="e">
        <f t="shared" ref="E1189:V1191" si="568">E981+E1141</f>
        <v>#REF!</v>
      </c>
      <c r="F1189" s="710" t="e">
        <f t="shared" si="568"/>
        <v>#REF!</v>
      </c>
      <c r="G1189" s="710" t="e">
        <f t="shared" si="568"/>
        <v>#REF!</v>
      </c>
      <c r="H1189" s="710" t="e">
        <f>H981+H1141</f>
        <v>#REF!</v>
      </c>
      <c r="I1189" s="710" t="e">
        <f t="shared" si="568"/>
        <v>#REF!</v>
      </c>
      <c r="J1189" s="710" t="e">
        <f>J981+J1141</f>
        <v>#REF!</v>
      </c>
      <c r="K1189" s="710" t="e">
        <f t="shared" si="568"/>
        <v>#REF!</v>
      </c>
      <c r="L1189" s="710" t="e">
        <f t="shared" si="568"/>
        <v>#REF!</v>
      </c>
      <c r="M1189" s="710" t="e">
        <f t="shared" si="568"/>
        <v>#REF!</v>
      </c>
      <c r="N1189" s="710" t="e">
        <f t="shared" si="568"/>
        <v>#REF!</v>
      </c>
      <c r="O1189" s="710" t="e">
        <f t="shared" si="568"/>
        <v>#REF!</v>
      </c>
      <c r="P1189" s="710" t="e">
        <f t="shared" si="568"/>
        <v>#REF!</v>
      </c>
      <c r="Q1189" s="710" t="e">
        <f t="shared" si="568"/>
        <v>#REF!</v>
      </c>
      <c r="R1189" s="710" t="e">
        <f t="shared" si="568"/>
        <v>#REF!</v>
      </c>
      <c r="S1189" s="710" t="e">
        <f t="shared" si="568"/>
        <v>#REF!</v>
      </c>
      <c r="T1189" s="710" t="e">
        <f t="shared" si="568"/>
        <v>#REF!</v>
      </c>
      <c r="U1189" s="710" t="e">
        <f t="shared" si="568"/>
        <v>#REF!</v>
      </c>
      <c r="V1189" s="710" t="e">
        <f t="shared" si="568"/>
        <v>#REF!</v>
      </c>
      <c r="W1189" s="708"/>
      <c r="X1189" s="708"/>
      <c r="Y1189" s="708"/>
      <c r="Z1189" s="708"/>
    </row>
    <row r="1190" spans="1:26" s="720" customFormat="1" ht="12.6" customHeight="1" x14ac:dyDescent="0.25">
      <c r="C1190" s="709" t="s">
        <v>98</v>
      </c>
      <c r="E1190" s="710" t="e">
        <f t="shared" si="568"/>
        <v>#REF!</v>
      </c>
      <c r="F1190" s="710" t="e">
        <f t="shared" si="568"/>
        <v>#REF!</v>
      </c>
      <c r="G1190" s="710" t="e">
        <f t="shared" si="568"/>
        <v>#REF!</v>
      </c>
      <c r="H1190" s="710" t="e">
        <f>H982+H1142</f>
        <v>#REF!</v>
      </c>
      <c r="I1190" s="710" t="e">
        <f t="shared" si="568"/>
        <v>#REF!</v>
      </c>
      <c r="J1190" s="710" t="e">
        <f>J982+J1142</f>
        <v>#REF!</v>
      </c>
      <c r="K1190" s="710" t="e">
        <f t="shared" si="568"/>
        <v>#REF!</v>
      </c>
      <c r="L1190" s="710" t="e">
        <f t="shared" si="568"/>
        <v>#REF!</v>
      </c>
      <c r="M1190" s="710" t="e">
        <f t="shared" si="568"/>
        <v>#REF!</v>
      </c>
      <c r="N1190" s="710" t="e">
        <f t="shared" si="568"/>
        <v>#REF!</v>
      </c>
      <c r="O1190" s="710" t="e">
        <f t="shared" si="568"/>
        <v>#REF!</v>
      </c>
      <c r="P1190" s="710" t="e">
        <f t="shared" si="568"/>
        <v>#REF!</v>
      </c>
      <c r="Q1190" s="710" t="e">
        <f t="shared" si="568"/>
        <v>#REF!</v>
      </c>
      <c r="R1190" s="710" t="e">
        <f t="shared" si="568"/>
        <v>#REF!</v>
      </c>
      <c r="S1190" s="710" t="e">
        <f t="shared" si="568"/>
        <v>#REF!</v>
      </c>
      <c r="T1190" s="710" t="e">
        <f t="shared" si="568"/>
        <v>#REF!</v>
      </c>
      <c r="U1190" s="710" t="e">
        <f t="shared" si="568"/>
        <v>#REF!</v>
      </c>
      <c r="V1190" s="710" t="e">
        <f t="shared" si="568"/>
        <v>#REF!</v>
      </c>
      <c r="W1190" s="708"/>
      <c r="X1190" s="708"/>
      <c r="Y1190" s="708"/>
      <c r="Z1190" s="708"/>
    </row>
    <row r="1191" spans="1:26" s="720" customFormat="1" ht="12.6" customHeight="1" x14ac:dyDescent="0.25">
      <c r="C1191" s="709" t="s">
        <v>99</v>
      </c>
      <c r="E1191" s="711" t="e">
        <f t="shared" si="568"/>
        <v>#REF!</v>
      </c>
      <c r="F1191" s="711" t="e">
        <f t="shared" si="568"/>
        <v>#REF!</v>
      </c>
      <c r="G1191" s="711" t="e">
        <f t="shared" si="568"/>
        <v>#REF!</v>
      </c>
      <c r="H1191" s="711" t="e">
        <f>H983+H1143</f>
        <v>#REF!</v>
      </c>
      <c r="I1191" s="711" t="e">
        <f t="shared" si="568"/>
        <v>#REF!</v>
      </c>
      <c r="J1191" s="711" t="e">
        <f>J983+J1143</f>
        <v>#REF!</v>
      </c>
      <c r="K1191" s="711" t="e">
        <f t="shared" si="568"/>
        <v>#REF!</v>
      </c>
      <c r="L1191" s="711" t="e">
        <f t="shared" si="568"/>
        <v>#REF!</v>
      </c>
      <c r="M1191" s="711" t="e">
        <f t="shared" si="568"/>
        <v>#REF!</v>
      </c>
      <c r="N1191" s="711" t="e">
        <f t="shared" si="568"/>
        <v>#REF!</v>
      </c>
      <c r="O1191" s="711" t="e">
        <f t="shared" si="568"/>
        <v>#REF!</v>
      </c>
      <c r="P1191" s="711" t="e">
        <f t="shared" si="568"/>
        <v>#REF!</v>
      </c>
      <c r="Q1191" s="711" t="e">
        <f t="shared" si="568"/>
        <v>#REF!</v>
      </c>
      <c r="R1191" s="711" t="e">
        <f t="shared" si="568"/>
        <v>#REF!</v>
      </c>
      <c r="S1191" s="711" t="e">
        <f t="shared" si="568"/>
        <v>#REF!</v>
      </c>
      <c r="T1191" s="711" t="e">
        <f t="shared" si="568"/>
        <v>#REF!</v>
      </c>
      <c r="U1191" s="711" t="e">
        <f t="shared" si="568"/>
        <v>#REF!</v>
      </c>
      <c r="V1191" s="711" t="e">
        <f t="shared" si="568"/>
        <v>#REF!</v>
      </c>
      <c r="W1191" s="708"/>
      <c r="X1191" s="708"/>
      <c r="Y1191" s="708"/>
      <c r="Z1191" s="708"/>
    </row>
    <row r="1192" spans="1:26" s="720" customFormat="1" ht="12.6" customHeight="1" x14ac:dyDescent="0.25">
      <c r="E1192" s="710" t="e">
        <f>SUM(E1189:E1191)</f>
        <v>#REF!</v>
      </c>
      <c r="F1192" s="710" t="e">
        <f t="shared" ref="F1192:V1192" si="569">SUM(F1189:F1191)</f>
        <v>#REF!</v>
      </c>
      <c r="G1192" s="710" t="e">
        <f t="shared" si="569"/>
        <v>#REF!</v>
      </c>
      <c r="H1192" s="710" t="e">
        <f>SUM(H1189:H1191)</f>
        <v>#REF!</v>
      </c>
      <c r="I1192" s="710" t="e">
        <f t="shared" si="569"/>
        <v>#REF!</v>
      </c>
      <c r="J1192" s="710" t="e">
        <f>SUM(J1189:J1191)</f>
        <v>#REF!</v>
      </c>
      <c r="K1192" s="710" t="e">
        <f t="shared" si="569"/>
        <v>#REF!</v>
      </c>
      <c r="L1192" s="710" t="e">
        <f t="shared" si="569"/>
        <v>#REF!</v>
      </c>
      <c r="M1192" s="710" t="e">
        <f t="shared" si="569"/>
        <v>#REF!</v>
      </c>
      <c r="N1192" s="710" t="e">
        <f t="shared" si="569"/>
        <v>#REF!</v>
      </c>
      <c r="O1192" s="710" t="e">
        <f t="shared" si="569"/>
        <v>#REF!</v>
      </c>
      <c r="P1192" s="710" t="e">
        <f t="shared" si="569"/>
        <v>#REF!</v>
      </c>
      <c r="Q1192" s="710" t="e">
        <f t="shared" si="569"/>
        <v>#REF!</v>
      </c>
      <c r="R1192" s="710" t="e">
        <f t="shared" si="569"/>
        <v>#REF!</v>
      </c>
      <c r="S1192" s="710" t="e">
        <f t="shared" si="569"/>
        <v>#REF!</v>
      </c>
      <c r="T1192" s="710" t="e">
        <f t="shared" si="569"/>
        <v>#REF!</v>
      </c>
      <c r="U1192" s="710" t="e">
        <f t="shared" si="569"/>
        <v>#REF!</v>
      </c>
      <c r="V1192" s="710" t="e">
        <f t="shared" si="569"/>
        <v>#REF!</v>
      </c>
      <c r="W1192" s="708"/>
      <c r="X1192" s="708"/>
      <c r="Y1192" s="708"/>
      <c r="Z1192" s="708"/>
    </row>
    <row r="1194" spans="1:26" s="720" customFormat="1" ht="12.6" customHeight="1" x14ac:dyDescent="0.25">
      <c r="A1194" s="709" t="s">
        <v>450</v>
      </c>
      <c r="C1194" s="709" t="s">
        <v>97</v>
      </c>
      <c r="E1194" s="710">
        <f t="shared" ref="E1194:V1196" si="570">E1171+E986</f>
        <v>250000</v>
      </c>
      <c r="F1194" s="710">
        <f t="shared" si="570"/>
        <v>3082650.9699999997</v>
      </c>
      <c r="G1194" s="710">
        <f t="shared" si="570"/>
        <v>0</v>
      </c>
      <c r="H1194" s="710">
        <f>H1171+H986</f>
        <v>0</v>
      </c>
      <c r="I1194" s="710">
        <f t="shared" si="570"/>
        <v>3082650.9699999997</v>
      </c>
      <c r="J1194" s="710">
        <f>J1171+J986</f>
        <v>0</v>
      </c>
      <c r="K1194" s="710">
        <f t="shared" si="570"/>
        <v>0</v>
      </c>
      <c r="L1194" s="710">
        <f t="shared" si="570"/>
        <v>0</v>
      </c>
      <c r="M1194" s="710">
        <f t="shared" si="570"/>
        <v>0</v>
      </c>
      <c r="N1194" s="710">
        <f t="shared" si="570"/>
        <v>0</v>
      </c>
      <c r="O1194" s="710">
        <f t="shared" si="570"/>
        <v>0</v>
      </c>
      <c r="P1194" s="710">
        <f t="shared" si="570"/>
        <v>0</v>
      </c>
      <c r="Q1194" s="710">
        <f t="shared" si="570"/>
        <v>0</v>
      </c>
      <c r="R1194" s="710">
        <f t="shared" si="570"/>
        <v>0</v>
      </c>
      <c r="S1194" s="710">
        <f t="shared" si="570"/>
        <v>0</v>
      </c>
      <c r="T1194" s="710">
        <f t="shared" si="570"/>
        <v>6415301.9399999995</v>
      </c>
      <c r="U1194" s="710">
        <f t="shared" si="570"/>
        <v>0</v>
      </c>
      <c r="V1194" s="710">
        <f t="shared" si="570"/>
        <v>6415301.9399999995</v>
      </c>
      <c r="W1194" s="708"/>
      <c r="X1194" s="708"/>
      <c r="Y1194" s="708"/>
      <c r="Z1194" s="708"/>
    </row>
    <row r="1195" spans="1:26" s="720" customFormat="1" ht="12.6" customHeight="1" x14ac:dyDescent="0.25">
      <c r="C1195" s="709" t="s">
        <v>98</v>
      </c>
      <c r="E1195" s="710" t="e">
        <f t="shared" si="570"/>
        <v>#REF!</v>
      </c>
      <c r="F1195" s="710" t="e">
        <f t="shared" si="570"/>
        <v>#REF!</v>
      </c>
      <c r="G1195" s="710" t="e">
        <f t="shared" si="570"/>
        <v>#REF!</v>
      </c>
      <c r="H1195" s="710" t="e">
        <f>H1172+H987</f>
        <v>#REF!</v>
      </c>
      <c r="I1195" s="710" t="e">
        <f t="shared" si="570"/>
        <v>#REF!</v>
      </c>
      <c r="J1195" s="710" t="e">
        <f>J1172+J987</f>
        <v>#REF!</v>
      </c>
      <c r="K1195" s="710" t="e">
        <f t="shared" si="570"/>
        <v>#REF!</v>
      </c>
      <c r="L1195" s="710" t="e">
        <f t="shared" si="570"/>
        <v>#REF!</v>
      </c>
      <c r="M1195" s="710" t="e">
        <f t="shared" si="570"/>
        <v>#REF!</v>
      </c>
      <c r="N1195" s="710" t="e">
        <f t="shared" si="570"/>
        <v>#REF!</v>
      </c>
      <c r="O1195" s="710" t="e">
        <f t="shared" si="570"/>
        <v>#REF!</v>
      </c>
      <c r="P1195" s="710" t="e">
        <f t="shared" si="570"/>
        <v>#REF!</v>
      </c>
      <c r="Q1195" s="710" t="e">
        <f t="shared" si="570"/>
        <v>#REF!</v>
      </c>
      <c r="R1195" s="710" t="e">
        <f t="shared" si="570"/>
        <v>#REF!</v>
      </c>
      <c r="S1195" s="710" t="e">
        <f t="shared" si="570"/>
        <v>#REF!</v>
      </c>
      <c r="T1195" s="710" t="e">
        <f t="shared" si="570"/>
        <v>#REF!</v>
      </c>
      <c r="U1195" s="710" t="e">
        <f t="shared" si="570"/>
        <v>#REF!</v>
      </c>
      <c r="V1195" s="710" t="e">
        <f t="shared" si="570"/>
        <v>#REF!</v>
      </c>
      <c r="W1195" s="708"/>
      <c r="X1195" s="708"/>
      <c r="Y1195" s="708"/>
      <c r="Z1195" s="708"/>
    </row>
    <row r="1196" spans="1:26" s="720" customFormat="1" ht="12.6" customHeight="1" x14ac:dyDescent="0.25">
      <c r="C1196" s="709" t="s">
        <v>99</v>
      </c>
      <c r="E1196" s="711" t="e">
        <f t="shared" si="570"/>
        <v>#REF!</v>
      </c>
      <c r="F1196" s="711" t="e">
        <f t="shared" si="570"/>
        <v>#REF!</v>
      </c>
      <c r="G1196" s="711" t="e">
        <f t="shared" si="570"/>
        <v>#REF!</v>
      </c>
      <c r="H1196" s="711" t="e">
        <f>H1173+H988</f>
        <v>#REF!</v>
      </c>
      <c r="I1196" s="711" t="e">
        <f t="shared" si="570"/>
        <v>#REF!</v>
      </c>
      <c r="J1196" s="711" t="e">
        <f>J1173+J988</f>
        <v>#REF!</v>
      </c>
      <c r="K1196" s="711" t="e">
        <f t="shared" si="570"/>
        <v>#REF!</v>
      </c>
      <c r="L1196" s="711" t="e">
        <f t="shared" si="570"/>
        <v>#REF!</v>
      </c>
      <c r="M1196" s="711" t="e">
        <f t="shared" si="570"/>
        <v>#REF!</v>
      </c>
      <c r="N1196" s="711" t="e">
        <f t="shared" si="570"/>
        <v>#REF!</v>
      </c>
      <c r="O1196" s="711" t="e">
        <f t="shared" si="570"/>
        <v>#REF!</v>
      </c>
      <c r="P1196" s="711" t="e">
        <f t="shared" si="570"/>
        <v>#REF!</v>
      </c>
      <c r="Q1196" s="711" t="e">
        <f t="shared" si="570"/>
        <v>#REF!</v>
      </c>
      <c r="R1196" s="711" t="e">
        <f t="shared" si="570"/>
        <v>#REF!</v>
      </c>
      <c r="S1196" s="711" t="e">
        <f t="shared" si="570"/>
        <v>#REF!</v>
      </c>
      <c r="T1196" s="711" t="e">
        <f t="shared" si="570"/>
        <v>#REF!</v>
      </c>
      <c r="U1196" s="711" t="e">
        <f t="shared" si="570"/>
        <v>#REF!</v>
      </c>
      <c r="V1196" s="711" t="e">
        <f t="shared" si="570"/>
        <v>#REF!</v>
      </c>
      <c r="W1196" s="708"/>
      <c r="X1196" s="708"/>
      <c r="Y1196" s="708"/>
      <c r="Z1196" s="708"/>
    </row>
    <row r="1197" spans="1:26" s="720" customFormat="1" ht="12.6" customHeight="1" x14ac:dyDescent="0.25">
      <c r="E1197" s="710" t="e">
        <f>SUM(E1194:E1196)</f>
        <v>#REF!</v>
      </c>
      <c r="F1197" s="710" t="e">
        <f t="shared" ref="F1197:V1197" si="571">SUM(F1194:F1196)</f>
        <v>#REF!</v>
      </c>
      <c r="G1197" s="710" t="e">
        <f t="shared" si="571"/>
        <v>#REF!</v>
      </c>
      <c r="H1197" s="710" t="e">
        <f>SUM(H1194:H1196)</f>
        <v>#REF!</v>
      </c>
      <c r="I1197" s="710" t="e">
        <f t="shared" si="571"/>
        <v>#REF!</v>
      </c>
      <c r="J1197" s="710" t="e">
        <f>SUM(J1194:J1196)</f>
        <v>#REF!</v>
      </c>
      <c r="K1197" s="710" t="e">
        <f t="shared" si="571"/>
        <v>#REF!</v>
      </c>
      <c r="L1197" s="710" t="e">
        <f t="shared" si="571"/>
        <v>#REF!</v>
      </c>
      <c r="M1197" s="710" t="e">
        <f t="shared" si="571"/>
        <v>#REF!</v>
      </c>
      <c r="N1197" s="710" t="e">
        <f t="shared" si="571"/>
        <v>#REF!</v>
      </c>
      <c r="O1197" s="710" t="e">
        <f t="shared" si="571"/>
        <v>#REF!</v>
      </c>
      <c r="P1197" s="710" t="e">
        <f t="shared" si="571"/>
        <v>#REF!</v>
      </c>
      <c r="Q1197" s="710" t="e">
        <f t="shared" si="571"/>
        <v>#REF!</v>
      </c>
      <c r="R1197" s="710" t="e">
        <f t="shared" si="571"/>
        <v>#REF!</v>
      </c>
      <c r="S1197" s="710" t="e">
        <f t="shared" si="571"/>
        <v>#REF!</v>
      </c>
      <c r="T1197" s="710" t="e">
        <f t="shared" si="571"/>
        <v>#REF!</v>
      </c>
      <c r="U1197" s="710" t="e">
        <f t="shared" si="571"/>
        <v>#REF!</v>
      </c>
      <c r="V1197" s="710" t="e">
        <f t="shared" si="571"/>
        <v>#REF!</v>
      </c>
      <c r="W1197" s="708"/>
      <c r="X1197" s="708"/>
      <c r="Y1197" s="708"/>
      <c r="Z1197" s="708"/>
    </row>
    <row r="1201" spans="1:26" ht="12.6" customHeight="1" x14ac:dyDescent="0.25">
      <c r="B1201" s="717" t="s">
        <v>347</v>
      </c>
      <c r="C1201" s="717" t="s">
        <v>97</v>
      </c>
      <c r="D1201" s="717"/>
      <c r="E1201" s="721">
        <f t="shared" ref="E1201:V1201" si="572">E31</f>
        <v>1253747.9099999999</v>
      </c>
      <c r="F1201" s="721">
        <f t="shared" si="572"/>
        <v>6087855.1500000004</v>
      </c>
      <c r="G1201" s="721">
        <f t="shared" si="572"/>
        <v>0</v>
      </c>
      <c r="H1201" s="721">
        <f t="shared" si="572"/>
        <v>0</v>
      </c>
      <c r="I1201" s="721">
        <f t="shared" si="572"/>
        <v>5691621.1500000004</v>
      </c>
      <c r="J1201" s="721">
        <f t="shared" si="572"/>
        <v>0</v>
      </c>
      <c r="K1201" s="721">
        <f t="shared" si="572"/>
        <v>0</v>
      </c>
      <c r="L1201" s="721">
        <f t="shared" si="572"/>
        <v>0</v>
      </c>
      <c r="M1201" s="721">
        <f t="shared" si="572"/>
        <v>0</v>
      </c>
      <c r="N1201" s="721">
        <f t="shared" si="572"/>
        <v>0</v>
      </c>
      <c r="O1201" s="721">
        <f t="shared" si="572"/>
        <v>0</v>
      </c>
      <c r="P1201" s="721">
        <f t="shared" si="572"/>
        <v>0</v>
      </c>
      <c r="Q1201" s="721">
        <f t="shared" si="572"/>
        <v>0</v>
      </c>
      <c r="R1201" s="721">
        <f t="shared" si="572"/>
        <v>0</v>
      </c>
      <c r="S1201" s="721">
        <f t="shared" si="572"/>
        <v>0</v>
      </c>
      <c r="T1201" s="721">
        <f t="shared" si="572"/>
        <v>13033224.209999999</v>
      </c>
      <c r="U1201" s="721">
        <f t="shared" si="572"/>
        <v>0</v>
      </c>
      <c r="V1201" s="721">
        <f t="shared" si="572"/>
        <v>13033224.209999999</v>
      </c>
      <c r="W1201" s="532"/>
      <c r="X1201" s="532"/>
      <c r="Y1201" s="532"/>
      <c r="Z1201" s="532"/>
    </row>
    <row r="1202" spans="1:26" ht="12.6" customHeight="1" x14ac:dyDescent="0.25">
      <c r="B1202" s="543"/>
      <c r="C1202" s="717" t="s">
        <v>98</v>
      </c>
      <c r="D1202" s="717"/>
      <c r="E1202" s="721">
        <f t="shared" ref="E1202:V1202" si="573">E63+E76+E103+E111+E141+E149+E162+E180+E192+E225+E236+E251+E258+E281+E296+E313+E326+E339+E346+E354+E364+E374+E382+E416+E428+E437+E445+E456+E465+E472+E480+E495+E504+E512+E520+E542+E557+E569+E591+E624</f>
        <v>26745789.149999999</v>
      </c>
      <c r="F1202" s="721">
        <f t="shared" si="573"/>
        <v>7847522.7500000009</v>
      </c>
      <c r="G1202" s="721">
        <f t="shared" si="573"/>
        <v>0</v>
      </c>
      <c r="H1202" s="721">
        <f t="shared" si="573"/>
        <v>0</v>
      </c>
      <c r="I1202" s="721">
        <f t="shared" si="573"/>
        <v>942073.16</v>
      </c>
      <c r="J1202" s="721">
        <f t="shared" si="573"/>
        <v>0</v>
      </c>
      <c r="K1202" s="721">
        <f t="shared" si="573"/>
        <v>0</v>
      </c>
      <c r="L1202" s="721">
        <f t="shared" si="573"/>
        <v>0</v>
      </c>
      <c r="M1202" s="721">
        <f t="shared" si="573"/>
        <v>0</v>
      </c>
      <c r="N1202" s="721">
        <f t="shared" si="573"/>
        <v>0</v>
      </c>
      <c r="O1202" s="721">
        <f t="shared" si="573"/>
        <v>0</v>
      </c>
      <c r="P1202" s="721">
        <f t="shared" si="573"/>
        <v>0</v>
      </c>
      <c r="Q1202" s="721">
        <f t="shared" si="573"/>
        <v>0</v>
      </c>
      <c r="R1202" s="721">
        <f t="shared" si="573"/>
        <v>0</v>
      </c>
      <c r="S1202" s="721">
        <f t="shared" si="573"/>
        <v>0</v>
      </c>
      <c r="T1202" s="721">
        <f t="shared" si="573"/>
        <v>34129008.790000007</v>
      </c>
      <c r="U1202" s="721">
        <f t="shared" si="573"/>
        <v>0</v>
      </c>
      <c r="V1202" s="721">
        <f t="shared" si="573"/>
        <v>34129008.790000007</v>
      </c>
      <c r="W1202" s="532"/>
      <c r="X1202" s="532"/>
      <c r="Y1202" s="532"/>
      <c r="Z1202" s="532"/>
    </row>
    <row r="1203" spans="1:26" ht="12.6" customHeight="1" x14ac:dyDescent="0.25">
      <c r="B1203" s="543"/>
      <c r="C1203" s="717" t="s">
        <v>99</v>
      </c>
      <c r="E1203" s="722">
        <f t="shared" ref="E1203:V1203" si="574">E641+E649+E658+E674+E684+E693+E718+E744+E759+E766+E773+E781+E788+E799+E815+E825+E847+E854+E866+E877</f>
        <v>72146435.089999989</v>
      </c>
      <c r="F1203" s="722">
        <f t="shared" si="574"/>
        <v>567775</v>
      </c>
      <c r="G1203" s="722">
        <f t="shared" si="574"/>
        <v>0</v>
      </c>
      <c r="H1203" s="722">
        <f t="shared" si="574"/>
        <v>0</v>
      </c>
      <c r="I1203" s="722">
        <f t="shared" si="574"/>
        <v>0</v>
      </c>
      <c r="J1203" s="722">
        <f t="shared" si="574"/>
        <v>0</v>
      </c>
      <c r="K1203" s="722">
        <f t="shared" si="574"/>
        <v>0</v>
      </c>
      <c r="L1203" s="722">
        <f t="shared" si="574"/>
        <v>0</v>
      </c>
      <c r="M1203" s="722">
        <f t="shared" si="574"/>
        <v>0</v>
      </c>
      <c r="N1203" s="722">
        <f t="shared" si="574"/>
        <v>0</v>
      </c>
      <c r="O1203" s="722">
        <f t="shared" si="574"/>
        <v>0</v>
      </c>
      <c r="P1203" s="722">
        <f t="shared" si="574"/>
        <v>0</v>
      </c>
      <c r="Q1203" s="722">
        <f t="shared" si="574"/>
        <v>0</v>
      </c>
      <c r="R1203" s="722">
        <f t="shared" si="574"/>
        <v>0</v>
      </c>
      <c r="S1203" s="722">
        <f t="shared" si="574"/>
        <v>0</v>
      </c>
      <c r="T1203" s="722">
        <f t="shared" si="574"/>
        <v>70282917.090000004</v>
      </c>
      <c r="U1203" s="722">
        <f t="shared" si="574"/>
        <v>0</v>
      </c>
      <c r="V1203" s="722">
        <f t="shared" si="574"/>
        <v>70282917.090000004</v>
      </c>
      <c r="W1203" s="532"/>
      <c r="X1203" s="532"/>
      <c r="Y1203" s="532"/>
      <c r="Z1203" s="532"/>
    </row>
    <row r="1204" spans="1:26" ht="12.6" customHeight="1" x14ac:dyDescent="0.25">
      <c r="E1204" s="721">
        <f>SUM(E1201:E1203)</f>
        <v>100145972.14999999</v>
      </c>
      <c r="F1204" s="721">
        <f t="shared" ref="F1204:V1204" si="575">SUM(F1201:F1203)</f>
        <v>14503152.900000002</v>
      </c>
      <c r="G1204" s="721">
        <f t="shared" si="575"/>
        <v>0</v>
      </c>
      <c r="H1204" s="721">
        <f>SUM(H1201:H1203)</f>
        <v>0</v>
      </c>
      <c r="I1204" s="721">
        <f t="shared" si="575"/>
        <v>6633694.3100000005</v>
      </c>
      <c r="J1204" s="721">
        <f>SUM(J1201:J1203)</f>
        <v>0</v>
      </c>
      <c r="K1204" s="721">
        <f t="shared" si="575"/>
        <v>0</v>
      </c>
      <c r="L1204" s="721">
        <f t="shared" si="575"/>
        <v>0</v>
      </c>
      <c r="M1204" s="721">
        <f t="shared" si="575"/>
        <v>0</v>
      </c>
      <c r="N1204" s="721">
        <f t="shared" si="575"/>
        <v>0</v>
      </c>
      <c r="O1204" s="721">
        <f t="shared" si="575"/>
        <v>0</v>
      </c>
      <c r="P1204" s="721">
        <f t="shared" si="575"/>
        <v>0</v>
      </c>
      <c r="Q1204" s="721">
        <f t="shared" si="575"/>
        <v>0</v>
      </c>
      <c r="R1204" s="721">
        <f t="shared" si="575"/>
        <v>0</v>
      </c>
      <c r="S1204" s="721">
        <f t="shared" si="575"/>
        <v>0</v>
      </c>
      <c r="T1204" s="721">
        <f t="shared" si="575"/>
        <v>117445150.09</v>
      </c>
      <c r="U1204" s="721">
        <f t="shared" si="575"/>
        <v>0</v>
      </c>
      <c r="V1204" s="721">
        <f t="shared" si="575"/>
        <v>117445150.09</v>
      </c>
    </row>
    <row r="1205" spans="1:26" ht="12.6" customHeight="1" x14ac:dyDescent="0.25">
      <c r="E1205" s="723" t="e">
        <f>(E1144+E1174)-E1204</f>
        <v>#REF!</v>
      </c>
      <c r="F1205" s="723" t="e">
        <f t="shared" ref="F1205:V1205" si="576">(F1144+F1174)-F1204</f>
        <v>#REF!</v>
      </c>
      <c r="G1205" s="723" t="e">
        <f t="shared" si="576"/>
        <v>#REF!</v>
      </c>
      <c r="H1205" s="723" t="e">
        <f>(H1144+H1174)-H1204</f>
        <v>#REF!</v>
      </c>
      <c r="I1205" s="723" t="e">
        <f t="shared" si="576"/>
        <v>#REF!</v>
      </c>
      <c r="J1205" s="723" t="e">
        <f>(J1144+J1174)-J1204</f>
        <v>#REF!</v>
      </c>
      <c r="K1205" s="723" t="e">
        <f t="shared" si="576"/>
        <v>#REF!</v>
      </c>
      <c r="L1205" s="723" t="e">
        <f t="shared" si="576"/>
        <v>#REF!</v>
      </c>
      <c r="M1205" s="723" t="e">
        <f t="shared" si="576"/>
        <v>#REF!</v>
      </c>
      <c r="N1205" s="723" t="e">
        <f t="shared" si="576"/>
        <v>#REF!</v>
      </c>
      <c r="O1205" s="723" t="e">
        <f t="shared" si="576"/>
        <v>#REF!</v>
      </c>
      <c r="P1205" s="723" t="e">
        <f t="shared" si="576"/>
        <v>#REF!</v>
      </c>
      <c r="Q1205" s="723" t="e">
        <f t="shared" si="576"/>
        <v>#REF!</v>
      </c>
      <c r="R1205" s="723" t="e">
        <f t="shared" si="576"/>
        <v>#REF!</v>
      </c>
      <c r="S1205" s="723" t="e">
        <f t="shared" si="576"/>
        <v>#REF!</v>
      </c>
      <c r="T1205" s="723" t="e">
        <f t="shared" si="576"/>
        <v>#REF!</v>
      </c>
      <c r="U1205" s="723" t="e">
        <f t="shared" si="576"/>
        <v>#REF!</v>
      </c>
      <c r="V1205" s="723" t="e">
        <f t="shared" si="576"/>
        <v>#REF!</v>
      </c>
    </row>
    <row r="1207" spans="1:26" ht="12.6" customHeight="1" x14ac:dyDescent="0.25">
      <c r="B1207" s="717" t="s">
        <v>348</v>
      </c>
      <c r="C1207" s="717" t="s">
        <v>97</v>
      </c>
      <c r="E1207" s="721">
        <f t="shared" ref="E1207:V1207" si="577">E32</f>
        <v>2306087.88</v>
      </c>
      <c r="F1207" s="721">
        <f t="shared" si="577"/>
        <v>3503732.25</v>
      </c>
      <c r="G1207" s="721">
        <f t="shared" si="577"/>
        <v>0</v>
      </c>
      <c r="H1207" s="721">
        <f t="shared" si="577"/>
        <v>0</v>
      </c>
      <c r="I1207" s="721">
        <f t="shared" si="577"/>
        <v>3408026.25</v>
      </c>
      <c r="J1207" s="721">
        <f t="shared" si="577"/>
        <v>0</v>
      </c>
      <c r="K1207" s="721">
        <f t="shared" si="577"/>
        <v>0</v>
      </c>
      <c r="L1207" s="721">
        <f t="shared" si="577"/>
        <v>0</v>
      </c>
      <c r="M1207" s="721">
        <f t="shared" si="577"/>
        <v>0</v>
      </c>
      <c r="N1207" s="721">
        <f t="shared" si="577"/>
        <v>0</v>
      </c>
      <c r="O1207" s="721">
        <f t="shared" si="577"/>
        <v>0</v>
      </c>
      <c r="P1207" s="721">
        <f t="shared" si="577"/>
        <v>0</v>
      </c>
      <c r="Q1207" s="721">
        <f t="shared" si="577"/>
        <v>0</v>
      </c>
      <c r="R1207" s="721">
        <f t="shared" si="577"/>
        <v>0</v>
      </c>
      <c r="S1207" s="721">
        <f t="shared" si="577"/>
        <v>0</v>
      </c>
      <c r="T1207" s="721">
        <f t="shared" si="577"/>
        <v>9212846.379999999</v>
      </c>
      <c r="U1207" s="721">
        <f t="shared" si="577"/>
        <v>0</v>
      </c>
      <c r="V1207" s="721">
        <f t="shared" si="577"/>
        <v>9212846.379999999</v>
      </c>
      <c r="W1207" s="532"/>
      <c r="X1207" s="532"/>
      <c r="Y1207" s="532"/>
      <c r="Z1207" s="532"/>
    </row>
    <row r="1208" spans="1:26" ht="12.6" customHeight="1" x14ac:dyDescent="0.25">
      <c r="A1208" s="724">
        <f>E1208-E1002</f>
        <v>1368658.5699999966</v>
      </c>
      <c r="B1208" s="543"/>
      <c r="C1208" s="717" t="s">
        <v>98</v>
      </c>
      <c r="D1208" s="717"/>
      <c r="E1208" s="721">
        <f t="shared" ref="E1208:V1208" si="578">E64+E77+E104+E112+E142+E150+E163+E181+E193+E226+E237+E252+E259+E282+E297+E314+E327+E340+E347+E355+E365+E375+E383+E417+E429+E438+E446+E457+E466+E473+E481+E496+E505+E513+E521+E543+E558+E570+E592+E625</f>
        <v>28668690.229999997</v>
      </c>
      <c r="F1208" s="721">
        <f t="shared" si="578"/>
        <v>10921957.539999999</v>
      </c>
      <c r="G1208" s="721">
        <f t="shared" si="578"/>
        <v>0</v>
      </c>
      <c r="H1208" s="721">
        <f t="shared" si="578"/>
        <v>4500000</v>
      </c>
      <c r="I1208" s="721">
        <f t="shared" si="578"/>
        <v>5500000</v>
      </c>
      <c r="J1208" s="721">
        <f t="shared" si="578"/>
        <v>0</v>
      </c>
      <c r="K1208" s="721">
        <f t="shared" si="578"/>
        <v>0</v>
      </c>
      <c r="L1208" s="721">
        <f t="shared" si="578"/>
        <v>0</v>
      </c>
      <c r="M1208" s="721">
        <f t="shared" si="578"/>
        <v>0</v>
      </c>
      <c r="N1208" s="721">
        <f t="shared" si="578"/>
        <v>0</v>
      </c>
      <c r="O1208" s="721">
        <f t="shared" si="578"/>
        <v>0</v>
      </c>
      <c r="P1208" s="721">
        <f t="shared" si="578"/>
        <v>0</v>
      </c>
      <c r="Q1208" s="721">
        <f t="shared" si="578"/>
        <v>0</v>
      </c>
      <c r="R1208" s="721">
        <f t="shared" si="578"/>
        <v>0</v>
      </c>
      <c r="S1208" s="721">
        <f t="shared" si="578"/>
        <v>0</v>
      </c>
      <c r="T1208" s="721">
        <f t="shared" si="578"/>
        <v>48668597.270000003</v>
      </c>
      <c r="U1208" s="721">
        <f t="shared" si="578"/>
        <v>0</v>
      </c>
      <c r="V1208" s="721">
        <f t="shared" si="578"/>
        <v>48668597.270000003</v>
      </c>
      <c r="W1208" s="532"/>
      <c r="X1208" s="532"/>
      <c r="Y1208" s="532"/>
      <c r="Z1208" s="532"/>
    </row>
    <row r="1209" spans="1:26" ht="12.6" customHeight="1" x14ac:dyDescent="0.25">
      <c r="B1209" s="543"/>
      <c r="C1209" s="717" t="s">
        <v>99</v>
      </c>
      <c r="E1209" s="722">
        <f t="shared" ref="E1209:V1209" si="579">E642+E650+E659+E675+E685+E694+E719+E745+E760+E767+E774+E782+E789+E800+E816+E826+E848+E855+E867+E878</f>
        <v>80356173.899999991</v>
      </c>
      <c r="F1209" s="722">
        <f t="shared" si="579"/>
        <v>0</v>
      </c>
      <c r="G1209" s="722">
        <f t="shared" si="579"/>
        <v>0</v>
      </c>
      <c r="H1209" s="722">
        <f t="shared" si="579"/>
        <v>-13000000</v>
      </c>
      <c r="I1209" s="722">
        <f t="shared" si="579"/>
        <v>-5500000</v>
      </c>
      <c r="J1209" s="722">
        <f t="shared" si="579"/>
        <v>0</v>
      </c>
      <c r="K1209" s="722">
        <f t="shared" si="579"/>
        <v>0</v>
      </c>
      <c r="L1209" s="722">
        <f t="shared" si="579"/>
        <v>0</v>
      </c>
      <c r="M1209" s="722">
        <f t="shared" si="579"/>
        <v>0</v>
      </c>
      <c r="N1209" s="722">
        <f t="shared" si="579"/>
        <v>0</v>
      </c>
      <c r="O1209" s="722">
        <f t="shared" si="579"/>
        <v>0</v>
      </c>
      <c r="P1209" s="722">
        <f t="shared" si="579"/>
        <v>0</v>
      </c>
      <c r="Q1209" s="722">
        <f t="shared" si="579"/>
        <v>0</v>
      </c>
      <c r="R1209" s="722">
        <f t="shared" si="579"/>
        <v>0</v>
      </c>
      <c r="S1209" s="722">
        <f t="shared" si="579"/>
        <v>0</v>
      </c>
      <c r="T1209" s="722">
        <f t="shared" si="579"/>
        <v>64287466.899999999</v>
      </c>
      <c r="U1209" s="722">
        <f t="shared" si="579"/>
        <v>0</v>
      </c>
      <c r="V1209" s="722">
        <f t="shared" si="579"/>
        <v>64287466.899999999</v>
      </c>
      <c r="W1209" s="532"/>
      <c r="X1209" s="532"/>
      <c r="Y1209" s="532"/>
      <c r="Z1209" s="532"/>
    </row>
    <row r="1210" spans="1:26" ht="12.6" customHeight="1" x14ac:dyDescent="0.25">
      <c r="E1210" s="721">
        <f>SUM(E1207:E1209)</f>
        <v>111330952.00999999</v>
      </c>
      <c r="F1210" s="721">
        <f t="shared" ref="F1210:V1210" si="580">SUM(F1207:F1209)</f>
        <v>14425689.789999999</v>
      </c>
      <c r="G1210" s="721">
        <f t="shared" si="580"/>
        <v>0</v>
      </c>
      <c r="H1210" s="721">
        <f>SUM(H1207:H1209)</f>
        <v>-8500000</v>
      </c>
      <c r="I1210" s="721">
        <f t="shared" si="580"/>
        <v>3408026.25</v>
      </c>
      <c r="J1210" s="721">
        <f>SUM(J1207:J1209)</f>
        <v>0</v>
      </c>
      <c r="K1210" s="721">
        <f t="shared" si="580"/>
        <v>0</v>
      </c>
      <c r="L1210" s="721">
        <f t="shared" si="580"/>
        <v>0</v>
      </c>
      <c r="M1210" s="721">
        <f t="shared" si="580"/>
        <v>0</v>
      </c>
      <c r="N1210" s="721">
        <f t="shared" si="580"/>
        <v>0</v>
      </c>
      <c r="O1210" s="721">
        <f t="shared" si="580"/>
        <v>0</v>
      </c>
      <c r="P1210" s="721">
        <f t="shared" si="580"/>
        <v>0</v>
      </c>
      <c r="Q1210" s="721">
        <f t="shared" si="580"/>
        <v>0</v>
      </c>
      <c r="R1210" s="721">
        <f t="shared" si="580"/>
        <v>0</v>
      </c>
      <c r="S1210" s="721">
        <f t="shared" si="580"/>
        <v>0</v>
      </c>
      <c r="T1210" s="721">
        <f t="shared" si="580"/>
        <v>122168910.55000001</v>
      </c>
      <c r="U1210" s="721">
        <f t="shared" si="580"/>
        <v>0</v>
      </c>
      <c r="V1210" s="721">
        <f t="shared" si="580"/>
        <v>122168910.55000001</v>
      </c>
    </row>
    <row r="1211" spans="1:26" ht="12.6" customHeight="1" x14ac:dyDescent="0.25">
      <c r="E1211" s="723">
        <f t="shared" ref="E1211:V1211" si="581">E1004-E1210</f>
        <v>357634.42999997735</v>
      </c>
      <c r="F1211" s="723">
        <f t="shared" si="581"/>
        <v>-1074086.9999999981</v>
      </c>
      <c r="G1211" s="723">
        <f t="shared" si="581"/>
        <v>0</v>
      </c>
      <c r="H1211" s="723">
        <f>H1004-H1210</f>
        <v>0</v>
      </c>
      <c r="I1211" s="723">
        <f t="shared" si="581"/>
        <v>-500000</v>
      </c>
      <c r="J1211" s="723">
        <f>J1004-J1210</f>
        <v>0</v>
      </c>
      <c r="K1211" s="723">
        <f t="shared" si="581"/>
        <v>0</v>
      </c>
      <c r="L1211" s="723">
        <f t="shared" si="581"/>
        <v>0</v>
      </c>
      <c r="M1211" s="723">
        <f t="shared" si="581"/>
        <v>0</v>
      </c>
      <c r="N1211" s="723">
        <f t="shared" si="581"/>
        <v>0</v>
      </c>
      <c r="O1211" s="723">
        <f t="shared" si="581"/>
        <v>0</v>
      </c>
      <c r="P1211" s="723">
        <f t="shared" si="581"/>
        <v>0</v>
      </c>
      <c r="Q1211" s="723">
        <f t="shared" si="581"/>
        <v>0</v>
      </c>
      <c r="R1211" s="723">
        <f t="shared" si="581"/>
        <v>0</v>
      </c>
      <c r="S1211" s="723">
        <f t="shared" si="581"/>
        <v>0</v>
      </c>
      <c r="T1211" s="723">
        <f t="shared" si="581"/>
        <v>-2720695.0700000226</v>
      </c>
      <c r="U1211" s="723">
        <f t="shared" si="581"/>
        <v>0</v>
      </c>
      <c r="V1211" s="723">
        <f t="shared" si="581"/>
        <v>-2720695.0700000226</v>
      </c>
    </row>
    <row r="1213" spans="1:26" ht="12.6" customHeight="1" x14ac:dyDescent="0.25">
      <c r="B1213" s="717" t="s">
        <v>451</v>
      </c>
      <c r="C1213" s="717" t="s">
        <v>97</v>
      </c>
      <c r="D1213" s="717"/>
      <c r="E1213" s="721">
        <f>E1201+E1207</f>
        <v>3559835.79</v>
      </c>
      <c r="F1213" s="721">
        <f t="shared" ref="F1213:V1215" si="582">F1201+F1207</f>
        <v>9591587.4000000004</v>
      </c>
      <c r="G1213" s="721">
        <f t="shared" si="582"/>
        <v>0</v>
      </c>
      <c r="H1213" s="721">
        <f>H1201+H1207</f>
        <v>0</v>
      </c>
      <c r="I1213" s="721">
        <f t="shared" si="582"/>
        <v>9099647.4000000004</v>
      </c>
      <c r="J1213" s="721">
        <f>J1201+J1207</f>
        <v>0</v>
      </c>
      <c r="K1213" s="721">
        <f t="shared" si="582"/>
        <v>0</v>
      </c>
      <c r="L1213" s="721">
        <f t="shared" si="582"/>
        <v>0</v>
      </c>
      <c r="M1213" s="721">
        <f t="shared" si="582"/>
        <v>0</v>
      </c>
      <c r="N1213" s="721">
        <f t="shared" si="582"/>
        <v>0</v>
      </c>
      <c r="O1213" s="721">
        <f t="shared" si="582"/>
        <v>0</v>
      </c>
      <c r="P1213" s="721">
        <f t="shared" si="582"/>
        <v>0</v>
      </c>
      <c r="Q1213" s="721">
        <f t="shared" si="582"/>
        <v>0</v>
      </c>
      <c r="R1213" s="721">
        <f t="shared" si="582"/>
        <v>0</v>
      </c>
      <c r="S1213" s="721">
        <f t="shared" si="582"/>
        <v>0</v>
      </c>
      <c r="T1213" s="721">
        <f t="shared" si="582"/>
        <v>22246070.589999996</v>
      </c>
      <c r="U1213" s="721">
        <f t="shared" si="582"/>
        <v>0</v>
      </c>
      <c r="V1213" s="721">
        <f t="shared" si="582"/>
        <v>22246070.589999996</v>
      </c>
      <c r="W1213" s="532"/>
      <c r="X1213" s="532"/>
      <c r="Y1213" s="532"/>
      <c r="Z1213" s="532"/>
    </row>
    <row r="1214" spans="1:26" ht="12.6" customHeight="1" x14ac:dyDescent="0.25">
      <c r="B1214" s="543"/>
      <c r="C1214" s="717" t="s">
        <v>98</v>
      </c>
      <c r="D1214" s="717"/>
      <c r="E1214" s="721">
        <f>E1202+E1208</f>
        <v>55414479.379999995</v>
      </c>
      <c r="F1214" s="721">
        <f t="shared" si="582"/>
        <v>18769480.289999999</v>
      </c>
      <c r="G1214" s="721">
        <f t="shared" si="582"/>
        <v>0</v>
      </c>
      <c r="H1214" s="721">
        <f>H1202+H1208</f>
        <v>4500000</v>
      </c>
      <c r="I1214" s="721">
        <f t="shared" si="582"/>
        <v>6442073.1600000001</v>
      </c>
      <c r="J1214" s="721">
        <f>J1202+J1208</f>
        <v>0</v>
      </c>
      <c r="K1214" s="721">
        <f t="shared" si="582"/>
        <v>0</v>
      </c>
      <c r="L1214" s="721">
        <f t="shared" si="582"/>
        <v>0</v>
      </c>
      <c r="M1214" s="721">
        <f t="shared" si="582"/>
        <v>0</v>
      </c>
      <c r="N1214" s="721">
        <f t="shared" si="582"/>
        <v>0</v>
      </c>
      <c r="O1214" s="721">
        <f t="shared" si="582"/>
        <v>0</v>
      </c>
      <c r="P1214" s="721">
        <f t="shared" si="582"/>
        <v>0</v>
      </c>
      <c r="Q1214" s="721">
        <f t="shared" si="582"/>
        <v>0</v>
      </c>
      <c r="R1214" s="721">
        <f t="shared" si="582"/>
        <v>0</v>
      </c>
      <c r="S1214" s="721">
        <f t="shared" si="582"/>
        <v>0</v>
      </c>
      <c r="T1214" s="721">
        <f t="shared" si="582"/>
        <v>82797606.060000002</v>
      </c>
      <c r="U1214" s="721">
        <f t="shared" si="582"/>
        <v>0</v>
      </c>
      <c r="V1214" s="721">
        <f t="shared" si="582"/>
        <v>82797606.060000002</v>
      </c>
      <c r="W1214" s="532"/>
      <c r="X1214" s="532"/>
      <c r="Y1214" s="532"/>
      <c r="Z1214" s="532"/>
    </row>
    <row r="1215" spans="1:26" ht="12.6" customHeight="1" x14ac:dyDescent="0.25">
      <c r="B1215" s="543"/>
      <c r="C1215" s="717" t="s">
        <v>99</v>
      </c>
      <c r="E1215" s="722">
        <f t="shared" ref="E1215:V1215" si="583">E1203+E1209</f>
        <v>152502608.98999998</v>
      </c>
      <c r="F1215" s="722">
        <f t="shared" si="583"/>
        <v>567775</v>
      </c>
      <c r="G1215" s="722">
        <f t="shared" si="583"/>
        <v>0</v>
      </c>
      <c r="H1215" s="722">
        <f>H1203+H1209</f>
        <v>-13000000</v>
      </c>
      <c r="I1215" s="722">
        <f t="shared" si="583"/>
        <v>-5500000</v>
      </c>
      <c r="J1215" s="722">
        <f>J1203+J1209</f>
        <v>0</v>
      </c>
      <c r="K1215" s="722">
        <f t="shared" si="582"/>
        <v>0</v>
      </c>
      <c r="L1215" s="722">
        <f t="shared" si="582"/>
        <v>0</v>
      </c>
      <c r="M1215" s="722">
        <f t="shared" si="582"/>
        <v>0</v>
      </c>
      <c r="N1215" s="722">
        <f t="shared" si="582"/>
        <v>0</v>
      </c>
      <c r="O1215" s="722">
        <f t="shared" si="582"/>
        <v>0</v>
      </c>
      <c r="P1215" s="722">
        <f t="shared" si="582"/>
        <v>0</v>
      </c>
      <c r="Q1215" s="722">
        <f t="shared" si="582"/>
        <v>0</v>
      </c>
      <c r="R1215" s="722">
        <f t="shared" si="582"/>
        <v>0</v>
      </c>
      <c r="S1215" s="722">
        <f t="shared" si="583"/>
        <v>0</v>
      </c>
      <c r="T1215" s="722">
        <f t="shared" si="583"/>
        <v>134570383.99000001</v>
      </c>
      <c r="U1215" s="722">
        <f t="shared" si="583"/>
        <v>0</v>
      </c>
      <c r="V1215" s="722">
        <f t="shared" si="583"/>
        <v>134570383.99000001</v>
      </c>
      <c r="W1215" s="532"/>
      <c r="X1215" s="532"/>
      <c r="Y1215" s="532"/>
      <c r="Z1215" s="532"/>
    </row>
    <row r="1216" spans="1:26" ht="12.6" customHeight="1" x14ac:dyDescent="0.25">
      <c r="E1216" s="721">
        <f>SUM(E1213:E1215)</f>
        <v>211476924.15999997</v>
      </c>
      <c r="F1216" s="721">
        <f t="shared" ref="F1216:V1216" si="584">SUM(F1213:F1215)</f>
        <v>28928842.689999998</v>
      </c>
      <c r="G1216" s="721">
        <f t="shared" si="584"/>
        <v>0</v>
      </c>
      <c r="H1216" s="721">
        <f>SUM(H1213:H1215)</f>
        <v>-8500000</v>
      </c>
      <c r="I1216" s="721">
        <f t="shared" si="584"/>
        <v>10041720.560000001</v>
      </c>
      <c r="J1216" s="721">
        <f>SUM(J1213:J1215)</f>
        <v>0</v>
      </c>
      <c r="K1216" s="721">
        <f t="shared" si="584"/>
        <v>0</v>
      </c>
      <c r="L1216" s="721">
        <f t="shared" si="584"/>
        <v>0</v>
      </c>
      <c r="M1216" s="721">
        <f t="shared" si="584"/>
        <v>0</v>
      </c>
      <c r="N1216" s="721">
        <f t="shared" si="584"/>
        <v>0</v>
      </c>
      <c r="O1216" s="721">
        <f t="shared" si="584"/>
        <v>0</v>
      </c>
      <c r="P1216" s="721">
        <f t="shared" si="584"/>
        <v>0</v>
      </c>
      <c r="Q1216" s="721">
        <f t="shared" si="584"/>
        <v>0</v>
      </c>
      <c r="R1216" s="721">
        <f t="shared" si="584"/>
        <v>0</v>
      </c>
      <c r="S1216" s="721">
        <f t="shared" si="584"/>
        <v>0</v>
      </c>
      <c r="T1216" s="721">
        <f t="shared" si="584"/>
        <v>239614060.64000002</v>
      </c>
      <c r="U1216" s="721">
        <f t="shared" si="584"/>
        <v>0</v>
      </c>
      <c r="V1216" s="721">
        <f t="shared" si="584"/>
        <v>239614060.64000002</v>
      </c>
    </row>
    <row r="1217" spans="1:22" ht="12.6" customHeight="1" x14ac:dyDescent="0.25">
      <c r="E1217" s="723">
        <f t="shared" ref="E1217:V1217" si="585">E888-E1216</f>
        <v>2517527.75</v>
      </c>
      <c r="F1217" s="723">
        <f t="shared" si="585"/>
        <v>-64930.369999997318</v>
      </c>
      <c r="G1217" s="723">
        <f t="shared" si="585"/>
        <v>0</v>
      </c>
      <c r="H1217" s="723">
        <f>H888-H1216</f>
        <v>0</v>
      </c>
      <c r="I1217" s="723">
        <f t="shared" si="585"/>
        <v>0</v>
      </c>
      <c r="J1217" s="723">
        <f>J888-J1216</f>
        <v>0</v>
      </c>
      <c r="K1217" s="723">
        <f t="shared" si="585"/>
        <v>0</v>
      </c>
      <c r="L1217" s="723">
        <f t="shared" si="585"/>
        <v>0</v>
      </c>
      <c r="M1217" s="723">
        <f t="shared" si="585"/>
        <v>0</v>
      </c>
      <c r="N1217" s="723">
        <f t="shared" si="585"/>
        <v>0</v>
      </c>
      <c r="O1217" s="723">
        <f t="shared" si="585"/>
        <v>0</v>
      </c>
      <c r="P1217" s="723">
        <f t="shared" si="585"/>
        <v>0</v>
      </c>
      <c r="Q1217" s="723">
        <f t="shared" si="585"/>
        <v>0</v>
      </c>
      <c r="R1217" s="723">
        <f t="shared" si="585"/>
        <v>0</v>
      </c>
      <c r="S1217" s="723">
        <f t="shared" si="585"/>
        <v>0</v>
      </c>
      <c r="T1217" s="723">
        <f t="shared" si="585"/>
        <v>10943.629999965429</v>
      </c>
      <c r="U1217" s="723">
        <f t="shared" si="585"/>
        <v>0</v>
      </c>
      <c r="V1217" s="723">
        <f t="shared" si="585"/>
        <v>10943.629999965429</v>
      </c>
    </row>
    <row r="1219" spans="1:22" s="533" customFormat="1" ht="12.6" customHeight="1" x14ac:dyDescent="0.25">
      <c r="A1219" s="532"/>
      <c r="B1219" s="532"/>
      <c r="C1219" s="717" t="s">
        <v>97</v>
      </c>
      <c r="D1219" s="532"/>
      <c r="E1219" s="718">
        <f t="shared" ref="E1219:V1219" si="586">E1213-E35</f>
        <v>0</v>
      </c>
      <c r="F1219" s="718">
        <f t="shared" si="586"/>
        <v>-5943.6299999989569</v>
      </c>
      <c r="G1219" s="718">
        <f t="shared" si="586"/>
        <v>0</v>
      </c>
      <c r="H1219" s="718">
        <f t="shared" si="586"/>
        <v>0</v>
      </c>
      <c r="I1219" s="718">
        <f t="shared" si="586"/>
        <v>0</v>
      </c>
      <c r="J1219" s="718">
        <f t="shared" si="586"/>
        <v>0</v>
      </c>
      <c r="K1219" s="718">
        <f t="shared" si="586"/>
        <v>0</v>
      </c>
      <c r="L1219" s="718">
        <f t="shared" si="586"/>
        <v>0</v>
      </c>
      <c r="M1219" s="718">
        <f t="shared" si="586"/>
        <v>0</v>
      </c>
      <c r="N1219" s="718">
        <f t="shared" si="586"/>
        <v>0</v>
      </c>
      <c r="O1219" s="718">
        <f t="shared" si="586"/>
        <v>0</v>
      </c>
      <c r="P1219" s="718">
        <f t="shared" si="586"/>
        <v>0</v>
      </c>
      <c r="Q1219" s="718">
        <f t="shared" si="586"/>
        <v>0</v>
      </c>
      <c r="R1219" s="718">
        <f t="shared" si="586"/>
        <v>0</v>
      </c>
      <c r="S1219" s="718">
        <f t="shared" si="586"/>
        <v>0</v>
      </c>
      <c r="T1219" s="718">
        <f t="shared" si="586"/>
        <v>-10943.630000006407</v>
      </c>
      <c r="U1219" s="718">
        <f t="shared" si="586"/>
        <v>0</v>
      </c>
      <c r="V1219" s="718">
        <f t="shared" si="586"/>
        <v>-10943.630000006407</v>
      </c>
    </row>
    <row r="1220" spans="1:22" s="533" customFormat="1" ht="12.6" customHeight="1" x14ac:dyDescent="0.25">
      <c r="A1220" s="532"/>
      <c r="B1220" s="532"/>
      <c r="C1220" s="717" t="s">
        <v>98</v>
      </c>
      <c r="D1220" s="532"/>
      <c r="E1220" s="718">
        <f t="shared" ref="E1220:V1220" si="587">E1214-E629</f>
        <v>-2241404.5000000075</v>
      </c>
      <c r="F1220" s="718">
        <f t="shared" si="587"/>
        <v>70874</v>
      </c>
      <c r="G1220" s="718">
        <f t="shared" si="587"/>
        <v>0</v>
      </c>
      <c r="H1220" s="718">
        <f t="shared" si="587"/>
        <v>0</v>
      </c>
      <c r="I1220" s="718">
        <f t="shared" si="587"/>
        <v>0</v>
      </c>
      <c r="J1220" s="718">
        <f t="shared" si="587"/>
        <v>0</v>
      </c>
      <c r="K1220" s="718">
        <f t="shared" si="587"/>
        <v>0</v>
      </c>
      <c r="L1220" s="718">
        <f t="shared" si="587"/>
        <v>0</v>
      </c>
      <c r="M1220" s="718">
        <f t="shared" si="587"/>
        <v>0</v>
      </c>
      <c r="N1220" s="718">
        <f t="shared" si="587"/>
        <v>0</v>
      </c>
      <c r="O1220" s="718">
        <f t="shared" si="587"/>
        <v>0</v>
      </c>
      <c r="P1220" s="718">
        <f t="shared" si="587"/>
        <v>0</v>
      </c>
      <c r="Q1220" s="718">
        <f t="shared" si="587"/>
        <v>0</v>
      </c>
      <c r="R1220" s="718">
        <f t="shared" si="587"/>
        <v>0</v>
      </c>
      <c r="S1220" s="718">
        <f t="shared" si="587"/>
        <v>0</v>
      </c>
      <c r="T1220" s="718">
        <f t="shared" si="587"/>
        <v>0</v>
      </c>
      <c r="U1220" s="718">
        <f t="shared" si="587"/>
        <v>0</v>
      </c>
      <c r="V1220" s="718">
        <f t="shared" si="587"/>
        <v>0</v>
      </c>
    </row>
    <row r="1221" spans="1:22" s="533" customFormat="1" ht="12.6" customHeight="1" x14ac:dyDescent="0.25">
      <c r="A1221" s="532"/>
      <c r="B1221" s="532"/>
      <c r="C1221" s="717" t="s">
        <v>99</v>
      </c>
      <c r="D1221" s="532"/>
      <c r="E1221" s="718">
        <f t="shared" ref="E1221:V1221" si="588">E1215-E882</f>
        <v>-276123.25</v>
      </c>
      <c r="F1221" s="718">
        <f t="shared" si="588"/>
        <v>0</v>
      </c>
      <c r="G1221" s="718">
        <f t="shared" si="588"/>
        <v>0</v>
      </c>
      <c r="H1221" s="718">
        <f>H1215-H882</f>
        <v>0</v>
      </c>
      <c r="I1221" s="718">
        <f t="shared" si="588"/>
        <v>0</v>
      </c>
      <c r="J1221" s="718">
        <f>J1215-J882</f>
        <v>0</v>
      </c>
      <c r="K1221" s="718">
        <f t="shared" si="588"/>
        <v>0</v>
      </c>
      <c r="L1221" s="718">
        <f t="shared" si="588"/>
        <v>0</v>
      </c>
      <c r="M1221" s="718">
        <f t="shared" si="588"/>
        <v>0</v>
      </c>
      <c r="N1221" s="718">
        <f t="shared" si="588"/>
        <v>0</v>
      </c>
      <c r="O1221" s="718">
        <f t="shared" si="588"/>
        <v>0</v>
      </c>
      <c r="P1221" s="718">
        <f t="shared" si="588"/>
        <v>0</v>
      </c>
      <c r="Q1221" s="718">
        <f t="shared" si="588"/>
        <v>0</v>
      </c>
      <c r="R1221" s="718">
        <f t="shared" si="588"/>
        <v>0</v>
      </c>
      <c r="S1221" s="718">
        <f t="shared" si="588"/>
        <v>0</v>
      </c>
      <c r="T1221" s="718">
        <f t="shared" si="588"/>
        <v>0</v>
      </c>
      <c r="U1221" s="718">
        <f t="shared" si="588"/>
        <v>0</v>
      </c>
      <c r="V1221" s="718">
        <f t="shared" si="588"/>
        <v>0</v>
      </c>
    </row>
    <row r="1222" spans="1:22" s="533" customFormat="1" ht="12.6" customHeight="1" x14ac:dyDescent="0.25">
      <c r="A1222" s="532"/>
      <c r="B1222" s="532"/>
      <c r="C1222" s="532"/>
      <c r="D1222" s="532"/>
      <c r="E1222" s="718">
        <f t="shared" ref="E1222:V1222" si="589">E1216-E888</f>
        <v>-2517527.75</v>
      </c>
      <c r="F1222" s="718">
        <f t="shared" si="589"/>
        <v>64930.369999997318</v>
      </c>
      <c r="G1222" s="718">
        <f t="shared" si="589"/>
        <v>0</v>
      </c>
      <c r="H1222" s="718">
        <f>H1216-H888</f>
        <v>0</v>
      </c>
      <c r="I1222" s="718">
        <f t="shared" si="589"/>
        <v>0</v>
      </c>
      <c r="J1222" s="718">
        <f>J1216-J888</f>
        <v>0</v>
      </c>
      <c r="K1222" s="718">
        <f t="shared" si="589"/>
        <v>0</v>
      </c>
      <c r="L1222" s="718">
        <f t="shared" si="589"/>
        <v>0</v>
      </c>
      <c r="M1222" s="718">
        <f t="shared" si="589"/>
        <v>0</v>
      </c>
      <c r="N1222" s="718">
        <f t="shared" si="589"/>
        <v>0</v>
      </c>
      <c r="O1222" s="718">
        <f t="shared" si="589"/>
        <v>0</v>
      </c>
      <c r="P1222" s="718">
        <f t="shared" si="589"/>
        <v>0</v>
      </c>
      <c r="Q1222" s="718">
        <f t="shared" si="589"/>
        <v>0</v>
      </c>
      <c r="R1222" s="718">
        <f t="shared" si="589"/>
        <v>0</v>
      </c>
      <c r="S1222" s="718">
        <f t="shared" si="589"/>
        <v>0</v>
      </c>
      <c r="T1222" s="718">
        <f t="shared" si="589"/>
        <v>-10943.629999965429</v>
      </c>
      <c r="U1222" s="718">
        <f t="shared" si="589"/>
        <v>0</v>
      </c>
      <c r="V1222" s="718">
        <f t="shared" si="589"/>
        <v>-10943.629999965429</v>
      </c>
    </row>
  </sheetData>
  <mergeCells count="4">
    <mergeCell ref="A6:D9"/>
    <mergeCell ref="A10:D10"/>
    <mergeCell ref="A1177:B1177"/>
    <mergeCell ref="A1178:B1178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CABAC Fiduciary 2025</vt:lpstr>
      <vt:lpstr>CABAC Non-Fid 2025</vt:lpstr>
      <vt:lpstr>IGF Balances Detailed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jnavarro</dc:creator>
  <cp:lastModifiedBy>Jeyem.humbid@outlook.com</cp:lastModifiedBy>
  <cp:lastPrinted>2025-11-11T08:30:09Z</cp:lastPrinted>
  <dcterms:created xsi:type="dcterms:W3CDTF">2014-03-25T08:00:18Z</dcterms:created>
  <dcterms:modified xsi:type="dcterms:W3CDTF">2025-12-05T03:51:37Z</dcterms:modified>
</cp:coreProperties>
</file>