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esktop\OFFICES UTILIZATION\"/>
    </mc:Choice>
  </mc:AlternateContent>
  <xr:revisionPtr revIDLastSave="0" documentId="13_ncr:1_{79D92C24-D7EF-40B6-8DBD-3304CC0C156C}" xr6:coauthVersionLast="47" xr6:coauthVersionMax="47" xr10:uidLastSave="{00000000-0000-0000-0000-000000000000}"/>
  <bookViews>
    <workbookView xWindow="-120" yWindow="-120" windowWidth="29040" windowHeight="15720" firstSheet="3" activeTab="7" xr2:uid="{325D2C2C-BD5A-4CD3-B7A8-BC4B848D3E87}"/>
  </bookViews>
  <sheets>
    <sheet name="Campus Director" sheetId="1" r:id="rId1"/>
    <sheet name="Admin" sheetId="2" r:id="rId2"/>
    <sheet name="Admin II" sheetId="35" r:id="rId3"/>
    <sheet name="BM Department" sheetId="5" r:id="rId4"/>
    <sheet name="CS Department" sheetId="6" r:id="rId5"/>
    <sheet name="Industrial Tech Dept." sheetId="8" r:id="rId6"/>
    <sheet name="Engineering Dept." sheetId="9" r:id="rId7"/>
    <sheet name="Teacher Education Dept." sheetId="10" r:id="rId8"/>
    <sheet name="ICT Office" sheetId="7" r:id="rId9"/>
    <sheet name=" Extension Services" sheetId="12" r:id="rId10"/>
    <sheet name="Quality Assurance" sheetId="11" r:id="rId11"/>
    <sheet name="Accounting Office" sheetId="13" r:id="rId12"/>
    <sheet name="Research" sheetId="3" r:id="rId13"/>
    <sheet name="Medical Dental" sheetId="30" r:id="rId14"/>
    <sheet name="Cashier and Disbursing Office" sheetId="14" r:id="rId15"/>
    <sheet name="Budget Office" sheetId="15" r:id="rId16"/>
    <sheet name="Records" sheetId="34" r:id="rId17"/>
    <sheet name="BAC Procurement" sheetId="16" r:id="rId18"/>
    <sheet name="Human Resource Dev't. Office" sheetId="17" r:id="rId19"/>
    <sheet name=" PMO Supply Office" sheetId="18" r:id="rId20"/>
    <sheet name="Registrar" sheetId="19" r:id="rId21"/>
    <sheet name="MESO" sheetId="20" r:id="rId22"/>
    <sheet name="IPDO" sheetId="21" r:id="rId23"/>
    <sheet name=" IGP Production" sheetId="22" r:id="rId24"/>
    <sheet name="Sports Dev't Office" sheetId="23" r:id="rId25"/>
    <sheet name="Culture and the Arts" sheetId="25" r:id="rId26"/>
    <sheet name="SCUAA" sheetId="24" r:id="rId27"/>
    <sheet name="Library" sheetId="26" r:id="rId28"/>
    <sheet name="NSTP" sheetId="27" r:id="rId29"/>
    <sheet name="SASO" sheetId="28" r:id="rId30"/>
    <sheet name="Guidance" sheetId="29" r:id="rId31"/>
    <sheet name="SSG" sheetId="31" r:id="rId32"/>
    <sheet name="SPO" sheetId="32" r:id="rId33"/>
    <sheet name="GAD" sheetId="33" r:id="rId3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0" i="10" l="1"/>
  <c r="O3" i="22"/>
  <c r="P3" i="7"/>
  <c r="V15" i="8"/>
  <c r="W7" i="10"/>
  <c r="P6" i="15"/>
  <c r="P4" i="32"/>
  <c r="O4" i="3"/>
  <c r="O10" i="3"/>
  <c r="P4" i="34"/>
  <c r="AA9" i="10"/>
  <c r="AA10" i="10"/>
  <c r="AA11" i="10"/>
  <c r="O7" i="3"/>
  <c r="P4" i="15"/>
  <c r="P4" i="12"/>
  <c r="P6" i="25"/>
  <c r="O6" i="3"/>
  <c r="P4" i="30"/>
  <c r="O4" i="14"/>
  <c r="O7" i="29"/>
  <c r="O4" i="1"/>
  <c r="W19" i="10"/>
  <c r="V25" i="8"/>
  <c r="O6" i="27"/>
  <c r="O5" i="14" l="1"/>
  <c r="V7" i="8"/>
  <c r="O4" i="16" l="1"/>
  <c r="O6" i="28"/>
  <c r="O10" i="29"/>
  <c r="O8" i="26"/>
  <c r="O16" i="2"/>
  <c r="O8" i="3"/>
  <c r="O6" i="19"/>
  <c r="O4" i="28"/>
  <c r="O3" i="28"/>
  <c r="M9" i="10" l="1"/>
  <c r="M10" i="10"/>
  <c r="L5" i="9"/>
  <c r="L6" i="9"/>
  <c r="L7" i="9"/>
  <c r="L8" i="9"/>
  <c r="L9" i="9"/>
  <c r="L10" i="9"/>
  <c r="L11" i="9"/>
  <c r="L12" i="9"/>
  <c r="L13" i="9"/>
  <c r="L14" i="9"/>
  <c r="L15" i="9"/>
  <c r="L16" i="9"/>
  <c r="L17" i="9"/>
  <c r="L18" i="9"/>
  <c r="L19" i="9"/>
  <c r="L20" i="9"/>
  <c r="L21" i="9"/>
  <c r="L22" i="9"/>
  <c r="L23" i="9"/>
  <c r="L4" i="9"/>
  <c r="K4" i="9"/>
  <c r="L5" i="8"/>
  <c r="L6" i="8"/>
  <c r="L8" i="8"/>
  <c r="L9" i="8"/>
  <c r="L10" i="8"/>
  <c r="L11" i="8"/>
  <c r="L12" i="8"/>
  <c r="L13" i="8"/>
  <c r="L14" i="8"/>
  <c r="L16" i="8"/>
  <c r="L17" i="8"/>
  <c r="L18" i="8"/>
  <c r="L19" i="8"/>
  <c r="L20" i="8"/>
  <c r="L21" i="8"/>
  <c r="L22" i="8"/>
  <c r="L23" i="8"/>
  <c r="L24" i="8"/>
  <c r="L4" i="8"/>
  <c r="L5" i="6"/>
  <c r="L6" i="6"/>
  <c r="L7" i="6"/>
  <c r="L8" i="6"/>
  <c r="L9" i="6"/>
  <c r="L10" i="6"/>
  <c r="L11" i="6"/>
  <c r="L12" i="6"/>
  <c r="L13" i="6"/>
  <c r="L14" i="6"/>
  <c r="L15" i="6"/>
  <c r="L16" i="6"/>
  <c r="L17" i="6"/>
  <c r="L18" i="6"/>
  <c r="L19" i="6"/>
  <c r="L4" i="6"/>
  <c r="L24" i="5"/>
  <c r="L5" i="5"/>
  <c r="L6" i="5"/>
  <c r="L7" i="5"/>
  <c r="L8" i="5"/>
  <c r="L9" i="5"/>
  <c r="L10" i="5"/>
  <c r="L11" i="5"/>
  <c r="L12" i="5"/>
  <c r="L13" i="5"/>
  <c r="L14" i="5"/>
  <c r="L15" i="5"/>
  <c r="L16" i="5"/>
  <c r="L17" i="5"/>
  <c r="L18" i="5"/>
  <c r="L19" i="5"/>
  <c r="L20" i="5"/>
  <c r="L21" i="5"/>
  <c r="L22" i="5"/>
  <c r="L23" i="5"/>
  <c r="L4" i="5"/>
  <c r="I24" i="9"/>
  <c r="I26" i="8"/>
  <c r="I20" i="6"/>
  <c r="I24" i="5"/>
  <c r="H24" i="5"/>
  <c r="H20" i="6"/>
  <c r="H26" i="8"/>
  <c r="H24" i="9"/>
  <c r="I20" i="10"/>
  <c r="H20" i="10"/>
  <c r="G24" i="9"/>
  <c r="G26" i="8"/>
  <c r="G20" i="6"/>
  <c r="G24" i="5"/>
  <c r="F24" i="5" l="1"/>
  <c r="F20" i="6"/>
  <c r="F26" i="8"/>
  <c r="F24" i="9"/>
  <c r="G20" i="10"/>
  <c r="D20" i="10"/>
  <c r="E24" i="9"/>
  <c r="C20" i="6"/>
  <c r="E24" i="5"/>
  <c r="E20" i="6"/>
  <c r="D24" i="5" l="1"/>
  <c r="C24" i="5" l="1"/>
  <c r="D20" i="6"/>
  <c r="F20" i="10"/>
  <c r="E20" i="10"/>
  <c r="D24" i="9"/>
  <c r="C24" i="9"/>
  <c r="D26" i="8"/>
  <c r="E26" i="8"/>
  <c r="C26" i="8"/>
  <c r="O4" i="2"/>
  <c r="N4" i="2"/>
  <c r="P9" i="25"/>
  <c r="P5" i="30"/>
  <c r="O6" i="20"/>
  <c r="O10" i="1"/>
  <c r="V16" i="9"/>
  <c r="O8" i="21"/>
  <c r="V17" i="6"/>
  <c r="O7" i="16"/>
  <c r="P10" i="12"/>
  <c r="V22" i="8"/>
  <c r="P8" i="13"/>
  <c r="P8" i="11"/>
  <c r="O7" i="14"/>
  <c r="N8" i="17"/>
  <c r="P4" i="13"/>
  <c r="P3" i="15"/>
  <c r="V17" i="9"/>
  <c r="O4" i="22"/>
  <c r="W4" i="10" l="1"/>
  <c r="O9" i="16" l="1"/>
  <c r="O3" i="26"/>
  <c r="O4" i="26"/>
  <c r="V8" i="9"/>
  <c r="O7" i="28" l="1"/>
  <c r="K11" i="2" l="1"/>
  <c r="O9" i="25" l="1"/>
  <c r="S7" i="20" l="1"/>
  <c r="N6" i="3"/>
  <c r="N7" i="3"/>
  <c r="N7" i="20"/>
  <c r="O4" i="25"/>
  <c r="O3" i="25"/>
  <c r="N7" i="23"/>
  <c r="N9" i="23"/>
  <c r="O9" i="12"/>
  <c r="E4" i="32"/>
  <c r="E5" i="32"/>
  <c r="E6" i="32"/>
  <c r="E7" i="32"/>
  <c r="E8" i="32"/>
  <c r="E9" i="32"/>
  <c r="E10" i="32"/>
  <c r="E3" i="32"/>
  <c r="F10" i="31"/>
  <c r="E10" i="31"/>
  <c r="G11" i="27"/>
  <c r="H11" i="27"/>
  <c r="J11" i="27"/>
  <c r="F11" i="27"/>
  <c r="D6" i="22" l="1"/>
  <c r="E6" i="22" s="1"/>
  <c r="E4" i="22"/>
  <c r="D4" i="22"/>
  <c r="E4" i="21"/>
  <c r="D8" i="21"/>
  <c r="E8" i="21" s="1"/>
  <c r="K7" i="19"/>
  <c r="J7" i="19"/>
  <c r="H7" i="19"/>
  <c r="I7" i="19"/>
  <c r="M7" i="19"/>
  <c r="N7" i="19"/>
  <c r="O7" i="19"/>
  <c r="P7" i="19"/>
  <c r="Q7" i="19"/>
  <c r="L7" i="19"/>
  <c r="G7" i="19"/>
  <c r="F7" i="19"/>
  <c r="D4" i="18"/>
  <c r="D5" i="18"/>
  <c r="D6" i="18"/>
  <c r="D7" i="18"/>
  <c r="D8" i="18"/>
  <c r="D9" i="18"/>
  <c r="D3" i="18"/>
  <c r="C4" i="18"/>
  <c r="C5" i="18"/>
  <c r="C6" i="18"/>
  <c r="C7" i="18"/>
  <c r="C8" i="18"/>
  <c r="C9" i="18"/>
  <c r="C3" i="18"/>
  <c r="D6" i="16"/>
  <c r="E6" i="16" s="1"/>
  <c r="D8" i="16"/>
  <c r="E8" i="16" s="1"/>
  <c r="F8" i="11"/>
  <c r="F4" i="11"/>
  <c r="F5" i="11"/>
  <c r="E8" i="11"/>
  <c r="E4" i="11"/>
  <c r="E5" i="11"/>
  <c r="Z12" i="8"/>
  <c r="U13" i="8"/>
  <c r="K13" i="8" s="1"/>
  <c r="D10" i="1"/>
  <c r="E10" i="1" s="1"/>
  <c r="N4" i="1"/>
  <c r="O4" i="34"/>
  <c r="O4" i="13"/>
  <c r="O3" i="15"/>
  <c r="M4" i="17"/>
  <c r="M3" i="17"/>
  <c r="N9" i="16"/>
  <c r="D9" i="16" s="1"/>
  <c r="E9" i="16" s="1"/>
  <c r="N4" i="14"/>
  <c r="N5" i="22"/>
  <c r="N4" i="22"/>
  <c r="O3" i="7"/>
  <c r="M5" i="18"/>
  <c r="M6" i="17"/>
  <c r="S24" i="5"/>
  <c r="T24" i="5"/>
  <c r="U24" i="5"/>
  <c r="V24" i="5"/>
  <c r="W24" i="5"/>
  <c r="X24" i="5"/>
  <c r="K5" i="5"/>
  <c r="K6" i="5"/>
  <c r="K7" i="6"/>
  <c r="L11" i="10"/>
  <c r="M11" i="10" s="1"/>
  <c r="L14" i="10"/>
  <c r="M14" i="10" s="1"/>
  <c r="L17" i="10"/>
  <c r="M17" i="10" s="1"/>
  <c r="Z13" i="8" l="1"/>
  <c r="S7" i="19"/>
  <c r="O4" i="12"/>
  <c r="N5" i="14"/>
  <c r="N6" i="20" l="1"/>
  <c r="N10" i="1"/>
  <c r="N16" i="2"/>
  <c r="U16" i="9"/>
  <c r="N6" i="28"/>
  <c r="N8" i="21"/>
  <c r="U17" i="6"/>
  <c r="N8" i="23"/>
  <c r="N6" i="22"/>
  <c r="N7" i="16"/>
  <c r="V19" i="10"/>
  <c r="N6" i="19"/>
  <c r="N8" i="3"/>
  <c r="O10" i="12"/>
  <c r="N8" i="26"/>
  <c r="O8" i="13"/>
  <c r="O8" i="11"/>
  <c r="O13" i="30"/>
  <c r="N7" i="14"/>
  <c r="M8" i="17"/>
  <c r="M6" i="20" l="1"/>
  <c r="M10" i="1"/>
  <c r="M16" i="2"/>
  <c r="T16" i="9"/>
  <c r="M6" i="28"/>
  <c r="M8" i="21"/>
  <c r="T17" i="6"/>
  <c r="M8" i="23"/>
  <c r="M6" i="22"/>
  <c r="M7" i="16"/>
  <c r="U19" i="10"/>
  <c r="M6" i="19"/>
  <c r="M8" i="3"/>
  <c r="N10" i="12"/>
  <c r="M10" i="29"/>
  <c r="M11" i="29" s="1"/>
  <c r="M8" i="26"/>
  <c r="T22" i="8"/>
  <c r="N8" i="13"/>
  <c r="N8" i="11"/>
  <c r="N13" i="30"/>
  <c r="N14" i="30" s="1"/>
  <c r="M7" i="14"/>
  <c r="L8" i="17"/>
  <c r="M10" i="3"/>
  <c r="L6" i="20"/>
  <c r="L10" i="1"/>
  <c r="L16" i="2"/>
  <c r="S16" i="9"/>
  <c r="L6" i="28"/>
  <c r="L8" i="21"/>
  <c r="S17" i="6"/>
  <c r="L8" i="23"/>
  <c r="L6" i="22"/>
  <c r="L7" i="16"/>
  <c r="T19" i="10"/>
  <c r="L6" i="19"/>
  <c r="M10" i="12"/>
  <c r="L10" i="29"/>
  <c r="L8" i="26"/>
  <c r="S22" i="8"/>
  <c r="M8" i="13"/>
  <c r="M8" i="11"/>
  <c r="O14" i="30"/>
  <c r="P14" i="30"/>
  <c r="Q14" i="30"/>
  <c r="R14" i="30"/>
  <c r="M13" i="30"/>
  <c r="L8" i="3"/>
  <c r="L7" i="14"/>
  <c r="K8" i="17"/>
  <c r="W20" i="10"/>
  <c r="X20" i="10"/>
  <c r="Y20" i="10"/>
  <c r="O11" i="29"/>
  <c r="P11" i="29"/>
  <c r="Q11" i="29"/>
  <c r="L11" i="29"/>
  <c r="F11" i="29"/>
  <c r="K7" i="8"/>
  <c r="L7" i="8" s="1"/>
  <c r="K8" i="8"/>
  <c r="K12" i="8"/>
  <c r="K18" i="8"/>
  <c r="K19" i="8"/>
  <c r="K20" i="8"/>
  <c r="K23" i="8"/>
  <c r="K4" i="8"/>
  <c r="J26" i="8"/>
  <c r="Z23" i="8"/>
  <c r="K6" i="20"/>
  <c r="K10" i="1"/>
  <c r="K16" i="2"/>
  <c r="R16" i="9"/>
  <c r="K6" i="28"/>
  <c r="K8" i="21"/>
  <c r="R17" i="6"/>
  <c r="R23" i="5"/>
  <c r="R24" i="5" s="1"/>
  <c r="K6" i="22"/>
  <c r="K7" i="16"/>
  <c r="S19" i="10"/>
  <c r="K6" i="19"/>
  <c r="L10" i="12"/>
  <c r="K10" i="29"/>
  <c r="K11" i="29" s="1"/>
  <c r="K8" i="26"/>
  <c r="L8" i="13"/>
  <c r="L8" i="11"/>
  <c r="L13" i="30"/>
  <c r="K8" i="3"/>
  <c r="K7" i="14"/>
  <c r="J8" i="17"/>
  <c r="J6" i="20"/>
  <c r="J10" i="1"/>
  <c r="J16" i="2"/>
  <c r="Q16" i="9"/>
  <c r="J8" i="28"/>
  <c r="J6" i="28"/>
  <c r="J8" i="21"/>
  <c r="Q17" i="6"/>
  <c r="Q23" i="5"/>
  <c r="Q24" i="5" s="1"/>
  <c r="J6" i="22"/>
  <c r="J7" i="16"/>
  <c r="R19" i="10"/>
  <c r="K10" i="12"/>
  <c r="J6" i="19"/>
  <c r="J10" i="29"/>
  <c r="J8" i="26"/>
  <c r="K8" i="13"/>
  <c r="K8" i="11"/>
  <c r="K13" i="30"/>
  <c r="J8" i="3"/>
  <c r="J7" i="14"/>
  <c r="I8" i="17"/>
  <c r="G7" i="18"/>
  <c r="H6" i="20"/>
  <c r="Q22" i="8"/>
  <c r="I6" i="20"/>
  <c r="I10" i="1"/>
  <c r="I16" i="2"/>
  <c r="P16" i="9"/>
  <c r="I6" i="28"/>
  <c r="I8" i="21"/>
  <c r="P17" i="6"/>
  <c r="P23" i="5"/>
  <c r="P24" i="5" s="1"/>
  <c r="I6" i="22"/>
  <c r="I7" i="16"/>
  <c r="Q19" i="10"/>
  <c r="I6" i="19"/>
  <c r="J10" i="12"/>
  <c r="I10" i="29"/>
  <c r="I8" i="26"/>
  <c r="P22" i="8"/>
  <c r="J8" i="13"/>
  <c r="J8" i="11"/>
  <c r="J13" i="30"/>
  <c r="I8" i="3"/>
  <c r="I7" i="14"/>
  <c r="H8" i="17"/>
  <c r="H7" i="18"/>
  <c r="H10" i="1"/>
  <c r="H16" i="2"/>
  <c r="O16" i="9"/>
  <c r="H6" i="28"/>
  <c r="H8" i="21"/>
  <c r="O17" i="6"/>
  <c r="O23" i="5"/>
  <c r="O24" i="5" s="1"/>
  <c r="H6" i="22"/>
  <c r="H7" i="16"/>
  <c r="P19" i="10"/>
  <c r="H6" i="19"/>
  <c r="I10" i="12"/>
  <c r="H10" i="29"/>
  <c r="H11" i="29" s="1"/>
  <c r="H8" i="26"/>
  <c r="O22" i="8"/>
  <c r="I8" i="13"/>
  <c r="I8" i="11"/>
  <c r="I13" i="30"/>
  <c r="H8" i="3"/>
  <c r="H7" i="14"/>
  <c r="G8" i="17"/>
  <c r="H8" i="23"/>
  <c r="H8" i="13"/>
  <c r="G7" i="14"/>
  <c r="G6" i="20"/>
  <c r="G10" i="1"/>
  <c r="G16" i="2"/>
  <c r="N16" i="9"/>
  <c r="G8" i="21"/>
  <c r="G6" i="28"/>
  <c r="F7" i="18"/>
  <c r="N17" i="6"/>
  <c r="N23" i="5"/>
  <c r="N24" i="5" s="1"/>
  <c r="G8" i="23"/>
  <c r="G6" i="22"/>
  <c r="G7" i="16"/>
  <c r="O19" i="10"/>
  <c r="G6" i="19"/>
  <c r="H10" i="12"/>
  <c r="G10" i="29"/>
  <c r="G11" i="29" s="1"/>
  <c r="G8" i="26"/>
  <c r="N22" i="8"/>
  <c r="H8" i="11"/>
  <c r="H13" i="30"/>
  <c r="G8" i="3"/>
  <c r="F8" i="17"/>
  <c r="G13" i="30"/>
  <c r="F6" i="20"/>
  <c r="F10" i="1"/>
  <c r="F16" i="2"/>
  <c r="M16" i="9"/>
  <c r="F6" i="28"/>
  <c r="F8" i="21"/>
  <c r="E7" i="18"/>
  <c r="M17" i="6"/>
  <c r="M23" i="5"/>
  <c r="M24" i="5" s="1"/>
  <c r="F6" i="22"/>
  <c r="F7" i="16"/>
  <c r="N19" i="10"/>
  <c r="N20" i="10" s="1"/>
  <c r="F6" i="19"/>
  <c r="G10" i="12"/>
  <c r="F10" i="29"/>
  <c r="F8" i="23"/>
  <c r="F8" i="26"/>
  <c r="G8" i="13"/>
  <c r="G8" i="11"/>
  <c r="F8" i="3"/>
  <c r="F7" i="14"/>
  <c r="E8" i="17"/>
  <c r="M22" i="8"/>
  <c r="K17" i="6" l="1"/>
  <c r="D7" i="16"/>
  <c r="E7" i="16" s="1"/>
  <c r="K22" i="8"/>
  <c r="Z22" i="8"/>
  <c r="L19" i="10"/>
  <c r="M19" i="10" s="1"/>
  <c r="D6" i="20"/>
  <c r="E6" i="20" s="1"/>
  <c r="E10" i="12"/>
  <c r="F10" i="12" s="1"/>
  <c r="C8" i="17"/>
  <c r="D8" i="17" s="1"/>
  <c r="S6" i="20"/>
  <c r="S8" i="21"/>
  <c r="S7" i="16"/>
  <c r="S7" i="14"/>
  <c r="R8" i="17"/>
  <c r="S10" i="1"/>
  <c r="S6" i="22"/>
  <c r="R7" i="18"/>
  <c r="Z17" i="6"/>
  <c r="T10" i="12" l="1"/>
  <c r="T8" i="11"/>
  <c r="S8" i="3"/>
  <c r="U17" i="9" l="1"/>
  <c r="O6" i="25"/>
  <c r="N4" i="3"/>
  <c r="N3" i="3"/>
  <c r="U5" i="9" l="1"/>
  <c r="S4" i="22" l="1"/>
  <c r="H20" i="27"/>
  <c r="M4" i="18"/>
  <c r="V12" i="10"/>
  <c r="V20" i="10" s="1"/>
  <c r="O3" i="31"/>
  <c r="N7" i="29"/>
  <c r="N11" i="29" s="1"/>
  <c r="I23" i="20"/>
  <c r="N6" i="27"/>
  <c r="T5" i="8" l="1"/>
  <c r="U5" i="10"/>
  <c r="T5" i="9"/>
  <c r="S5" i="6"/>
  <c r="K5" i="6" s="1"/>
  <c r="S5" i="8"/>
  <c r="T5" i="10"/>
  <c r="S5" i="9"/>
  <c r="P5" i="10"/>
  <c r="T10" i="32" l="1"/>
  <c r="Z6" i="5"/>
  <c r="S4" i="3"/>
  <c r="T6" i="8"/>
  <c r="T6" i="9"/>
  <c r="K6" i="9" s="1"/>
  <c r="U6" i="10"/>
  <c r="N6" i="6"/>
  <c r="K6" i="6" s="1"/>
  <c r="O6" i="10"/>
  <c r="N6" i="8"/>
  <c r="K6" i="8" s="1"/>
  <c r="N5" i="8"/>
  <c r="M5" i="8"/>
  <c r="Z6" i="6" l="1"/>
  <c r="Z6" i="9"/>
  <c r="L6" i="10"/>
  <c r="M6" i="10" s="1"/>
  <c r="Z6" i="8"/>
  <c r="AA6" i="10"/>
  <c r="U5" i="8" l="1"/>
  <c r="S4" i="2"/>
  <c r="T25" i="8"/>
  <c r="U7" i="10" l="1"/>
  <c r="M15" i="2"/>
  <c r="N9" i="25"/>
  <c r="N6" i="25"/>
  <c r="N15" i="2"/>
  <c r="L4" i="1" l="1"/>
  <c r="J38" i="11" l="1"/>
  <c r="L7" i="3"/>
  <c r="N3" i="7"/>
  <c r="N4" i="34"/>
  <c r="N4" i="12"/>
  <c r="U16" i="10"/>
  <c r="M4" i="34"/>
  <c r="T17" i="9"/>
  <c r="T12" i="6"/>
  <c r="M4" i="1"/>
  <c r="M5" i="16"/>
  <c r="D5" i="16" s="1"/>
  <c r="E5" i="16" s="1"/>
  <c r="M4" i="16"/>
  <c r="M6" i="1"/>
  <c r="L11" i="17"/>
  <c r="N4" i="13"/>
  <c r="T21" i="8"/>
  <c r="N9" i="12"/>
  <c r="T4" i="9"/>
  <c r="M7" i="3"/>
  <c r="M14" i="2"/>
  <c r="M11" i="26"/>
  <c r="M10" i="26"/>
  <c r="M3" i="3"/>
  <c r="M9" i="27"/>
  <c r="M7" i="23"/>
  <c r="U15" i="10"/>
  <c r="T4" i="10"/>
  <c r="T7" i="10"/>
  <c r="S15" i="8"/>
  <c r="L4" i="23"/>
  <c r="L6" i="3"/>
  <c r="S6" i="3" s="1"/>
  <c r="M4" i="11"/>
  <c r="T4" i="11" s="1"/>
  <c r="M5" i="11"/>
  <c r="T5" i="11" s="1"/>
  <c r="S7" i="9"/>
  <c r="S8" i="9"/>
  <c r="K6" i="17"/>
  <c r="S10" i="8"/>
  <c r="L5" i="2"/>
  <c r="M4" i="12"/>
  <c r="M3" i="7"/>
  <c r="L6" i="27"/>
  <c r="L5" i="27"/>
  <c r="S17" i="8"/>
  <c r="M3" i="30"/>
  <c r="M14" i="30" s="1"/>
  <c r="S9" i="8"/>
  <c r="L3" i="28"/>
  <c r="L3" i="27"/>
  <c r="L6" i="1"/>
  <c r="L7" i="28"/>
  <c r="M5" i="15"/>
  <c r="M4" i="15"/>
  <c r="K5" i="18"/>
  <c r="K4" i="18"/>
  <c r="R4" i="18" s="1"/>
  <c r="L6" i="2"/>
  <c r="L6" i="21"/>
  <c r="L5" i="21"/>
  <c r="M4" i="13"/>
  <c r="Z7" i="6"/>
  <c r="L3" i="7"/>
  <c r="S4" i="29"/>
  <c r="S8" i="29"/>
  <c r="S9" i="29"/>
  <c r="S10" i="29"/>
  <c r="S4" i="24"/>
  <c r="T6" i="25"/>
  <c r="T7" i="25"/>
  <c r="T8" i="25"/>
  <c r="S4" i="20"/>
  <c r="S8" i="20"/>
  <c r="S9" i="20"/>
  <c r="S10" i="20"/>
  <c r="T4" i="7"/>
  <c r="Z5" i="5"/>
  <c r="Z7" i="5"/>
  <c r="Z8" i="5"/>
  <c r="Z12" i="5"/>
  <c r="Z14" i="5"/>
  <c r="Z15" i="5"/>
  <c r="Z17" i="5"/>
  <c r="Z18" i="5"/>
  <c r="Z19" i="5"/>
  <c r="Z20" i="5"/>
  <c r="Z22" i="5"/>
  <c r="Z23" i="5"/>
  <c r="S7" i="1"/>
  <c r="Z5" i="6"/>
  <c r="Z7" i="8"/>
  <c r="Z8" i="8"/>
  <c r="Z18" i="8"/>
  <c r="Z19" i="8"/>
  <c r="Z20" i="8"/>
  <c r="R15" i="8"/>
  <c r="K5" i="14"/>
  <c r="S5" i="10"/>
  <c r="R5" i="9"/>
  <c r="K7" i="9" l="1"/>
  <c r="Z7" i="9"/>
  <c r="S9" i="27"/>
  <c r="D9" i="27"/>
  <c r="E9" i="27" s="1"/>
  <c r="U20" i="10"/>
  <c r="T20" i="10"/>
  <c r="AA15" i="10"/>
  <c r="L15" i="10"/>
  <c r="M15" i="10" s="1"/>
  <c r="Z10" i="8"/>
  <c r="K10" i="8"/>
  <c r="R5" i="8"/>
  <c r="S7" i="2"/>
  <c r="S8" i="2"/>
  <c r="S9" i="2"/>
  <c r="S10" i="2"/>
  <c r="S12" i="2"/>
  <c r="S13" i="2"/>
  <c r="S16" i="2"/>
  <c r="S17" i="2"/>
  <c r="S18" i="2"/>
  <c r="S19" i="2"/>
  <c r="S20" i="2"/>
  <c r="S21" i="2"/>
  <c r="S22" i="2"/>
  <c r="R19" i="9"/>
  <c r="L4" i="30"/>
  <c r="L3" i="15"/>
  <c r="T5" i="15"/>
  <c r="T6" i="15"/>
  <c r="T7" i="15"/>
  <c r="T8" i="15"/>
  <c r="T6" i="13"/>
  <c r="T7" i="13"/>
  <c r="T8" i="13"/>
  <c r="T9" i="13"/>
  <c r="T10" i="13"/>
  <c r="T11" i="13"/>
  <c r="T12" i="13"/>
  <c r="T13" i="13"/>
  <c r="L4" i="13"/>
  <c r="S7" i="10"/>
  <c r="K6" i="21"/>
  <c r="K5" i="2"/>
  <c r="K7" i="3"/>
  <c r="R9" i="8"/>
  <c r="J6" i="18"/>
  <c r="R6" i="18" s="1"/>
  <c r="I5" i="18"/>
  <c r="R8" i="18"/>
  <c r="R23" i="9"/>
  <c r="L4" i="34"/>
  <c r="R8" i="9"/>
  <c r="S6" i="14"/>
  <c r="L6" i="30"/>
  <c r="T6" i="34"/>
  <c r="T7" i="34"/>
  <c r="L5" i="34"/>
  <c r="S7" i="27"/>
  <c r="S8" i="27"/>
  <c r="K6" i="27"/>
  <c r="S6" i="27" s="1"/>
  <c r="K5" i="27"/>
  <c r="S5" i="27" s="1"/>
  <c r="J6" i="17"/>
  <c r="L4" i="12"/>
  <c r="R12" i="6"/>
  <c r="O12" i="6"/>
  <c r="L3" i="13"/>
  <c r="K3" i="2"/>
  <c r="R24" i="8"/>
  <c r="K4" i="19"/>
  <c r="S8" i="10"/>
  <c r="L8" i="10" s="1"/>
  <c r="M8" i="10" s="1"/>
  <c r="K10" i="3"/>
  <c r="K7" i="28"/>
  <c r="I24" i="13"/>
  <c r="L14" i="30" l="1"/>
  <c r="S20" i="10"/>
  <c r="Z24" i="8"/>
  <c r="K24" i="8"/>
  <c r="Z9" i="8"/>
  <c r="K9" i="8"/>
  <c r="S11" i="2"/>
  <c r="S5" i="3" l="1"/>
  <c r="S9" i="3"/>
  <c r="T13" i="30"/>
  <c r="I21" i="22" l="1"/>
  <c r="I4" i="12"/>
  <c r="T3" i="12"/>
  <c r="T5" i="12"/>
  <c r="T6" i="12"/>
  <c r="H27" i="31"/>
  <c r="P16" i="10"/>
  <c r="I32" i="13"/>
  <c r="O62" i="10"/>
  <c r="O60" i="10"/>
  <c r="Q8" i="9"/>
  <c r="H35" i="17"/>
  <c r="I35" i="21" l="1"/>
  <c r="H26" i="25"/>
  <c r="H51" i="25"/>
  <c r="H33" i="26"/>
  <c r="H15" i="33"/>
  <c r="H51" i="30"/>
  <c r="K40" i="29"/>
  <c r="K31" i="29"/>
  <c r="I52" i="28"/>
  <c r="I42" i="23"/>
  <c r="H36" i="18"/>
  <c r="H48" i="17"/>
  <c r="J43" i="16"/>
  <c r="I43" i="15"/>
  <c r="I43" i="14"/>
  <c r="H61" i="12"/>
  <c r="O90" i="10"/>
  <c r="N70" i="9"/>
  <c r="P77" i="8"/>
  <c r="P54" i="6"/>
  <c r="K75" i="3"/>
  <c r="H69" i="2"/>
  <c r="I26" i="23"/>
  <c r="H24" i="11"/>
  <c r="S5" i="19"/>
  <c r="S6" i="19"/>
  <c r="I26" i="19"/>
  <c r="O28" i="10"/>
  <c r="P32" i="8"/>
  <c r="P29" i="6"/>
  <c r="P5" i="8" l="1"/>
  <c r="Q5" i="10"/>
  <c r="P5" i="9"/>
  <c r="O5" i="8"/>
  <c r="O5" i="9"/>
  <c r="Q5" i="9"/>
  <c r="Q5" i="8"/>
  <c r="R5" i="10"/>
  <c r="K3" i="7"/>
  <c r="J7" i="23"/>
  <c r="Q10" i="6"/>
  <c r="K7" i="12"/>
  <c r="K9" i="12"/>
  <c r="J10" i="26"/>
  <c r="D10" i="26" s="1"/>
  <c r="E10" i="26" s="1"/>
  <c r="J4" i="19"/>
  <c r="J3" i="19"/>
  <c r="J9" i="26"/>
  <c r="I6" i="17"/>
  <c r="I5" i="17"/>
  <c r="K4" i="12"/>
  <c r="J5" i="2"/>
  <c r="J4" i="23"/>
  <c r="K3" i="11"/>
  <c r="D9" i="26" l="1"/>
  <c r="E9" i="26" s="1"/>
  <c r="S9" i="26"/>
  <c r="L5" i="10"/>
  <c r="M5" i="10" s="1"/>
  <c r="K5" i="8"/>
  <c r="Z5" i="8"/>
  <c r="R7" i="10"/>
  <c r="R4" i="10"/>
  <c r="J7" i="3"/>
  <c r="K4" i="15"/>
  <c r="AA5" i="10"/>
  <c r="AA8" i="10"/>
  <c r="AA14" i="10"/>
  <c r="AA17" i="10"/>
  <c r="AA19" i="10"/>
  <c r="R13" i="10"/>
  <c r="J3" i="29"/>
  <c r="J11" i="29" s="1"/>
  <c r="S4" i="28"/>
  <c r="S6" i="28"/>
  <c r="S7" i="28"/>
  <c r="S8" i="28"/>
  <c r="S9" i="28"/>
  <c r="S10" i="28"/>
  <c r="S11" i="28"/>
  <c r="S12" i="28"/>
  <c r="S13" i="28"/>
  <c r="J3" i="28"/>
  <c r="S8" i="23"/>
  <c r="S9" i="23"/>
  <c r="S5" i="23"/>
  <c r="S6" i="23"/>
  <c r="S7" i="23"/>
  <c r="S5" i="21"/>
  <c r="S7" i="21"/>
  <c r="S9" i="21"/>
  <c r="S10" i="21"/>
  <c r="J4" i="21"/>
  <c r="S4" i="26"/>
  <c r="S5" i="26"/>
  <c r="S7" i="26"/>
  <c r="S8" i="26"/>
  <c r="S10" i="26"/>
  <c r="S11" i="26"/>
  <c r="H13" i="26"/>
  <c r="I13" i="26"/>
  <c r="K13" i="26"/>
  <c r="L13" i="26"/>
  <c r="M13" i="26"/>
  <c r="N13" i="26"/>
  <c r="O13" i="26"/>
  <c r="P13" i="26"/>
  <c r="Q13" i="26"/>
  <c r="F13" i="26"/>
  <c r="J12" i="26"/>
  <c r="K4" i="13"/>
  <c r="K5" i="13"/>
  <c r="J5" i="14"/>
  <c r="S5" i="14" s="1"/>
  <c r="K4" i="34"/>
  <c r="T4" i="34" s="1"/>
  <c r="Q21" i="8"/>
  <c r="K5" i="34"/>
  <c r="T5" i="34" s="1"/>
  <c r="R16" i="10"/>
  <c r="K7" i="11"/>
  <c r="J3" i="21"/>
  <c r="J5" i="29"/>
  <c r="J7" i="29"/>
  <c r="S7" i="29" s="1"/>
  <c r="J3" i="23"/>
  <c r="J3" i="2"/>
  <c r="K11" i="12"/>
  <c r="I48" i="34"/>
  <c r="R10" i="34"/>
  <c r="Q10" i="34"/>
  <c r="P10" i="34"/>
  <c r="O10" i="34"/>
  <c r="N10" i="34"/>
  <c r="M10" i="34"/>
  <c r="L10" i="34"/>
  <c r="J10" i="34"/>
  <c r="I10" i="34"/>
  <c r="H10" i="34"/>
  <c r="G10" i="34"/>
  <c r="C10" i="34"/>
  <c r="D10" i="34" s="1"/>
  <c r="T9" i="34"/>
  <c r="E9" i="34"/>
  <c r="F9" i="34" s="1"/>
  <c r="T8" i="34"/>
  <c r="E8" i="34"/>
  <c r="F8" i="34" s="1"/>
  <c r="E7" i="34"/>
  <c r="F7" i="34" s="1"/>
  <c r="E6" i="34"/>
  <c r="F6" i="34" s="1"/>
  <c r="T3" i="34"/>
  <c r="E3" i="34"/>
  <c r="F3" i="34" s="1"/>
  <c r="J15" i="2"/>
  <c r="K5" i="30"/>
  <c r="K14" i="30" s="1"/>
  <c r="J10" i="3"/>
  <c r="Q25" i="8"/>
  <c r="J6" i="26"/>
  <c r="J13" i="26" s="1"/>
  <c r="Q17" i="8"/>
  <c r="R12" i="10"/>
  <c r="K6" i="11"/>
  <c r="J3" i="16"/>
  <c r="D3" i="16" s="1"/>
  <c r="E3" i="16" s="1"/>
  <c r="R18" i="10"/>
  <c r="J5" i="28"/>
  <c r="I4" i="16"/>
  <c r="I7" i="3"/>
  <c r="S12" i="26" l="1"/>
  <c r="D12" i="26"/>
  <c r="E12" i="26" s="1"/>
  <c r="S6" i="26"/>
  <c r="AA12" i="10"/>
  <c r="L12" i="10"/>
  <c r="M12" i="10" s="1"/>
  <c r="L4" i="10"/>
  <c r="M4" i="10" s="1"/>
  <c r="R20" i="10"/>
  <c r="AA18" i="10"/>
  <c r="L18" i="10"/>
  <c r="M18" i="10" s="1"/>
  <c r="AA13" i="10"/>
  <c r="L13" i="10"/>
  <c r="M13" i="10" s="1"/>
  <c r="Z17" i="8"/>
  <c r="K17" i="8"/>
  <c r="Z21" i="8"/>
  <c r="K21" i="8"/>
  <c r="S4" i="21"/>
  <c r="D4" i="21"/>
  <c r="K10" i="34"/>
  <c r="E4" i="34"/>
  <c r="F4" i="34" s="1"/>
  <c r="T10" i="34"/>
  <c r="E5" i="34"/>
  <c r="F5" i="34" s="1"/>
  <c r="Q16" i="10"/>
  <c r="I4" i="23"/>
  <c r="S4" i="23" s="1"/>
  <c r="J6" i="30"/>
  <c r="J14" i="30" s="1"/>
  <c r="P15" i="8"/>
  <c r="Q7" i="10"/>
  <c r="I5" i="2"/>
  <c r="I10" i="27"/>
  <c r="H6" i="17"/>
  <c r="I5" i="28"/>
  <c r="J5" i="31"/>
  <c r="I6" i="29"/>
  <c r="S6" i="29" s="1"/>
  <c r="I5" i="29"/>
  <c r="J4" i="15"/>
  <c r="T4" i="15" s="1"/>
  <c r="H5" i="17"/>
  <c r="J3" i="7"/>
  <c r="J8" i="31"/>
  <c r="I3" i="7"/>
  <c r="H7" i="3"/>
  <c r="H5" i="2"/>
  <c r="I12" i="30"/>
  <c r="H15" i="2"/>
  <c r="S15" i="2" s="1"/>
  <c r="I4" i="30"/>
  <c r="H3" i="2"/>
  <c r="H14" i="2"/>
  <c r="S14" i="2" s="1"/>
  <c r="I6" i="30"/>
  <c r="H4" i="16"/>
  <c r="I4" i="13"/>
  <c r="O8" i="9"/>
  <c r="P25" i="8"/>
  <c r="O17" i="9"/>
  <c r="P7" i="10"/>
  <c r="P20" i="10" s="1"/>
  <c r="H8" i="22"/>
  <c r="S8" i="22" s="1"/>
  <c r="Q20" i="10" l="1"/>
  <c r="S5" i="29"/>
  <c r="I11" i="29"/>
  <c r="T4" i="30"/>
  <c r="I14" i="30"/>
  <c r="S10" i="27"/>
  <c r="I11" i="27"/>
  <c r="AA16" i="10"/>
  <c r="L16" i="10"/>
  <c r="M16" i="10" s="1"/>
  <c r="Z25" i="8"/>
  <c r="K25" i="8"/>
  <c r="L25" i="8" s="1"/>
  <c r="F10" i="34"/>
  <c r="E10" i="34"/>
  <c r="O7" i="10"/>
  <c r="N15" i="8"/>
  <c r="K15" i="8" s="1"/>
  <c r="L15" i="8" s="1"/>
  <c r="N8" i="9"/>
  <c r="G7" i="3"/>
  <c r="S7" i="3" s="1"/>
  <c r="H4" i="12"/>
  <c r="G5" i="2"/>
  <c r="G4" i="16"/>
  <c r="D4" i="16" s="1"/>
  <c r="E4" i="16" s="1"/>
  <c r="G5" i="20"/>
  <c r="F5" i="18"/>
  <c r="R5" i="18" s="1"/>
  <c r="H4" i="13"/>
  <c r="E4" i="13" s="1"/>
  <c r="F4" i="13" s="1"/>
  <c r="H3" i="7"/>
  <c r="G5" i="28"/>
  <c r="H6" i="30"/>
  <c r="H14" i="30" s="1"/>
  <c r="G6" i="21"/>
  <c r="S6" i="21" s="1"/>
  <c r="E6" i="25"/>
  <c r="F6" i="25" s="1"/>
  <c r="G3" i="26"/>
  <c r="G13" i="26" s="1"/>
  <c r="N5" i="9"/>
  <c r="G6" i="2"/>
  <c r="F5" i="2"/>
  <c r="G6" i="30"/>
  <c r="G3" i="7"/>
  <c r="E3" i="7"/>
  <c r="F3" i="7" s="1"/>
  <c r="H13" i="15"/>
  <c r="D11" i="32"/>
  <c r="F5" i="32"/>
  <c r="F6" i="32"/>
  <c r="F7" i="32"/>
  <c r="F10" i="32"/>
  <c r="F3" i="32"/>
  <c r="F4" i="32"/>
  <c r="F8" i="32"/>
  <c r="F9" i="32"/>
  <c r="E5" i="30"/>
  <c r="F5" i="30" s="1"/>
  <c r="E7" i="30"/>
  <c r="F7" i="30" s="1"/>
  <c r="E8" i="30"/>
  <c r="F8" i="30" s="1"/>
  <c r="E9" i="30"/>
  <c r="F9" i="30" s="1"/>
  <c r="E10" i="30"/>
  <c r="F10" i="30" s="1"/>
  <c r="E11" i="30"/>
  <c r="F11" i="30" s="1"/>
  <c r="E12" i="30"/>
  <c r="F12" i="30" s="1"/>
  <c r="E13" i="30"/>
  <c r="F13" i="30" s="1"/>
  <c r="E3" i="30"/>
  <c r="F3" i="30" s="1"/>
  <c r="D4" i="29"/>
  <c r="E4" i="29" s="1"/>
  <c r="D5" i="29"/>
  <c r="E5" i="29" s="1"/>
  <c r="D6" i="29"/>
  <c r="E6" i="29" s="1"/>
  <c r="D7" i="29"/>
  <c r="E7" i="29" s="1"/>
  <c r="D8" i="29"/>
  <c r="E8" i="29" s="1"/>
  <c r="D9" i="29"/>
  <c r="E9" i="29" s="1"/>
  <c r="D10" i="29"/>
  <c r="E10" i="29" s="1"/>
  <c r="D3" i="29"/>
  <c r="E3" i="29" s="1"/>
  <c r="E12" i="28"/>
  <c r="D4" i="28"/>
  <c r="E4" i="28" s="1"/>
  <c r="D6" i="28"/>
  <c r="E6" i="28" s="1"/>
  <c r="D7" i="28"/>
  <c r="E7" i="28" s="1"/>
  <c r="D8" i="28"/>
  <c r="E8" i="28" s="1"/>
  <c r="D9" i="28"/>
  <c r="E9" i="28" s="1"/>
  <c r="D10" i="28"/>
  <c r="E10" i="28" s="1"/>
  <c r="D11" i="28"/>
  <c r="E11" i="28" s="1"/>
  <c r="D12" i="28"/>
  <c r="D13" i="28"/>
  <c r="E13" i="28" s="1"/>
  <c r="D3" i="28"/>
  <c r="E3" i="28" s="1"/>
  <c r="D4" i="27"/>
  <c r="E4" i="27" s="1"/>
  <c r="D5" i="27"/>
  <c r="E5" i="27" s="1"/>
  <c r="D6" i="27"/>
  <c r="E6" i="27" s="1"/>
  <c r="D7" i="27"/>
  <c r="E7" i="27" s="1"/>
  <c r="D8" i="27"/>
  <c r="E8" i="27" s="1"/>
  <c r="D10" i="27"/>
  <c r="E10" i="27" s="1"/>
  <c r="D3" i="27"/>
  <c r="E3" i="27" s="1"/>
  <c r="D4" i="26"/>
  <c r="E4" i="26" s="1"/>
  <c r="D5" i="26"/>
  <c r="E5" i="26" s="1"/>
  <c r="D6" i="26"/>
  <c r="E6" i="26" s="1"/>
  <c r="D7" i="26"/>
  <c r="E7" i="26" s="1"/>
  <c r="D8" i="26"/>
  <c r="D11" i="26"/>
  <c r="E11" i="26" s="1"/>
  <c r="D4" i="24"/>
  <c r="E4" i="24" s="1"/>
  <c r="E3" i="24"/>
  <c r="D3" i="24"/>
  <c r="E4" i="25"/>
  <c r="F4" i="25" s="1"/>
  <c r="E5" i="25"/>
  <c r="F5" i="25" s="1"/>
  <c r="E7" i="25"/>
  <c r="F7" i="25" s="1"/>
  <c r="E8" i="25"/>
  <c r="F8" i="25" s="1"/>
  <c r="E9" i="25"/>
  <c r="F9" i="25" s="1"/>
  <c r="E3" i="25"/>
  <c r="F3" i="25" s="1"/>
  <c r="D10" i="25"/>
  <c r="D4" i="23"/>
  <c r="E4" i="23" s="1"/>
  <c r="D5" i="23"/>
  <c r="E5" i="23" s="1"/>
  <c r="D6" i="23"/>
  <c r="E6" i="23" s="1"/>
  <c r="D7" i="23"/>
  <c r="E7" i="23" s="1"/>
  <c r="D8" i="23"/>
  <c r="E8" i="23" s="1"/>
  <c r="D9" i="23"/>
  <c r="E9" i="23" s="1"/>
  <c r="D3" i="23"/>
  <c r="E3" i="23" s="1"/>
  <c r="C10" i="23"/>
  <c r="D5" i="22"/>
  <c r="E5" i="22" s="1"/>
  <c r="D7" i="22"/>
  <c r="D8" i="22"/>
  <c r="E8" i="22" s="1"/>
  <c r="D3" i="22"/>
  <c r="D5" i="21"/>
  <c r="E5" i="21" s="1"/>
  <c r="D7" i="21"/>
  <c r="E7" i="21" s="1"/>
  <c r="D9" i="21"/>
  <c r="E9" i="21" s="1"/>
  <c r="D10" i="21"/>
  <c r="E10" i="21" s="1"/>
  <c r="D3" i="21"/>
  <c r="E3" i="21" s="1"/>
  <c r="D4" i="20"/>
  <c r="E4" i="20" s="1"/>
  <c r="D8" i="20"/>
  <c r="E8" i="20" s="1"/>
  <c r="D9" i="20"/>
  <c r="E9" i="20" s="1"/>
  <c r="D10" i="20"/>
  <c r="E10" i="20" s="1"/>
  <c r="D3" i="20"/>
  <c r="E3" i="20" s="1"/>
  <c r="D4" i="19"/>
  <c r="E4" i="19" s="1"/>
  <c r="D5" i="19"/>
  <c r="E5" i="19" s="1"/>
  <c r="D6" i="19"/>
  <c r="E6" i="19" s="1"/>
  <c r="D3" i="19"/>
  <c r="E3" i="19" s="1"/>
  <c r="C4" i="17"/>
  <c r="D4" i="17" s="1"/>
  <c r="C5" i="17"/>
  <c r="D5" i="17" s="1"/>
  <c r="C6" i="17"/>
  <c r="D6" i="17" s="1"/>
  <c r="C7" i="17"/>
  <c r="D7" i="17" s="1"/>
  <c r="C9" i="17"/>
  <c r="D9" i="17" s="1"/>
  <c r="C10" i="17"/>
  <c r="D10" i="17" s="1"/>
  <c r="C11" i="17"/>
  <c r="D11" i="17" s="1"/>
  <c r="C3" i="17"/>
  <c r="D3" i="17" s="1"/>
  <c r="E4" i="15"/>
  <c r="F4" i="15" s="1"/>
  <c r="E5" i="15"/>
  <c r="F5" i="15" s="1"/>
  <c r="E6" i="15"/>
  <c r="F6" i="15" s="1"/>
  <c r="E7" i="15"/>
  <c r="F7" i="15" s="1"/>
  <c r="E8" i="15"/>
  <c r="F8" i="15" s="1"/>
  <c r="E9" i="15"/>
  <c r="F9" i="15" s="1"/>
  <c r="E3" i="15"/>
  <c r="F3" i="15" s="1"/>
  <c r="D4" i="14"/>
  <c r="E4" i="14" s="1"/>
  <c r="D8" i="14"/>
  <c r="E8" i="14" s="1"/>
  <c r="D9" i="14"/>
  <c r="E9" i="14" s="1"/>
  <c r="D10" i="14"/>
  <c r="E10" i="14" s="1"/>
  <c r="D11" i="14"/>
  <c r="E11" i="14" s="1"/>
  <c r="D3" i="14"/>
  <c r="E3" i="14" s="1"/>
  <c r="E5" i="13"/>
  <c r="F5" i="13" s="1"/>
  <c r="E6" i="13"/>
  <c r="F6" i="13" s="1"/>
  <c r="E7" i="13"/>
  <c r="F7" i="13" s="1"/>
  <c r="E8" i="13"/>
  <c r="F8" i="13" s="1"/>
  <c r="E9" i="13"/>
  <c r="F9" i="13" s="1"/>
  <c r="E10" i="13"/>
  <c r="F10" i="13" s="1"/>
  <c r="E11" i="13"/>
  <c r="F11" i="13" s="1"/>
  <c r="E12" i="13"/>
  <c r="F12" i="13" s="1"/>
  <c r="E13" i="13"/>
  <c r="F13" i="13" s="1"/>
  <c r="E3" i="13"/>
  <c r="F3" i="13" s="1"/>
  <c r="E6" i="11"/>
  <c r="F6" i="11" s="1"/>
  <c r="E7" i="11"/>
  <c r="E9" i="11"/>
  <c r="F9" i="11" s="1"/>
  <c r="E3" i="11"/>
  <c r="F3" i="11" s="1"/>
  <c r="E5" i="12"/>
  <c r="E6" i="12"/>
  <c r="F6" i="12" s="1"/>
  <c r="E7" i="12"/>
  <c r="F7" i="12" s="1"/>
  <c r="E8" i="12"/>
  <c r="E9" i="12"/>
  <c r="F9" i="12" s="1"/>
  <c r="E11" i="12"/>
  <c r="E12" i="12"/>
  <c r="F12" i="12" s="1"/>
  <c r="E3" i="12"/>
  <c r="F3" i="12" s="1"/>
  <c r="E4" i="7"/>
  <c r="F4" i="7"/>
  <c r="K9" i="9"/>
  <c r="K13" i="9"/>
  <c r="K15" i="9"/>
  <c r="K16" i="9"/>
  <c r="K17" i="9"/>
  <c r="K18" i="9"/>
  <c r="K19" i="9"/>
  <c r="K22" i="9"/>
  <c r="K23" i="9"/>
  <c r="K10" i="6"/>
  <c r="K12" i="6"/>
  <c r="K13" i="6"/>
  <c r="K15" i="6"/>
  <c r="K16" i="6"/>
  <c r="K18" i="6"/>
  <c r="K19" i="6"/>
  <c r="K4" i="6"/>
  <c r="K7" i="5"/>
  <c r="K8" i="5"/>
  <c r="K12" i="5"/>
  <c r="K14" i="5"/>
  <c r="K15" i="5"/>
  <c r="K17" i="5"/>
  <c r="K18" i="5"/>
  <c r="K19" i="5"/>
  <c r="K20" i="5"/>
  <c r="K22" i="5"/>
  <c r="K23" i="5"/>
  <c r="K4" i="5"/>
  <c r="B24" i="5"/>
  <c r="D10" i="3"/>
  <c r="E10" i="3" s="1"/>
  <c r="D11" i="3"/>
  <c r="E11" i="3" s="1"/>
  <c r="D3" i="3"/>
  <c r="E3" i="3" s="1"/>
  <c r="D4" i="2"/>
  <c r="E4" i="2" s="1"/>
  <c r="D7" i="2"/>
  <c r="E7" i="2" s="1"/>
  <c r="D8" i="2"/>
  <c r="E8" i="2" s="1"/>
  <c r="D10" i="2"/>
  <c r="E10" i="2" s="1"/>
  <c r="D11" i="2"/>
  <c r="E11" i="2" s="1"/>
  <c r="D13" i="2"/>
  <c r="E13" i="2" s="1"/>
  <c r="D14" i="2"/>
  <c r="E14" i="2" s="1"/>
  <c r="D15" i="2"/>
  <c r="E15" i="2" s="1"/>
  <c r="D16" i="2"/>
  <c r="E16" i="2" s="1"/>
  <c r="D17" i="2"/>
  <c r="E17" i="2" s="1"/>
  <c r="D18" i="2"/>
  <c r="E18" i="2" s="1"/>
  <c r="D19" i="2"/>
  <c r="E19" i="2" s="1"/>
  <c r="D20" i="2"/>
  <c r="E20" i="2" s="1"/>
  <c r="D21" i="2"/>
  <c r="E21" i="2" s="1"/>
  <c r="D22" i="2"/>
  <c r="E22" i="2" s="1"/>
  <c r="D3" i="2"/>
  <c r="E3" i="2" s="1"/>
  <c r="D4" i="1"/>
  <c r="E4" i="1" s="1"/>
  <c r="D5" i="1"/>
  <c r="E5" i="1" s="1"/>
  <c r="D6" i="1"/>
  <c r="E6" i="1" s="1"/>
  <c r="D7" i="1"/>
  <c r="E7" i="1" s="1"/>
  <c r="D8" i="1"/>
  <c r="E8" i="1" s="1"/>
  <c r="D9" i="1"/>
  <c r="E9" i="1" s="1"/>
  <c r="D11" i="1"/>
  <c r="D12" i="1"/>
  <c r="E12" i="1" s="1"/>
  <c r="D3" i="1"/>
  <c r="E3" i="1" s="1"/>
  <c r="C10" i="31"/>
  <c r="E5" i="31"/>
  <c r="F5" i="31" s="1"/>
  <c r="E6" i="31"/>
  <c r="F6" i="31" s="1"/>
  <c r="E7" i="31"/>
  <c r="F7" i="31" s="1"/>
  <c r="E8" i="31"/>
  <c r="F8" i="31" s="1"/>
  <c r="E9" i="31"/>
  <c r="F9" i="31" s="1"/>
  <c r="E4" i="31"/>
  <c r="F4" i="31" s="1"/>
  <c r="E3" i="31"/>
  <c r="F3" i="31" s="1"/>
  <c r="D10" i="31"/>
  <c r="C11" i="1"/>
  <c r="C13" i="1" s="1"/>
  <c r="K20" i="10"/>
  <c r="B12" i="17"/>
  <c r="B10" i="18"/>
  <c r="J20" i="6"/>
  <c r="C12" i="3"/>
  <c r="S10" i="3"/>
  <c r="D14" i="30"/>
  <c r="C7" i="19"/>
  <c r="J24" i="5"/>
  <c r="D5" i="12"/>
  <c r="D11" i="12"/>
  <c r="C14" i="28"/>
  <c r="C7" i="22"/>
  <c r="C3" i="22"/>
  <c r="C9" i="22" s="1"/>
  <c r="J24" i="9"/>
  <c r="D7" i="11"/>
  <c r="C5" i="24"/>
  <c r="D5" i="7"/>
  <c r="C11" i="21"/>
  <c r="C13" i="26"/>
  <c r="C23" i="2"/>
  <c r="L26" i="8" l="1"/>
  <c r="T6" i="30"/>
  <c r="G14" i="30"/>
  <c r="Z8" i="9"/>
  <c r="K8" i="9"/>
  <c r="Z5" i="9"/>
  <c r="K5" i="9"/>
  <c r="AA7" i="10"/>
  <c r="L7" i="10"/>
  <c r="M7" i="10" s="1"/>
  <c r="O20" i="10"/>
  <c r="E8" i="26"/>
  <c r="D13" i="26"/>
  <c r="S5" i="28"/>
  <c r="D5" i="28"/>
  <c r="E5" i="28" s="1"/>
  <c r="S5" i="20"/>
  <c r="D5" i="20"/>
  <c r="E5" i="20" s="1"/>
  <c r="T4" i="12"/>
  <c r="E4" i="12"/>
  <c r="F4" i="12" s="1"/>
  <c r="F5" i="12"/>
  <c r="F7" i="11"/>
  <c r="E3" i="22"/>
  <c r="E7" i="22"/>
  <c r="S5" i="2"/>
  <c r="D6" i="2"/>
  <c r="E6" i="2" s="1"/>
  <c r="E23" i="2" s="1"/>
  <c r="S6" i="2"/>
  <c r="Z15" i="8"/>
  <c r="D6" i="21"/>
  <c r="E6" i="21" s="1"/>
  <c r="D3" i="26"/>
  <c r="E3" i="26" s="1"/>
  <c r="F11" i="12"/>
  <c r="K24" i="5"/>
  <c r="E11" i="1"/>
  <c r="D10" i="11"/>
  <c r="F10" i="25"/>
  <c r="E10" i="25"/>
  <c r="D9" i="22"/>
  <c r="D7" i="19"/>
  <c r="E7" i="19"/>
  <c r="E12" i="14"/>
  <c r="E13" i="26" l="1"/>
  <c r="E13" i="12"/>
  <c r="E9" i="22"/>
  <c r="D23" i="2"/>
  <c r="D11" i="27"/>
  <c r="E11" i="27"/>
  <c r="C11" i="27"/>
  <c r="D11" i="29" l="1"/>
  <c r="E11" i="29"/>
  <c r="C11" i="29"/>
  <c r="D14" i="13"/>
  <c r="C11" i="20"/>
  <c r="K29" i="3" l="1"/>
  <c r="H27" i="30"/>
  <c r="H20" i="18" l="1"/>
  <c r="I23" i="21"/>
  <c r="H47" i="27"/>
  <c r="H28" i="12"/>
  <c r="I21" i="14"/>
  <c r="I49" i="13"/>
  <c r="O51" i="10"/>
  <c r="I42" i="28"/>
  <c r="H20" i="32"/>
  <c r="H17" i="31"/>
  <c r="H23" i="26"/>
  <c r="H30" i="17"/>
  <c r="I25" i="15"/>
  <c r="N39" i="9"/>
  <c r="P48" i="8"/>
  <c r="O34" i="5"/>
  <c r="H30" i="1"/>
  <c r="H47" i="2"/>
  <c r="J24" i="16"/>
  <c r="P40" i="6" l="1"/>
  <c r="P10" i="31" l="1"/>
  <c r="P10" i="25"/>
  <c r="G13" i="1"/>
  <c r="L13" i="1"/>
  <c r="O13" i="1"/>
  <c r="P13" i="1"/>
  <c r="Q13" i="1"/>
  <c r="F13" i="1"/>
  <c r="T4" i="33"/>
  <c r="T5" i="33"/>
  <c r="T3" i="33"/>
  <c r="H6" i="33"/>
  <c r="I6" i="33"/>
  <c r="J6" i="33"/>
  <c r="K6" i="33"/>
  <c r="L6" i="33"/>
  <c r="M6" i="33"/>
  <c r="N6" i="33"/>
  <c r="O6" i="33"/>
  <c r="P6" i="33"/>
  <c r="Q6" i="33"/>
  <c r="R6" i="33"/>
  <c r="G6" i="33"/>
  <c r="T6" i="33" s="1"/>
  <c r="I11" i="32"/>
  <c r="J11" i="32"/>
  <c r="K11" i="32"/>
  <c r="M11" i="32"/>
  <c r="N11" i="32"/>
  <c r="O11" i="32"/>
  <c r="P11" i="32"/>
  <c r="Q11" i="32"/>
  <c r="R11" i="32"/>
  <c r="T5" i="32"/>
  <c r="T6" i="32"/>
  <c r="T8" i="32"/>
  <c r="H10" i="31"/>
  <c r="L10" i="31"/>
  <c r="Q10" i="31"/>
  <c r="R10" i="31"/>
  <c r="G10" i="31"/>
  <c r="T4" i="31"/>
  <c r="T6" i="31"/>
  <c r="T7" i="31"/>
  <c r="T5" i="30"/>
  <c r="T7" i="30"/>
  <c r="T8" i="30"/>
  <c r="T9" i="30"/>
  <c r="T10" i="30"/>
  <c r="T11" i="30"/>
  <c r="T12" i="30"/>
  <c r="T3" i="30"/>
  <c r="G14" i="28"/>
  <c r="H14" i="28"/>
  <c r="O14" i="28"/>
  <c r="P14" i="28"/>
  <c r="Q14" i="28"/>
  <c r="G5" i="24"/>
  <c r="H5" i="24"/>
  <c r="I5" i="24"/>
  <c r="J5" i="24"/>
  <c r="K5" i="24"/>
  <c r="L5" i="24"/>
  <c r="M5" i="24"/>
  <c r="N5" i="24"/>
  <c r="O5" i="24"/>
  <c r="P5" i="24"/>
  <c r="Q5" i="24"/>
  <c r="F5" i="24"/>
  <c r="S3" i="24"/>
  <c r="H10" i="25"/>
  <c r="I10" i="25"/>
  <c r="J10" i="25"/>
  <c r="K10" i="25"/>
  <c r="L10" i="25"/>
  <c r="Q10" i="25"/>
  <c r="R10" i="25"/>
  <c r="G10" i="25"/>
  <c r="T4" i="25"/>
  <c r="T5" i="25"/>
  <c r="T3" i="25"/>
  <c r="S3" i="23"/>
  <c r="S5" i="22"/>
  <c r="S7" i="22"/>
  <c r="S3" i="22"/>
  <c r="S3" i="21"/>
  <c r="R9" i="18"/>
  <c r="R3" i="18"/>
  <c r="R9" i="17"/>
  <c r="S9" i="16"/>
  <c r="S4" i="14"/>
  <c r="S8" i="14"/>
  <c r="S10" i="14"/>
  <c r="S11" i="14"/>
  <c r="T6" i="11"/>
  <c r="T7" i="11"/>
  <c r="T9" i="11"/>
  <c r="T3" i="11"/>
  <c r="T7" i="12"/>
  <c r="T8" i="12"/>
  <c r="T9" i="12"/>
  <c r="T11" i="12"/>
  <c r="T12" i="12"/>
  <c r="T3" i="7"/>
  <c r="T14" i="30" l="1"/>
  <c r="S5" i="24"/>
  <c r="Z9" i="9"/>
  <c r="Z13" i="9"/>
  <c r="Z15" i="9"/>
  <c r="Z16" i="9"/>
  <c r="Z18" i="9"/>
  <c r="Z19" i="9"/>
  <c r="Z22" i="9"/>
  <c r="Z23" i="9"/>
  <c r="Z4" i="8"/>
  <c r="Z26" i="8" s="1"/>
  <c r="Z13" i="6"/>
  <c r="Z15" i="6"/>
  <c r="Z16" i="6"/>
  <c r="Z18" i="6"/>
  <c r="Z19" i="6"/>
  <c r="S11" i="3"/>
  <c r="S8" i="1"/>
  <c r="S9" i="1"/>
  <c r="S11" i="1"/>
  <c r="S12" i="1"/>
  <c r="S3" i="2" l="1"/>
  <c r="S23" i="2" s="1"/>
  <c r="O10" i="31"/>
  <c r="M13" i="1"/>
  <c r="Z4" i="6"/>
  <c r="Z4" i="9"/>
  <c r="N10" i="31"/>
  <c r="R10" i="17"/>
  <c r="S8" i="16"/>
  <c r="S6" i="16"/>
  <c r="O10" i="25" l="1"/>
  <c r="M14" i="28"/>
  <c r="N14" i="28"/>
  <c r="N10" i="15"/>
  <c r="N10" i="25"/>
  <c r="S3" i="26"/>
  <c r="S13" i="26" s="1"/>
  <c r="L14" i="28"/>
  <c r="T3" i="13"/>
  <c r="Z10" i="6"/>
  <c r="S3" i="20"/>
  <c r="S3" i="19"/>
  <c r="T3" i="15"/>
  <c r="S4" i="19"/>
  <c r="M10" i="15"/>
  <c r="O10" i="15"/>
  <c r="P10" i="15"/>
  <c r="Q10" i="15"/>
  <c r="R10" i="15"/>
  <c r="R3" i="17"/>
  <c r="E12" i="17"/>
  <c r="M10" i="31" l="1"/>
  <c r="T3" i="31"/>
  <c r="S3" i="29"/>
  <c r="T9" i="15"/>
  <c r="L10" i="15"/>
  <c r="AA4" i="10"/>
  <c r="AA20" i="10" s="1"/>
  <c r="R7" i="17"/>
  <c r="K10" i="31"/>
  <c r="S3" i="16" l="1"/>
  <c r="K14" i="28"/>
  <c r="I14" i="28"/>
  <c r="S3" i="28"/>
  <c r="T9" i="32"/>
  <c r="L11" i="32"/>
  <c r="S11" i="29"/>
  <c r="S3" i="1"/>
  <c r="T8" i="31"/>
  <c r="S5" i="1"/>
  <c r="R5" i="17"/>
  <c r="S5" i="16"/>
  <c r="R11" i="17"/>
  <c r="T5" i="13"/>
  <c r="T4" i="13"/>
  <c r="Z4" i="5"/>
  <c r="S4" i="16" l="1"/>
  <c r="T5" i="31"/>
  <c r="R6" i="17"/>
  <c r="G12" i="17"/>
  <c r="F14" i="28" l="1"/>
  <c r="H11" i="32"/>
  <c r="T7" i="32"/>
  <c r="S3" i="3"/>
  <c r="S4" i="27"/>
  <c r="N11" i="27" l="1"/>
  <c r="O13" i="12"/>
  <c r="R4" i="17"/>
  <c r="N9" i="22"/>
  <c r="J10" i="31"/>
  <c r="H11" i="21"/>
  <c r="H9" i="22"/>
  <c r="J11" i="20"/>
  <c r="S3" i="14"/>
  <c r="G10" i="18"/>
  <c r="J9" i="22"/>
  <c r="C6" i="33"/>
  <c r="D6" i="33" s="1"/>
  <c r="E6" i="33" s="1"/>
  <c r="F6" i="33" s="1"/>
  <c r="D4" i="33"/>
  <c r="E4" i="33" s="1"/>
  <c r="D3" i="33"/>
  <c r="F3" i="33" s="1"/>
  <c r="C14" i="30"/>
  <c r="F14" i="30"/>
  <c r="B11" i="29"/>
  <c r="B14" i="28"/>
  <c r="Q11" i="27"/>
  <c r="P11" i="27"/>
  <c r="O11" i="27"/>
  <c r="M11" i="27"/>
  <c r="L11" i="27"/>
  <c r="K11" i="27"/>
  <c r="B11" i="27"/>
  <c r="C10" i="25"/>
  <c r="B5" i="24"/>
  <c r="Q10" i="23"/>
  <c r="P10" i="23"/>
  <c r="O10" i="23"/>
  <c r="N10" i="23"/>
  <c r="M10" i="23"/>
  <c r="L10" i="23"/>
  <c r="K10" i="23"/>
  <c r="J10" i="23"/>
  <c r="I10" i="23"/>
  <c r="H10" i="23"/>
  <c r="G10" i="23"/>
  <c r="F10" i="23"/>
  <c r="B10" i="23"/>
  <c r="S9" i="22"/>
  <c r="Q9" i="22"/>
  <c r="P9" i="22"/>
  <c r="O9" i="22"/>
  <c r="M9" i="22"/>
  <c r="L9" i="22"/>
  <c r="K9" i="22"/>
  <c r="I9" i="22"/>
  <c r="G9" i="22"/>
  <c r="F9" i="22"/>
  <c r="B9" i="22"/>
  <c r="S11" i="21"/>
  <c r="Q11" i="21"/>
  <c r="P11" i="21"/>
  <c r="O11" i="21"/>
  <c r="N11" i="21"/>
  <c r="M11" i="21"/>
  <c r="L11" i="21"/>
  <c r="K11" i="21"/>
  <c r="J11" i="21"/>
  <c r="I11" i="21"/>
  <c r="G11" i="21"/>
  <c r="F11" i="21"/>
  <c r="B11" i="21"/>
  <c r="S11" i="20"/>
  <c r="Q11" i="20"/>
  <c r="P11" i="20"/>
  <c r="O11" i="20"/>
  <c r="N11" i="20"/>
  <c r="M11" i="20"/>
  <c r="L11" i="20"/>
  <c r="K11" i="20"/>
  <c r="I11" i="20"/>
  <c r="H11" i="20"/>
  <c r="G11" i="20"/>
  <c r="F11" i="20"/>
  <c r="B7" i="19"/>
  <c r="R10" i="18"/>
  <c r="P10" i="18"/>
  <c r="O10" i="18"/>
  <c r="N10" i="18"/>
  <c r="M10" i="18"/>
  <c r="L10" i="18"/>
  <c r="K10" i="18"/>
  <c r="J10" i="18"/>
  <c r="I10" i="18"/>
  <c r="H10" i="18"/>
  <c r="F10" i="18"/>
  <c r="E10" i="18"/>
  <c r="P12" i="17"/>
  <c r="O12" i="17"/>
  <c r="N12" i="17"/>
  <c r="M12" i="17"/>
  <c r="L12" i="17"/>
  <c r="K12" i="17"/>
  <c r="J12" i="17"/>
  <c r="I12" i="17"/>
  <c r="H12" i="17"/>
  <c r="F12" i="17"/>
  <c r="Q10" i="16"/>
  <c r="P10" i="16"/>
  <c r="O10" i="16"/>
  <c r="N10" i="16"/>
  <c r="M10" i="16"/>
  <c r="L10" i="16"/>
  <c r="K10" i="16"/>
  <c r="J10" i="16"/>
  <c r="I10" i="16"/>
  <c r="H10" i="16"/>
  <c r="G10" i="16"/>
  <c r="F10" i="16"/>
  <c r="T10" i="15"/>
  <c r="K10" i="15"/>
  <c r="J10" i="15"/>
  <c r="I10" i="15"/>
  <c r="H10" i="15"/>
  <c r="G10" i="15"/>
  <c r="C10" i="15"/>
  <c r="D10" i="15" s="1"/>
  <c r="Q12" i="14"/>
  <c r="P12" i="14"/>
  <c r="O12" i="14"/>
  <c r="M12" i="14"/>
  <c r="K12" i="14"/>
  <c r="J12" i="14"/>
  <c r="I12" i="14"/>
  <c r="H12" i="14"/>
  <c r="G12" i="14"/>
  <c r="F12" i="14"/>
  <c r="R14" i="13"/>
  <c r="Q14" i="13"/>
  <c r="P14" i="13"/>
  <c r="O14" i="13"/>
  <c r="N14" i="13"/>
  <c r="M14" i="13"/>
  <c r="L14" i="13"/>
  <c r="K14" i="13"/>
  <c r="J14" i="13"/>
  <c r="I14" i="13"/>
  <c r="H14" i="13"/>
  <c r="G14" i="13"/>
  <c r="C14" i="13"/>
  <c r="D8" i="12"/>
  <c r="R13" i="12"/>
  <c r="Q13" i="12"/>
  <c r="P13" i="12"/>
  <c r="N13" i="12"/>
  <c r="M13" i="12"/>
  <c r="L13" i="12"/>
  <c r="K13" i="12"/>
  <c r="J13" i="12"/>
  <c r="H13" i="12"/>
  <c r="G13" i="12"/>
  <c r="R10" i="11"/>
  <c r="Q10" i="11"/>
  <c r="P10" i="11"/>
  <c r="O10" i="11"/>
  <c r="N10" i="11"/>
  <c r="M10" i="11"/>
  <c r="L10" i="11"/>
  <c r="K10" i="11"/>
  <c r="J10" i="11"/>
  <c r="I10" i="11"/>
  <c r="H10" i="11"/>
  <c r="G10" i="11"/>
  <c r="M20" i="10"/>
  <c r="X24" i="9"/>
  <c r="W24" i="9"/>
  <c r="V24" i="9"/>
  <c r="T24" i="9"/>
  <c r="S24" i="9"/>
  <c r="R24" i="9"/>
  <c r="Q24" i="9"/>
  <c r="P24" i="9"/>
  <c r="O24" i="9"/>
  <c r="N24" i="9"/>
  <c r="M24" i="9"/>
  <c r="B24" i="9"/>
  <c r="X26" i="8"/>
  <c r="W26" i="8"/>
  <c r="V26" i="8"/>
  <c r="T26" i="8"/>
  <c r="S26" i="8"/>
  <c r="R26" i="8"/>
  <c r="Q26" i="8"/>
  <c r="P26" i="8"/>
  <c r="N26" i="8"/>
  <c r="M26" i="8"/>
  <c r="B26" i="8"/>
  <c r="T5" i="7"/>
  <c r="R5" i="7"/>
  <c r="Q5" i="7"/>
  <c r="P5" i="7"/>
  <c r="O5" i="7"/>
  <c r="N5" i="7"/>
  <c r="M5" i="7"/>
  <c r="L5" i="7"/>
  <c r="K5" i="7"/>
  <c r="J5" i="7"/>
  <c r="I5" i="7"/>
  <c r="H5" i="7"/>
  <c r="G5" i="7"/>
  <c r="C5" i="7"/>
  <c r="X20" i="6"/>
  <c r="W20" i="6"/>
  <c r="V20" i="6"/>
  <c r="T20" i="6"/>
  <c r="S20" i="6"/>
  <c r="R20" i="6"/>
  <c r="Q20" i="6"/>
  <c r="P20" i="6"/>
  <c r="O20" i="6"/>
  <c r="N20" i="6"/>
  <c r="M20" i="6"/>
  <c r="B20" i="6"/>
  <c r="Q12" i="3"/>
  <c r="P12" i="3"/>
  <c r="O12" i="3"/>
  <c r="M12" i="3"/>
  <c r="L12" i="3"/>
  <c r="H12" i="3"/>
  <c r="G12" i="3"/>
  <c r="F12" i="3"/>
  <c r="B12" i="3"/>
  <c r="J12" i="3"/>
  <c r="Q23" i="2"/>
  <c r="P23" i="2"/>
  <c r="O23" i="2"/>
  <c r="M23" i="2"/>
  <c r="L23" i="2"/>
  <c r="H23" i="2"/>
  <c r="G23" i="2"/>
  <c r="F23" i="2"/>
  <c r="B23" i="2"/>
  <c r="J23" i="2"/>
  <c r="B13" i="1"/>
  <c r="J13" i="1"/>
  <c r="S10" i="23" l="1"/>
  <c r="F8" i="12"/>
  <c r="D13" i="12"/>
  <c r="C12" i="14"/>
  <c r="T10" i="11"/>
  <c r="T9" i="25"/>
  <c r="M10" i="25"/>
  <c r="T10" i="25" s="1"/>
  <c r="N13" i="1"/>
  <c r="K13" i="1"/>
  <c r="J14" i="28"/>
  <c r="S14" i="28" s="1"/>
  <c r="S3" i="27"/>
  <c r="S11" i="27" s="1"/>
  <c r="N23" i="2"/>
  <c r="L12" i="14"/>
  <c r="T9" i="31"/>
  <c r="I10" i="31"/>
  <c r="T10" i="31" s="1"/>
  <c r="U20" i="6"/>
  <c r="Z20" i="6" s="1"/>
  <c r="Z12" i="6"/>
  <c r="K23" i="2"/>
  <c r="R12" i="17"/>
  <c r="N12" i="14"/>
  <c r="S9" i="14"/>
  <c r="S12" i="14" s="1"/>
  <c r="U24" i="9"/>
  <c r="Z24" i="9" s="1"/>
  <c r="Z17" i="9"/>
  <c r="U26" i="8"/>
  <c r="N12" i="3"/>
  <c r="S6" i="1"/>
  <c r="H13" i="1"/>
  <c r="I13" i="1"/>
  <c r="S4" i="1"/>
  <c r="S10" i="16"/>
  <c r="T14" i="13"/>
  <c r="O26" i="8"/>
  <c r="E11" i="20"/>
  <c r="B11" i="20"/>
  <c r="I13" i="12"/>
  <c r="T13" i="12" s="1"/>
  <c r="E11" i="21"/>
  <c r="F4" i="33"/>
  <c r="E3" i="33"/>
  <c r="D5" i="33"/>
  <c r="C11" i="32"/>
  <c r="E14" i="30"/>
  <c r="B13" i="26"/>
  <c r="D5" i="24"/>
  <c r="E5" i="24"/>
  <c r="E10" i="23"/>
  <c r="D10" i="18"/>
  <c r="C10" i="16"/>
  <c r="E10" i="15"/>
  <c r="B12" i="14"/>
  <c r="C13" i="12"/>
  <c r="C10" i="11"/>
  <c r="C20" i="10"/>
  <c r="L20" i="10"/>
  <c r="K12" i="3"/>
  <c r="I12" i="3"/>
  <c r="I23" i="2"/>
  <c r="E11" i="32" l="1"/>
  <c r="S12" i="3"/>
  <c r="Z24" i="5"/>
  <c r="S13" i="1"/>
  <c r="E14" i="28"/>
  <c r="D14" i="28"/>
  <c r="L20" i="6"/>
  <c r="K20" i="6"/>
  <c r="D11" i="20"/>
  <c r="F5" i="33"/>
  <c r="E5" i="33"/>
  <c r="D10" i="23"/>
  <c r="D11" i="21"/>
  <c r="C10" i="18"/>
  <c r="D12" i="17"/>
  <c r="C12" i="17"/>
  <c r="E10" i="16"/>
  <c r="D10" i="16"/>
  <c r="F10" i="15"/>
  <c r="D12" i="14"/>
  <c r="F14" i="13"/>
  <c r="E14" i="13"/>
  <c r="F13" i="12"/>
  <c r="F10" i="11"/>
  <c r="E10" i="11"/>
  <c r="K26" i="8"/>
  <c r="F5" i="7"/>
  <c r="E5" i="7"/>
  <c r="E13" i="1"/>
  <c r="D13" i="1"/>
  <c r="G11" i="32" l="1"/>
  <c r="T3" i="32"/>
  <c r="T11" i="32" l="1"/>
  <c r="F11" i="32"/>
  <c r="E12" i="3" l="1"/>
  <c r="D12" i="3"/>
  <c r="L24" i="9"/>
  <c r="K24" i="9"/>
</calcChain>
</file>

<file path=xl/sharedStrings.xml><?xml version="1.0" encoding="utf-8"?>
<sst xmlns="http://schemas.openxmlformats.org/spreadsheetml/2006/main" count="2787" uniqueCount="1089">
  <si>
    <t>ACCOUNT 
CODE</t>
  </si>
  <si>
    <t xml:space="preserve">ALLOCATED BUDGET 
2024
C </t>
  </si>
  <si>
    <t>TOTAL EXPENDITURES
D</t>
  </si>
  <si>
    <t>TOTAL BALANCES
E = D - E</t>
  </si>
  <si>
    <t>January</t>
  </si>
  <si>
    <t>February</t>
  </si>
  <si>
    <t>March</t>
  </si>
  <si>
    <t>April</t>
  </si>
  <si>
    <t>May</t>
  </si>
  <si>
    <t xml:space="preserve">June </t>
  </si>
  <si>
    <t>July</t>
  </si>
  <si>
    <t>August</t>
  </si>
  <si>
    <t>September</t>
  </si>
  <si>
    <t xml:space="preserve">October </t>
  </si>
  <si>
    <t xml:space="preserve">November </t>
  </si>
  <si>
    <t>December</t>
  </si>
  <si>
    <t>AMOUNT</t>
  </si>
  <si>
    <t xml:space="preserve">  </t>
  </si>
  <si>
    <t>5-01-02-100-01</t>
  </si>
  <si>
    <t>Office Supplies</t>
  </si>
  <si>
    <t xml:space="preserve"> </t>
  </si>
  <si>
    <t>Other MOOE</t>
  </si>
  <si>
    <t>5-02-99-990-99</t>
  </si>
  <si>
    <t>Computer Software</t>
  </si>
  <si>
    <t xml:space="preserve">Total </t>
  </si>
  <si>
    <t>TOTAL</t>
  </si>
  <si>
    <t>CAMPUS DIRECTOR</t>
  </si>
  <si>
    <t>ESTIMATED BUDGET</t>
  </si>
  <si>
    <t>Travelling Expenses</t>
  </si>
  <si>
    <t>Office Supplies Expenses</t>
  </si>
  <si>
    <t>Seminars and Trainings</t>
  </si>
  <si>
    <t>Office Equipment</t>
  </si>
  <si>
    <t>ICT Equipment</t>
  </si>
  <si>
    <t>5 06 04 050 03</t>
  </si>
  <si>
    <t>Other Supplies and Materials</t>
  </si>
  <si>
    <t>5 02 09 990 99</t>
  </si>
  <si>
    <t>Other Structure</t>
  </si>
  <si>
    <t>Furniture and Fixture</t>
  </si>
  <si>
    <t>Furniture and Fixtures</t>
  </si>
  <si>
    <t>5 06 04 070 01</t>
  </si>
  <si>
    <t>Motor Vehicles</t>
  </si>
  <si>
    <t>ADMINISTRATIVE AND FINANCE SERVICES</t>
  </si>
  <si>
    <t>MOOE</t>
  </si>
  <si>
    <t>RESEARCH</t>
  </si>
  <si>
    <t>Honoraria</t>
  </si>
  <si>
    <t>Community Engagement Activities</t>
  </si>
  <si>
    <t>B&amp;M Department</t>
  </si>
  <si>
    <t>Seminars and Training Expenses</t>
  </si>
  <si>
    <t>Computer Studies Department</t>
  </si>
  <si>
    <t>5 02 02 010 00</t>
  </si>
  <si>
    <t>Repair and Maintenance-Other Structure</t>
  </si>
  <si>
    <t>Laboratory Fee/Computer Fee</t>
  </si>
  <si>
    <t>ICT Office</t>
  </si>
  <si>
    <t>Internet Subscription</t>
  </si>
  <si>
    <t>5 02 05 030 00</t>
  </si>
  <si>
    <t>Industrial Technology Department</t>
  </si>
  <si>
    <t>Culinary Arts Lab Equipment</t>
  </si>
  <si>
    <t>Electronics Lab Equipment</t>
  </si>
  <si>
    <t>Textbook and Instructional Materials</t>
  </si>
  <si>
    <t>Engineering Department</t>
  </si>
  <si>
    <t>Teacher Education Department</t>
  </si>
  <si>
    <t>Laboratory Supplies, Materials and Equipment</t>
  </si>
  <si>
    <t>Quality Assurance</t>
  </si>
  <si>
    <t>Extension Services</t>
  </si>
  <si>
    <t>Accountable Forms Expenses</t>
  </si>
  <si>
    <t>Cashier and Disbursing Office</t>
  </si>
  <si>
    <t>Telephone Expenses (Mobile)</t>
  </si>
  <si>
    <t>Other Maintenance &amp; Operating Expenses</t>
  </si>
  <si>
    <t xml:space="preserve">   </t>
  </si>
  <si>
    <t>Budget Office</t>
  </si>
  <si>
    <t>Bids and Awards Committee</t>
  </si>
  <si>
    <t>Human Resource Dev't. Office</t>
  </si>
  <si>
    <t>Procurement and Property Management Office</t>
  </si>
  <si>
    <t>S.E. Furniture and Fixture</t>
  </si>
  <si>
    <t>Registrar Office</t>
  </si>
  <si>
    <t>Maitenance and Engineering Services Unit</t>
  </si>
  <si>
    <t>IPDO</t>
  </si>
  <si>
    <t>Sports Development Office</t>
  </si>
  <si>
    <t>SCUAA</t>
  </si>
  <si>
    <t>Culture and the Arts</t>
  </si>
  <si>
    <t>Library</t>
  </si>
  <si>
    <t>Textbook And Instructional Materials</t>
  </si>
  <si>
    <t>NSTP</t>
  </si>
  <si>
    <t>Miscellaneous and other Related Activities</t>
  </si>
  <si>
    <t>SASO</t>
  </si>
  <si>
    <t>Graduation Expenses</t>
  </si>
  <si>
    <t>Repairs and Maintenance-Other Structure</t>
  </si>
  <si>
    <t>ID FEE</t>
  </si>
  <si>
    <t>Insurance Expenses</t>
  </si>
  <si>
    <t>Printing and Publication Expenses</t>
  </si>
  <si>
    <t>Guidance</t>
  </si>
  <si>
    <t>Medical Clinic</t>
  </si>
  <si>
    <t>SSG</t>
  </si>
  <si>
    <t>Office Equipment/Appliances</t>
  </si>
  <si>
    <t>SPO</t>
  </si>
  <si>
    <t>Equipment</t>
  </si>
  <si>
    <t>Student Development</t>
  </si>
  <si>
    <t>Curriculum Development</t>
  </si>
  <si>
    <t>Faculty Development</t>
  </si>
  <si>
    <t>Curiculum Development</t>
  </si>
  <si>
    <t>GAD</t>
  </si>
  <si>
    <t>Seminars and Programs</t>
  </si>
  <si>
    <t>Medical and Dental Laboratory Supplies</t>
  </si>
  <si>
    <t>Travel Expenses</t>
  </si>
  <si>
    <t>AIOSELL Service Fee</t>
  </si>
  <si>
    <t>News Paper Subscription</t>
  </si>
  <si>
    <t>Electricity Expenses</t>
  </si>
  <si>
    <t>Water Expenses</t>
  </si>
  <si>
    <t>Training Expenses</t>
  </si>
  <si>
    <t>Traveling Expenses</t>
  </si>
  <si>
    <t>Training/Seminar Expenses</t>
  </si>
  <si>
    <t>Accounting Office</t>
  </si>
  <si>
    <t>Travelled</t>
  </si>
  <si>
    <t>Amount</t>
  </si>
  <si>
    <t>Date</t>
  </si>
  <si>
    <t xml:space="preserve">Event </t>
  </si>
  <si>
    <t>Total</t>
  </si>
  <si>
    <t xml:space="preserve">        </t>
  </si>
  <si>
    <t>Total:</t>
  </si>
  <si>
    <t xml:space="preserve">    </t>
  </si>
  <si>
    <t>Honorarium</t>
  </si>
  <si>
    <t>Note: Refer to line item budget 2025</t>
  </si>
  <si>
    <t>BALANCE FORWARDED</t>
  </si>
  <si>
    <t>BALANCE FORWARDED
B</t>
  </si>
  <si>
    <t xml:space="preserve">ALLOCATED BUDGET 
2025
C </t>
  </si>
  <si>
    <t>Other Supplies &amp; Expenses</t>
  </si>
  <si>
    <t xml:space="preserve">R&amp;M Other Structures </t>
  </si>
  <si>
    <t>FORWARDED BALANCE</t>
  </si>
  <si>
    <t>Telephone Expenses-Mobile</t>
  </si>
  <si>
    <t>R&amp;M-Machinery &amp; Equipment-Office 
Equipment</t>
  </si>
  <si>
    <t>Labor &amp; Wages</t>
  </si>
  <si>
    <t>Office Equipment Expenses</t>
  </si>
  <si>
    <t>Other Supplies Expenses</t>
  </si>
  <si>
    <t>Semi-Expendible Office Equipment 
Expenses</t>
  </si>
  <si>
    <t>Semi-Expendible Furniture &amp; Fixtures, Furnitures, Fixtures Expenses</t>
  </si>
  <si>
    <t>Textbook &amp; Instructional Material</t>
  </si>
  <si>
    <t>Award/Praise</t>
  </si>
  <si>
    <t>Quality Assurance (COPC, ISO, Accreditation)</t>
  </si>
  <si>
    <t xml:space="preserve">Other MOOE Expenses 
(Printing &amp; Publications) </t>
  </si>
  <si>
    <t>Semi-Expendible ICT</t>
  </si>
  <si>
    <t xml:space="preserve">                                                                                                                               </t>
  </si>
  <si>
    <t>Security Services</t>
  </si>
  <si>
    <t>R&amp;M School Building</t>
  </si>
  <si>
    <t>R&amp;M Motor Vehicle</t>
  </si>
  <si>
    <t xml:space="preserve">Power Supply System </t>
  </si>
  <si>
    <t>School Building</t>
  </si>
  <si>
    <t>ICT Expenses</t>
  </si>
  <si>
    <t>Furnitures, Fixtures Expenses</t>
  </si>
  <si>
    <t>BUDGET FORWARDED</t>
  </si>
  <si>
    <t>Buildings</t>
  </si>
  <si>
    <t>SCUAA Expenses</t>
  </si>
  <si>
    <t xml:space="preserve">         </t>
  </si>
  <si>
    <t>ICT Supplies</t>
  </si>
  <si>
    <t>Telco Internet Subcriptions</t>
  </si>
  <si>
    <t>Laboratory Equipment/Apparatus</t>
  </si>
  <si>
    <t>Rapair &amp; Maintenance</t>
  </si>
  <si>
    <t>Semi Expendable Furniture &amp; Fixtures</t>
  </si>
  <si>
    <t>Clinic Supplies</t>
  </si>
  <si>
    <t>Furniture &amp; Fixtures</t>
  </si>
  <si>
    <t>Training/Seminar/Symposiums</t>
  </si>
  <si>
    <t>Clinic Equipment</t>
  </si>
  <si>
    <t>Maintenance and Repairs</t>
  </si>
  <si>
    <t>Educational Software</t>
  </si>
  <si>
    <t>R &amp; M Structure</t>
  </si>
  <si>
    <t>Textbook &amp; Instructional Materialls</t>
  </si>
  <si>
    <t>BUDGET FORWADED</t>
  </si>
  <si>
    <t>Janitorial Services</t>
  </si>
  <si>
    <t>Honoraria-Part time</t>
  </si>
  <si>
    <t>Travel Local</t>
  </si>
  <si>
    <t>Travel Foreign</t>
  </si>
  <si>
    <t>R&amp;M Office Equipmet</t>
  </si>
  <si>
    <t>Records</t>
  </si>
  <si>
    <t>Repair and Maintenance Office Equipment</t>
  </si>
  <si>
    <t>Other Supplies</t>
  </si>
  <si>
    <t>Fuel</t>
  </si>
  <si>
    <t>Purchase Request</t>
  </si>
  <si>
    <t>Meals &amp; Accommodation</t>
  </si>
  <si>
    <t xml:space="preserve">Budget Planning &amp; Preparation for 2026, Faculty and Staff Dev't. &amp; Curriculum Review </t>
  </si>
  <si>
    <t>March 21-22, 2025</t>
  </si>
  <si>
    <t xml:space="preserve">Budget Planning &amp; Preparation for 2026, Faculty and Staff Dev't. 
&amp; Curriculum Review </t>
  </si>
  <si>
    <t>Meals</t>
  </si>
  <si>
    <t>Harampang and Campus Visitation</t>
  </si>
  <si>
    <t>March 24, 2025</t>
  </si>
  <si>
    <t>Van Rental</t>
  </si>
  <si>
    <t>Van Rental Ormoc City to Merida</t>
  </si>
  <si>
    <t>March 27, 2025</t>
  </si>
  <si>
    <t xml:space="preserve">Syllabi Revision </t>
  </si>
  <si>
    <t>March 28-29, 2025</t>
  </si>
  <si>
    <t>Particulars</t>
  </si>
  <si>
    <t>Various Office Supplies</t>
  </si>
  <si>
    <t>P.R. No.:2025-02-021
P.O. No.:2025-03-049</t>
  </si>
  <si>
    <t>P.R. No.:2025-02-023
P.O. No.:2025-03-034</t>
  </si>
  <si>
    <t>Universal Printer Ink</t>
  </si>
  <si>
    <t>1 Unit Airconditioning System Split Type</t>
  </si>
  <si>
    <t>P.R. No.:2025-02-031
P.O. No.:2025-03-023</t>
  </si>
  <si>
    <t>Laboratory Equipment</t>
  </si>
  <si>
    <t>P.R. No.:2025-02-034
P.O. No.:2025-03-010</t>
  </si>
  <si>
    <t>Various Offfice Supplies</t>
  </si>
  <si>
    <t>10 boxes of Paper Fastener</t>
  </si>
  <si>
    <t>P.R. No.:2025-02-001
P.O. No.:2025-03-060</t>
  </si>
  <si>
    <t>P.R. No.:2025-02-001
P.O. No.:2025-03-058</t>
  </si>
  <si>
    <t>10 Packs sticker paper (A4), 50 Reams bond paper (A4) and 100 reams bondpaper (long)</t>
  </si>
  <si>
    <t>P.R. No.:2025-02-001
P.O.No.:2025-03-059</t>
  </si>
  <si>
    <t>Various Printer Ink</t>
  </si>
  <si>
    <t>P.R. No.:2025-02-043
P.O. No.:2025-03-016</t>
  </si>
  <si>
    <t>Office Supplies &amp; Other Supplies</t>
  </si>
  <si>
    <t>5 bottles alcohol (big) &amp; 2 pcs scissors</t>
  </si>
  <si>
    <t>P.R. No.:2025-02-043
P.O. No.:2025-03-015</t>
  </si>
  <si>
    <t xml:space="preserve">1 pc printer head black and 1 pc printer head colored </t>
  </si>
  <si>
    <t>1 trash bin, 24 rolls bathroom tissue paper, btls air freshener, 1 btl insect spray, 2 pcs disinfectant spray</t>
  </si>
  <si>
    <t>2pcs hand sanitizer</t>
  </si>
  <si>
    <t>P.R. No.:2025-02-037
P.O. No.:2025-03-041</t>
  </si>
  <si>
    <t>1 gallon rubbing alcohol</t>
  </si>
  <si>
    <t>P.R. No.:2025-02-037
P.O. No.:2025-03-042</t>
  </si>
  <si>
    <t>P.R. No.:2025-02-037
P.O. No.:2025-03-040</t>
  </si>
  <si>
    <t>P.R. No.:2025-02-032
P.O. No.:2025-03-056</t>
  </si>
  <si>
    <t>3pcs photocopier toner</t>
  </si>
  <si>
    <t>P.R. No.:2025-02-018
P.O. No.:2025-03-021</t>
  </si>
  <si>
    <t>Meals 150 pax lunch &amp; 300 pax am &amp; pm snacks for 3 days</t>
  </si>
  <si>
    <t>P.R. No.:2025-04-089
P.O. No.:2025-04-063</t>
  </si>
  <si>
    <t xml:space="preserve">Office Supplies </t>
  </si>
  <si>
    <t>P.R. No.:2025-02-021
P.O. No.:2025-03-050</t>
  </si>
  <si>
    <t>Other supplies</t>
  </si>
  <si>
    <t>Extension wire 10 meters</t>
  </si>
  <si>
    <t>P.R. No.:2025-03-055
P.O. No.:2025-03-029</t>
  </si>
  <si>
    <t>Meals 60 pax lunch and 60 pax snacks for admin council</t>
  </si>
  <si>
    <t>P.R. No.:2025-04-122
P.O. No.:2025-04-075</t>
  </si>
  <si>
    <t>P.R. No.:2025-02-038
P.O. No.:2025-03-024</t>
  </si>
  <si>
    <t>Snacks</t>
  </si>
  <si>
    <t>20 pax am snacks</t>
  </si>
  <si>
    <t>P.R. No.:2025-04-100
P.O. No.:2025-04-064</t>
  </si>
  <si>
    <t>10 reams bond paper (long), 10 reams bond paper (A4), 5 boxes binder clip (small) 10 sticky notes, 5 packs certificate paper (A4)</t>
  </si>
  <si>
    <t>P.R. No.:2025-03-057
P.O. No.:2025-03-051</t>
  </si>
  <si>
    <t>P.R. No.:2025-03-057
P.O. No.:2025-03-052</t>
  </si>
  <si>
    <t>5boxes sign pen (black) 5 boxes sign pen (red) 5 boxes sign pen 
(blue) 5 boxes binder clip (big) 10 pcs epson printer ink (bk 003), 
6pcs epson printer ink (m 003) 6pcs epson printer inl (y 003)</t>
  </si>
  <si>
    <t xml:space="preserve">2 pcs scissors, 2 boxes sign pen, 3 pcs logbook, 8 pcs correction tape, 
2 boxes fastener, 4 boxes staple wire </t>
  </si>
  <si>
    <t>P.R. No.:2025-02-026
P.O. No.:2025-03-045</t>
  </si>
  <si>
    <t>Various office supplies</t>
  </si>
  <si>
    <t xml:space="preserve">Epson L3210 ink 1 btl magenta, 1 btl blue, 1 btl yellow, 2 btls black </t>
  </si>
  <si>
    <t>P.R. No.:2025-03-056
P.O. No.:2025-03-031</t>
  </si>
  <si>
    <t>Epson L5290 ink 1 bottle magenta, 1 bottle blue,  1 bottle yellow, 2 btls black</t>
  </si>
  <si>
    <t>P.R. No.:2025-03-056
P.O. No.:2025-03-030</t>
  </si>
  <si>
    <t>15 btls computer ink (black) 5 reams bond paper (short), 10 reams bond paper (long) 10 ream bond paper (A4)</t>
  </si>
  <si>
    <t>P.R. No.:2025-02-032
P.O. No.:2025-03-057</t>
  </si>
  <si>
    <t>P.R. No.:2025-02-007
P.O. No.:2025-03-053</t>
  </si>
  <si>
    <t>Various EPSON printer ink</t>
  </si>
  <si>
    <t>P.R. No.:2025-02-008
P.O. No.:2025-03-028</t>
  </si>
  <si>
    <t>Computer mouse and 1 pc mousepad</t>
  </si>
  <si>
    <t>P.R. No.:2025-03-0544
P.O. No.:2025-03-025</t>
  </si>
  <si>
    <t>17 reams bond paper (long) 15 reams bond paper (a4)</t>
  </si>
  <si>
    <t>2 reams A3 paper</t>
  </si>
  <si>
    <t>P.R. No.:2025-02-007
P.O. No.:2025-03-054</t>
  </si>
  <si>
    <t>P.R. No.:2025-02-007
P.O. No.:2025-03-055</t>
  </si>
  <si>
    <t>R&amp;M Office Equipment</t>
  </si>
  <si>
    <t>1 kyocera MC-4105, 1pc kyocera parts pulley pick up aasy sp, 1 pc kyocera-meta parts roller retard assy sp, 1pc kyocera-meta pulley feed assy, and service charge</t>
  </si>
  <si>
    <t>P.R. No.:2025-02-044
P.O. No.:2025-03-014</t>
  </si>
  <si>
    <t>Accreditation</t>
  </si>
  <si>
    <t>Online accreditation survey for Bachelor of Secondary Education Program</t>
  </si>
  <si>
    <t>April 21-23, 2025</t>
  </si>
  <si>
    <t xml:space="preserve">10 units ceiling fan </t>
  </si>
  <si>
    <t>P.R. No.:2025-02-016
P.O. No.:2025-03-021</t>
  </si>
  <si>
    <t xml:space="preserve">Purchase Request </t>
  </si>
  <si>
    <t>Improvement of the EVSU-OC Library (Painting &amp; Electrical)</t>
  </si>
  <si>
    <t>P.R. No.:2024-09-334</t>
  </si>
  <si>
    <t>1 unit steel cabinet</t>
  </si>
  <si>
    <t>P.R. No.:2025-02-006
P.O. No.:2025-03-026</t>
  </si>
  <si>
    <t>Various office supplies (SASO)</t>
  </si>
  <si>
    <t>P.R. No.:2025-02-040
P.O. No.:2025-04-073</t>
  </si>
  <si>
    <t>5pcs CZ-005 grey w/ou arm office chair</t>
  </si>
  <si>
    <t>P.R. No.:2025-02-030
P.O. No.:2025-03-025</t>
  </si>
  <si>
    <t>3 gallon liquid hand soap, 1 pack soap powder, 2 pcs air freshener (320 ml)</t>
  </si>
  <si>
    <t>P.R. No.:2025-02-022
P.O. No.:2025-03-033</t>
  </si>
  <si>
    <t>3 pcs 70% solution alcohol</t>
  </si>
  <si>
    <t>P.R. No.:2025-02-022
P.O. No.:2025-03-032</t>
  </si>
  <si>
    <t>P.R. No.:2025-03-053
P.O. No.:2025-03-061</t>
  </si>
  <si>
    <t xml:space="preserve">1 box black gel pen, 1 box blue gel pen, 1 green gel pe, 5 packs specialty paper, 1 box broad pentel pen </t>
  </si>
  <si>
    <t>P.R. No.:2025-03-053
P.O. No.:2025-03-062</t>
  </si>
  <si>
    <t>R&amp;M Other Structure</t>
  </si>
  <si>
    <t xml:space="preserve">6 pail paint, 4pcs ruler #7, 4pcs paint brush #3, 4pcs paint tray </t>
  </si>
  <si>
    <t>P.R. No.:2025-03-078
P.O. No.:2025-04-065</t>
  </si>
  <si>
    <t>Online accreditation survey conducted for Bachelor of Science in Hospitality Management  Program 3rd Survey</t>
  </si>
  <si>
    <t>P.R. No.:2025-04-121
P.O. No.:2025-05-078</t>
  </si>
  <si>
    <t>Various office supplies for graduation (Graduation Fee)</t>
  </si>
  <si>
    <t>100 pcs snacks for Recognition Day (Graduation Fee)</t>
  </si>
  <si>
    <t>1075 Ribbons (Student 930pcs, Faculty 125 pcs, staff 20pcs &amp; plaques)</t>
  </si>
  <si>
    <t>P.R. No.:2025-04-126
P.O. No.:2025-05-086</t>
  </si>
  <si>
    <t>P.R. No.:2025-04-120
P.O. No.:2025-05-080</t>
  </si>
  <si>
    <t>Meals 17 pax (lunch pack) 17 pax PM snacks During the graduation rites May 27, 2025</t>
  </si>
  <si>
    <t>8 reams bond paperA4, 7 reams bond paper long, 1 pc photocopier ink kyocera</t>
  </si>
  <si>
    <t>P.R. No.:2025-03-079
P.O. No.:2025-04-074</t>
  </si>
  <si>
    <t>200 pcs gold medal with EVSU logo emblem, 25 pcs medallion with evsu logo emblem, 50 pcs silver medal with evsu logo emblem for Recognition day. (Graduation Fee)</t>
  </si>
  <si>
    <t>P.R. No.:2025-04-108
P.O. No.:2025-05-077</t>
  </si>
  <si>
    <t>30pcs file folder A4, 30pcs file folder long, 2 boxex paper fastener metal</t>
  </si>
  <si>
    <t xml:space="preserve">Ligths and sound for Recognition and Graduation Day </t>
  </si>
  <si>
    <t>P.R. No.:2025-04-107
P.O. No.:2025-05-082</t>
  </si>
  <si>
    <t xml:space="preserve">Water Dispenser </t>
  </si>
  <si>
    <t>P.R. No.:2025-03-047
P.O. No.:2025-03-027</t>
  </si>
  <si>
    <t>Meas and accommodation for resource speaker, evsu key officials and guest attending the EVSU-OC graduation ceremony on May 27, 2025</t>
  </si>
  <si>
    <t>P.R. No.:2025-04-113
P.O. No.:2025-05-079</t>
  </si>
  <si>
    <t xml:space="preserve">Meal for the EVSU-OC Graduation Ceremony </t>
  </si>
  <si>
    <t>P.R. No.:2025-04-115
P.O. No.:2025-05-085</t>
  </si>
  <si>
    <t>Venue decoration (Rental) Ormoc City Superdome</t>
  </si>
  <si>
    <t>P.R. No.:2025-04-114
P.O. No.:2025-05-087</t>
  </si>
  <si>
    <t>Meals &amp; Snacks</t>
  </si>
  <si>
    <t>Meals and snacks for the participants for the consultation of the revised curricula, vision, mission, core values, ILO, PEOand PLOs</t>
  </si>
  <si>
    <t>P.R. No.:2025-03-088
P.o. No.:2025-04-036</t>
  </si>
  <si>
    <t>Event/Activity</t>
  </si>
  <si>
    <t>Part</t>
  </si>
  <si>
    <t>Event /Activity</t>
  </si>
  <si>
    <t>Junrey Egano</t>
  </si>
  <si>
    <t>Pick-up Documents at HRMDO EVSU Main</t>
  </si>
  <si>
    <t>January 15, 2025</t>
  </si>
  <si>
    <t>Leslie O. Tecson</t>
  </si>
  <si>
    <t xml:space="preserve">Facilitate the continuation of Medical and Dental Services </t>
  </si>
  <si>
    <t>December 2-4, 2025</t>
  </si>
  <si>
    <t>Event/Activity/Purpose</t>
  </si>
  <si>
    <t>To submit document and pick-up from Records Office, EVSU Main</t>
  </si>
  <si>
    <t>January 7,17,21, 2025</t>
  </si>
  <si>
    <t xml:space="preserve">Assesesment conducted by CHED and Regional Quality Assurance Team (RQAT, for the issuance of certificate of program compliance (COPC))of the three engineering programs </t>
  </si>
  <si>
    <t>Accommodations, Food, Token, Tarp Layout and Printing</t>
  </si>
  <si>
    <t>February 3, 2025</t>
  </si>
  <si>
    <t>Submit and pick-up documents at the office of the President, HRMDO, Records, COA, Research and Development at EVSU Main</t>
  </si>
  <si>
    <t>January 24, 2025</t>
  </si>
  <si>
    <t>Ma. Ederlina S. Duallo</t>
  </si>
  <si>
    <t>To submit document and pick-up from the Vice-President for academic affais, Office of University President and Records Office, EVSU Main</t>
  </si>
  <si>
    <t>January 28, 2025</t>
  </si>
  <si>
    <t>Angela M. Coquilla</t>
  </si>
  <si>
    <t>Attended the accounting workshop to work on the compliance of annual financial reporting, previous COA, AOMS, general ledges and subsidiary ledger's (all funds) and make proposals for adjusting entries at EVSU Main.</t>
  </si>
  <si>
    <t>January 30-31, 2025</t>
  </si>
  <si>
    <t>Dixie Jean V. Caresosa</t>
  </si>
  <si>
    <t>January 20, 2025</t>
  </si>
  <si>
    <t>Attended the DBM onsite validation on capital outlay projects and programs across campuses at EVSU Main.</t>
  </si>
  <si>
    <t>Travelled/Trainings/Seminar</t>
  </si>
  <si>
    <t>Attended the public procurement specialist certification course level I (basic) via zoom</t>
  </si>
  <si>
    <t>Julito Acebron &amp; Ariel Morilla</t>
  </si>
  <si>
    <t>Feb 11-14 and Feb 18-21, 2025</t>
  </si>
  <si>
    <t>Glenda M. Barquin</t>
  </si>
  <si>
    <t>January 13, 2025</t>
  </si>
  <si>
    <t>Attended the course syllabus writing workshop and curriculum review at EVSU Main.</t>
  </si>
  <si>
    <t>Submit documents for the 69th administrative council meeting regarding modification of funds of EVSU-OC at EVSU Main.</t>
  </si>
  <si>
    <t>January 30, 2025</t>
  </si>
  <si>
    <t xml:space="preserve">Particulars </t>
  </si>
  <si>
    <t>Travel/Training/Seminar</t>
  </si>
  <si>
    <t>Romulo Joseph M. Jereza, IV</t>
  </si>
  <si>
    <t>January 22, 2025</t>
  </si>
  <si>
    <t>To carry out improtant tasks related to our Library operation and to prepare for the upcoming accreditation requirements.</t>
  </si>
  <si>
    <t>Roxy C. Bandejo</t>
  </si>
  <si>
    <t>To attend the meeting to discuss preparation for the upcoming 118th founding anniversary celebration at EVSU Main</t>
  </si>
  <si>
    <t>January 23, 2025</t>
  </si>
  <si>
    <t>Richard P. Impas</t>
  </si>
  <si>
    <t>To attend the DBM onsite validation of capital outlay projects and programs across campuses at EVSU Main.</t>
  </si>
  <si>
    <t>Joel M. Capala</t>
  </si>
  <si>
    <t>Discussed with VPAA Lydia Morante the planned restructuring of the department in EVSU-OC at EVSU main.
To observe the CHED and RQAT visit for BSME COPC validation at EVSU Main.</t>
  </si>
  <si>
    <t>January 6, 2025 &amp; January 15, 2025</t>
  </si>
  <si>
    <t>Jomar G. Navarro</t>
  </si>
  <si>
    <t>Attended the meeting with VPAA Lydia morante regarding the department's application for COPC and the propose departmentalization of engineering department at EVSU Main</t>
  </si>
  <si>
    <t>Robert G. Navarro</t>
  </si>
  <si>
    <t>Dina C. Capala</t>
  </si>
  <si>
    <t>To withdraw flu and pneumoccocal vaccines intended for vaccinations and other concers to be communicated to university medical office for the continuation of medical services at EVSU Main</t>
  </si>
  <si>
    <t>January 6, 2025</t>
  </si>
  <si>
    <t>To withdraw additional vaccine vials at EVSU Main</t>
  </si>
  <si>
    <t>To retrieve the issued medical certificates and attached documents of the students from the Teacher Education Department submitted to the University Medical Officer and follow-up the Pneummococcal Vaccines for transport if available at EVSU Main.</t>
  </si>
  <si>
    <t>Ariel C. Morilla</t>
  </si>
  <si>
    <t>To pick-up the approved documents to the office of the Vice President, President's office and Commission on Audit.</t>
  </si>
  <si>
    <t>January 3,7,10,14,17,23, 2025</t>
  </si>
  <si>
    <t>January 6, 2025 &amp; January 8, 2025</t>
  </si>
  <si>
    <t>Morley O. Mullaneda</t>
  </si>
  <si>
    <t>Cherly T. Hernandez</t>
  </si>
  <si>
    <t>February 4, 2025</t>
  </si>
  <si>
    <t>Phoebe S. Lanzaderas</t>
  </si>
  <si>
    <t>Attended the DBM onsite validation of capital outlay projects and programs across campuses at EVSU Main.</t>
  </si>
  <si>
    <t>Genelyn M. Calzada</t>
  </si>
  <si>
    <t>February 4-5, 2025</t>
  </si>
  <si>
    <t>To participate in a two-day activity entitled : "EVSU Scopus Journey" with the theme expanding scopus research: diversity publications, preparing manuscript for successful publications: at EVSU Main.</t>
  </si>
  <si>
    <t>Ma. Salud N. Rosillo</t>
  </si>
  <si>
    <t xml:space="preserve">To conduct medical and dental services in EVSU-OC </t>
  </si>
  <si>
    <t>January 22-24, 2025</t>
  </si>
  <si>
    <t>Geralyn L. Oracion</t>
  </si>
  <si>
    <t>To submit GL &amp; SL additional journal entry vouchers and adjustments and other year-end financial reports for EVSU-accunting Main and COA at EVSU Main</t>
  </si>
  <si>
    <t>February 6, 2025</t>
  </si>
  <si>
    <t>Joergen T. Arradaza, Jr.</t>
  </si>
  <si>
    <t>Attended an orientation on CHED Merit scholarship program at CHED Regional Office</t>
  </si>
  <si>
    <t>Attended the 69th administrative council meeting at EVSU Main</t>
  </si>
  <si>
    <t>Februar 7, 2025</t>
  </si>
  <si>
    <t>Jeffry V. Ocay</t>
  </si>
  <si>
    <t>To attend the research writeshop on GAA funded research 2024 at Cebu Grand Hotel, Cebu City</t>
  </si>
  <si>
    <t>Mary Joy B. Baltonado</t>
  </si>
  <si>
    <t>Attended an orientation/training about the on-going matters, assets, liabilities and personnel of an institution, systematically placed in order to reproduce it promptly for any future reference at EVSU Main.</t>
  </si>
  <si>
    <t>Georgina M. Orbeta</t>
  </si>
  <si>
    <t>Sarah Orge</t>
  </si>
  <si>
    <t xml:space="preserve">To submit the schedule of accounts payable, due to officers and employees and advances account to the EVSU Main accounting office as part of the year end report submission </t>
  </si>
  <si>
    <t>February 11, 2025</t>
  </si>
  <si>
    <t>Dixie Jean V. Caresosa, Erlinda Sepe, Lovely Aseo</t>
  </si>
  <si>
    <t>To attend the Non-teaching general assembly at Mimi's Resort and events place, Brgy. Dampigan Sta. Rita, Samar.</t>
  </si>
  <si>
    <t>February 28, 2025</t>
  </si>
  <si>
    <t>To attend the Part III of the International Dean's Course (IDC) at Hanoi, Vietnam</t>
  </si>
  <si>
    <t>February 24-28, 2025</t>
  </si>
  <si>
    <t xml:space="preserve">Beatrice D. Mabitad </t>
  </si>
  <si>
    <t>Joel V. Mari, Jan Paredes, Shaina Ompad, Jude Jabilles</t>
  </si>
  <si>
    <t>Marimel Caagay &amp; Jocelyn Merellos</t>
  </si>
  <si>
    <t>Carolina C. Codilla</t>
  </si>
  <si>
    <t>Junrey Egano &amp; Ronel Valeriano</t>
  </si>
  <si>
    <t>Cherly Hernandez</t>
  </si>
  <si>
    <t>February 18, 2025</t>
  </si>
  <si>
    <t>Maricel A. Gomez</t>
  </si>
  <si>
    <t>Attended the EVSU-Wide year-end assessment activity at EVSU Main</t>
  </si>
  <si>
    <t>Attended the Biiennial General assembly for faculty members from state universities and colleges in region 8 at Balay ni Tatay Resort, Babatngon, Leyte</t>
  </si>
  <si>
    <t>December 5, 2024</t>
  </si>
  <si>
    <t>December 20, 2025</t>
  </si>
  <si>
    <t>Beatrice D. Mabitad</t>
  </si>
  <si>
    <t>To attend the meeting with VPAA about the plan of restructuring the department of EVSU-OC at EVSU Main</t>
  </si>
  <si>
    <t>Attended the meeting with quality assurance/college of technology for upcoming accreditation at EVSU Main.</t>
  </si>
  <si>
    <t>Attended the ASEAN university network (AUN) qaulity assurance training yon network load based curriculum planning and implementation with authentic assessment integration at EVSU Main.</t>
  </si>
  <si>
    <t>February 11-13, 2025</t>
  </si>
  <si>
    <t>Charo D. Angelio</t>
  </si>
  <si>
    <t>Attended the course syllabus writing workshop and curriculum review at EVSU Main</t>
  </si>
  <si>
    <t xml:space="preserve">Discussed with VPAA Lydia Morante the planned restructuring of the department in EVSU-OC at EVSU Main.
To drop off and pick-up faculty at EVSU Main
</t>
  </si>
  <si>
    <t>Alan Mabitad</t>
  </si>
  <si>
    <t>Attended the ASEAN University Network (AUN) quality assurance training on workload based curriculum planning and implementation with authentic assessment integration at EVSU Main</t>
  </si>
  <si>
    <t>Glenn Mar Jess C. Baltonado</t>
  </si>
  <si>
    <t>To attend the DOST Visayas Cluster call conference at EVSU Main</t>
  </si>
  <si>
    <t>January 17, 2025</t>
  </si>
  <si>
    <t>Lyra C. Rodriguez</t>
  </si>
  <si>
    <t>Franz Martin S. Callano</t>
  </si>
  <si>
    <t>Mary Ann B. Osores</t>
  </si>
  <si>
    <t>Submit documents to the office of the Vice president for academic affairs, office of the university president, records office at EVSU Main.</t>
  </si>
  <si>
    <t>February 12, 2025</t>
  </si>
  <si>
    <t>Erlinda G. Sepe</t>
  </si>
  <si>
    <t>February 19, 2025</t>
  </si>
  <si>
    <t>Kristine Lovele E. Navarrete</t>
  </si>
  <si>
    <t>Carolina P. Codilla</t>
  </si>
  <si>
    <t>To participaate in hosting and take charge of the booth for the "TABO HA EVSU" trade fair at EVSU Main</t>
  </si>
  <si>
    <t>February 18-20, 2025</t>
  </si>
  <si>
    <t>Submit documents to the office of the Vice president for academic affairs, office of the university president, HRMDO at EVSU Main.</t>
  </si>
  <si>
    <t>February 26, 2025</t>
  </si>
  <si>
    <t>February 17-19, 2025</t>
  </si>
  <si>
    <t>To submit purchase orders to the office of the commission on audit (COA), other documents to the office of the university president, and pick-up approved documents at EVSU Main.</t>
  </si>
  <si>
    <t>February 7, 10, 17, 26, 2025</t>
  </si>
  <si>
    <t>Angela M. Coquilla, Sarah Orge, Daniel Dalaguit</t>
  </si>
  <si>
    <t>Jeff Marmita &amp; Sara Jane Endriano</t>
  </si>
  <si>
    <t>Attended the COA Exit conference on compliane audit  at EVSU Main</t>
  </si>
  <si>
    <t>March 11, 2025</t>
  </si>
  <si>
    <t>Michael Mendoza, Jr.</t>
  </si>
  <si>
    <t>To submit and present the evaluation report to VPAA Lydia M. Morante and Dean Vinyl Oquiño at EVSU Main</t>
  </si>
  <si>
    <t>March 10, 2025</t>
  </si>
  <si>
    <t>Various Laboratory Equipment</t>
  </si>
  <si>
    <t>Lyra Rodriguez, Lloyd Fernan Monte, Quiruben Dejano, Glenn-Mark Serafica, Kyle David Teologo &amp; Krista Resurrection Pacia</t>
  </si>
  <si>
    <t>To attend the PACSA National Mid-year Conevention at Tagum City.</t>
  </si>
  <si>
    <t>April 2-4, 2025</t>
  </si>
  <si>
    <t>Jocelyn Merellos</t>
  </si>
  <si>
    <t>February 19-20, 2025 &amp; February 21, 2025</t>
  </si>
  <si>
    <t>Rosita Lariosa</t>
  </si>
  <si>
    <t>Conduct monitoring and assessment of interns in Boracay and Cebu City</t>
  </si>
  <si>
    <t>February 24-26, 2025 and February 26-27, 2025</t>
  </si>
  <si>
    <t>Mary Joy Baltonado</t>
  </si>
  <si>
    <t>February 24-27, 2025</t>
  </si>
  <si>
    <t>Conduct monitoring and assessment of interns in Cebu City</t>
  </si>
  <si>
    <t>March 17-19, 2025</t>
  </si>
  <si>
    <t>To attend the COA entrance conferencce for audit at EVSU Main.
To attend the Parangal 2025 at People Center &amp; Library, Tacloban City</t>
  </si>
  <si>
    <t>February 11, 2025 &amp; February 2025</t>
  </si>
  <si>
    <t>Charlene C. Pita</t>
  </si>
  <si>
    <t>To attend the Philippine Guidance and Counseling Association (PGCA) for its upcoming 26th Annual Conference and Professional Decelopment Training</t>
  </si>
  <si>
    <t>March 13-14, 2025</t>
  </si>
  <si>
    <t>Lyra Rodriguez, Ivan Huerta, Kyle Teologo, Krista Pacia, Quiroben Dejano, Glen Serafica, Lera Arpon</t>
  </si>
  <si>
    <t>To attend the constitutional &amp; by laws (CBL) of FSG, SSG, and conceptualization for the proposed plan of the FSG at EVSU Main</t>
  </si>
  <si>
    <t>February 7, 2025</t>
  </si>
  <si>
    <t>To attend and participate in the CY 2025 coordinators conference cum strategic planning for the implementation of scholarship program and activities in Region VIII at Hotel Alejandro, Tacloban City</t>
  </si>
  <si>
    <t>Kristine Lovele Navarrete</t>
  </si>
  <si>
    <t>To attend a meeting with all department head of the teacher education department across campuses for curriculum review at EVSU Main</t>
  </si>
  <si>
    <t>To submit documents at the offices of the university president, HRMDO and to submit syllabus at the office of the VPAA, COA, PRC at EVSU Main.</t>
  </si>
  <si>
    <t>March 5, 12, 14, 19, 26, 2025</t>
  </si>
  <si>
    <t>Morley Mullaneda</t>
  </si>
  <si>
    <t>To submit documents of the athletes who will participate the National SCUAA at EVSU Main</t>
  </si>
  <si>
    <t>March 7, 2025</t>
  </si>
  <si>
    <t>To attend the ASEAN University Network (AUN) Quality Assurance at EVSU Main</t>
  </si>
  <si>
    <t>February 12-13, 2025</t>
  </si>
  <si>
    <t>Maybelle Ricote</t>
  </si>
  <si>
    <t>Event /Activity/Purpose</t>
  </si>
  <si>
    <t>February 17 &amp; 18, 2025</t>
  </si>
  <si>
    <t>To attend the "Quarterly Monitoring Extension Accomplishment at Warren Hermano Resort, Burauen Leyte</t>
  </si>
  <si>
    <t>March 14, 2025</t>
  </si>
  <si>
    <t>To attend the capacity development on futures thinking and strategic foresight program-Module 1: Framing the futures" at EVSU-Main.</t>
  </si>
  <si>
    <t>March 17-18, 2025</t>
  </si>
  <si>
    <t>Joseph Jaymel S. Morpos</t>
  </si>
  <si>
    <t>To submit the required documents for the athletes who will participate in the national SCUAA games at EVSU Main
Submit the remaining documents of athletes participating in the National SCUAA Games 2025 at EVSU Main</t>
  </si>
  <si>
    <t>March 7 &amp; 14, 2025</t>
  </si>
  <si>
    <t>To submit the compliance report to VPAA Lydia M. Morante and Dean of Engineering Dr. Vinyl H. Oquino for further correction and additional documents at EVSU Main</t>
  </si>
  <si>
    <t>March 28, 2025</t>
  </si>
  <si>
    <t>March 20-21, 2025</t>
  </si>
  <si>
    <t>Arnie M. Cadiente</t>
  </si>
  <si>
    <t>To attend the two-day QLR seminar workshop at EVSU Main</t>
  </si>
  <si>
    <t>April 3-4, 2025</t>
  </si>
  <si>
    <t>Wilson A. Pogosa, Bernie Palacio, morley Mullaneda, Ryan Alesna, Brendelle Saso, Vince Jay Centino, Richard Guido, Jr. Hanameel Labiste, Mansueto Songahid, Bryan Yare &amp; Jake Sicsic</t>
  </si>
  <si>
    <t>Cash advance to defray the expenses for the allowances of the faculty coach/trainers in charge in the competitions for the upcoming National SCUAA Games 2025 at Camiguin Polytechnic State College, Province of Camiguin</t>
  </si>
  <si>
    <t>April 22-27, 2025</t>
  </si>
  <si>
    <t>Guillermo M. Sodomia, Fernando Bornasal, Mark Peter Parilla, Maricar Udtohan, Cerilo Soleybar III, Shan Ashley Cormanes, Raina May Pagay, Art Andrew Silvano, Axl Jhon Antigua</t>
  </si>
  <si>
    <t>Reymon Cielo, Renz Aseo, Florentino Cabido, Jr., Zozimo Jayag III, John Norman Cascara, Ann Julia Bianca Aseo, Sunshine Mansueto, Divine Poliquit</t>
  </si>
  <si>
    <t>Joseph Jaymel S. Morpos, Pol Miro, Trisha Ramos, Angel Obien, Jeanne de Guzman, Abigail c. Bagarinao, Celine Gwyneth Abapo, Eljay Debil, Haide Parilla, Diana Paton-og, Daniela Sinday, Sheren  Orellano, Angilina Baylon, Ma. Cassandra M. Paroni, Mary faith Tugonon, Alyssa Nicanor</t>
  </si>
  <si>
    <t>Wilferd Jude A. Perante</t>
  </si>
  <si>
    <t>To submit Purchase Orders to COA and other documents to the office of the VPs and the University President and Pick up approved documents from OUP at EVSU Main</t>
  </si>
  <si>
    <t>March 6,12,18,28,2025</t>
  </si>
  <si>
    <t>To atted the regional assessment for FY 2024 and target setting for the FY 2025 with HEI Presidents/Heads &amp; Unifast Focal Persons at EVSU Main</t>
  </si>
  <si>
    <t>April 15, 2025</t>
  </si>
  <si>
    <t>Melody S. Declaro</t>
  </si>
  <si>
    <t>April 10-11, 2025</t>
  </si>
  <si>
    <t xml:space="preserve">P.E. Uniforms </t>
  </si>
  <si>
    <t xml:space="preserve">P.E. uniforms 50pcs small, 60pcs medium 60pcs large, 20pcs XL, 5 pcs 2XL </t>
  </si>
  <si>
    <t>Billing Date: March 6, 2025</t>
  </si>
  <si>
    <t>To attend the reorientation, assessment and strategic planning on the university financial management at Hotel de fedis, Tacloban City</t>
  </si>
  <si>
    <t>April 22-23, 2025</t>
  </si>
  <si>
    <t>April 23-25, 2025</t>
  </si>
  <si>
    <t>Roxy Bandejo</t>
  </si>
  <si>
    <t>December 17-23, 2024</t>
  </si>
  <si>
    <t>To attend the research and creative works seminar-workshop at EVSU Main</t>
  </si>
  <si>
    <t>March 18-19, 2025</t>
  </si>
  <si>
    <t>March 19, 2025</t>
  </si>
  <si>
    <t>To submit necessary documents for the athletes who won the gold medal in the Regional SCUAA 2025 held in Calbayog City Samar at EVSU Main</t>
  </si>
  <si>
    <t>April 2, 2025</t>
  </si>
  <si>
    <t>Submit documents to the office of the university president VPAA, COA, NSTP-CWTS and CHED at EVSU Main</t>
  </si>
  <si>
    <t>April 3 &amp; 10, 2025</t>
  </si>
  <si>
    <t>Georgina Orbeta</t>
  </si>
  <si>
    <t>To attend the capacity development on futures thinking and strategic foresight program-Module 1: Framing the futures" at EVSU-Main.
To attend the capacity development on futures thinking and strategic foresight program-Module 1: Framing the futures" at EVSU-Main.</t>
  </si>
  <si>
    <t>March 17-18, 2025 &amp; March 20-21, 2025</t>
  </si>
  <si>
    <t>Joel V. Mari</t>
  </si>
  <si>
    <t>February 5, 2025</t>
  </si>
  <si>
    <t>Shaina Ompad</t>
  </si>
  <si>
    <t>Jan Paredes</t>
  </si>
  <si>
    <t>April 10, 2025</t>
  </si>
  <si>
    <t>To attend the re-orientation assessment and strategic planning on the university's finance management at the hotel de fedis, tacloban city</t>
  </si>
  <si>
    <t>To attend the career guidance culmination program at Matag-ob, Leyte</t>
  </si>
  <si>
    <t>April 25, 2025 and May 2, 2025</t>
  </si>
  <si>
    <t>To attend the government record officers association of the Philippines, Managing electronic records for security accessibility, operational efficiency at La Carmela de Boracay, Station 2, Malay, Aklan</t>
  </si>
  <si>
    <t xml:space="preserve">To submit documents to the office of the University President, VPAA, VPRDE, HRMDO, and COA at EVSU Main.
To submit documents to the office of the board secretary, legal office, VPAA, CHED and other relevant officers at EVSU Main </t>
  </si>
  <si>
    <t>April 15, 2025 and April 28, 2025</t>
  </si>
  <si>
    <t>June 3-4, 2025</t>
  </si>
  <si>
    <t>Angel Coquilla &amp; Sarah Orge</t>
  </si>
  <si>
    <t>To attend the Philippine Institute of Public Accountants (PICPA) Inc. 5th National Summit on Government Procurement at Ilo-ilo Grand Hotel, Iloilo City.</t>
  </si>
  <si>
    <t>To attend the the COA-EXIT conference at EVSU Main</t>
  </si>
  <si>
    <t>May 5, 2025</t>
  </si>
  <si>
    <t>To attend the 70th Administrative Council Meeting at EVSU Main</t>
  </si>
  <si>
    <t>May 6, 2025</t>
  </si>
  <si>
    <t>To participate on the ceremonial turnover of research funds and pre-implementation orientation at EVSU Main.</t>
  </si>
  <si>
    <t>May 7, 2025</t>
  </si>
  <si>
    <t>To attend the upcoming Public forum at EVSU Main</t>
  </si>
  <si>
    <t>May 9, 2025</t>
  </si>
  <si>
    <t>Franz Martin Callano</t>
  </si>
  <si>
    <t>To attend the 2025 National Folk Dance Workshop at Koronadal City, South Cotabato</t>
  </si>
  <si>
    <t>June 17, 2025</t>
  </si>
  <si>
    <t>To participate in the PASUC National SCUAA Games 2025 at Camiguin Polytechnic State College, Provice of Camiguin</t>
  </si>
  <si>
    <t>To attend the re-orientation assessment and strategic planning on the university's financial management at Hotel de Fedis, Tacloban City.</t>
  </si>
  <si>
    <t>April 10-11, 2025, April 22, 2025 and May 2, 2025</t>
  </si>
  <si>
    <t>Antonio E. Naboya, Jr.</t>
  </si>
  <si>
    <t>To observe the RQAT visit for BSME COPC validation at EVSU Main.
To present and submit the evaluation report to VPAA Lydia M. Morante and Dean Dr. Vinyl H. Oquino at EVSU Main.
To submit the compliance report to VPAA Lydia M. Morante and Dean Engineering Dr. Vinyl H. Oquino for further correction and additional documents at EVSU Main</t>
  </si>
  <si>
    <t>January 15, 2025, March 10, 2025 and March 28, 2028</t>
  </si>
  <si>
    <t>To present and submit the evaluation report to VPAA Lydia M. Morante and Dean Dr. Vinyl H. Oquino at EVSU Main.
To submit the compliance report to VPAA Lydia M. Morante and Dean Engineering Dr. Vinyl H. Oquino for further correction and additional documents at EVSU Main</t>
  </si>
  <si>
    <t>March 10 &amp; 28, 2025</t>
  </si>
  <si>
    <t>To participate in the 2025 PAEPI International Extension Congress at Siargao Island in Surigao del Norte</t>
  </si>
  <si>
    <t>June 10-13, 2025</t>
  </si>
  <si>
    <t>Meals 160 pax for fellowship night on May 27, 2025</t>
  </si>
  <si>
    <t>P.R. No.:2025-04-131
P.O. No.:2025-05-095</t>
  </si>
  <si>
    <t>Led Wall and Live Camera and Documentation (3-Camea Set Up) Live Video Recording and Screaming of the 22nd Commencement Exercises on May 27, 2025</t>
  </si>
  <si>
    <t>P.R. No.:2025-04-127
P.O. No.:2025-05-084</t>
  </si>
  <si>
    <t>P.R. No.:2025-03-082
P.O. No.:2025-05-089</t>
  </si>
  <si>
    <t>Meals and Snacks</t>
  </si>
  <si>
    <t>Meals and snacks 50 pax for 2 days for university ethics board finalization an May 29 &amp; 30, 2025</t>
  </si>
  <si>
    <t>P.R. No.:2025-04-124
P.O. No.:2025-05-101</t>
  </si>
  <si>
    <t>4 units photo copier toner (kyocera taskalfa 2020)</t>
  </si>
  <si>
    <t>P.R. No.:2025-02-035
P.O. No.:2025-03-011</t>
  </si>
  <si>
    <t>Computer</t>
  </si>
  <si>
    <t>2 set desktop computer (all in one) and 1 unit printer (all in one)</t>
  </si>
  <si>
    <t>P.R. No.:2025-02-029
P.O. No.:2025-03-043</t>
  </si>
  <si>
    <t>LPG Gas</t>
  </si>
  <si>
    <t>15 unit LPG Gas Tank Refill (15kls)</t>
  </si>
  <si>
    <t>P.R. No.:2025-03-083
P.O. No.:2025-05-083</t>
  </si>
  <si>
    <t>Desktop</t>
  </si>
  <si>
    <t>10 unit desktop computer (all in one)</t>
  </si>
  <si>
    <t>P.R. No.:2025-02-014
P.O. No.:2025-04-072</t>
  </si>
  <si>
    <t>P.R. No.:2025-02-033
P.O. No.:2025-03-048</t>
  </si>
  <si>
    <t>Printer</t>
  </si>
  <si>
    <t>1 unit printer 3in1 ink jet multicfunction centre</t>
  </si>
  <si>
    <t>P.R. No.:2025-03-069
P.O. No.:2025-04-066</t>
  </si>
  <si>
    <t>P.R. No.:2025-02-033
P.O. No.:2025-03-047</t>
  </si>
  <si>
    <t>Various Office supplies</t>
  </si>
  <si>
    <t>P.R. No.:2025-03-082
P.O. No.:2025-05-090</t>
  </si>
  <si>
    <t>Meals, lunch, am snacks and om snacksfor stakeholders meeting on proposed curriculum for BSIT and drafting BSIS curriculum</t>
  </si>
  <si>
    <t>To submit the three extension proposals to the office of the director for extension services at EVSU Main.</t>
  </si>
  <si>
    <t>May 15, 2025</t>
  </si>
  <si>
    <t>May 16, 2025</t>
  </si>
  <si>
    <t>To attend the 19th National Congress  of NSTP Educators and Implementers at Golden Peak Hotel Cebu City</t>
  </si>
  <si>
    <t>July 2-4, 2025</t>
  </si>
  <si>
    <t>Rosita D. Lariosa</t>
  </si>
  <si>
    <t>Glenn Mar Jess Baltonado</t>
  </si>
  <si>
    <t>Junrey V. Egano</t>
  </si>
  <si>
    <t>To pick up the request for certificate of institutional performance and the national passing percentage &amp; summit course syllabus of the education department and other documents at EVSU Main.</t>
  </si>
  <si>
    <t>May 2, 2025</t>
  </si>
  <si>
    <t>Submit documents to the records office, VPAA, VPRDE and other relevant office &amp; pick up approved contract of the COS at EVSU Main</t>
  </si>
  <si>
    <t>To submit the diplomas of the graduating students for signature of the university president and to deliver communication letters to the records office and other relevant offices at EVSU  Main</t>
  </si>
  <si>
    <t>May 14, 2025</t>
  </si>
  <si>
    <t>To pick up the approved percentage of the latin honors and to submit a communication letters to the records office and other relevant offices at EVSU Main</t>
  </si>
  <si>
    <t>Ronel S. Valeriano</t>
  </si>
  <si>
    <t>May 21-23, 2025</t>
  </si>
  <si>
    <t>April 23-25, 2025 and May 21-23, 2025</t>
  </si>
  <si>
    <t>Rowena E. Ticala</t>
  </si>
  <si>
    <t xml:space="preserve">To attend the GSIS individual account premium reconciliation activity at Leyte Normal University, HRDC Gymnasium, Tacloban City </t>
  </si>
  <si>
    <t>To submit communication letter to the office of the university presiddent, VPAA, records and other relevant offices and to pick up approved documents includiing the certificate of recognition at EVSU Main.</t>
  </si>
  <si>
    <t>May 21, 2025</t>
  </si>
  <si>
    <t>Rechel O. Caliwan</t>
  </si>
  <si>
    <t>To conduct benchmarking for the best practices of their program in BSME, BSEE, and BSCE at Biliran Province State University Main Campus</t>
  </si>
  <si>
    <t>April 8, 2025</t>
  </si>
  <si>
    <t>John Albert A. Laboga</t>
  </si>
  <si>
    <t>To attend the 2025 Rex higher education roadshow at University of San Jose Recoletos Cebu City.</t>
  </si>
  <si>
    <t>June 5-7, 2025</t>
  </si>
  <si>
    <t>To submit urgent communication letter to the office of the university president, VPAA, records and other relevant offices and pick up approved documents, including the diplomas of the graduating students at EVSU Main.</t>
  </si>
  <si>
    <t>May 26 &amp; 29, 2025</t>
  </si>
  <si>
    <t>Smart and Android TV</t>
  </si>
  <si>
    <t xml:space="preserve">8 units 65 inches smart/android TV with wall bracket </t>
  </si>
  <si>
    <t>P.R. No.:2025-02-012
P.O. No.:2025-04-067</t>
  </si>
  <si>
    <t>Computer &amp; Printer</t>
  </si>
  <si>
    <t>P.R. No.:2025-03-074
P.O. No.:2025-05-099</t>
  </si>
  <si>
    <t>Printer Ink</t>
  </si>
  <si>
    <t>Varius printer ink</t>
  </si>
  <si>
    <t>P.R. No.:2025-02-045
P.O. No.:2025-05-097</t>
  </si>
  <si>
    <t>Printer ink 3 bottles cyan, 3 magenta, 3 bottles yellow</t>
  </si>
  <si>
    <t>P.R. No.:2025-02-045
P.O. No.:2025-05-096</t>
  </si>
  <si>
    <t>Cheryl Sabal</t>
  </si>
  <si>
    <t>Charlene Pita</t>
  </si>
  <si>
    <t>To attend the 1st quarter performance management team at EVSU Main</t>
  </si>
  <si>
    <t>May 30, 2025</t>
  </si>
  <si>
    <t>Attended the 1st quarter performance management team meeting at EVSU Main</t>
  </si>
  <si>
    <t>To attend the parangal 2025 at convention center, Tacloban City</t>
  </si>
  <si>
    <t>February 20, 2025</t>
  </si>
  <si>
    <t>Daniel M. Dalaguit</t>
  </si>
  <si>
    <t>To submit the monthly report for the month of May 2025</t>
  </si>
  <si>
    <t>June 3, 2025</t>
  </si>
  <si>
    <t>P.R. No.:2025-02-041
P.O. No.:2025-05-106</t>
  </si>
  <si>
    <t>P.R. No.:2025-02-041
P.O. No.:2025-05-107</t>
  </si>
  <si>
    <t>Water Dispenser</t>
  </si>
  <si>
    <t>P.R. No.:2025-03-067
P.O. No.:2025-05-100</t>
  </si>
  <si>
    <t>Computer Set</t>
  </si>
  <si>
    <t xml:space="preserve">12 desktop computer set with complete accessories </t>
  </si>
  <si>
    <t>P.R. No.:2025-02-010
P.O. No.:2025-04-071</t>
  </si>
  <si>
    <t>Fuel/Oil</t>
  </si>
  <si>
    <t>1,500 liters of fuel (petrolium, oil, lubricant (POL))</t>
  </si>
  <si>
    <t>P.R. No.:2025-03-049
P.O. No.:2025-06-105</t>
  </si>
  <si>
    <t>Sara Jane C. Endriano</t>
  </si>
  <si>
    <t>To attend the "Re-orientation, assessment and strategic planning on the university's financial management at hotel de fedis, tacloban city.</t>
  </si>
  <si>
    <t>To submit several essential documents related to the upcoming educational tour for the BSHM Program at EVSU Main</t>
  </si>
  <si>
    <t>June 11, 2025</t>
  </si>
  <si>
    <t>Beginning Balance</t>
  </si>
  <si>
    <t>P.R. No.:2025-04-042
P.O. No.:2025-03-019</t>
  </si>
  <si>
    <t>P.R. No.:2025-04-042
P.O. No.:2025-03-018</t>
  </si>
  <si>
    <t>For Training/Workshop Vision 2025: Crafting Strategic Planning Curriculum Review for BSIT, BSIS, BMMA Program Blueprint on March 27, 2025</t>
  </si>
  <si>
    <t>P.R. No.:2025-03-051
P.O. No.:2025-03-007</t>
  </si>
  <si>
    <t>Budget Planning &amp; Preparation for 2026, Faculty and Staff Dev't. &amp; Curriculum Review on March 21-22, 2025</t>
  </si>
  <si>
    <t>P.R. No.:2025-02-024
P.O. No.:2025-03-006</t>
  </si>
  <si>
    <t>P.R. No.:2025-03-064
P.O. No.:2025-03-004</t>
  </si>
  <si>
    <t>P.R. No.:2025-03-052
P.O. No.:2025-03-008</t>
  </si>
  <si>
    <t>To attend the 2025 PASUC midterm convention and general assembly at SMX convention center manila pasay city.</t>
  </si>
  <si>
    <t>July 9-11, 2025</t>
  </si>
  <si>
    <t>To attend the extension impact assessment at EVSU Main</t>
  </si>
  <si>
    <t>June 23-24, 2025</t>
  </si>
  <si>
    <t>To submit communication letter to the office of the university presiddent, VPAA, records and other relevant offices and to pick up approved documents including the certificate of recognition at EVSU Main.</t>
  </si>
  <si>
    <t>June 5, 11, 19, 25, 2025</t>
  </si>
  <si>
    <t>Seminar and Trainings</t>
  </si>
  <si>
    <t>Seminar/Trainings</t>
  </si>
  <si>
    <t xml:space="preserve">Travel </t>
  </si>
  <si>
    <t>Rewards and Incentives</t>
  </si>
  <si>
    <t>To attend the BEST 2025 International Conference on Business, Education, Social Sciences, and Technology, as Research presenter at La Carmela de Boracay Hotel, Boracay, Islan Aklan</t>
  </si>
  <si>
    <t>July 17-19, 2025</t>
  </si>
  <si>
    <t>Edward B. Bertulfo</t>
  </si>
  <si>
    <t>To attend the onsite seminar-workshop on outcome based quality assurance: an overview for new accreditors, internal quality assurance and non-academic personnel at century park hotel, 599 P. Ocampo Street, Malate Manila.</t>
  </si>
  <si>
    <t>Morley O. Mullaned</t>
  </si>
  <si>
    <t>To pick-up and drop off the campus director and attend commencement exercise at Dulag Campus and EVSU Main</t>
  </si>
  <si>
    <t>June 17-18, 20, 24, 26, 27, 2025</t>
  </si>
  <si>
    <t>Jereco Jims J. Agapito</t>
  </si>
  <si>
    <t>Ronel P. Mas</t>
  </si>
  <si>
    <t>To submit purchase order and to ensure that these documents are properly received and acknowlegde by the commission on audit (COA) and Attended the 70th administrative council meeting for FY 2025 at EVSU Main</t>
  </si>
  <si>
    <t>April 28, 2025 and May 5, 6, 20, 28, 2025 and June 16, 23, 2025</t>
  </si>
  <si>
    <t>Ma. Flordelis L. Arnosa</t>
  </si>
  <si>
    <t>To participate in a training on menu design and revenue management at fuente hotel de Cebu</t>
  </si>
  <si>
    <t>June 28, 2025</t>
  </si>
  <si>
    <t>Julito F. Acebron</t>
  </si>
  <si>
    <t>Alvijean S. Weti</t>
  </si>
  <si>
    <t>To participate in a training on menu design and revenue management at Fuente Hotel de Cebu.</t>
  </si>
  <si>
    <t>To attend the Scientific career system SCS orientation and Mentoring "Be a career scientist" in Central Visayas in Partnership of Department of Science and Technology (DOST) in Cebu City</t>
  </si>
  <si>
    <t>June 25-26, 2025</t>
  </si>
  <si>
    <t>To attend the Phase 3: Training workshop on selected methods for impact assessment of extension project/programs at EVSU Main</t>
  </si>
  <si>
    <t>Guillermo M. Sodomia</t>
  </si>
  <si>
    <t xml:space="preserve">To attend as evaluator for COPC issuance of Bachelor Industrial Technology Programs of Palompon Institute of Technology Main Campus and Palompon Institute of Technology Tabango Campus </t>
  </si>
  <si>
    <t>June 23-25, 2025</t>
  </si>
  <si>
    <t>To attend the second batch training on Republic Act (RA 9184) and its recent amendments under RA 12009 at Radian Hotel, Dadison Street, Tacloban City</t>
  </si>
  <si>
    <t>July 29-31, 2025</t>
  </si>
  <si>
    <t>To attend the second batch training on Republic Act (RA 9184) and its recent amendments under RA 12009 at Radiant Hotel, Dadison Street, Tacloban City</t>
  </si>
  <si>
    <t>To attend the second batch training on Republic Act (RA 9184) and its recent amendments under RA 12009 at Radiant Hotel, Dadison Street, Tacloban City.</t>
  </si>
  <si>
    <t>To submit the required document by the accounting office, as an attachment to the voucher related to February 2025 report for submission to COA, submit documents to HRMDO, submit DTR to COED, and pick up March report to van-vans station at EVSU Main.
To pick-up document in the COA office and submit monthly financial report month of April &amp; June 2025 at EVSU Main</t>
  </si>
  <si>
    <t>April 21, 2025, May 5, 2025 and July 3, 2025</t>
  </si>
  <si>
    <t>June 1-7, 2025</t>
  </si>
  <si>
    <t xml:space="preserve">To attend the re-echo training at EVSU Main </t>
  </si>
  <si>
    <t>April 29-30, 2025, May 2, 5-7, 28-30, 2025</t>
  </si>
  <si>
    <t xml:space="preserve">To attend the second batch training on Republic Act (RA 9184) and its recent amendments under RA 12009 at Radiant Hotel, Dadison Street, Tacloban City </t>
  </si>
  <si>
    <t xml:space="preserve">To attend the upcoming EVSU Charter Day Celebration in the Search for Mr. &amp; Ms. EVSU (Wide) 2025 </t>
  </si>
  <si>
    <t>August 22-23, 26, 29 and September 1-3, 2025</t>
  </si>
  <si>
    <t>Reymon N. Cielo</t>
  </si>
  <si>
    <t>To attend the first regional NSTP Educator and implementer's congress at EVSU Main</t>
  </si>
  <si>
    <t>August 9, 2025</t>
  </si>
  <si>
    <t>Jesiel T. Arcillas</t>
  </si>
  <si>
    <t>To accompany the admi personnel to submit the monthly financial report in the accounting office for the month of July 2025 at EVSU Main</t>
  </si>
  <si>
    <t>August 5, 2025</t>
  </si>
  <si>
    <t>To pick-up and drop off the campus director at the EVSU Main</t>
  </si>
  <si>
    <t>Joseph T. Gudelos</t>
  </si>
  <si>
    <t>To submit EVHRDC-Funded research related documents to Main-Tacloban and DOST Region 8 at EVSU Main</t>
  </si>
  <si>
    <t>August 6, 2025</t>
  </si>
  <si>
    <t>To submit monthly financial report in the accounting office for the month of July 2025 at EVSU Main.</t>
  </si>
  <si>
    <t>To attend the second batch training on Republic Act (RA 9184) and its recent amendments under RA 12009 at Radiant Hotel, Dadison St., Tacloban City</t>
  </si>
  <si>
    <t>To attend a dialogue with senator Paolo Benigno "Bam" Aquino V at Saint Paul School of Professional Studies in Palo Leyte.</t>
  </si>
  <si>
    <t>July 24, 2025</t>
  </si>
  <si>
    <t>To submit communication letter to the office of the university president, VPAA, records and other relavant offices and pick-up approved documents at EVSU Main.</t>
  </si>
  <si>
    <t>July 17,23,30,2025</t>
  </si>
  <si>
    <t>To attend the university wide quarterly meeting of the extension services office at Carigara, Leyte</t>
  </si>
  <si>
    <t>June 20, 2025</t>
  </si>
  <si>
    <t>To attend the manual revision workshop at EVSU Main.
To attend the president's forum at EVSU Main.
To attend the CHEDRO VIII/Gawad Parangal 2025 at Palo, Leyte
To attend the University Wide Quarterly meeting of the extension services office and attend the Phase 3 of the seminar workshop on extension impact assessment at EVSU Main</t>
  </si>
  <si>
    <t>April 23, 2025, May 9, 27, 2025 and June 20-24, 2025</t>
  </si>
  <si>
    <t>To submit communication letter to the office the university president, VPAA, records and other relevant officers and to pick up approved documents and attend other matters at EVSU Main.</t>
  </si>
  <si>
    <t>July 3, 10, 2025</t>
  </si>
  <si>
    <t xml:space="preserve">Tarpaulin </t>
  </si>
  <si>
    <t>Tarpaulin printing 4x8 for seminar workshop on syllabi unification across program, TOS and TES unification  on August 1-2, 2025</t>
  </si>
  <si>
    <t>P.R. No.:2025-07-160
P.O. No.:2025-07-118</t>
  </si>
  <si>
    <t>Meal 20 pax dinner for evsunistas awards on August 29, 2025 at Leyte Academic Center, Palo Leyte</t>
  </si>
  <si>
    <t>P.R. No.:2025-07-190
P.O. No.:2025-08-140</t>
  </si>
  <si>
    <t>Dinner meals for evsunistas awards and fellowship night on August 29, 2025 at Leyte Academic Center, Palo Leyte</t>
  </si>
  <si>
    <t>Dinner meals for evsunistas awards and fellowship night at Leyte Academic Center, Palo Leyte on August 29,2025.</t>
  </si>
  <si>
    <t>Dinner meals for EVSUNISTAS Awards and Fellowship Night at Leyte Academic Center, Palo Leyte on August 29, 2025</t>
  </si>
  <si>
    <t>Dinner meals for evsunistas awards and fellowship night at Leyte Academic Center, Palo Leyte on August 29, 2025</t>
  </si>
  <si>
    <t>Dinner meals for EVSUNISTAS awards and fellowship Night at Leyte Academic Center, Palo Leyte on August 29, 2025</t>
  </si>
  <si>
    <t>P.R. No.:2025-03-058
P.O. No.:2025-06-106</t>
  </si>
  <si>
    <t>10pcs photo copier toner and various printer ink</t>
  </si>
  <si>
    <t>Meals 50 pax lunch, 50 pax morning snacks, and 50 pax afternoon snacks</t>
  </si>
  <si>
    <t>P.R. No.:2025-06-143
P.O. No.:2025-07-112</t>
  </si>
  <si>
    <t>Various Supplies</t>
  </si>
  <si>
    <t>Paint 4 pail chocolate brown, 5 pail bone ivory, 2 pail white, 10pcs masking tape No. 2, 8pcs ruler No. 7, 8 pcs paint brush No. 3, 6pcs paint tray</t>
  </si>
  <si>
    <t>P.R. No.:2025-07-147
P.O. No.:2025-08-135</t>
  </si>
  <si>
    <t>Meals 35 pax lunch and 70 pax am &amp; pm snacks</t>
  </si>
  <si>
    <t>P.R. No.:2025-07-153
P.O. No.:2025-08-133</t>
  </si>
  <si>
    <t>P.R. No.:2025-07-173
P.O. No.:2025-08-131</t>
  </si>
  <si>
    <t>Meals 140 pax lunch for the turn over ceremony of the new appointed campus director on August 8, 2025</t>
  </si>
  <si>
    <t>P.R. No.:2025-07-162
P.O. No.:2025-08-132</t>
  </si>
  <si>
    <t>To attend a dialogue with senator Paolo Benigno "Bam" Aquino V at Saint Paul School of Professional Studies in Palo Leyte</t>
  </si>
  <si>
    <t>Polo Shirts</t>
  </si>
  <si>
    <t xml:space="preserve">Purchase of Charter Day Polo Shirt 2025 for the Charter Day 2025 Celebration </t>
  </si>
  <si>
    <t>P.R. No.:2025-04-090
P.O. No.:2025-07-114</t>
  </si>
  <si>
    <t xml:space="preserve">Charter Day Polo Shirt </t>
  </si>
  <si>
    <t xml:space="preserve">Purchase of Charter Day Polo Shirt 2025 for the Charter Day Celebration </t>
  </si>
  <si>
    <t>Charter Day Polo Shirt</t>
  </si>
  <si>
    <t>Charter day polo shirt for EVSU charter day 2025</t>
  </si>
  <si>
    <t>Polo Shirt</t>
  </si>
  <si>
    <t>Charter Day Polo Shirt for charter day 2025</t>
  </si>
  <si>
    <t xml:space="preserve">90pax am &amp; pm snacks for 2 days for seminar workshop on syllabi unification across program, TOS and TEST unification on August 1-2, 2025 </t>
  </si>
  <si>
    <t>P.R. No.:2025-07-159
P.O. No.:2025-07-117</t>
  </si>
  <si>
    <t>Honoraria-Overload</t>
  </si>
  <si>
    <t>To attend the 70th Administrative Council Meeting for FY 2025  at EVSU Main.</t>
  </si>
  <si>
    <t>P.R. No.:2025-04-118
P.O. No.:2025-08-123</t>
  </si>
  <si>
    <t>Various Other Supplies</t>
  </si>
  <si>
    <t>P.R. No.:2025-04-106
P.O. No.:2025-08-127</t>
  </si>
  <si>
    <t>Laptop</t>
  </si>
  <si>
    <t>Purchase of 1 unit Laptop</t>
  </si>
  <si>
    <t>P.R. No.:2025-04-129
P.O. No.:2025-08-125</t>
  </si>
  <si>
    <t>2 units waterpump (2hp, shallow well)</t>
  </si>
  <si>
    <t>P.R. No.:2025-06-157
P.O. No.:2025-08-1222</t>
  </si>
  <si>
    <t>To attend the first annual regional general assembly and convention, organized by PGCA or the Philippine guidance and counseling association Eastern Visayas Chapter, Inc. at Visayas State University, Baybay City</t>
  </si>
  <si>
    <t>September 17-19, 2025</t>
  </si>
  <si>
    <t>P.R. No.:2025-04-111
P.O. No.:2025-08-156</t>
  </si>
  <si>
    <t>To present a research paper entitled "effectiveness of peer tutoring in enhancing academic performance among first year students at Eastern Visayas State University 2025 International Conference on Multidisciplinary Action Research (ICMAR) at Biliran State University, Naval Biliran.</t>
  </si>
  <si>
    <t>September 16-19, 2025</t>
  </si>
  <si>
    <t>P.R. No.:2025-04-111
P.O. No.:2025-08-155</t>
  </si>
  <si>
    <t>2 units high computer set</t>
  </si>
  <si>
    <t>P.R. No.:2025-04-125
P.O. No.:2025-08-128</t>
  </si>
  <si>
    <t>P.R. No.:2025-04-101
P.O. No.:2025-08-138</t>
  </si>
  <si>
    <t>To submit documents for signature of the president, vpaa, vpaf and o ther concerned offices at EVSU Main</t>
  </si>
  <si>
    <t>August 6, 14, 20, 2025</t>
  </si>
  <si>
    <t>September 16-18, 2025</t>
  </si>
  <si>
    <t>Instructor's Uniform</t>
  </si>
  <si>
    <t xml:space="preserve">8 pcs uniform set of NSTP instructors 
</t>
  </si>
  <si>
    <t>P.R. No.:2025-05-133
P.O. No.:2025-08-133</t>
  </si>
  <si>
    <t>P.R. No.:2025-04-092
P.O. No.:2025-05-088</t>
  </si>
  <si>
    <t>P.R. No.:2025-04-092
P.O. No.:2025-05-108</t>
  </si>
  <si>
    <t>Various office supplies and 2 pcs computer chair, 5 pcs kitchen towel interfold</t>
  </si>
  <si>
    <t>P.R. No.:2025-04-093
P.O. No.:2025-08-143</t>
  </si>
  <si>
    <t>Sarah G. Orge</t>
  </si>
  <si>
    <t>To participate in the "TABO HA EVSU" (Kadiwa Trade Fair) at EVSU Main.</t>
  </si>
  <si>
    <t>August 28, 2025</t>
  </si>
  <si>
    <t>To submit documents needed for the monthly financial report for the month of August 2025 at EVSU Main</t>
  </si>
  <si>
    <t>September 5, 2025</t>
  </si>
  <si>
    <t xml:space="preserve">Various Office Supplies and 5 packs tissue paper </t>
  </si>
  <si>
    <t>P.R. No.:2025-04-123
P.O. No.:2025-08-144</t>
  </si>
  <si>
    <t>Various supplies and 10 bottles of alcohol</t>
  </si>
  <si>
    <t>P.R. No.:2025-04-123
P.O. No.:2025-08-145</t>
  </si>
  <si>
    <t>To participate in the dance competition for Kanyaw 2025 at EVSU Main</t>
  </si>
  <si>
    <t>August 27, 2025</t>
  </si>
  <si>
    <t xml:space="preserve">Meals </t>
  </si>
  <si>
    <t>Meals 50 pax am snacks, 50 pax pm snacks and 50 pax lunch for University-wide extesion services office quarterly accomplishment monitoring and updating on September 12, 2025</t>
  </si>
  <si>
    <t>P.R. No.:2025-06-145
P.O. No.:2025-09-003CO</t>
  </si>
  <si>
    <t>Aircon</t>
  </si>
  <si>
    <t>1 unit split-type aircon</t>
  </si>
  <si>
    <t>P.R. No.:2025-04-116
P.O. No.:2025-08-124</t>
  </si>
  <si>
    <t>Labor &amp; Wages (COS)</t>
  </si>
  <si>
    <t>IGP/Production</t>
  </si>
  <si>
    <t>Jeff Marmita</t>
  </si>
  <si>
    <t>To conduct cash examination of our cash accounts as requested by the commission on audit (COA) at EVSU Main</t>
  </si>
  <si>
    <t>August 19, 2025</t>
  </si>
  <si>
    <t>September 3, 2025</t>
  </si>
  <si>
    <t>ALLOCATED BUDGET 
2025
B</t>
  </si>
  <si>
    <t>TOTAL EXPENDITURES
C</t>
  </si>
  <si>
    <t>TOTAL EXPENDITURES
C</t>
  </si>
  <si>
    <t>TOTAL BALANCES
D = B - C</t>
  </si>
  <si>
    <t>TOTAL EXPENDITURES
D</t>
  </si>
  <si>
    <t>TOTAL BALANCES
D = B - C</t>
  </si>
  <si>
    <t>ALLOCATED BUDGET 
2024
B</t>
  </si>
  <si>
    <t>TOTAL BALANCES
D=B-C</t>
  </si>
  <si>
    <t>TOTAL BALANCES
E = D - E</t>
  </si>
  <si>
    <t>TOTAL 
EXPENDITURES
C</t>
  </si>
  <si>
    <t>TOTAL BALANCES
D =B-C</t>
  </si>
  <si>
    <t>August 29, 2025 and September 5, 2025</t>
  </si>
  <si>
    <t>August 29, 2025 and September 2, 2025</t>
  </si>
  <si>
    <t>August 27, 2025 &amp; September 9, 2025</t>
  </si>
  <si>
    <t>To attend the awarding ceremony for the Publication and Citation Paper at EVSU Main</t>
  </si>
  <si>
    <t>Storage Box</t>
  </si>
  <si>
    <t>5 pcs storage box 120L</t>
  </si>
  <si>
    <t>P.R. NO.:2025-07-157
P.O. NO.:2025-08-164</t>
  </si>
  <si>
    <t>OFFICE SUPPLIES</t>
  </si>
  <si>
    <t>VARIOUS OFFICE SUPPLIES</t>
  </si>
  <si>
    <t>P.R. NO.:2025-04-098
P.O. NO.:2025-08-146</t>
  </si>
  <si>
    <t>P.R. NO.:2025-04-098
P.O. NO.:2025-08-147</t>
  </si>
  <si>
    <t>AIR CONDITION</t>
  </si>
  <si>
    <t>AIRCONDITIONING SYSTEM 2.5HP COUNTER OFFER: CARRIER REMOTE/MODEL: WERRJO24EE</t>
  </si>
  <si>
    <t>P.R. NO.:2025-07-168
P.O. NO.:2025-08-165</t>
  </si>
  <si>
    <t>P.R. NO.:2025-04-098
P.O. NO.:2025-08-148</t>
  </si>
  <si>
    <t xml:space="preserve">VARIOUS OFFICE SUPPLIES AND 2 PCS GLUE GUN, AND 12 PCS TISSUE ROLL </t>
  </si>
  <si>
    <t>P.R. NO.:2025-04-093
P.O. NO.:2025-08-142</t>
  </si>
  <si>
    <t>EXECUTIVE CHAIR</t>
  </si>
  <si>
    <t>2 PCS EXECUTIVE CHAIR, 1 PC EXECUTIVE CHAIR</t>
  </si>
  <si>
    <t>P.R. NO.:2025-07-154
P.O. NO.:2025-08-168</t>
  </si>
  <si>
    <t>P.R. NO.:2025-04-117
P.O.NO.:2025-08-158</t>
  </si>
  <si>
    <t>P.R. NO.:2025-04-117
P.O.NO.:2025-08-157</t>
  </si>
  <si>
    <t>OTHER SUPPLIES</t>
  </si>
  <si>
    <t>5 PCS. OFFICE ORGANIZER, 4 LAYER FILE COPY/FILE HOLDER/METAL/LEGAL AND 5 PCS EXTRA LARGE PLASTIC STORAGE BOX 1600/1600-43L</t>
  </si>
  <si>
    <t>P.R. NO.:2025-07-165
P.O. NO.:2025-08-167</t>
  </si>
  <si>
    <t>PHOTOCOPIER TONER</t>
  </si>
  <si>
    <t>P.R. NO.:2025-04-095
P.O. NO.:2025-08-121</t>
  </si>
  <si>
    <t>P.R. NO.:2025-04-096
P.O. NO.:2025-08-150</t>
  </si>
  <si>
    <t>STEEL CABINET, VERTICAL METAL 4 DRAWER EASY ASSEMBLE AND FILING CABINET</t>
  </si>
  <si>
    <t>P.R. NO.:2025-04-097
P.O. NO.:2025-08-186</t>
  </si>
  <si>
    <t>ICT EQUIPMENT</t>
  </si>
  <si>
    <t>2 COMPUTER SET AND 1 SMART PHONE</t>
  </si>
  <si>
    <t>P.R. NO.:2025-04-095
P.O. NO.:2025-08-119</t>
  </si>
  <si>
    <t>PRINTER</t>
  </si>
  <si>
    <t>2 UNIT PRINTER 3 IN 1 (PHOTO COPY AND SCAN FOR LEGAL/FOLIO SIZE BOND PAPER)</t>
  </si>
  <si>
    <t>P.R. NO.:2025-04-095
P.O. NO.:2025-08-120</t>
  </si>
  <si>
    <t>RUBBING ALCOHOL</t>
  </si>
  <si>
    <t>P.R. NO.:2025-04-096
P.O. NO.:2025-08-149</t>
  </si>
  <si>
    <t>MEALS</t>
  </si>
  <si>
    <t>AM &amp; PM SNACKS, LUNCH FOR 2 DAYS FOR SEMINAR ON RESEARCH AND DEVELOPMENT AND EXTENSION SERVIES PROCESS PROPOSAL WRITING, AND RD&amp;E MANUAL UPDATES ON SEPTEMBER 17 &amp; 18, 2025</t>
  </si>
  <si>
    <t>P.R. NO.:2025-07-174
P.O. NO.:2025-09-005</t>
  </si>
  <si>
    <t>P.R. NO.:2025-07-149
P.O. NO.:2025-08-152</t>
  </si>
  <si>
    <t>P.R. NO.:2025-07-149
P.O. NO.:2025-08-153</t>
  </si>
  <si>
    <t>ANGELA M. COQUILLA</t>
  </si>
  <si>
    <t>TO ATTEND THE COA ENTRANCE CONFERENCE AT EVSU MAIN.
TO ATTEND THE WORK AND FINANCIAL PLANNNG WORKSHOP AT EVSU  MAIN</t>
  </si>
  <si>
    <t>SEPTEMBER 9, 2025 &amp; SEPTEMBER 10-11, 2025</t>
  </si>
  <si>
    <t>TO PARTICIPATE IN THE "HIMIG HANDOG A TRIBUTE TO ORIGINAL PILIPINO MUSIC" AT EVSU MAIN</t>
  </si>
  <si>
    <t>SEPTEMBER 4, 2025</t>
  </si>
  <si>
    <t>MEALS 40 PAX (PACK LUNCH) SEPTEMBER 30, 2025 AND OCTOBER 1, 2025. MEALS FOR INTRAMURALS 2025</t>
  </si>
  <si>
    <t>P.R. O.:2025-09-209
P.O. NO.:2025-09-004CO</t>
  </si>
  <si>
    <t>TO PARTICIPATE IN THE "TABO HA EVSU 2025 (KADIWA TRADE FAIR) AT EVSU MAIN.
TO ATTEND THE EVSUNISTA AWARDS NIGHT AT LEYTE ACADEMIC CENTER, PALO LEYTE.
TO PARTICIPATE IN THE "HIMIG HANDOG TRIBUTE TO A ORIGINAL PILIPINO MUSIC AT EVSU   MAIN..</t>
  </si>
  <si>
    <t>AUGUST 28, 2025. AUGUST 29, 2025 &amp; SEPTEMBER 4, 2025</t>
  </si>
  <si>
    <t>Air condition repair &amp; maintenance</t>
  </si>
  <si>
    <t>4 units ACU cleaning (window type) and 1 unit system reprocess, charging refrigerant 410 (for 1ACU)</t>
  </si>
  <si>
    <t>P.R. NO.:2025-09-208
P.O. NO.:2025-09-174</t>
  </si>
  <si>
    <t>R&amp;M Motor Vehicles</t>
  </si>
  <si>
    <t>Ballpen, bottle stamp pad ink, stamp pad, bond paper</t>
  </si>
  <si>
    <t>100 pcs long folder</t>
  </si>
  <si>
    <t>Various other supplies for Extension program</t>
  </si>
  <si>
    <t>Tarpaulin</t>
  </si>
  <si>
    <t xml:space="preserve">Tarpaulin Printing 1pc 10ft x 6ft and 2 pcs 4ft x 8ft </t>
  </si>
  <si>
    <t>P.R. No.:2025-09-218
P.O. No.:2025-09-178</t>
  </si>
  <si>
    <t>Sound System</t>
  </si>
  <si>
    <t>Sound System Rental for 3 days</t>
  </si>
  <si>
    <t>P.R. No.:2025-09-210
P.O. No.:2025-09-181</t>
  </si>
  <si>
    <t>AM and PM snacks for intramurals</t>
  </si>
  <si>
    <t>P.R. No.:2025-09-233
P.O. No.:2025-09-006CO</t>
  </si>
  <si>
    <t>T-shirt uniform</t>
  </si>
  <si>
    <t xml:space="preserve">Uniform for intramurals </t>
  </si>
  <si>
    <t>P.R. No.:2025-09-224
P.O. No.:2025-09-175</t>
  </si>
  <si>
    <t>Tarpaulin for intramurals</t>
  </si>
  <si>
    <t>P.R. No.:2025-09-223
P.O. No.:2025-09-179</t>
  </si>
  <si>
    <t>Sports Eqp't.</t>
  </si>
  <si>
    <t>Indoor basketball size 6 and basketball composite leather, fiba approved.</t>
  </si>
  <si>
    <t>P.R. No.:2025-07-163
P.O. No.:2025-09-176</t>
  </si>
  <si>
    <t>P.R. No.:2025-09-217
P.O. No.:2025-09-180</t>
  </si>
  <si>
    <t>Trophy</t>
  </si>
  <si>
    <t>Cup Trophy for intramurals</t>
  </si>
  <si>
    <t>P.R. No.:2025-09-219
P.O. No.:2025-09-177</t>
  </si>
  <si>
    <t>Vehicle Eqp't</t>
  </si>
  <si>
    <t>Vehicle tires, engine and oil filter for toyota vanza, 14c</t>
  </si>
  <si>
    <t>P.R. No.:2025-05-132
P.O. No.:2025-08-136</t>
  </si>
  <si>
    <t xml:space="preserve">To participate in IPOVCON 2025 at BIPSU as oral research presenter </t>
  </si>
  <si>
    <t>October 8-9, 2025</t>
  </si>
  <si>
    <t>Preventive Maintenance Service for EVSU-OC service vehicle (Toyota Avanza)</t>
  </si>
  <si>
    <t>P.R. No.:2025-09-225
P.O. No.:2025-09-173</t>
  </si>
  <si>
    <t>TO ATTEND THE AWARDing ceremony for the Publication and Citation Paper at EVSU Main.
TO ATTEND THE GRAND OPENING OF EVSU CHARTER DAY CELEBRATION AT EVSU MAIN.
ATTENDED THE EVSUNISTA AWARDS AND FELLOWSHIP NIGHT AT LEYTE ACADEMIC CENTER, PALO, LEYTE.</t>
  </si>
  <si>
    <t>AUUST 27, 28, &amp; 29, 2025</t>
  </si>
  <si>
    <t>OFFICE SUPPLIES FOR USWAG</t>
  </si>
  <si>
    <t>P.R. NO.:2025-08-186
P.O. NO.:2025-09-184</t>
  </si>
  <si>
    <t>VARIOUR PRINTER INK &amp; STICKER PAPER</t>
  </si>
  <si>
    <t>BATTERY/OTHER SUPPLIES</t>
  </si>
  <si>
    <t>2 PACKS AAA BATTERY</t>
  </si>
  <si>
    <t>P.R. NO:2025-08-188
P.O. NO.:2025-09-187</t>
  </si>
  <si>
    <t>EXTENSION WIRE/OTHER SUPPLIES</t>
  </si>
  <si>
    <t>1 SET EXTENSION WIRE (20M)AND 1 SET MICROPHONE WIRELESS</t>
  </si>
  <si>
    <t>P.R. NO.:2025-08-188
P.O. NO.: 2025-09-186</t>
  </si>
  <si>
    <t>TARPAULIN</t>
  </si>
  <si>
    <t>TARPAULIN 1 PC (3*20) 1PC (8*25) FOR USWAG</t>
  </si>
  <si>
    <t>P.R. NO.:2025-08-185
P.O. NO.:2025-09-182</t>
  </si>
  <si>
    <t>OFFICE SUPPLIES/OTHER SUPPLIES</t>
  </si>
  <si>
    <t>9 REAMS BONDPAPER A4, 5 PACKS VELLUM (A4) AND 1 BOX FACEMASK FOR USWAG</t>
  </si>
  <si>
    <t>P.R. NO.:2025-08-186
P.O. NO.:2025-09-183</t>
  </si>
  <si>
    <t>VARIOUS OTHER SUPPLIES FOR USWAG</t>
  </si>
  <si>
    <t>P.R. NO.:2025-08-187
P.O. NO.:2025-09-185</t>
  </si>
  <si>
    <t>R&amp;M Tech Bldg./Other Structure</t>
  </si>
  <si>
    <t>TO ATTEND THE GRAND OPENING OF EVSU CHARTER DAY CELEBRATION AT EVSU MAIN.
TO ATTEND THE EVSUNISTA AWARDS AND GRAND FELLOWSHIP 2025 AT LEYTE ACADEMIC CENTER, PALO, LEYTE.
TO ATTEND THE STATE UNIVERSITY ADDRESS AT EVSU MAIN.</t>
  </si>
  <si>
    <t xml:space="preserve">August 27, 29 &amp; September 1, 2025 </t>
  </si>
  <si>
    <t>To attend the grand opening of EVSU Charter day celebration at EVSU Main.
To attend the COA audit entrance conference at EVSU Main.</t>
  </si>
  <si>
    <t>August 27, 2025 and September 9, 2025</t>
  </si>
  <si>
    <t>To submit purchase orders and to ensure that these documents are propoerly received and acknowledge by the commission on audit (COA) at EVSU Main</t>
  </si>
  <si>
    <t>July 4, 9, 18, 25, 29, 2025 and August 1, 11, 27, 29, 2025</t>
  </si>
  <si>
    <t>August 27-29, 2025</t>
  </si>
  <si>
    <t>To attend the awarding ceremony of RIE publication and citation in Ordex at EVSU Main.</t>
  </si>
  <si>
    <t>To attend the grand opening of EVSU charter day at EVSU Main.
To attend the EVSUNISTA awards and fellowship night at Leyte Academic Center, Palo, Leyte.</t>
  </si>
  <si>
    <t>August 27 &amp; 28, 2025</t>
  </si>
  <si>
    <t>Alviejean S. Weti</t>
  </si>
  <si>
    <t>To attend the joint planning session with dswd sustainable livelihood extension projects at EVSU Main</t>
  </si>
  <si>
    <t>September 2, 2025</t>
  </si>
  <si>
    <t>To attend the EVSUNISTA awards night at Leyte Academic Center, Palo Leyte</t>
  </si>
  <si>
    <t>August 29, 2025</t>
  </si>
  <si>
    <t>Joanah R. Benitez</t>
  </si>
  <si>
    <t>To attend the EVSUNISTA Awards and fellowship night at Leyte Academic Center, Palo, Leyte</t>
  </si>
  <si>
    <t>To conduct cash examination of our cash accounts as requested by the commission on audit (COA) at EVSU Main.
To attend the EVSUNISTA Awards and fellowship night at Leyte Academic Center, Palo, Leyte.
To attend the COA Audit Entrance Conference at EVSU Main.</t>
  </si>
  <si>
    <t>August 19, 29, 2025 and September 9, 2025</t>
  </si>
  <si>
    <t>Ruderico M. Endriano</t>
  </si>
  <si>
    <t>Lorraine D. Taypa</t>
  </si>
  <si>
    <t>Jonathan R. Casinillo</t>
  </si>
  <si>
    <t>Mark Angelo Ymas</t>
  </si>
  <si>
    <t>Sonnymon Sobrevilla</t>
  </si>
  <si>
    <t>Mary Jane L. Villanueva</t>
  </si>
  <si>
    <t>Morilla M. Lumanta</t>
  </si>
  <si>
    <t>Jasmin L. Ducena</t>
  </si>
  <si>
    <t>Lindsay T. Hernandez</t>
  </si>
  <si>
    <t xml:space="preserve">To participate in the dance competition for Kanyaw 2025 at EVSU Main.
To attend the capacity bldg and echo seminar on Philipines folk dance "PRO-DUC-Tive: Strengthening Cultural Foundations through Professional Development, Documentation and Visioning at EVSU Main.
</t>
  </si>
  <si>
    <t>August 15 &amp; 27, 2025</t>
  </si>
  <si>
    <t>Rowebb C. Tapao</t>
  </si>
  <si>
    <t>To participate and perform in himig handog: a tribute to original Pilipino Music during the VPAA day at EVSU Main.</t>
  </si>
  <si>
    <t>September 4, 2025</t>
  </si>
  <si>
    <t>Argie T. Polenio</t>
  </si>
  <si>
    <t>To attend the EVSUNISTA Awards and Fellowship Night at Leyte Academic Center, Palo, Leyte.</t>
  </si>
  <si>
    <t>Rustico B. Badilla</t>
  </si>
  <si>
    <t>To attend the EVSU grand opening celebration at EVSU Main.
To attend the EVSUNISTA Award and Fellowship Night at Leyte Academic Center, Palo, Leyte.</t>
  </si>
  <si>
    <t>August 27 &amp; 29, 2025</t>
  </si>
  <si>
    <t>Joseph Gudelos</t>
  </si>
  <si>
    <t>To attend the turnover ceremony of the 2 EVHRDC funded projects at EVSU Main. To attend the research innovation and extension services recognition day at EVSU Main.
To attend the EVSUNISTA Award and Fellowship night at Leyte Academic Center, Palo, Leyte.</t>
  </si>
  <si>
    <t>May 7, 2025, August 28 &amp; 29, 2025</t>
  </si>
  <si>
    <t>August 18, 22, 27 and September 9, 2025</t>
  </si>
  <si>
    <t>September 11,17,24, 2025</t>
  </si>
  <si>
    <t>September 16, 2025</t>
  </si>
  <si>
    <t>To attend the extension activity "foregoing future" a joint planning session between EVSU and DSWD-SLP at EVSU Main</t>
  </si>
  <si>
    <t>Nena Divina Fevidal</t>
  </si>
  <si>
    <t>To attend the 7th PLAI Eastern Visayas Librarians Council Summit with the Theme "Beyond books: Innovation, Security and well being for librarians" with registration fee oat Hotel Costa Brava, San Jose, Tacloban City.</t>
  </si>
  <si>
    <t>October 15-17, 2025</t>
  </si>
  <si>
    <t>Various other supplies</t>
  </si>
  <si>
    <t>P.R. No.:2025-06-138
P.O. No.:2025-08-151</t>
  </si>
  <si>
    <t>Sound system</t>
  </si>
  <si>
    <t>1 set sound system with 2 microphones</t>
  </si>
  <si>
    <t>Water Dispense</t>
  </si>
  <si>
    <t>1 unit water dispenser</t>
  </si>
  <si>
    <t>P.R. No.:2025-04-128
P.O. No.:2025-08-162</t>
  </si>
  <si>
    <t>P.R. No.:2025-04-128
P.O. No.:2025-08-163</t>
  </si>
  <si>
    <t>Office Chair</t>
  </si>
  <si>
    <t>1 unit office chair</t>
  </si>
  <si>
    <t>P.R. No.:2025-04-128
P.O. No.:2025-08-161</t>
  </si>
  <si>
    <t>Industrial Blender</t>
  </si>
  <si>
    <t xml:space="preserve">2 sets Industrial blender waring </t>
  </si>
  <si>
    <t>P.R. No.:2025-02-015
P.O.No.:2025-08-126</t>
  </si>
  <si>
    <t>P.R. No.:2025-07-155 
P.O. No.:2025-08-159</t>
  </si>
  <si>
    <t>Steel Cabinet</t>
  </si>
  <si>
    <t xml:space="preserve">2 units horizontal steel cabinet </t>
  </si>
  <si>
    <t>P.R. No.:2025-08-174
P.O. No.:2025-10-189</t>
  </si>
  <si>
    <t>P.R. No.:2025-07-171
P.O. No.:2025-10-188</t>
  </si>
  <si>
    <t>To participate and paper presentation in the international conference on Business Education, Science and Technology (ICBEST 2025), via online</t>
  </si>
  <si>
    <t>October 24, 2025</t>
  </si>
  <si>
    <t>P.R. No.:2025-07-155
P.O. No.:2025-08-160</t>
  </si>
  <si>
    <t>Airconditioner</t>
  </si>
  <si>
    <t>1 unit 2hp inverter window type air condition</t>
  </si>
  <si>
    <t>P.R. No.:2025-07-161
P.O. No.:2025-10-190</t>
  </si>
  <si>
    <t>2 packs cotton buds with wooden stick 400 tips/pack</t>
  </si>
  <si>
    <t>P.R. No.:2025-03-068
P.O. No.:2025-08-171</t>
  </si>
  <si>
    <t>P.R. No.:2025-03-068
P.O. No.:2025-08-172</t>
  </si>
  <si>
    <t>40 packs meals and snacks for Worlf Teacher's Day on October 10, 2025</t>
  </si>
  <si>
    <t>P.R. No.:2025-10-248
P.O. No.:2025-10-007CO</t>
  </si>
  <si>
    <t xml:space="preserve">
Payment for the Purchase of 1 unit water dispenser
</t>
  </si>
  <si>
    <t>P.R. No.:2025-07-152
P.O. No.:2025-08-154</t>
  </si>
  <si>
    <t>Med Lab</t>
  </si>
  <si>
    <t>1 pc wheelchair chrome type 100 kilos capacity</t>
  </si>
  <si>
    <t>P.R. No.:2025-03-071
P.O. No.:2025-08-170</t>
  </si>
  <si>
    <t>To submit documents needed for the monthly financial report for the month of September 2025 at EVSU Main</t>
  </si>
  <si>
    <t>October 3, 2025</t>
  </si>
  <si>
    <t>Gilbert Anthony O. Abano</t>
  </si>
  <si>
    <t>To present research at the philippine nurses association national annual convention with registration fee at SMX Convention center, Lanang, Davao City.</t>
  </si>
  <si>
    <t>October 21-23, 2025</t>
  </si>
  <si>
    <t>To participate and paper presentation in the international conference  on business education science and technology (ICBEST 2025) via online</t>
  </si>
  <si>
    <t>Air Condition</t>
  </si>
  <si>
    <t>2HP Airconditioner with free installation</t>
  </si>
  <si>
    <t>P.R. No.:2025-05-130
P.O. No.:2025-08-137</t>
  </si>
  <si>
    <t>Snacks &amp; Meals</t>
  </si>
  <si>
    <t>10 pax for AM, PM snacks and lunch</t>
  </si>
  <si>
    <t>P.R. No.:2025-10-254
P.O. No.:2025-10-009CO</t>
  </si>
  <si>
    <t>20 pcs ribbons (R5F 2025100 YMCKO Color Ribbon 200prints /rolls)</t>
  </si>
  <si>
    <t>P.R. No.:2025-04-094
P.O. No.:2025-08-134</t>
  </si>
  <si>
    <t>To attend the EVSUNISTA Award and Fellowship Night at Leyte Academic Center, Palo, Leyte.</t>
  </si>
  <si>
    <t xml:space="preserve">TO ATTEND THE GRAND OPENING OF EVSU CHARTER DAY CELEBRATION AT EVSU MAIN.
TO ATTEND THE EVSUNISTA AWARDS AND GRAND FELLOWSHIP 2025 AT LEYTE ACADEMIC CENTER, PALO, LEYTE.
</t>
  </si>
  <si>
    <t>Sofa set</t>
  </si>
  <si>
    <t>1 unit sofa set (Cazaro L-shape with out center table</t>
  </si>
  <si>
    <t>P.R. No.:2025-08-179
P.O. No.:2025-10-196</t>
  </si>
  <si>
    <t>2 pcs office chair (high back) and 1 pc offie chair (low back)</t>
  </si>
  <si>
    <t>P.R. No.:2025-07-148
P.O. No.:2025-10-198</t>
  </si>
  <si>
    <t>P.R. No.:2025-07-148
P.O. No.:2025-10-199</t>
  </si>
  <si>
    <t>P.R. &amp; P.O. #</t>
  </si>
  <si>
    <t>Hard drive storage</t>
  </si>
  <si>
    <t>1 unit kingston external hard drive (storage drive-1tb) and 3 units SD cards (64gb)</t>
  </si>
  <si>
    <t>P.R. No.:2025-08-190
P.O. No.:2025-10-202</t>
  </si>
  <si>
    <t>Garbage bag</t>
  </si>
  <si>
    <t>2 rolls garbage bag (XL), and 2 pcs feather duster</t>
  </si>
  <si>
    <t>P.R. No.:2025-08-192
P.O. No.:2025-10-203</t>
  </si>
  <si>
    <t>1 unit all in one ink jet printer (EPSON L5290)</t>
  </si>
  <si>
    <t>P.R. No.:2025-08-191
P.O. No.:2025-10-201</t>
  </si>
  <si>
    <t>2 units steel cabinet (vertical steel cabinet)</t>
  </si>
  <si>
    <t>P.R. No.:2025-08-178
P.O. No.:2025-10-197</t>
  </si>
  <si>
    <t>Medicines</t>
  </si>
  <si>
    <t>Various medicines</t>
  </si>
  <si>
    <t>P.R. No.:2025-03-070
P.O. No.:2025-08-169</t>
  </si>
  <si>
    <t>Uniform</t>
  </si>
  <si>
    <t>PASUC Uniform Polo Shirt 6 pcs small, 6 pcs medium, 1 pc xl, 1 pc xxl. Full sublimation jacket 6 pcs small, 6 pcs medium, 1 pc xl, 1 pc xxl</t>
  </si>
  <si>
    <t>P.R. No.:2025-09-220
P.O. No.:2025-10-208</t>
  </si>
  <si>
    <t>Various other supplies (hand sanitizer with anti bac 500ml, 10 btls toilet cleaner liquid 20 pcs bathroom tissue paper, 1 gallon rubbing alcohol.</t>
  </si>
  <si>
    <t>P.R. No.:2025-08-180
P.O. No.:2025-10-194</t>
  </si>
  <si>
    <t>3 btls air freshener (350ml) 3btls insect spray btl 600ml, and 2 btls disinfectant spray 340g</t>
  </si>
  <si>
    <t>P.R. NO.:2025-08-180
P.O. No.:2025-10-195</t>
  </si>
  <si>
    <t>Office chair</t>
  </si>
  <si>
    <t xml:space="preserve">10 units office chair </t>
  </si>
  <si>
    <t>P.R. No.:2025-08-183
P.O. No.:2025-10-193</t>
  </si>
  <si>
    <t xml:space="preserve">Rings </t>
  </si>
  <si>
    <t>1 pc gold ring (18k, size 7.5) 1 pc gold ring (14k size 8) 5 pcs pin (bronze)</t>
  </si>
  <si>
    <t>P.R. No.:2025-06-146
P.O. No.:2025-08-141</t>
  </si>
  <si>
    <t>Snacks and meals</t>
  </si>
  <si>
    <t>85 pax am and pm snacks and 85 pax lunch for 2 days</t>
  </si>
  <si>
    <t>P.R. No.:2025-08-196
P.O. No.:2025-10-008OC</t>
  </si>
  <si>
    <t>PRIOR YEARS</t>
  </si>
  <si>
    <t>Faculty Dev't</t>
  </si>
  <si>
    <t>Curriculum Dev't.</t>
  </si>
  <si>
    <t>Faculty Dev't.</t>
  </si>
  <si>
    <t>Telephone Mobile</t>
  </si>
  <si>
    <t>Scholarship Grants Expenses</t>
  </si>
  <si>
    <t>Scholarship Grants</t>
  </si>
  <si>
    <t>Telephone Expenses</t>
  </si>
  <si>
    <t>Curriculum Dev't</t>
  </si>
  <si>
    <t>Award/Rewatrds Expenses</t>
  </si>
  <si>
    <t>Textbook &amp; Instructional Materials</t>
  </si>
  <si>
    <t>Award/Rewads Expenses</t>
  </si>
  <si>
    <t>Technical &amp; Scientific Equipment</t>
  </si>
  <si>
    <t>Student Dev't.</t>
  </si>
  <si>
    <t>Awards &amp; Rewards Expenses</t>
  </si>
  <si>
    <t>Awards &amp; Rewards Incentives</t>
  </si>
  <si>
    <t>Student Dev't</t>
  </si>
  <si>
    <t>Facilities Dev't.</t>
  </si>
  <si>
    <t>Facilities Dev't</t>
  </si>
  <si>
    <t>Other Machinery Equipment</t>
  </si>
  <si>
    <t>Laboratory Fee</t>
  </si>
  <si>
    <t>R&amp;M Technical &amp; Scientific Equipment</t>
  </si>
  <si>
    <t>Development Fee</t>
  </si>
  <si>
    <t>Developmen Fee</t>
  </si>
  <si>
    <t>Computer Fee</t>
  </si>
  <si>
    <t xml:space="preserve">Computer Fee </t>
  </si>
  <si>
    <t xml:space="preserve">PRIOR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</si>
</sst>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24" x14ac:knownFonts="1">
    <font>
      <sz val="11"/>
      <color theme="1"/>
      <name val="Calibri"/>
      <family val="2"/>
      <scheme val="minor"/>
    </font>
    <font>
      <sz val="11"/>
      <color theme="1"/>
      <name val="Calibri"/>
      <family val="2"/>
      <scheme val="minor"/>
    </font>
    <font>
      <b/>
      <sz val="12"/>
      <color theme="1"/>
      <name val="Arial Narrow"/>
      <family val="2"/>
    </font>
    <font>
      <b/>
      <sz val="12"/>
      <name val="Arial Narrow"/>
      <family val="2"/>
    </font>
    <font>
      <sz val="12"/>
      <color theme="1"/>
      <name val="Arial Narrow"/>
      <family val="2"/>
    </font>
    <font>
      <sz val="12"/>
      <name val="Arial Narrow"/>
      <family val="2"/>
    </font>
    <font>
      <b/>
      <sz val="12"/>
      <color rgb="FFFF0000"/>
      <name val="Arial Narrow"/>
      <family val="2"/>
    </font>
    <font>
      <sz val="30"/>
      <color theme="1"/>
      <name val="Arial Narrow"/>
      <family val="2"/>
    </font>
    <font>
      <b/>
      <sz val="11"/>
      <color theme="1"/>
      <name val="Calibri"/>
      <family val="2"/>
      <scheme val="minor"/>
    </font>
    <font>
      <b/>
      <sz val="12"/>
      <color theme="1"/>
      <name val="Calibri"/>
      <family val="2"/>
      <scheme val="minor"/>
    </font>
    <font>
      <sz val="12"/>
      <color theme="1"/>
      <name val="Calibri"/>
      <family val="2"/>
      <scheme val="minor"/>
    </font>
    <font>
      <b/>
      <sz val="11"/>
      <color rgb="FFFF0000"/>
      <name val="Calibri"/>
      <family val="2"/>
      <scheme val="minor"/>
    </font>
    <font>
      <sz val="8"/>
      <name val="Calibri"/>
      <family val="2"/>
      <scheme val="minor"/>
    </font>
    <font>
      <sz val="11"/>
      <color rgb="FFFF0000"/>
      <name val="Calibri"/>
      <family val="2"/>
      <scheme val="minor"/>
    </font>
    <font>
      <b/>
      <sz val="12"/>
      <color rgb="FFFF0000"/>
      <name val="Calibri"/>
      <family val="2"/>
      <scheme val="minor"/>
    </font>
    <font>
      <sz val="14"/>
      <color theme="1"/>
      <name val="Calibri"/>
      <family val="2"/>
      <scheme val="minor"/>
    </font>
    <font>
      <sz val="12"/>
      <color theme="1"/>
      <name val="Arial"/>
      <family val="2"/>
    </font>
    <font>
      <sz val="11"/>
      <color theme="1"/>
      <name val="Arial"/>
      <family val="2"/>
    </font>
    <font>
      <sz val="11"/>
      <color theme="1"/>
      <name val="Calibri"/>
      <family val="2"/>
    </font>
    <font>
      <sz val="10"/>
      <color theme="1"/>
      <name val="Arial"/>
      <family val="2"/>
    </font>
    <font>
      <sz val="10"/>
      <color theme="1"/>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FF66CC"/>
        <bgColor indexed="64"/>
      </patternFill>
    </fill>
    <fill>
      <patternFill patternType="solid">
        <fgColor rgb="FFFFFF00"/>
        <bgColor indexed="64"/>
      </patternFill>
    </fill>
    <fill>
      <patternFill patternType="solid">
        <fgColor theme="0" tint="-0.14996795556505021"/>
        <bgColor indexed="64"/>
      </patternFill>
    </fill>
    <fill>
      <patternFill patternType="solid">
        <fgColor rgb="FF00B0F0"/>
        <bgColor indexed="64"/>
      </patternFill>
    </fill>
    <fill>
      <patternFill patternType="solid">
        <fgColor theme="0"/>
        <bgColor indexed="64"/>
      </patternFill>
    </fill>
    <fill>
      <patternFill patternType="solid">
        <fgColor theme="0" tint="-0.14999847407452621"/>
        <bgColor indexed="64"/>
      </patternFill>
    </fill>
    <fill>
      <patternFill patternType="solid">
        <fgColor rgb="FF76E3FF"/>
        <bgColor indexed="64"/>
      </patternFill>
    </fill>
  </fills>
  <borders count="52">
    <border>
      <left/>
      <right/>
      <top/>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bottom style="medium">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auto="1"/>
      </left>
      <right style="thin">
        <color auto="1"/>
      </right>
      <top style="medium">
        <color auto="1"/>
      </top>
      <bottom/>
      <diagonal/>
    </border>
    <border>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diagonal/>
    </border>
    <border>
      <left style="medium">
        <color auto="1"/>
      </left>
      <right/>
      <top/>
      <bottom/>
      <diagonal/>
    </border>
    <border>
      <left/>
      <right style="medium">
        <color auto="1"/>
      </right>
      <top/>
      <bottom style="thin">
        <color auto="1"/>
      </bottom>
      <diagonal/>
    </border>
    <border>
      <left/>
      <right style="medium">
        <color auto="1"/>
      </right>
      <top/>
      <bottom/>
      <diagonal/>
    </border>
    <border>
      <left style="medium">
        <color auto="1"/>
      </left>
      <right style="medium">
        <color auto="1"/>
      </right>
      <top style="thin">
        <color auto="1"/>
      </top>
      <bottom/>
      <diagonal/>
    </border>
    <border>
      <left style="medium">
        <color auto="1"/>
      </left>
      <right/>
      <top style="thin">
        <color auto="1"/>
      </top>
      <bottom/>
      <diagonal/>
    </border>
    <border>
      <left/>
      <right/>
      <top style="thin">
        <color auto="1"/>
      </top>
      <bottom/>
      <diagonal/>
    </border>
    <border>
      <left style="medium">
        <color auto="1"/>
      </left>
      <right style="medium">
        <color auto="1"/>
      </right>
      <top/>
      <bottom style="thin">
        <color indexed="64"/>
      </bottom>
      <diagonal/>
    </border>
    <border>
      <left style="medium">
        <color auto="1"/>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thin">
        <color indexed="64"/>
      </bottom>
      <diagonal/>
    </border>
    <border>
      <left/>
      <right/>
      <top style="thin">
        <color auto="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auto="1"/>
      </left>
      <right/>
      <top style="medium">
        <color auto="1"/>
      </top>
      <bottom/>
      <diagonal/>
    </border>
    <border>
      <left style="medium">
        <color indexed="64"/>
      </left>
      <right style="medium">
        <color indexed="64"/>
      </right>
      <top style="medium">
        <color indexed="64"/>
      </top>
      <bottom style="thin">
        <color indexed="64"/>
      </bottom>
      <diagonal/>
    </border>
    <border>
      <left/>
      <right/>
      <top/>
      <bottom style="medium">
        <color auto="1"/>
      </bottom>
      <diagonal/>
    </border>
    <border>
      <left style="thin">
        <color indexed="64"/>
      </left>
      <right style="thin">
        <color indexed="64"/>
      </right>
      <top style="thin">
        <color indexed="64"/>
      </top>
      <bottom/>
      <diagonal/>
    </border>
    <border>
      <left/>
      <right style="thin">
        <color auto="1"/>
      </right>
      <top style="medium">
        <color auto="1"/>
      </top>
      <bottom style="medium">
        <color auto="1"/>
      </bottom>
      <diagonal/>
    </border>
    <border>
      <left/>
      <right/>
      <top style="medium">
        <color auto="1"/>
      </top>
      <bottom style="medium">
        <color auto="1"/>
      </bottom>
      <diagonal/>
    </border>
    <border>
      <left/>
      <right/>
      <top style="medium">
        <color auto="1"/>
      </top>
      <bottom/>
      <diagonal/>
    </border>
    <border>
      <left/>
      <right style="medium">
        <color auto="1"/>
      </right>
      <top style="thin">
        <color indexed="64"/>
      </top>
      <bottom/>
      <diagonal/>
    </border>
    <border>
      <left style="medium">
        <color auto="1"/>
      </left>
      <right/>
      <top style="medium">
        <color auto="1"/>
      </top>
      <bottom style="thin">
        <color indexed="64"/>
      </bottom>
      <diagonal/>
    </border>
    <border>
      <left/>
      <right/>
      <top style="medium">
        <color auto="1"/>
      </top>
      <bottom style="thin">
        <color indexed="64"/>
      </bottom>
      <diagonal/>
    </border>
    <border>
      <left style="medium">
        <color auto="1"/>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medium">
        <color auto="1"/>
      </right>
      <top/>
      <bottom style="thin">
        <color indexed="64"/>
      </bottom>
      <diagonal/>
    </border>
    <border>
      <left style="medium">
        <color auto="1"/>
      </left>
      <right/>
      <top style="thin">
        <color indexed="64"/>
      </top>
      <bottom style="medium">
        <color auto="1"/>
      </bottom>
      <diagonal/>
    </border>
    <border>
      <left/>
      <right/>
      <top style="thin">
        <color indexed="64"/>
      </top>
      <bottom style="medium">
        <color auto="1"/>
      </bottom>
      <diagonal/>
    </border>
    <border>
      <left/>
      <right style="medium">
        <color auto="1"/>
      </right>
      <top style="thin">
        <color indexed="64"/>
      </top>
      <bottom style="medium">
        <color auto="1"/>
      </bottom>
      <diagonal/>
    </border>
    <border>
      <left style="medium">
        <color theme="1"/>
      </left>
      <right/>
      <top/>
      <bottom/>
      <diagonal/>
    </border>
    <border>
      <left style="medium">
        <color indexed="64"/>
      </left>
      <right style="medium">
        <color indexed="64"/>
      </right>
      <top style="medium">
        <color indexed="64"/>
      </top>
      <bottom/>
      <diagonal/>
    </border>
  </borders>
  <cellStyleXfs count="2">
    <xf numFmtId="0" fontId="0" fillId="0" borderId="0"/>
    <xf numFmtId="43" fontId="1" fillId="0" borderId="0" applyFont="0" applyFill="0" applyBorder="0" applyAlignment="0" applyProtection="0"/>
  </cellStyleXfs>
  <cellXfs count="709">
    <xf numFmtId="0" fontId="0" fillId="0" borderId="0" xfId="0"/>
    <xf numFmtId="0" fontId="2" fillId="0" borderId="1" xfId="0" applyFont="1" applyBorder="1" applyAlignment="1">
      <alignment vertical="center" wrapText="1"/>
    </xf>
    <xf numFmtId="0" fontId="2" fillId="0" borderId="2" xfId="0" applyFont="1" applyBorder="1" applyAlignment="1">
      <alignment horizontal="center" vertical="center" wrapText="1"/>
    </xf>
    <xf numFmtId="43" fontId="3" fillId="2" borderId="3" xfId="1" applyFont="1" applyFill="1" applyBorder="1" applyAlignment="1">
      <alignment horizontal="center" vertical="center" wrapText="1"/>
    </xf>
    <xf numFmtId="43" fontId="2" fillId="3" borderId="4" xfId="1" applyFont="1" applyFill="1" applyBorder="1" applyAlignment="1">
      <alignment horizontal="center" vertical="center" wrapText="1"/>
    </xf>
    <xf numFmtId="0" fontId="2" fillId="3" borderId="5" xfId="0" applyFont="1" applyFill="1" applyBorder="1" applyAlignment="1">
      <alignment horizontal="center" vertical="center" wrapText="1"/>
    </xf>
    <xf numFmtId="43" fontId="2" fillId="4" borderId="6" xfId="1" applyFont="1" applyFill="1" applyBorder="1" applyAlignment="1">
      <alignment horizontal="center" vertical="center" wrapText="1"/>
    </xf>
    <xf numFmtId="43" fontId="2" fillId="5" borderId="2" xfId="1" applyFont="1" applyFill="1" applyBorder="1" applyAlignment="1">
      <alignment horizontal="center" vertical="center"/>
    </xf>
    <xf numFmtId="43" fontId="2" fillId="5" borderId="7" xfId="1" applyFont="1" applyFill="1" applyBorder="1" applyAlignment="1">
      <alignment horizontal="center" vertical="center"/>
    </xf>
    <xf numFmtId="43" fontId="2" fillId="5" borderId="4" xfId="1" applyFont="1" applyFill="1" applyBorder="1" applyAlignment="1">
      <alignment horizontal="center" vertical="center"/>
    </xf>
    <xf numFmtId="43" fontId="2" fillId="6" borderId="5" xfId="1" applyFont="1" applyFill="1" applyBorder="1" applyAlignment="1">
      <alignment horizontal="center" vertical="center"/>
    </xf>
    <xf numFmtId="0" fontId="2" fillId="4" borderId="8" xfId="0" applyFont="1" applyFill="1" applyBorder="1" applyAlignment="1">
      <alignment vertical="center"/>
    </xf>
    <xf numFmtId="43" fontId="4" fillId="4" borderId="11" xfId="1" applyFont="1" applyFill="1" applyBorder="1"/>
    <xf numFmtId="0" fontId="5" fillId="0" borderId="12" xfId="0" applyFont="1" applyBorder="1" applyAlignment="1">
      <alignment horizontal="left" vertical="center"/>
    </xf>
    <xf numFmtId="0" fontId="5" fillId="0" borderId="12" xfId="0" applyFont="1" applyBorder="1" applyAlignment="1">
      <alignment horizontal="center"/>
    </xf>
    <xf numFmtId="43" fontId="5" fillId="0" borderId="12" xfId="1" applyFont="1" applyFill="1" applyBorder="1" applyAlignment="1">
      <alignment horizontal="center" vertical="center"/>
    </xf>
    <xf numFmtId="43" fontId="4" fillId="0" borderId="12" xfId="1" applyFont="1" applyFill="1" applyBorder="1" applyAlignment="1">
      <alignment horizontal="center" vertical="center"/>
    </xf>
    <xf numFmtId="164" fontId="4" fillId="0" borderId="12" xfId="0" applyNumberFormat="1" applyFont="1" applyBorder="1" applyAlignment="1">
      <alignment vertical="center"/>
    </xf>
    <xf numFmtId="43" fontId="4" fillId="0" borderId="12" xfId="1" applyFont="1" applyBorder="1" applyAlignment="1">
      <alignment vertical="center"/>
    </xf>
    <xf numFmtId="43" fontId="4" fillId="0" borderId="12" xfId="1" applyFont="1" applyFill="1" applyBorder="1" applyAlignment="1">
      <alignment vertical="center"/>
    </xf>
    <xf numFmtId="0" fontId="4" fillId="0" borderId="12" xfId="0" applyFont="1" applyBorder="1" applyAlignment="1">
      <alignment vertical="center"/>
    </xf>
    <xf numFmtId="0" fontId="4" fillId="0" borderId="12" xfId="0" applyFont="1" applyBorder="1" applyAlignment="1">
      <alignment horizontal="center"/>
    </xf>
    <xf numFmtId="43" fontId="4" fillId="7" borderId="12" xfId="1" applyFont="1" applyFill="1" applyBorder="1" applyAlignment="1">
      <alignment vertical="center"/>
    </xf>
    <xf numFmtId="0" fontId="4" fillId="0" borderId="12" xfId="0" applyFont="1" applyBorder="1" applyAlignment="1">
      <alignment vertical="center" wrapText="1"/>
    </xf>
    <xf numFmtId="43" fontId="5" fillId="0" borderId="12" xfId="1" applyFont="1" applyBorder="1" applyAlignment="1">
      <alignment horizontal="center" vertical="center"/>
    </xf>
    <xf numFmtId="0" fontId="2" fillId="0" borderId="15" xfId="0" applyFont="1" applyBorder="1" applyAlignment="1">
      <alignment vertical="center"/>
    </xf>
    <xf numFmtId="0" fontId="6" fillId="0" borderId="16" xfId="0" applyFont="1" applyBorder="1" applyAlignment="1">
      <alignment horizontal="center" vertical="center"/>
    </xf>
    <xf numFmtId="43" fontId="6" fillId="0" borderId="16" xfId="1" applyFont="1" applyBorder="1" applyAlignment="1">
      <alignment horizontal="center" vertical="center"/>
    </xf>
    <xf numFmtId="43" fontId="6" fillId="0" borderId="17" xfId="1" applyFont="1" applyBorder="1" applyAlignment="1">
      <alignment vertical="center"/>
    </xf>
    <xf numFmtId="43" fontId="5" fillId="0" borderId="19" xfId="1" applyFont="1" applyFill="1" applyBorder="1" applyAlignment="1">
      <alignment horizontal="center" vertical="center"/>
    </xf>
    <xf numFmtId="0" fontId="7" fillId="0" borderId="0" xfId="0" applyFont="1" applyAlignment="1">
      <alignment horizontal="center" vertical="center"/>
    </xf>
    <xf numFmtId="43" fontId="4" fillId="0" borderId="20" xfId="1" applyFont="1" applyFill="1" applyBorder="1" applyAlignment="1">
      <alignment vertical="center"/>
    </xf>
    <xf numFmtId="0" fontId="7" fillId="0" borderId="0" xfId="0" applyFont="1" applyAlignment="1">
      <alignment horizontal="center"/>
    </xf>
    <xf numFmtId="43" fontId="4" fillId="0" borderId="21" xfId="1" applyFont="1" applyFill="1" applyBorder="1" applyAlignment="1">
      <alignment vertical="center"/>
    </xf>
    <xf numFmtId="0" fontId="5" fillId="0" borderId="22" xfId="0" applyFont="1" applyBorder="1" applyAlignment="1">
      <alignment horizontal="left" vertical="center"/>
    </xf>
    <xf numFmtId="0" fontId="4" fillId="0" borderId="23" xfId="0" applyFont="1" applyBorder="1" applyAlignment="1">
      <alignment horizontal="center"/>
    </xf>
    <xf numFmtId="43" fontId="5" fillId="0" borderId="23" xfId="1" applyFont="1" applyFill="1" applyBorder="1" applyAlignment="1">
      <alignment horizontal="center" vertical="center"/>
    </xf>
    <xf numFmtId="43" fontId="4" fillId="0" borderId="23" xfId="1" applyFont="1" applyFill="1" applyBorder="1" applyAlignment="1">
      <alignment vertical="center"/>
    </xf>
    <xf numFmtId="0" fontId="4" fillId="0" borderId="26" xfId="0" applyFont="1" applyBorder="1" applyAlignment="1">
      <alignment horizontal="center"/>
    </xf>
    <xf numFmtId="43" fontId="4" fillId="0" borderId="26" xfId="1" applyFont="1" applyFill="1" applyBorder="1" applyAlignment="1">
      <alignment vertical="center"/>
    </xf>
    <xf numFmtId="0" fontId="4" fillId="0" borderId="29" xfId="0" applyFont="1" applyBorder="1" applyAlignment="1">
      <alignment horizontal="center"/>
    </xf>
    <xf numFmtId="43" fontId="5" fillId="0" borderId="29" xfId="1" applyFont="1" applyFill="1" applyBorder="1" applyAlignment="1">
      <alignment horizontal="center" vertical="center"/>
    </xf>
    <xf numFmtId="43" fontId="4" fillId="0" borderId="29" xfId="1" applyFont="1" applyFill="1" applyBorder="1" applyAlignment="1">
      <alignment vertical="center"/>
    </xf>
    <xf numFmtId="0" fontId="4" fillId="0" borderId="22" xfId="0" applyFont="1" applyBorder="1" applyAlignment="1">
      <alignment vertical="center"/>
    </xf>
    <xf numFmtId="0" fontId="0" fillId="0" borderId="28" xfId="0" applyBorder="1"/>
    <xf numFmtId="0" fontId="4" fillId="0" borderId="31" xfId="0" applyFont="1" applyBorder="1" applyAlignment="1">
      <alignment vertical="center"/>
    </xf>
    <xf numFmtId="0" fontId="0" fillId="0" borderId="32" xfId="0" applyBorder="1"/>
    <xf numFmtId="43" fontId="6" fillId="0" borderId="15" xfId="1" applyFont="1" applyBorder="1" applyAlignment="1">
      <alignment vertical="center"/>
    </xf>
    <xf numFmtId="43" fontId="4" fillId="0" borderId="22" xfId="1" applyFont="1" applyFill="1" applyBorder="1" applyAlignment="1">
      <alignment vertical="center"/>
    </xf>
    <xf numFmtId="43" fontId="4" fillId="0" borderId="30" xfId="1" applyFont="1" applyFill="1" applyBorder="1" applyAlignment="1">
      <alignment vertical="center"/>
    </xf>
    <xf numFmtId="43" fontId="5" fillId="0" borderId="24" xfId="1" applyFont="1" applyFill="1" applyBorder="1" applyAlignment="1">
      <alignment horizontal="center" vertical="center"/>
    </xf>
    <xf numFmtId="43" fontId="4" fillId="0" borderId="24" xfId="1" applyFont="1" applyFill="1" applyBorder="1" applyAlignment="1">
      <alignment vertical="center"/>
    </xf>
    <xf numFmtId="0" fontId="4" fillId="0" borderId="27" xfId="0" applyFont="1" applyBorder="1" applyAlignment="1">
      <alignment vertical="center"/>
    </xf>
    <xf numFmtId="43" fontId="4" fillId="0" borderId="25" xfId="1" applyFont="1" applyFill="1" applyBorder="1" applyAlignment="1">
      <alignment vertical="center"/>
    </xf>
    <xf numFmtId="0" fontId="4" fillId="0" borderId="12" xfId="0" applyFont="1" applyBorder="1" applyAlignment="1">
      <alignment horizontal="center" vertical="center"/>
    </xf>
    <xf numFmtId="0" fontId="5" fillId="0" borderId="23" xfId="0" applyFont="1" applyBorder="1" applyAlignment="1">
      <alignment horizontal="center"/>
    </xf>
    <xf numFmtId="0" fontId="0" fillId="0" borderId="0" xfId="0" applyAlignment="1">
      <alignment horizontal="center"/>
    </xf>
    <xf numFmtId="43" fontId="4" fillId="4" borderId="5" xfId="1" applyFont="1" applyFill="1" applyBorder="1"/>
    <xf numFmtId="43" fontId="5" fillId="0" borderId="25" xfId="1" applyFont="1" applyFill="1" applyBorder="1" applyAlignment="1">
      <alignment horizontal="center" vertical="center"/>
    </xf>
    <xf numFmtId="43" fontId="4" fillId="0" borderId="25" xfId="1" applyFont="1" applyFill="1" applyBorder="1" applyAlignment="1">
      <alignment horizontal="center" vertical="center"/>
    </xf>
    <xf numFmtId="0" fontId="2" fillId="4" borderId="1" xfId="0" applyFont="1" applyFill="1" applyBorder="1" applyAlignment="1">
      <alignment vertical="center"/>
    </xf>
    <xf numFmtId="0" fontId="2" fillId="4" borderId="11" xfId="0" applyFont="1" applyFill="1" applyBorder="1" applyAlignment="1">
      <alignment vertical="center"/>
    </xf>
    <xf numFmtId="43" fontId="4" fillId="4" borderId="7" xfId="1" applyFont="1" applyFill="1" applyBorder="1"/>
    <xf numFmtId="43" fontId="4" fillId="4" borderId="4" xfId="1" applyFont="1" applyFill="1" applyBorder="1"/>
    <xf numFmtId="43" fontId="2" fillId="5" borderId="3" xfId="1" applyFont="1" applyFill="1" applyBorder="1" applyAlignment="1">
      <alignment horizontal="center" vertical="center"/>
    </xf>
    <xf numFmtId="43" fontId="2" fillId="5" borderId="5" xfId="1" applyFont="1" applyFill="1" applyBorder="1" applyAlignment="1">
      <alignment horizontal="center" vertical="center"/>
    </xf>
    <xf numFmtId="43" fontId="2" fillId="5" borderId="11" xfId="1" applyFont="1" applyFill="1" applyBorder="1" applyAlignment="1">
      <alignment horizontal="center" vertical="center"/>
    </xf>
    <xf numFmtId="43" fontId="6" fillId="0" borderId="33" xfId="1" applyFont="1" applyBorder="1" applyAlignment="1">
      <alignment vertical="center"/>
    </xf>
    <xf numFmtId="43" fontId="5" fillId="0" borderId="22" xfId="1" applyFont="1" applyFill="1" applyBorder="1" applyAlignment="1">
      <alignment horizontal="center" vertical="center"/>
    </xf>
    <xf numFmtId="43" fontId="4" fillId="0" borderId="19" xfId="1" applyFont="1" applyFill="1" applyBorder="1" applyAlignment="1">
      <alignment vertical="center"/>
    </xf>
    <xf numFmtId="43" fontId="6" fillId="0" borderId="15" xfId="1" applyFont="1" applyBorder="1" applyAlignment="1">
      <alignment horizontal="center" vertical="center"/>
    </xf>
    <xf numFmtId="0" fontId="4" fillId="0" borderId="30" xfId="0" applyFont="1" applyBorder="1" applyAlignment="1">
      <alignment vertical="center"/>
    </xf>
    <xf numFmtId="43" fontId="4" fillId="0" borderId="29" xfId="1" applyFont="1" applyFill="1" applyBorder="1" applyAlignment="1">
      <alignment horizontal="center" vertical="center"/>
    </xf>
    <xf numFmtId="0" fontId="4" fillId="0" borderId="24" xfId="0" applyFont="1" applyBorder="1" applyAlignment="1">
      <alignment vertical="center"/>
    </xf>
    <xf numFmtId="43" fontId="4" fillId="0" borderId="27" xfId="1" applyFont="1" applyFill="1" applyBorder="1" applyAlignment="1">
      <alignment vertical="center"/>
    </xf>
    <xf numFmtId="43" fontId="4" fillId="0" borderId="20" xfId="1" applyFont="1" applyBorder="1" applyAlignment="1">
      <alignment vertical="center"/>
    </xf>
    <xf numFmtId="43" fontId="6" fillId="0" borderId="36" xfId="1" applyFont="1" applyBorder="1" applyAlignment="1">
      <alignment horizontal="center" vertical="center"/>
    </xf>
    <xf numFmtId="43" fontId="3" fillId="2" borderId="34" xfId="1" applyFont="1" applyFill="1" applyBorder="1" applyAlignment="1">
      <alignment horizontal="center" vertical="center" wrapText="1"/>
    </xf>
    <xf numFmtId="43" fontId="2" fillId="6" borderId="11" xfId="1" applyFont="1" applyFill="1" applyBorder="1" applyAlignment="1">
      <alignment horizontal="center" vertical="center"/>
    </xf>
    <xf numFmtId="0" fontId="2" fillId="8" borderId="37" xfId="0" applyFont="1" applyFill="1" applyBorder="1" applyAlignment="1">
      <alignment horizontal="center" vertical="center" wrapText="1"/>
    </xf>
    <xf numFmtId="0" fontId="4" fillId="0" borderId="25" xfId="0" applyFont="1" applyBorder="1" applyAlignment="1">
      <alignment horizontal="center" vertical="center"/>
    </xf>
    <xf numFmtId="43" fontId="4" fillId="0" borderId="35" xfId="1" applyFont="1" applyFill="1" applyBorder="1" applyAlignment="1">
      <alignment vertical="center"/>
    </xf>
    <xf numFmtId="43" fontId="4" fillId="0" borderId="0" xfId="1" applyFont="1" applyFill="1" applyBorder="1" applyAlignment="1">
      <alignment vertical="center"/>
    </xf>
    <xf numFmtId="43" fontId="6" fillId="0" borderId="6" xfId="1" applyFont="1" applyBorder="1" applyAlignment="1">
      <alignment vertical="center"/>
    </xf>
    <xf numFmtId="0" fontId="6" fillId="0" borderId="15" xfId="0" applyFont="1" applyBorder="1" applyAlignment="1">
      <alignment horizontal="center" vertical="center"/>
    </xf>
    <xf numFmtId="0" fontId="0" fillId="0" borderId="5" xfId="0" applyBorder="1"/>
    <xf numFmtId="0" fontId="2" fillId="4" borderId="5" xfId="0" applyFont="1" applyFill="1" applyBorder="1" applyAlignment="1">
      <alignment vertical="center"/>
    </xf>
    <xf numFmtId="43" fontId="4" fillId="4" borderId="38" xfId="1" applyFont="1" applyFill="1" applyBorder="1"/>
    <xf numFmtId="43" fontId="4" fillId="4" borderId="39" xfId="1" applyFont="1" applyFill="1" applyBorder="1"/>
    <xf numFmtId="164" fontId="4" fillId="0" borderId="25" xfId="0" applyNumberFormat="1" applyFont="1" applyBorder="1" applyAlignment="1">
      <alignment vertical="center"/>
    </xf>
    <xf numFmtId="43" fontId="4" fillId="0" borderId="25" xfId="1" applyFont="1" applyBorder="1" applyAlignment="1">
      <alignment vertical="center"/>
    </xf>
    <xf numFmtId="164" fontId="4" fillId="4" borderId="5" xfId="0" applyNumberFormat="1" applyFont="1" applyFill="1" applyBorder="1"/>
    <xf numFmtId="0" fontId="4" fillId="4" borderId="11" xfId="0" applyFont="1" applyFill="1" applyBorder="1"/>
    <xf numFmtId="0" fontId="4" fillId="0" borderId="25" xfId="0" applyFont="1" applyBorder="1" applyAlignment="1">
      <alignment vertical="center" wrapText="1"/>
    </xf>
    <xf numFmtId="0" fontId="5" fillId="0" borderId="25" xfId="0" applyFont="1" applyBorder="1" applyAlignment="1">
      <alignment horizontal="left" vertical="center"/>
    </xf>
    <xf numFmtId="43" fontId="4" fillId="0" borderId="21" xfId="1" applyFont="1" applyBorder="1" applyAlignment="1">
      <alignment vertical="center"/>
    </xf>
    <xf numFmtId="43" fontId="6" fillId="0" borderId="33" xfId="1" applyFont="1" applyBorder="1" applyAlignment="1">
      <alignment horizontal="center" vertical="center"/>
    </xf>
    <xf numFmtId="43" fontId="0" fillId="0" borderId="0" xfId="0" applyNumberFormat="1"/>
    <xf numFmtId="43" fontId="3" fillId="2" borderId="5" xfId="1" applyFont="1" applyFill="1" applyBorder="1" applyAlignment="1">
      <alignment horizontal="center" vertical="center" wrapText="1"/>
    </xf>
    <xf numFmtId="43" fontId="2" fillId="5" borderId="10" xfId="1" applyFont="1" applyFill="1" applyBorder="1" applyAlignment="1">
      <alignment horizontal="center" vertical="center"/>
    </xf>
    <xf numFmtId="43" fontId="2" fillId="5" borderId="34" xfId="1" applyFont="1" applyFill="1" applyBorder="1" applyAlignment="1">
      <alignment horizontal="center" vertical="center"/>
    </xf>
    <xf numFmtId="43" fontId="2" fillId="5" borderId="37" xfId="1" applyFont="1" applyFill="1" applyBorder="1" applyAlignment="1">
      <alignment horizontal="center" vertical="center"/>
    </xf>
    <xf numFmtId="43" fontId="2" fillId="6" borderId="9" xfId="1" applyFont="1" applyFill="1" applyBorder="1" applyAlignment="1">
      <alignment horizontal="center" vertical="center"/>
    </xf>
    <xf numFmtId="43" fontId="4" fillId="0" borderId="14" xfId="1" applyFont="1" applyFill="1" applyBorder="1" applyAlignment="1">
      <alignment horizontal="center" vertical="center"/>
    </xf>
    <xf numFmtId="0" fontId="2" fillId="4" borderId="39" xfId="0" applyFont="1" applyFill="1" applyBorder="1" applyAlignment="1">
      <alignment vertical="center"/>
    </xf>
    <xf numFmtId="0" fontId="4" fillId="4" borderId="11" xfId="0" applyFont="1" applyFill="1" applyBorder="1" applyAlignment="1">
      <alignment horizontal="center"/>
    </xf>
    <xf numFmtId="43" fontId="4" fillId="4" borderId="1" xfId="1" applyFont="1" applyFill="1" applyBorder="1"/>
    <xf numFmtId="0" fontId="5" fillId="0" borderId="25" xfId="0" applyFont="1" applyBorder="1" applyAlignment="1">
      <alignment horizontal="center"/>
    </xf>
    <xf numFmtId="43" fontId="4" fillId="4" borderId="3" xfId="1" applyFont="1" applyFill="1" applyBorder="1"/>
    <xf numFmtId="0" fontId="4" fillId="4" borderId="39" xfId="0" applyFont="1" applyFill="1" applyBorder="1" applyAlignment="1">
      <alignment horizontal="center"/>
    </xf>
    <xf numFmtId="0" fontId="5" fillId="0" borderId="26" xfId="0" applyFont="1" applyBorder="1" applyAlignment="1">
      <alignment horizontal="center"/>
    </xf>
    <xf numFmtId="43" fontId="4" fillId="0" borderId="20" xfId="1" applyFont="1" applyFill="1" applyBorder="1" applyAlignment="1">
      <alignment horizontal="center" vertical="center"/>
    </xf>
    <xf numFmtId="0" fontId="9" fillId="0" borderId="0" xfId="0" applyFont="1" applyAlignment="1">
      <alignment horizontal="left"/>
    </xf>
    <xf numFmtId="0" fontId="10" fillId="0" borderId="0" xfId="0" applyFont="1"/>
    <xf numFmtId="0" fontId="0" fillId="0" borderId="0" xfId="0" applyAlignment="1">
      <alignment horizontal="left"/>
    </xf>
    <xf numFmtId="0" fontId="0" fillId="0" borderId="0" xfId="0" applyAlignment="1">
      <alignment vertical="center"/>
    </xf>
    <xf numFmtId="0" fontId="0" fillId="0" borderId="19" xfId="0" applyBorder="1"/>
    <xf numFmtId="0" fontId="0" fillId="0" borderId="16" xfId="0" applyBorder="1"/>
    <xf numFmtId="43" fontId="0" fillId="0" borderId="0" xfId="1" applyFont="1" applyBorder="1" applyAlignment="1">
      <alignment vertical="center"/>
    </xf>
    <xf numFmtId="0" fontId="0" fillId="0" borderId="18" xfId="0" applyBorder="1"/>
    <xf numFmtId="0" fontId="0" fillId="0" borderId="15" xfId="0" applyBorder="1"/>
    <xf numFmtId="0" fontId="8" fillId="0" borderId="35" xfId="0" applyFont="1" applyBorder="1" applyAlignment="1">
      <alignment vertical="center"/>
    </xf>
    <xf numFmtId="0" fontId="0" fillId="0" borderId="1" xfId="0" applyBorder="1"/>
    <xf numFmtId="0" fontId="0" fillId="0" borderId="39" xfId="0" applyBorder="1"/>
    <xf numFmtId="0" fontId="0" fillId="0" borderId="11" xfId="0" applyBorder="1"/>
    <xf numFmtId="0" fontId="0" fillId="0" borderId="1" xfId="0" applyBorder="1" applyAlignment="1">
      <alignment horizontal="center"/>
    </xf>
    <xf numFmtId="0" fontId="8" fillId="0" borderId="12" xfId="0" applyFont="1" applyBorder="1" applyAlignment="1">
      <alignment vertical="center"/>
    </xf>
    <xf numFmtId="0" fontId="8" fillId="0" borderId="12" xfId="0" applyFont="1" applyBorder="1"/>
    <xf numFmtId="43" fontId="0" fillId="0" borderId="0" xfId="1" applyFont="1" applyBorder="1" applyAlignment="1">
      <alignment horizontal="left" vertical="center"/>
    </xf>
    <xf numFmtId="0" fontId="0" fillId="0" borderId="0" xfId="0" applyAlignment="1">
      <alignment horizontal="left" vertical="center"/>
    </xf>
    <xf numFmtId="0" fontId="11" fillId="0" borderId="0" xfId="0" applyFont="1" applyAlignment="1">
      <alignment horizontal="center"/>
    </xf>
    <xf numFmtId="0" fontId="8" fillId="0" borderId="25" xfId="0" applyFont="1" applyBorder="1"/>
    <xf numFmtId="0" fontId="0" fillId="0" borderId="36" xfId="0" applyBorder="1" applyAlignment="1">
      <alignment horizontal="center"/>
    </xf>
    <xf numFmtId="0" fontId="8" fillId="0" borderId="25" xfId="0" applyFont="1" applyBorder="1" applyAlignment="1">
      <alignment vertical="center"/>
    </xf>
    <xf numFmtId="0" fontId="0" fillId="0" borderId="26" xfId="0" applyBorder="1" applyAlignment="1">
      <alignment vertical="center" wrapText="1"/>
    </xf>
    <xf numFmtId="43" fontId="2" fillId="4" borderId="5" xfId="1" applyFont="1" applyFill="1" applyBorder="1" applyAlignment="1">
      <alignment horizontal="center" vertical="center" wrapText="1"/>
    </xf>
    <xf numFmtId="0" fontId="9" fillId="9" borderId="5" xfId="0" applyFont="1" applyFill="1" applyBorder="1"/>
    <xf numFmtId="0" fontId="9" fillId="9" borderId="1" xfId="0" applyFont="1" applyFill="1" applyBorder="1" applyAlignment="1">
      <alignment horizontal="right"/>
    </xf>
    <xf numFmtId="0" fontId="9" fillId="9" borderId="11" xfId="0" applyFont="1" applyFill="1" applyBorder="1" applyAlignment="1">
      <alignment horizontal="right"/>
    </xf>
    <xf numFmtId="43" fontId="6" fillId="0" borderId="47" xfId="1" applyFont="1" applyBorder="1" applyAlignment="1">
      <alignment horizontal="center" vertical="center"/>
    </xf>
    <xf numFmtId="0" fontId="0" fillId="0" borderId="29" xfId="0" applyBorder="1"/>
    <xf numFmtId="43" fontId="0" fillId="0" borderId="0" xfId="1" applyFont="1"/>
    <xf numFmtId="43" fontId="0" fillId="0" borderId="0" xfId="1" applyFont="1" applyBorder="1"/>
    <xf numFmtId="0" fontId="5" fillId="0" borderId="12" xfId="0" applyFont="1" applyBorder="1" applyAlignment="1">
      <alignment horizontal="left" vertical="center" wrapText="1"/>
    </xf>
    <xf numFmtId="0" fontId="5" fillId="0" borderId="18" xfId="0" applyFont="1" applyBorder="1" applyAlignment="1">
      <alignment horizontal="left" vertical="center"/>
    </xf>
    <xf numFmtId="43" fontId="4" fillId="0" borderId="35" xfId="1" applyFont="1" applyBorder="1" applyAlignment="1">
      <alignment vertical="center"/>
    </xf>
    <xf numFmtId="43" fontId="4" fillId="0" borderId="18" xfId="1" applyFont="1" applyFill="1" applyBorder="1" applyAlignment="1">
      <alignment vertical="center"/>
    </xf>
    <xf numFmtId="0" fontId="5" fillId="0" borderId="19" xfId="0" applyFont="1" applyBorder="1" applyAlignment="1">
      <alignment horizontal="center"/>
    </xf>
    <xf numFmtId="0" fontId="4" fillId="0" borderId="22" xfId="0" applyFont="1" applyBorder="1" applyAlignment="1">
      <alignment vertical="center" wrapText="1"/>
    </xf>
    <xf numFmtId="43" fontId="4" fillId="0" borderId="30" xfId="1" applyFont="1" applyBorder="1" applyAlignment="1">
      <alignment vertical="center"/>
    </xf>
    <xf numFmtId="0" fontId="5" fillId="0" borderId="35" xfId="0" applyFont="1" applyBorder="1" applyAlignment="1">
      <alignment horizontal="left" vertical="center"/>
    </xf>
    <xf numFmtId="43" fontId="5" fillId="0" borderId="35" xfId="1" applyFont="1" applyFill="1" applyBorder="1" applyAlignment="1">
      <alignment horizontal="center" vertical="center"/>
    </xf>
    <xf numFmtId="43" fontId="4" fillId="0" borderId="27" xfId="1" applyFont="1" applyFill="1" applyBorder="1" applyAlignment="1">
      <alignment horizontal="center" vertical="center"/>
    </xf>
    <xf numFmtId="164" fontId="4" fillId="0" borderId="35" xfId="0" applyNumberFormat="1" applyFont="1" applyBorder="1" applyAlignment="1">
      <alignment vertical="center"/>
    </xf>
    <xf numFmtId="43" fontId="4" fillId="7" borderId="30" xfId="1" applyFont="1" applyFill="1" applyBorder="1" applyAlignment="1">
      <alignment vertical="center"/>
    </xf>
    <xf numFmtId="43" fontId="13" fillId="0" borderId="0" xfId="1" applyFont="1"/>
    <xf numFmtId="0" fontId="0" fillId="0" borderId="12" xfId="0" applyBorder="1"/>
    <xf numFmtId="0" fontId="4" fillId="0" borderId="25" xfId="0" applyFont="1" applyBorder="1" applyAlignment="1">
      <alignment vertical="center"/>
    </xf>
    <xf numFmtId="0" fontId="15" fillId="0" borderId="0" xfId="0" applyFont="1"/>
    <xf numFmtId="43" fontId="5" fillId="0" borderId="18" xfId="1" applyFont="1" applyFill="1" applyBorder="1" applyAlignment="1">
      <alignment horizontal="center" vertical="center"/>
    </xf>
    <xf numFmtId="0" fontId="4" fillId="0" borderId="29" xfId="0" applyFont="1" applyBorder="1" applyAlignment="1">
      <alignment horizontal="center" vertical="center"/>
    </xf>
    <xf numFmtId="43" fontId="6" fillId="0" borderId="15" xfId="1" applyFont="1" applyFill="1" applyBorder="1" applyAlignment="1">
      <alignment vertical="center"/>
    </xf>
    <xf numFmtId="0" fontId="0" fillId="0" borderId="12" xfId="0" applyBorder="1" applyAlignment="1">
      <alignment vertical="center"/>
    </xf>
    <xf numFmtId="0" fontId="0" fillId="0" borderId="25" xfId="0" applyBorder="1" applyAlignment="1">
      <alignment vertical="center"/>
    </xf>
    <xf numFmtId="43" fontId="1" fillId="0" borderId="0" xfId="1" applyFont="1" applyBorder="1" applyAlignment="1">
      <alignment horizontal="center" vertical="center"/>
    </xf>
    <xf numFmtId="43" fontId="4" fillId="0" borderId="30" xfId="1" applyFont="1" applyFill="1" applyBorder="1" applyAlignment="1">
      <alignment horizontal="center" vertical="center"/>
    </xf>
    <xf numFmtId="0" fontId="0" fillId="0" borderId="25" xfId="0" applyBorder="1" applyAlignment="1">
      <alignment horizontal="left" vertical="center"/>
    </xf>
    <xf numFmtId="0" fontId="10" fillId="9" borderId="5" xfId="0" applyFont="1" applyFill="1" applyBorder="1"/>
    <xf numFmtId="0" fontId="0" fillId="0" borderId="35" xfId="0" applyBorder="1" applyAlignment="1">
      <alignment vertical="center"/>
    </xf>
    <xf numFmtId="0" fontId="17" fillId="0" borderId="25" xfId="0" applyFont="1" applyBorder="1" applyAlignment="1">
      <alignment vertical="center"/>
    </xf>
    <xf numFmtId="0" fontId="17" fillId="0" borderId="27" xfId="0" applyFont="1" applyBorder="1" applyAlignment="1">
      <alignment vertical="center" wrapText="1"/>
    </xf>
    <xf numFmtId="0" fontId="17" fillId="0" borderId="12" xfId="0" applyFont="1" applyBorder="1" applyAlignment="1">
      <alignment horizontal="left" vertical="center"/>
    </xf>
    <xf numFmtId="0" fontId="17" fillId="0" borderId="30" xfId="0" applyFont="1" applyBorder="1" applyAlignment="1">
      <alignment horizontal="left" vertical="center"/>
    </xf>
    <xf numFmtId="0" fontId="17" fillId="0" borderId="25" xfId="0" applyFont="1" applyBorder="1" applyAlignment="1">
      <alignment horizontal="left" vertical="center"/>
    </xf>
    <xf numFmtId="0" fontId="17" fillId="0" borderId="27" xfId="0" applyFont="1" applyBorder="1" applyAlignment="1">
      <alignment horizontal="left" vertical="center"/>
    </xf>
    <xf numFmtId="0" fontId="17" fillId="0" borderId="15" xfId="0" applyFont="1" applyBorder="1" applyAlignment="1">
      <alignment vertical="center"/>
    </xf>
    <xf numFmtId="0" fontId="17" fillId="0" borderId="36" xfId="0" applyFont="1" applyBorder="1" applyAlignment="1">
      <alignment vertical="center"/>
    </xf>
    <xf numFmtId="0" fontId="17" fillId="0" borderId="12" xfId="0" applyFont="1" applyBorder="1" applyAlignment="1">
      <alignment vertical="center"/>
    </xf>
    <xf numFmtId="0" fontId="0" fillId="0" borderId="25" xfId="0" applyBorder="1"/>
    <xf numFmtId="0" fontId="0" fillId="0" borderId="25" xfId="0" applyBorder="1" applyAlignment="1">
      <alignment vertical="center" wrapText="1"/>
    </xf>
    <xf numFmtId="0" fontId="0" fillId="0" borderId="26" xfId="0" applyBorder="1" applyAlignment="1">
      <alignment horizontal="left" vertical="center" wrapText="1"/>
    </xf>
    <xf numFmtId="0" fontId="0" fillId="0" borderId="18" xfId="0" applyBorder="1" applyAlignment="1">
      <alignment vertical="center"/>
    </xf>
    <xf numFmtId="0" fontId="0" fillId="0" borderId="0" xfId="0" applyAlignment="1">
      <alignment vertical="center" wrapText="1"/>
    </xf>
    <xf numFmtId="0" fontId="0" fillId="0" borderId="12" xfId="0" applyBorder="1" applyAlignment="1">
      <alignment wrapText="1"/>
    </xf>
    <xf numFmtId="0" fontId="0" fillId="0" borderId="25" xfId="0" applyBorder="1" applyAlignment="1">
      <alignment horizontal="left" vertical="center" wrapText="1"/>
    </xf>
    <xf numFmtId="0" fontId="0" fillId="0" borderId="0" xfId="0" applyAlignment="1">
      <alignment vertical="top" wrapText="1"/>
    </xf>
    <xf numFmtId="0" fontId="0" fillId="0" borderId="30" xfId="0" applyBorder="1" applyAlignment="1">
      <alignment horizontal="left" vertical="center"/>
    </xf>
    <xf numFmtId="0" fontId="0" fillId="0" borderId="19" xfId="0" applyBorder="1" applyAlignment="1">
      <alignment vertical="center"/>
    </xf>
    <xf numFmtId="0" fontId="10" fillId="0" borderId="12" xfId="0" applyFont="1" applyBorder="1" applyAlignment="1">
      <alignment vertical="center"/>
    </xf>
    <xf numFmtId="0" fontId="10" fillId="0" borderId="25" xfId="0" applyFont="1" applyBorder="1" applyAlignment="1">
      <alignment horizontal="left" vertical="center"/>
    </xf>
    <xf numFmtId="0" fontId="0" fillId="0" borderId="12" xfId="0" applyBorder="1" applyAlignment="1">
      <alignment horizontal="left" vertical="center"/>
    </xf>
    <xf numFmtId="0" fontId="0" fillId="0" borderId="15" xfId="0" applyBorder="1" applyAlignment="1">
      <alignment vertical="center"/>
    </xf>
    <xf numFmtId="0" fontId="0" fillId="0" borderId="12" xfId="0" applyBorder="1" applyAlignment="1">
      <alignment horizontal="left"/>
    </xf>
    <xf numFmtId="0" fontId="0" fillId="0" borderId="15" xfId="0" applyBorder="1" applyAlignment="1">
      <alignment horizontal="left"/>
    </xf>
    <xf numFmtId="0" fontId="0" fillId="0" borderId="35" xfId="0" applyBorder="1" applyAlignment="1">
      <alignment vertical="center" wrapText="1"/>
    </xf>
    <xf numFmtId="0" fontId="0" fillId="0" borderId="26" xfId="0" applyBorder="1"/>
    <xf numFmtId="0" fontId="0" fillId="0" borderId="0" xfId="0" applyAlignment="1">
      <alignment horizontal="left" vertical="center" wrapText="1"/>
    </xf>
    <xf numFmtId="0" fontId="0" fillId="0" borderId="50" xfId="0" applyBorder="1" applyAlignment="1">
      <alignment vertical="center"/>
    </xf>
    <xf numFmtId="0" fontId="0" fillId="0" borderId="29" xfId="0" applyBorder="1" applyAlignment="1">
      <alignment horizontal="left"/>
    </xf>
    <xf numFmtId="43" fontId="3" fillId="2" borderId="11" xfId="1" applyFont="1" applyFill="1" applyBorder="1" applyAlignment="1">
      <alignment horizontal="center" vertical="center" wrapText="1"/>
    </xf>
    <xf numFmtId="0" fontId="0" fillId="0" borderId="29" xfId="0" applyBorder="1" applyAlignment="1">
      <alignment vertical="center"/>
    </xf>
    <xf numFmtId="0" fontId="0" fillId="0" borderId="0" xfId="0" applyAlignment="1">
      <alignment horizontal="left" wrapText="1"/>
    </xf>
    <xf numFmtId="0" fontId="0" fillId="0" borderId="12" xfId="0" applyBorder="1" applyAlignment="1">
      <alignment horizontal="left" wrapText="1"/>
    </xf>
    <xf numFmtId="43" fontId="2" fillId="3" borderId="5" xfId="1" applyFont="1" applyFill="1" applyBorder="1" applyAlignment="1">
      <alignment horizontal="center" vertical="center" wrapText="1"/>
    </xf>
    <xf numFmtId="43" fontId="2" fillId="5" borderId="1" xfId="1" applyFont="1" applyFill="1" applyBorder="1" applyAlignment="1">
      <alignment horizontal="center" vertical="center"/>
    </xf>
    <xf numFmtId="43" fontId="2" fillId="5" borderId="39" xfId="1" applyFont="1" applyFill="1" applyBorder="1" applyAlignment="1">
      <alignment horizontal="center" vertical="center"/>
    </xf>
    <xf numFmtId="0" fontId="0" fillId="0" borderId="16" xfId="0" applyBorder="1" applyAlignment="1">
      <alignment horizontal="left"/>
    </xf>
    <xf numFmtId="0" fontId="0" fillId="0" borderId="29" xfId="0" applyBorder="1" applyAlignment="1">
      <alignment horizontal="left" vertical="center"/>
    </xf>
    <xf numFmtId="0" fontId="0" fillId="0" borderId="19" xfId="0" applyBorder="1" applyAlignment="1">
      <alignment vertical="center" wrapText="1"/>
    </xf>
    <xf numFmtId="43" fontId="0" fillId="0" borderId="0" xfId="1" applyFont="1" applyAlignment="1">
      <alignment vertical="center"/>
    </xf>
    <xf numFmtId="0" fontId="0" fillId="0" borderId="30" xfId="0" applyBorder="1" applyAlignment="1">
      <alignment horizontal="left"/>
    </xf>
    <xf numFmtId="0" fontId="0" fillId="0" borderId="19" xfId="0" applyBorder="1" applyAlignment="1">
      <alignment horizontal="left"/>
    </xf>
    <xf numFmtId="0" fontId="0" fillId="0" borderId="29" xfId="0" applyBorder="1" applyAlignment="1">
      <alignment horizontal="center"/>
    </xf>
    <xf numFmtId="0" fontId="0" fillId="0" borderId="25" xfId="0" applyBorder="1" applyAlignment="1">
      <alignment horizontal="left"/>
    </xf>
    <xf numFmtId="0" fontId="0" fillId="0" borderId="26" xfId="0" applyBorder="1" applyAlignment="1">
      <alignment horizontal="left"/>
    </xf>
    <xf numFmtId="0" fontId="0" fillId="0" borderId="27" xfId="0" applyBorder="1" applyAlignment="1">
      <alignment horizontal="left"/>
    </xf>
    <xf numFmtId="0" fontId="0" fillId="0" borderId="18" xfId="0" applyBorder="1" applyAlignment="1">
      <alignment horizontal="left"/>
    </xf>
    <xf numFmtId="0" fontId="20" fillId="0" borderId="0" xfId="0" applyFont="1" applyAlignment="1">
      <alignment vertical="center"/>
    </xf>
    <xf numFmtId="0" fontId="20" fillId="0" borderId="0" xfId="0" applyFont="1"/>
    <xf numFmtId="43" fontId="4" fillId="0" borderId="35" xfId="1" applyFont="1" applyFill="1" applyBorder="1" applyAlignment="1">
      <alignment horizontal="center" vertical="center"/>
    </xf>
    <xf numFmtId="0" fontId="0" fillId="0" borderId="29" xfId="0" applyBorder="1" applyAlignment="1">
      <alignment horizontal="left" wrapText="1"/>
    </xf>
    <xf numFmtId="0" fontId="0" fillId="0" borderId="29" xfId="0" applyBorder="1" applyAlignment="1">
      <alignment horizontal="left" vertical="center" wrapText="1"/>
    </xf>
    <xf numFmtId="0" fontId="0" fillId="0" borderId="30" xfId="0" applyBorder="1" applyAlignment="1">
      <alignment horizontal="left" wrapText="1"/>
    </xf>
    <xf numFmtId="0" fontId="0" fillId="0" borderId="14" xfId="0" applyBorder="1" applyAlignment="1">
      <alignment horizontal="left" vertical="center"/>
    </xf>
    <xf numFmtId="43" fontId="0" fillId="0" borderId="29" xfId="1" applyFont="1" applyBorder="1" applyAlignment="1">
      <alignment horizontal="center"/>
    </xf>
    <xf numFmtId="43" fontId="0" fillId="0" borderId="14" xfId="1" applyFont="1" applyBorder="1" applyAlignment="1">
      <alignment horizontal="center"/>
    </xf>
    <xf numFmtId="0" fontId="0" fillId="0" borderId="14" xfId="0" applyBorder="1" applyAlignment="1">
      <alignment horizontal="left"/>
    </xf>
    <xf numFmtId="0" fontId="0" fillId="0" borderId="14" xfId="0" applyBorder="1" applyAlignment="1">
      <alignment horizontal="left" wrapText="1"/>
    </xf>
    <xf numFmtId="43" fontId="0" fillId="0" borderId="29" xfId="1" applyFont="1" applyBorder="1" applyAlignment="1">
      <alignment horizontal="center" vertical="center"/>
    </xf>
    <xf numFmtId="43" fontId="0" fillId="0" borderId="14" xfId="1" applyFont="1" applyBorder="1" applyAlignment="1">
      <alignment horizontal="center" vertical="center"/>
    </xf>
    <xf numFmtId="0" fontId="0" fillId="0" borderId="30" xfId="0" applyBorder="1" applyAlignment="1">
      <alignment horizontal="left" vertical="center" wrapText="1"/>
    </xf>
    <xf numFmtId="43" fontId="1" fillId="0" borderId="29" xfId="1" applyFont="1" applyBorder="1" applyAlignment="1">
      <alignment horizontal="center" vertical="center"/>
    </xf>
    <xf numFmtId="43" fontId="1" fillId="0" borderId="14" xfId="1" applyFont="1" applyBorder="1" applyAlignment="1">
      <alignment horizontal="center" vertical="center"/>
    </xf>
    <xf numFmtId="43" fontId="0" fillId="0" borderId="30" xfId="1" applyFont="1" applyBorder="1" applyAlignment="1">
      <alignment horizont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14" xfId="0" applyBorder="1" applyAlignment="1">
      <alignment horizontal="center" vertical="center"/>
    </xf>
    <xf numFmtId="0" fontId="0" fillId="0" borderId="30" xfId="0" applyBorder="1" applyAlignment="1">
      <alignment horizontal="center" vertical="center" wrapText="1"/>
    </xf>
    <xf numFmtId="0" fontId="0" fillId="0" borderId="14" xfId="0" applyBorder="1" applyAlignment="1">
      <alignment horizontal="center" vertical="center" wrapText="1"/>
    </xf>
    <xf numFmtId="0" fontId="19" fillId="0" borderId="23" xfId="0" applyFont="1" applyBorder="1" applyAlignment="1">
      <alignment horizontal="left" vertical="center"/>
    </xf>
    <xf numFmtId="0" fontId="19" fillId="0" borderId="24" xfId="0" applyFont="1" applyBorder="1" applyAlignment="1">
      <alignment horizontal="left" vertical="center"/>
    </xf>
    <xf numFmtId="0" fontId="19" fillId="0" borderId="41" xfId="0" applyFont="1" applyBorder="1" applyAlignment="1">
      <alignment horizontal="left" vertical="center"/>
    </xf>
    <xf numFmtId="43" fontId="19" fillId="0" borderId="23" xfId="1" applyFont="1" applyBorder="1" applyAlignment="1">
      <alignment vertical="center"/>
    </xf>
    <xf numFmtId="43" fontId="19" fillId="0" borderId="24" xfId="1" applyFont="1" applyBorder="1" applyAlignment="1">
      <alignment vertical="center"/>
    </xf>
    <xf numFmtId="43" fontId="19" fillId="0" borderId="41" xfId="1" applyFont="1" applyBorder="1" applyAlignment="1">
      <alignment vertical="center"/>
    </xf>
    <xf numFmtId="0" fontId="0" fillId="0" borderId="19" xfId="0" applyBorder="1" applyAlignment="1">
      <alignment horizontal="left" vertical="center" wrapText="1"/>
    </xf>
    <xf numFmtId="0" fontId="0" fillId="0" borderId="0" xfId="0" applyAlignment="1">
      <alignment vertical="top"/>
    </xf>
    <xf numFmtId="0" fontId="0" fillId="0" borderId="41" xfId="0" applyBorder="1" applyAlignment="1">
      <alignment horizontal="left"/>
    </xf>
    <xf numFmtId="0" fontId="0" fillId="0" borderId="23" xfId="0" applyBorder="1" applyAlignment="1">
      <alignment horizontal="left"/>
    </xf>
    <xf numFmtId="43" fontId="9" fillId="0" borderId="0" xfId="1" applyFont="1" applyAlignment="1">
      <alignment horizontal="right"/>
    </xf>
    <xf numFmtId="0" fontId="0" fillId="0" borderId="39" xfId="0" applyBorder="1" applyAlignment="1">
      <alignment horizontal="center"/>
    </xf>
    <xf numFmtId="43" fontId="3" fillId="2" borderId="51" xfId="1" applyFont="1" applyFill="1" applyBorder="1" applyAlignment="1">
      <alignment horizontal="center" vertical="center" wrapText="1"/>
    </xf>
    <xf numFmtId="43" fontId="2" fillId="3" borderId="11" xfId="1" applyFont="1" applyFill="1" applyBorder="1" applyAlignment="1">
      <alignment horizontal="center" vertical="center" wrapText="1"/>
    </xf>
    <xf numFmtId="43" fontId="5" fillId="0" borderId="30" xfId="1" applyFont="1" applyFill="1" applyBorder="1" applyAlignment="1">
      <alignment horizontal="center" vertical="center"/>
    </xf>
    <xf numFmtId="43" fontId="5" fillId="0" borderId="27" xfId="1" applyFont="1" applyFill="1" applyBorder="1" applyAlignment="1">
      <alignment horizontal="center" vertical="center"/>
    </xf>
    <xf numFmtId="0" fontId="9" fillId="0" borderId="0" xfId="0" applyFont="1" applyAlignment="1">
      <alignment vertical="center"/>
    </xf>
    <xf numFmtId="0" fontId="5" fillId="0" borderId="26" xfId="0" applyFont="1" applyBorder="1" applyAlignment="1">
      <alignment horizontal="left" vertical="center"/>
    </xf>
    <xf numFmtId="0" fontId="5" fillId="0" borderId="29" xfId="0" applyFont="1" applyBorder="1" applyAlignment="1">
      <alignment horizontal="left" vertical="center"/>
    </xf>
    <xf numFmtId="0" fontId="4" fillId="0" borderId="29" xfId="0" applyFont="1" applyBorder="1" applyAlignment="1">
      <alignment vertical="center"/>
    </xf>
    <xf numFmtId="0" fontId="4" fillId="0" borderId="29" xfId="0" applyFont="1" applyBorder="1" applyAlignment="1">
      <alignment vertical="center" wrapText="1"/>
    </xf>
    <xf numFmtId="0" fontId="2" fillId="0" borderId="16" xfId="0" applyFont="1" applyBorder="1" applyAlignment="1">
      <alignment vertical="center"/>
    </xf>
    <xf numFmtId="43" fontId="0" fillId="0" borderId="29" xfId="1" applyFont="1" applyBorder="1" applyAlignment="1">
      <alignment horizontal="center"/>
    </xf>
    <xf numFmtId="43" fontId="0" fillId="0" borderId="14" xfId="1" applyFont="1" applyBorder="1" applyAlignment="1">
      <alignment horizontal="center"/>
    </xf>
    <xf numFmtId="0" fontId="0" fillId="0" borderId="29" xfId="0" applyBorder="1" applyAlignment="1">
      <alignment horizontal="left" vertical="center" wrapText="1"/>
    </xf>
    <xf numFmtId="0" fontId="0" fillId="0" borderId="30" xfId="0" applyBorder="1" applyAlignment="1">
      <alignment horizontal="left" vertical="center"/>
    </xf>
    <xf numFmtId="0" fontId="0" fillId="0" borderId="14" xfId="0" applyBorder="1" applyAlignment="1">
      <alignment horizontal="left" vertical="center"/>
    </xf>
    <xf numFmtId="0" fontId="0" fillId="0" borderId="29" xfId="0" applyBorder="1" applyAlignment="1">
      <alignment horizontal="left"/>
    </xf>
    <xf numFmtId="0" fontId="0" fillId="0" borderId="30" xfId="0" applyBorder="1" applyAlignment="1">
      <alignment horizontal="left"/>
    </xf>
    <xf numFmtId="0" fontId="0" fillId="0" borderId="14" xfId="0" applyBorder="1" applyAlignment="1">
      <alignment horizontal="left"/>
    </xf>
    <xf numFmtId="0" fontId="0" fillId="0" borderId="1" xfId="0" applyBorder="1" applyAlignment="1">
      <alignment horizontal="center"/>
    </xf>
    <xf numFmtId="0" fontId="0" fillId="0" borderId="39" xfId="0" applyBorder="1" applyAlignment="1">
      <alignment horizontal="center"/>
    </xf>
    <xf numFmtId="0" fontId="0" fillId="0" borderId="11" xfId="0" applyBorder="1" applyAlignment="1">
      <alignment horizontal="center"/>
    </xf>
    <xf numFmtId="0" fontId="11" fillId="0" borderId="1" xfId="0" applyFont="1" applyBorder="1" applyAlignment="1">
      <alignment horizontal="right"/>
    </xf>
    <xf numFmtId="0" fontId="11" fillId="0" borderId="39" xfId="0" applyFont="1" applyBorder="1" applyAlignment="1">
      <alignment horizontal="right"/>
    </xf>
    <xf numFmtId="43" fontId="11" fillId="0" borderId="1" xfId="0" applyNumberFormat="1" applyFont="1" applyBorder="1" applyAlignment="1">
      <alignment horizontal="center"/>
    </xf>
    <xf numFmtId="43" fontId="11" fillId="0" borderId="11" xfId="0" applyNumberFormat="1" applyFont="1" applyBorder="1" applyAlignment="1">
      <alignment horizontal="center"/>
    </xf>
    <xf numFmtId="0" fontId="0" fillId="0" borderId="29" xfId="0" applyBorder="1" applyAlignment="1">
      <alignment vertical="center" wrapText="1"/>
    </xf>
    <xf numFmtId="0" fontId="0" fillId="0" borderId="30" xfId="0" applyBorder="1" applyAlignment="1">
      <alignment vertical="center" wrapText="1"/>
    </xf>
    <xf numFmtId="0" fontId="0" fillId="0" borderId="14" xfId="0" applyBorder="1" applyAlignment="1">
      <alignment vertical="center" wrapText="1"/>
    </xf>
    <xf numFmtId="43" fontId="0" fillId="0" borderId="29" xfId="1" applyFont="1" applyBorder="1" applyAlignment="1">
      <alignment horizontal="left" vertical="center"/>
    </xf>
    <xf numFmtId="43" fontId="0" fillId="0" borderId="14" xfId="1" applyFont="1" applyBorder="1" applyAlignment="1">
      <alignment horizontal="left" vertical="center"/>
    </xf>
    <xf numFmtId="0" fontId="0" fillId="0" borderId="29" xfId="0" applyBorder="1" applyAlignment="1">
      <alignment wrapText="1"/>
    </xf>
    <xf numFmtId="0" fontId="0" fillId="0" borderId="30" xfId="0" applyBorder="1" applyAlignment="1">
      <alignment wrapText="1"/>
    </xf>
    <xf numFmtId="0" fontId="0" fillId="0" borderId="14" xfId="0" applyBorder="1" applyAlignment="1">
      <alignment wrapText="1"/>
    </xf>
    <xf numFmtId="0" fontId="0" fillId="0" borderId="29" xfId="0" applyBorder="1" applyAlignment="1">
      <alignment vertical="center"/>
    </xf>
    <xf numFmtId="0" fontId="0" fillId="0" borderId="14" xfId="0" applyBorder="1" applyAlignment="1">
      <alignment vertical="center"/>
    </xf>
    <xf numFmtId="4" fontId="0" fillId="0" borderId="23" xfId="0" applyNumberFormat="1" applyBorder="1" applyAlignment="1">
      <alignment horizontal="right" vertical="center"/>
    </xf>
    <xf numFmtId="4" fontId="0" fillId="0" borderId="41" xfId="0" applyNumberFormat="1" applyBorder="1" applyAlignment="1">
      <alignment horizontal="right" vertical="center"/>
    </xf>
    <xf numFmtId="0" fontId="0" fillId="0" borderId="29" xfId="0" applyBorder="1" applyAlignment="1">
      <alignment horizontal="left" wrapText="1"/>
    </xf>
    <xf numFmtId="0" fontId="0" fillId="0" borderId="30" xfId="0" applyBorder="1" applyAlignment="1">
      <alignment horizontal="left" wrapText="1"/>
    </xf>
    <xf numFmtId="0" fontId="0" fillId="0" borderId="14" xfId="0" applyBorder="1" applyAlignment="1">
      <alignment horizontal="left" wrapText="1"/>
    </xf>
    <xf numFmtId="0" fontId="0" fillId="0" borderId="47" xfId="0" applyBorder="1" applyAlignment="1">
      <alignment horizontal="left"/>
    </xf>
    <xf numFmtId="0" fontId="0" fillId="0" borderId="48" xfId="0" applyBorder="1" applyAlignment="1">
      <alignment horizontal="left"/>
    </xf>
    <xf numFmtId="0" fontId="0" fillId="0" borderId="49" xfId="0" applyBorder="1" applyAlignment="1">
      <alignment horizontal="left"/>
    </xf>
    <xf numFmtId="0" fontId="0" fillId="0" borderId="14" xfId="0" applyBorder="1" applyAlignment="1">
      <alignment horizontal="left" vertical="center" wrapText="1"/>
    </xf>
    <xf numFmtId="43" fontId="0" fillId="0" borderId="29" xfId="1" applyFont="1" applyBorder="1" applyAlignment="1">
      <alignment horizontal="left" wrapText="1"/>
    </xf>
    <xf numFmtId="43" fontId="0" fillId="0" borderId="14" xfId="1" applyFont="1" applyBorder="1" applyAlignment="1">
      <alignment horizontal="left" wrapText="1"/>
    </xf>
    <xf numFmtId="43" fontId="0" fillId="0" borderId="47" xfId="1" applyFont="1" applyBorder="1" applyAlignment="1">
      <alignment horizontal="center"/>
    </xf>
    <xf numFmtId="43" fontId="0" fillId="0" borderId="49" xfId="1" applyFont="1" applyBorder="1" applyAlignment="1">
      <alignment horizontal="center"/>
    </xf>
    <xf numFmtId="0" fontId="9" fillId="9" borderId="1" xfId="0" applyFont="1" applyFill="1" applyBorder="1"/>
    <xf numFmtId="0" fontId="9" fillId="9" borderId="39" xfId="0" applyFont="1" applyFill="1" applyBorder="1"/>
    <xf numFmtId="0" fontId="9" fillId="9" borderId="11" xfId="0" applyFont="1" applyFill="1" applyBorder="1"/>
    <xf numFmtId="0" fontId="9" fillId="9" borderId="1" xfId="0" applyFont="1" applyFill="1" applyBorder="1" applyAlignment="1">
      <alignment horizontal="right"/>
    </xf>
    <xf numFmtId="0" fontId="9" fillId="9" borderId="11" xfId="0" applyFont="1" applyFill="1" applyBorder="1" applyAlignment="1">
      <alignment horizontal="right"/>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20" xfId="0" applyBorder="1" applyAlignment="1">
      <alignment horizontal="left" vertical="center" wrapText="1"/>
    </xf>
    <xf numFmtId="43" fontId="0" fillId="0" borderId="42" xfId="1" applyFont="1" applyBorder="1" applyAlignment="1">
      <alignment horizontal="left" vertical="center"/>
    </xf>
    <xf numFmtId="43" fontId="0" fillId="0" borderId="13" xfId="1" applyFont="1" applyBorder="1" applyAlignment="1">
      <alignment horizontal="left" vertical="center"/>
    </xf>
    <xf numFmtId="0" fontId="0" fillId="0" borderId="42" xfId="0" applyBorder="1" applyAlignment="1">
      <alignment vertical="center"/>
    </xf>
    <xf numFmtId="0" fontId="0" fillId="0" borderId="13" xfId="0" applyBorder="1" applyAlignment="1">
      <alignment vertical="center"/>
    </xf>
    <xf numFmtId="43" fontId="0" fillId="0" borderId="29" xfId="1" applyFont="1" applyBorder="1" applyAlignment="1">
      <alignment horizontal="center" vertical="center"/>
    </xf>
    <xf numFmtId="43" fontId="0" fillId="0" borderId="14" xfId="1" applyFont="1" applyBorder="1" applyAlignment="1">
      <alignment horizontal="center" vertical="center"/>
    </xf>
    <xf numFmtId="0" fontId="10" fillId="9" borderId="1" xfId="0" applyFont="1" applyFill="1" applyBorder="1"/>
    <xf numFmtId="0" fontId="10" fillId="9" borderId="39" xfId="0" applyFont="1" applyFill="1" applyBorder="1"/>
    <xf numFmtId="0" fontId="10" fillId="9" borderId="11" xfId="0" applyFont="1" applyFill="1" applyBorder="1"/>
    <xf numFmtId="0" fontId="0" fillId="0" borderId="42" xfId="0" applyBorder="1" applyAlignment="1">
      <alignment vertical="center" wrapText="1"/>
    </xf>
    <xf numFmtId="0" fontId="0" fillId="0" borderId="43" xfId="0" applyBorder="1" applyAlignment="1">
      <alignment vertical="center" wrapText="1"/>
    </xf>
    <xf numFmtId="0" fontId="0" fillId="0" borderId="13" xfId="0" applyBorder="1" applyAlignment="1">
      <alignment vertical="center" wrapText="1"/>
    </xf>
    <xf numFmtId="0" fontId="0" fillId="0" borderId="30" xfId="0" applyBorder="1" applyAlignment="1">
      <alignment horizontal="left" vertical="center" wrapText="1"/>
    </xf>
    <xf numFmtId="0" fontId="0" fillId="0" borderId="43" xfId="0" applyBorder="1" applyAlignment="1">
      <alignment vertical="center"/>
    </xf>
    <xf numFmtId="0" fontId="0" fillId="0" borderId="30" xfId="0" applyBorder="1" applyAlignment="1">
      <alignment vertical="center"/>
    </xf>
    <xf numFmtId="0" fontId="0" fillId="0" borderId="29" xfId="0" applyBorder="1"/>
    <xf numFmtId="0" fontId="0" fillId="0" borderId="30" xfId="0" applyBorder="1"/>
    <xf numFmtId="0" fontId="0" fillId="0" borderId="14" xfId="0" applyBorder="1"/>
    <xf numFmtId="0" fontId="10" fillId="9" borderId="1" xfId="0" applyFont="1" applyFill="1" applyBorder="1" applyAlignment="1">
      <alignment horizontal="right"/>
    </xf>
    <xf numFmtId="0" fontId="10" fillId="9" borderId="11" xfId="0" applyFont="1" applyFill="1" applyBorder="1" applyAlignment="1">
      <alignment horizontal="right"/>
    </xf>
    <xf numFmtId="43" fontId="1" fillId="0" borderId="42" xfId="1" applyFont="1" applyBorder="1" applyAlignment="1">
      <alignment horizontal="left" vertical="center"/>
    </xf>
    <xf numFmtId="43" fontId="1" fillId="0" borderId="13" xfId="1" applyFont="1" applyBorder="1" applyAlignment="1">
      <alignment horizontal="left" vertical="center"/>
    </xf>
    <xf numFmtId="4" fontId="0" fillId="0" borderId="29" xfId="0" applyNumberFormat="1" applyBorder="1" applyAlignment="1">
      <alignment horizontal="right" vertical="center"/>
    </xf>
    <xf numFmtId="4" fontId="0" fillId="0" borderId="14" xfId="0" applyNumberFormat="1" applyBorder="1" applyAlignment="1">
      <alignment horizontal="right" vertical="center"/>
    </xf>
    <xf numFmtId="43" fontId="1" fillId="0" borderId="29" xfId="1" applyFont="1" applyBorder="1" applyAlignment="1">
      <alignment horizontal="center" vertical="center"/>
    </xf>
    <xf numFmtId="43" fontId="1" fillId="0" borderId="14" xfId="1" applyFont="1" applyBorder="1" applyAlignment="1">
      <alignment horizontal="center" vertical="center"/>
    </xf>
    <xf numFmtId="43" fontId="1" fillId="0" borderId="29" xfId="1" applyFont="1" applyBorder="1"/>
    <xf numFmtId="43" fontId="1" fillId="0" borderId="14" xfId="1" applyFont="1" applyBorder="1"/>
    <xf numFmtId="0" fontId="0" fillId="0" borderId="16" xfId="0" applyBorder="1" applyAlignment="1">
      <alignment horizontal="left" vertical="top"/>
    </xf>
    <xf numFmtId="0" fontId="0" fillId="0" borderId="36" xfId="0" applyBorder="1" applyAlignment="1">
      <alignment horizontal="left" vertical="top"/>
    </xf>
    <xf numFmtId="0" fontId="0" fillId="0" borderId="6" xfId="0" applyBorder="1" applyAlignment="1">
      <alignment horizontal="left" vertical="top"/>
    </xf>
    <xf numFmtId="0" fontId="0" fillId="0" borderId="16" xfId="0" applyBorder="1" applyAlignment="1">
      <alignment horizontal="left"/>
    </xf>
    <xf numFmtId="0" fontId="0" fillId="0" borderId="36" xfId="0" applyBorder="1" applyAlignment="1">
      <alignment horizontal="left"/>
    </xf>
    <xf numFmtId="43" fontId="0" fillId="0" borderId="16" xfId="1" applyFont="1" applyBorder="1" applyAlignment="1">
      <alignment horizontal="right"/>
    </xf>
    <xf numFmtId="43" fontId="0" fillId="0" borderId="6" xfId="1" applyFont="1" applyBorder="1" applyAlignment="1">
      <alignment horizontal="right"/>
    </xf>
    <xf numFmtId="43" fontId="1" fillId="0" borderId="29" xfId="1" applyFont="1" applyBorder="1" applyAlignment="1">
      <alignment horizontal="left" vertical="center"/>
    </xf>
    <xf numFmtId="43" fontId="1" fillId="0" borderId="14" xfId="1" applyFont="1" applyBorder="1" applyAlignment="1">
      <alignment horizontal="left" vertical="center"/>
    </xf>
    <xf numFmtId="43" fontId="0" fillId="0" borderId="29" xfId="1" applyFont="1" applyBorder="1" applyAlignment="1">
      <alignment horizontal="right"/>
    </xf>
    <xf numFmtId="43" fontId="0" fillId="0" borderId="14" xfId="1" applyFont="1" applyBorder="1" applyAlignment="1">
      <alignment horizontal="right"/>
    </xf>
    <xf numFmtId="0" fontId="0" fillId="0" borderId="29" xfId="0" applyBorder="1" applyAlignment="1">
      <alignment horizontal="left" vertical="top"/>
    </xf>
    <xf numFmtId="0" fontId="0" fillId="0" borderId="30" xfId="0" applyBorder="1" applyAlignment="1">
      <alignment horizontal="left" vertical="top"/>
    </xf>
    <xf numFmtId="0" fontId="0" fillId="0" borderId="14" xfId="0" applyBorder="1" applyAlignment="1">
      <alignment horizontal="left" vertical="top"/>
    </xf>
    <xf numFmtId="0" fontId="0" fillId="0" borderId="29" xfId="0" applyBorder="1" applyAlignment="1">
      <alignment horizontal="left" vertical="center"/>
    </xf>
    <xf numFmtId="0" fontId="0" fillId="0" borderId="26" xfId="0" applyBorder="1" applyAlignment="1">
      <alignment vertical="center" wrapText="1"/>
    </xf>
    <xf numFmtId="0" fontId="0" fillId="0" borderId="27" xfId="0" applyBorder="1" applyAlignment="1">
      <alignment vertical="center" wrapText="1"/>
    </xf>
    <xf numFmtId="0" fontId="0" fillId="0" borderId="20" xfId="0" applyBorder="1" applyAlignment="1">
      <alignment vertical="center" wrapText="1"/>
    </xf>
    <xf numFmtId="0" fontId="0" fillId="0" borderId="29" xfId="0" applyBorder="1" applyAlignment="1">
      <alignment horizontal="center"/>
    </xf>
    <xf numFmtId="0" fontId="0" fillId="0" borderId="14" xfId="0" applyBorder="1" applyAlignment="1">
      <alignment horizontal="center"/>
    </xf>
    <xf numFmtId="0" fontId="0" fillId="0" borderId="6" xfId="0" applyBorder="1" applyAlignment="1">
      <alignment horizontal="left"/>
    </xf>
    <xf numFmtId="0" fontId="0" fillId="0" borderId="16" xfId="0" applyBorder="1" applyAlignment="1">
      <alignment horizontal="center"/>
    </xf>
    <xf numFmtId="0" fontId="0" fillId="0" borderId="6" xfId="0" applyBorder="1" applyAlignment="1">
      <alignment horizontal="center"/>
    </xf>
    <xf numFmtId="43" fontId="0" fillId="0" borderId="29" xfId="1" applyFont="1" applyBorder="1" applyAlignment="1">
      <alignment horizontal="center" vertical="center" wrapText="1"/>
    </xf>
    <xf numFmtId="0" fontId="0" fillId="0" borderId="29" xfId="0" applyBorder="1" applyAlignment="1">
      <alignment horizontal="center" vertical="top"/>
    </xf>
    <xf numFmtId="0" fontId="0" fillId="0" borderId="30" xfId="0" applyBorder="1" applyAlignment="1">
      <alignment horizontal="center" vertical="top"/>
    </xf>
    <xf numFmtId="0" fontId="0" fillId="0" borderId="14" xfId="0" applyBorder="1" applyAlignment="1">
      <alignment horizontal="center" vertical="top"/>
    </xf>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14" xfId="0" applyBorder="1" applyAlignment="1">
      <alignment horizontal="left" vertical="top" wrapText="1"/>
    </xf>
    <xf numFmtId="0" fontId="23" fillId="0" borderId="1" xfId="0" applyFont="1" applyBorder="1" applyAlignment="1">
      <alignment horizontal="center"/>
    </xf>
    <xf numFmtId="0" fontId="23" fillId="0" borderId="39" xfId="0" applyFont="1" applyBorder="1" applyAlignment="1">
      <alignment horizontal="center"/>
    </xf>
    <xf numFmtId="0" fontId="23" fillId="0" borderId="11" xfId="0" applyFont="1" applyBorder="1" applyAlignment="1">
      <alignment horizontal="center"/>
    </xf>
    <xf numFmtId="0" fontId="0" fillId="0" borderId="36" xfId="0" applyBorder="1" applyAlignment="1">
      <alignment horizontal="center"/>
    </xf>
    <xf numFmtId="0" fontId="0" fillId="0" borderId="30" xfId="0" applyBorder="1" applyAlignment="1">
      <alignment horizontal="center"/>
    </xf>
    <xf numFmtId="0" fontId="0" fillId="0" borderId="27" xfId="0" applyBorder="1" applyAlignment="1">
      <alignment vertical="center"/>
    </xf>
    <xf numFmtId="43" fontId="0" fillId="0" borderId="29" xfId="1" applyFont="1" applyBorder="1" applyAlignment="1">
      <alignment horizontal="right" vertical="center"/>
    </xf>
    <xf numFmtId="43" fontId="0" fillId="0" borderId="14" xfId="1" applyFont="1" applyBorder="1" applyAlignment="1">
      <alignment horizontal="right" vertical="center"/>
    </xf>
    <xf numFmtId="43" fontId="1" fillId="0" borderId="26" xfId="1" applyFont="1" applyBorder="1" applyAlignment="1">
      <alignment horizontal="center" vertical="center"/>
    </xf>
    <xf numFmtId="43" fontId="1" fillId="0" borderId="20" xfId="1" applyFont="1" applyBorder="1" applyAlignment="1">
      <alignment horizontal="center" vertical="center"/>
    </xf>
    <xf numFmtId="43" fontId="0" fillId="0" borderId="47" xfId="1" applyFont="1" applyBorder="1" applyAlignment="1">
      <alignment horizontal="right"/>
    </xf>
    <xf numFmtId="43" fontId="0" fillId="0" borderId="49" xfId="1" applyFont="1" applyBorder="1" applyAlignment="1">
      <alignment horizontal="right"/>
    </xf>
    <xf numFmtId="0" fontId="0" fillId="0" borderId="26" xfId="0" applyBorder="1" applyAlignment="1">
      <alignment vertical="center"/>
    </xf>
    <xf numFmtId="0" fontId="0" fillId="0" borderId="47" xfId="0" applyBorder="1" applyAlignment="1">
      <alignment horizontal="right"/>
    </xf>
    <xf numFmtId="0" fontId="0" fillId="0" borderId="49" xfId="0" applyBorder="1" applyAlignment="1">
      <alignment horizontal="right"/>
    </xf>
    <xf numFmtId="0" fontId="22" fillId="0" borderId="36" xfId="0" applyFont="1" applyBorder="1" applyAlignment="1">
      <alignment horizontal="center" vertical="center"/>
    </xf>
    <xf numFmtId="43" fontId="0" fillId="0" borderId="30" xfId="1" applyFont="1" applyBorder="1" applyAlignment="1">
      <alignment horizontal="center"/>
    </xf>
    <xf numFmtId="0" fontId="0" fillId="0" borderId="1" xfId="0" applyBorder="1" applyAlignment="1">
      <alignment horizontal="center" vertical="center"/>
    </xf>
    <xf numFmtId="0" fontId="0" fillId="0" borderId="39" xfId="0" applyBorder="1" applyAlignment="1">
      <alignment horizontal="center" vertical="center"/>
    </xf>
    <xf numFmtId="0" fontId="0" fillId="0" borderId="11" xfId="0" applyBorder="1" applyAlignment="1">
      <alignment horizontal="center" vertical="center"/>
    </xf>
    <xf numFmtId="0" fontId="0" fillId="0" borderId="30" xfId="0" applyBorder="1" applyAlignment="1">
      <alignment horizontal="center" vertical="center" wrapText="1"/>
    </xf>
    <xf numFmtId="0" fontId="0" fillId="0" borderId="14" xfId="0" applyBorder="1" applyAlignment="1">
      <alignment horizontal="center" vertical="center" wrapText="1"/>
    </xf>
    <xf numFmtId="0" fontId="9" fillId="9" borderId="1" xfId="0" applyFont="1" applyFill="1" applyBorder="1" applyAlignment="1">
      <alignment horizontal="left"/>
    </xf>
    <xf numFmtId="0" fontId="9" fillId="9" borderId="11" xfId="0" applyFont="1" applyFill="1" applyBorder="1" applyAlignment="1">
      <alignment horizontal="left"/>
    </xf>
    <xf numFmtId="43" fontId="1" fillId="0" borderId="42" xfId="1" applyFont="1" applyBorder="1" applyAlignment="1">
      <alignment horizontal="center" vertical="center"/>
    </xf>
    <xf numFmtId="43" fontId="1" fillId="0" borderId="13" xfId="1" applyFont="1" applyBorder="1" applyAlignment="1">
      <alignment horizontal="center" vertical="center"/>
    </xf>
    <xf numFmtId="0" fontId="11" fillId="0" borderId="11" xfId="0" applyFont="1" applyBorder="1" applyAlignment="1">
      <alignment horizontal="right"/>
    </xf>
    <xf numFmtId="0" fontId="0" fillId="0" borderId="26" xfId="0" applyBorder="1" applyAlignment="1">
      <alignment horizontal="left" vertical="center"/>
    </xf>
    <xf numFmtId="0" fontId="0" fillId="0" borderId="27" xfId="0" applyBorder="1" applyAlignment="1">
      <alignment horizontal="left" vertical="center"/>
    </xf>
    <xf numFmtId="0" fontId="18" fillId="0" borderId="26" xfId="0" applyFont="1" applyBorder="1" applyAlignment="1">
      <alignment vertical="center" wrapText="1"/>
    </xf>
    <xf numFmtId="0" fontId="18" fillId="0" borderId="27" xfId="0" applyFont="1" applyBorder="1" applyAlignment="1">
      <alignment vertical="center" wrapText="1"/>
    </xf>
    <xf numFmtId="0" fontId="18" fillId="0" borderId="20" xfId="0" applyFont="1" applyBorder="1" applyAlignment="1">
      <alignment vertical="center" wrapText="1"/>
    </xf>
    <xf numFmtId="43" fontId="1" fillId="0" borderId="29" xfId="1" applyFont="1" applyBorder="1" applyAlignment="1">
      <alignment horizontal="right" vertical="center"/>
    </xf>
    <xf numFmtId="43" fontId="1" fillId="0" borderId="14" xfId="1" applyFont="1" applyBorder="1" applyAlignment="1">
      <alignment horizontal="right" vertical="center"/>
    </xf>
    <xf numFmtId="43" fontId="11" fillId="0" borderId="1" xfId="1" applyFont="1" applyBorder="1" applyAlignment="1">
      <alignment horizontal="center"/>
    </xf>
    <xf numFmtId="43" fontId="11" fillId="0" borderId="11" xfId="1" applyFont="1" applyBorder="1" applyAlignment="1">
      <alignment horizontal="center"/>
    </xf>
    <xf numFmtId="43" fontId="1" fillId="0" borderId="26" xfId="1" applyFont="1" applyBorder="1" applyAlignment="1">
      <alignment horizontal="right" vertical="center"/>
    </xf>
    <xf numFmtId="43" fontId="1" fillId="0" borderId="20" xfId="1" applyFont="1" applyBorder="1" applyAlignment="1">
      <alignment horizontal="right" vertical="center"/>
    </xf>
    <xf numFmtId="0" fontId="21" fillId="0" borderId="1" xfId="0" applyFont="1" applyBorder="1" applyAlignment="1">
      <alignment horizontal="center" vertical="center"/>
    </xf>
    <xf numFmtId="0" fontId="21" fillId="0" borderId="39" xfId="0" applyFont="1" applyBorder="1" applyAlignment="1">
      <alignment horizontal="center" vertical="center"/>
    </xf>
    <xf numFmtId="0" fontId="21" fillId="0" borderId="11" xfId="0" applyFont="1" applyBorder="1" applyAlignment="1">
      <alignment horizontal="center" vertical="center"/>
    </xf>
    <xf numFmtId="43" fontId="1" fillId="0" borderId="0" xfId="1" applyFont="1" applyBorder="1" applyAlignment="1">
      <alignment horizontal="center" vertical="center"/>
    </xf>
    <xf numFmtId="43" fontId="0" fillId="0" borderId="26" xfId="1" applyFont="1" applyBorder="1" applyAlignment="1">
      <alignment vertical="center"/>
    </xf>
    <xf numFmtId="43" fontId="0" fillId="0" borderId="20" xfId="1" applyFont="1" applyBorder="1" applyAlignment="1">
      <alignment vertical="center"/>
    </xf>
    <xf numFmtId="43" fontId="0" fillId="0" borderId="29" xfId="1" applyFont="1" applyBorder="1" applyAlignment="1">
      <alignment vertical="center"/>
    </xf>
    <xf numFmtId="43" fontId="0" fillId="0" borderId="14" xfId="1" applyFont="1" applyBorder="1" applyAlignment="1">
      <alignment vertical="center"/>
    </xf>
    <xf numFmtId="0" fontId="0" fillId="0" borderId="47" xfId="0" applyBorder="1" applyAlignment="1">
      <alignment horizontal="center"/>
    </xf>
    <xf numFmtId="0" fontId="0" fillId="0" borderId="49" xfId="0" applyBorder="1" applyAlignment="1">
      <alignment horizontal="center"/>
    </xf>
    <xf numFmtId="0" fontId="0" fillId="0" borderId="20" xfId="0" applyBorder="1" applyAlignment="1">
      <alignment vertical="center"/>
    </xf>
    <xf numFmtId="0" fontId="0" fillId="0" borderId="42" xfId="0" applyBorder="1" applyAlignment="1">
      <alignment horizontal="left" vertical="center" wrapText="1"/>
    </xf>
    <xf numFmtId="0" fontId="0" fillId="0" borderId="43" xfId="0" applyBorder="1" applyAlignment="1">
      <alignment horizontal="left" vertical="center" wrapText="1"/>
    </xf>
    <xf numFmtId="0" fontId="21" fillId="0" borderId="36" xfId="0" applyFont="1" applyBorder="1" applyAlignment="1">
      <alignment horizontal="center" vertical="center"/>
    </xf>
    <xf numFmtId="0" fontId="9" fillId="0" borderId="1" xfId="0" applyFont="1" applyBorder="1" applyAlignment="1">
      <alignment horizontal="center" vertical="center"/>
    </xf>
    <xf numFmtId="0" fontId="9" fillId="0" borderId="39" xfId="0" applyFont="1" applyBorder="1" applyAlignment="1">
      <alignment horizontal="center" vertical="center"/>
    </xf>
    <xf numFmtId="0" fontId="9" fillId="0" borderId="11" xfId="0" applyFont="1" applyBorder="1" applyAlignment="1">
      <alignment horizontal="center" vertical="center"/>
    </xf>
    <xf numFmtId="0" fontId="9" fillId="9" borderId="39" xfId="0" applyFont="1" applyFill="1" applyBorder="1" applyAlignment="1">
      <alignment horizontal="right"/>
    </xf>
    <xf numFmtId="0" fontId="10" fillId="0" borderId="29" xfId="0" applyFont="1" applyBorder="1" applyAlignment="1">
      <alignment vertical="center" wrapText="1"/>
    </xf>
    <xf numFmtId="0" fontId="10" fillId="0" borderId="30" xfId="0" applyFont="1" applyBorder="1" applyAlignment="1">
      <alignment vertical="center" wrapText="1"/>
    </xf>
    <xf numFmtId="0" fontId="10" fillId="0" borderId="14" xfId="0" applyFont="1" applyBorder="1" applyAlignment="1">
      <alignment vertical="center" wrapText="1"/>
    </xf>
    <xf numFmtId="43" fontId="0" fillId="0" borderId="30" xfId="1" applyFont="1" applyBorder="1" applyAlignment="1">
      <alignment horizontal="center" vertical="center"/>
    </xf>
    <xf numFmtId="43" fontId="17" fillId="0" borderId="29" xfId="1" applyFont="1" applyBorder="1" applyAlignment="1">
      <alignment horizontal="left" vertical="center"/>
    </xf>
    <xf numFmtId="43" fontId="17" fillId="0" borderId="30" xfId="1" applyFont="1" applyBorder="1" applyAlignment="1">
      <alignment horizontal="left" vertical="center"/>
    </xf>
    <xf numFmtId="43" fontId="17" fillId="0" borderId="14" xfId="1" applyFont="1" applyBorder="1" applyAlignment="1">
      <alignment horizontal="left" vertical="center"/>
    </xf>
    <xf numFmtId="43" fontId="17" fillId="0" borderId="29" xfId="1" applyFont="1" applyBorder="1" applyAlignment="1">
      <alignment horizontal="center" vertical="center"/>
    </xf>
    <xf numFmtId="43" fontId="17" fillId="0" borderId="30" xfId="1" applyFont="1" applyBorder="1" applyAlignment="1">
      <alignment horizontal="center" vertical="center"/>
    </xf>
    <xf numFmtId="43" fontId="17" fillId="0" borderId="14" xfId="1" applyFont="1" applyBorder="1" applyAlignment="1">
      <alignment horizontal="center" vertical="center"/>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43" fontId="10" fillId="0" borderId="44" xfId="1" applyFont="1" applyBorder="1" applyAlignment="1">
      <alignment horizontal="left" vertical="center"/>
    </xf>
    <xf numFmtId="43" fontId="10" fillId="0" borderId="45" xfId="1" applyFont="1" applyBorder="1" applyAlignment="1">
      <alignment horizontal="left" vertical="center"/>
    </xf>
    <xf numFmtId="43" fontId="10" fillId="0" borderId="46" xfId="1" applyFont="1" applyBorder="1" applyAlignment="1">
      <alignment horizontal="left" vertical="center"/>
    </xf>
    <xf numFmtId="0" fontId="10" fillId="0" borderId="29" xfId="0" applyFont="1" applyBorder="1" applyAlignment="1">
      <alignment horizontal="left" vertical="center"/>
    </xf>
    <xf numFmtId="0" fontId="10" fillId="0" borderId="30" xfId="0" applyFont="1" applyBorder="1" applyAlignment="1">
      <alignment horizontal="left" vertical="center"/>
    </xf>
    <xf numFmtId="43" fontId="10" fillId="0" borderId="29" xfId="1" applyFont="1" applyBorder="1" applyAlignment="1">
      <alignment horizontal="center" vertical="center"/>
    </xf>
    <xf numFmtId="43" fontId="10" fillId="0" borderId="30" xfId="1" applyFont="1" applyBorder="1" applyAlignment="1">
      <alignment horizontal="center" vertical="center"/>
    </xf>
    <xf numFmtId="43" fontId="10" fillId="0" borderId="14" xfId="1" applyFont="1" applyBorder="1" applyAlignment="1">
      <alignment horizontal="center" vertical="center"/>
    </xf>
    <xf numFmtId="43" fontId="0" fillId="0" borderId="26" xfId="1" applyFont="1" applyBorder="1" applyAlignment="1">
      <alignment horizontal="left" vertical="center"/>
    </xf>
    <xf numFmtId="43" fontId="0" fillId="0" borderId="27" xfId="1" applyFont="1" applyBorder="1" applyAlignment="1">
      <alignment horizontal="left" vertical="center"/>
    </xf>
    <xf numFmtId="43" fontId="0" fillId="0" borderId="20" xfId="1" applyFont="1" applyBorder="1" applyAlignment="1">
      <alignment horizontal="left" vertical="center"/>
    </xf>
    <xf numFmtId="0" fontId="17" fillId="0" borderId="47" xfId="0" applyFont="1" applyBorder="1" applyAlignment="1">
      <alignment horizontal="left" vertical="center"/>
    </xf>
    <xf numFmtId="0" fontId="17" fillId="0" borderId="48" xfId="0" applyFont="1" applyBorder="1" applyAlignment="1">
      <alignment horizontal="left" vertical="center"/>
    </xf>
    <xf numFmtId="0" fontId="17" fillId="0" borderId="29"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29" xfId="0" applyFont="1" applyBorder="1" applyAlignment="1">
      <alignment vertical="center" wrapText="1"/>
    </xf>
    <xf numFmtId="0" fontId="17" fillId="0" borderId="30" xfId="0" applyFont="1" applyBorder="1" applyAlignment="1">
      <alignment vertical="center"/>
    </xf>
    <xf numFmtId="0" fontId="17" fillId="0" borderId="29" xfId="0" applyFont="1" applyBorder="1" applyAlignment="1">
      <alignment horizontal="left" vertical="center" wrapText="1"/>
    </xf>
    <xf numFmtId="0" fontId="17" fillId="0" borderId="14" xfId="0" applyFont="1" applyBorder="1" applyAlignment="1">
      <alignment horizontal="left" vertical="center" wrapText="1"/>
    </xf>
    <xf numFmtId="0" fontId="17" fillId="0" borderId="30" xfId="0" applyFont="1" applyBorder="1" applyAlignment="1">
      <alignment horizontal="left" vertical="center" wrapText="1"/>
    </xf>
    <xf numFmtId="0" fontId="17" fillId="0" borderId="26" xfId="0" applyFont="1" applyBorder="1" applyAlignment="1">
      <alignment horizontal="left" vertical="center" wrapText="1"/>
    </xf>
    <xf numFmtId="0" fontId="17" fillId="0" borderId="27" xfId="0" applyFont="1" applyBorder="1" applyAlignment="1">
      <alignment horizontal="left" vertical="center" wrapText="1"/>
    </xf>
    <xf numFmtId="43" fontId="17" fillId="0" borderId="26" xfId="1" applyFont="1" applyBorder="1" applyAlignment="1">
      <alignment horizontal="left" vertical="center"/>
    </xf>
    <xf numFmtId="43" fontId="17" fillId="0" borderId="27" xfId="1" applyFont="1" applyBorder="1" applyAlignment="1">
      <alignment horizontal="left" vertical="center"/>
    </xf>
    <xf numFmtId="43" fontId="17" fillId="0" borderId="20" xfId="1" applyFont="1" applyBorder="1" applyAlignment="1">
      <alignment horizontal="left" vertical="center"/>
    </xf>
    <xf numFmtId="0" fontId="17" fillId="0" borderId="26" xfId="0" applyFont="1" applyBorder="1" applyAlignment="1">
      <alignment vertical="center" wrapText="1"/>
    </xf>
    <xf numFmtId="0" fontId="17" fillId="0" borderId="27" xfId="0" applyFont="1" applyBorder="1" applyAlignment="1">
      <alignment vertical="center" wrapText="1"/>
    </xf>
    <xf numFmtId="0" fontId="17" fillId="0" borderId="20" xfId="0" applyFont="1" applyBorder="1" applyAlignment="1">
      <alignment vertical="center" wrapText="1"/>
    </xf>
    <xf numFmtId="0" fontId="17" fillId="0" borderId="29" xfId="0" applyFont="1" applyBorder="1" applyAlignment="1">
      <alignment horizontal="left" vertical="center"/>
    </xf>
    <xf numFmtId="0" fontId="17" fillId="0" borderId="30" xfId="0" applyFont="1" applyBorder="1" applyAlignment="1">
      <alignment horizontal="left" vertical="center"/>
    </xf>
    <xf numFmtId="43" fontId="16" fillId="0" borderId="42" xfId="1" applyFont="1" applyBorder="1" applyAlignment="1">
      <alignment horizontal="center" vertical="center"/>
    </xf>
    <xf numFmtId="43" fontId="16" fillId="0" borderId="43" xfId="1" applyFont="1" applyBorder="1" applyAlignment="1">
      <alignment horizontal="center" vertical="center"/>
    </xf>
    <xf numFmtId="43" fontId="16" fillId="0" borderId="13" xfId="1" applyFont="1" applyBorder="1" applyAlignment="1">
      <alignment horizontal="center" vertical="center"/>
    </xf>
    <xf numFmtId="43" fontId="16" fillId="0" borderId="44" xfId="1" applyFont="1" applyBorder="1" applyAlignment="1">
      <alignment horizontal="left" vertical="center"/>
    </xf>
    <xf numFmtId="43" fontId="16" fillId="0" borderId="45" xfId="1" applyFont="1" applyBorder="1" applyAlignment="1">
      <alignment horizontal="left" vertical="center"/>
    </xf>
    <xf numFmtId="43" fontId="16" fillId="0" borderId="46" xfId="1" applyFont="1" applyBorder="1" applyAlignment="1">
      <alignment horizontal="left" vertical="center"/>
    </xf>
    <xf numFmtId="0" fontId="17" fillId="0" borderId="30" xfId="0" applyFont="1" applyBorder="1" applyAlignment="1">
      <alignment vertical="center" wrapText="1"/>
    </xf>
    <xf numFmtId="0" fontId="17" fillId="0" borderId="14" xfId="0" applyFont="1" applyBorder="1" applyAlignment="1">
      <alignment vertical="center" wrapText="1"/>
    </xf>
    <xf numFmtId="0" fontId="17" fillId="0" borderId="42" xfId="0" applyFont="1" applyBorder="1" applyAlignment="1">
      <alignment horizontal="left" vertical="center" wrapText="1"/>
    </xf>
    <xf numFmtId="0" fontId="17" fillId="0" borderId="43" xfId="0" applyFont="1" applyBorder="1" applyAlignment="1">
      <alignment horizontal="left" vertical="center"/>
    </xf>
    <xf numFmtId="43" fontId="16" fillId="0" borderId="29" xfId="1" applyFont="1" applyBorder="1" applyAlignment="1">
      <alignment horizontal="center" vertical="center"/>
    </xf>
    <xf numFmtId="43" fontId="16" fillId="0" borderId="30" xfId="1" applyFont="1" applyBorder="1" applyAlignment="1">
      <alignment horizontal="center" vertical="center"/>
    </xf>
    <xf numFmtId="43" fontId="16" fillId="0" borderId="14" xfId="1" applyFont="1" applyBorder="1" applyAlignment="1">
      <alignment horizontal="center" vertical="center"/>
    </xf>
    <xf numFmtId="43" fontId="0" fillId="0" borderId="30" xfId="1" applyFont="1" applyBorder="1" applyAlignment="1">
      <alignment horizontal="left" vertical="center"/>
    </xf>
    <xf numFmtId="43" fontId="0" fillId="0" borderId="30" xfId="1" applyFont="1" applyBorder="1" applyAlignment="1">
      <alignment horizontal="right" vertical="center"/>
    </xf>
    <xf numFmtId="43" fontId="11" fillId="0" borderId="1" xfId="0" applyNumberFormat="1" applyFont="1" applyBorder="1" applyAlignment="1">
      <alignment horizontal="right"/>
    </xf>
    <xf numFmtId="43" fontId="17" fillId="0" borderId="16" xfId="1" applyFont="1" applyBorder="1" applyAlignment="1">
      <alignment horizontal="center" vertical="center"/>
    </xf>
    <xf numFmtId="43" fontId="17" fillId="0" borderId="36" xfId="1" applyFont="1" applyBorder="1" applyAlignment="1">
      <alignment horizontal="center" vertical="center"/>
    </xf>
    <xf numFmtId="43" fontId="17" fillId="0" borderId="6" xfId="1" applyFont="1" applyBorder="1" applyAlignment="1">
      <alignment horizontal="center" vertical="center"/>
    </xf>
    <xf numFmtId="0" fontId="22" fillId="0" borderId="1" xfId="0" applyFont="1" applyBorder="1" applyAlignment="1">
      <alignment horizontal="center" vertical="center"/>
    </xf>
    <xf numFmtId="0" fontId="22" fillId="0" borderId="39" xfId="0" applyFont="1" applyBorder="1" applyAlignment="1">
      <alignment horizontal="center" vertical="center"/>
    </xf>
    <xf numFmtId="0" fontId="22" fillId="0" borderId="11" xfId="0" applyFont="1" applyBorder="1" applyAlignment="1">
      <alignment horizontal="center" vertical="center"/>
    </xf>
    <xf numFmtId="0" fontId="10" fillId="0" borderId="42" xfId="0" applyFont="1" applyBorder="1" applyAlignment="1">
      <alignment horizontal="left" vertical="center"/>
    </xf>
    <xf numFmtId="0" fontId="10" fillId="0" borderId="43" xfId="0" applyFont="1" applyBorder="1" applyAlignment="1">
      <alignment horizontal="left" vertical="center"/>
    </xf>
    <xf numFmtId="43" fontId="10" fillId="0" borderId="42" xfId="1" applyFont="1" applyBorder="1" applyAlignment="1">
      <alignment horizontal="center" vertical="center"/>
    </xf>
    <xf numFmtId="43" fontId="10" fillId="0" borderId="43" xfId="1" applyFont="1" applyBorder="1" applyAlignment="1">
      <alignment horizontal="center" vertical="center"/>
    </xf>
    <xf numFmtId="43" fontId="10" fillId="0" borderId="13" xfId="1" applyFont="1" applyBorder="1" applyAlignment="1">
      <alignment horizontal="center" vertical="center"/>
    </xf>
    <xf numFmtId="0" fontId="0" fillId="0" borderId="47" xfId="0" applyBorder="1" applyAlignment="1">
      <alignment horizontal="left" vertical="center"/>
    </xf>
    <xf numFmtId="0" fontId="0" fillId="0" borderId="48" xfId="0" applyBorder="1" applyAlignment="1">
      <alignment horizontal="left" vertical="center"/>
    </xf>
    <xf numFmtId="0" fontId="0" fillId="0" borderId="16" xfId="0" applyBorder="1" applyAlignment="1">
      <alignment horizontal="right" vertical="center"/>
    </xf>
    <xf numFmtId="0" fontId="0" fillId="0" borderId="36" xfId="0" applyBorder="1" applyAlignment="1">
      <alignment horizontal="right" vertical="center"/>
    </xf>
    <xf numFmtId="0" fontId="0" fillId="0" borderId="6" xfId="0" applyBorder="1" applyAlignment="1">
      <alignment horizontal="right" vertical="center"/>
    </xf>
    <xf numFmtId="0" fontId="17" fillId="0" borderId="14" xfId="0" applyFont="1" applyBorder="1" applyAlignment="1">
      <alignment horizontal="left" vertical="center"/>
    </xf>
    <xf numFmtId="0" fontId="17" fillId="0" borderId="47" xfId="0" applyFont="1" applyBorder="1" applyAlignment="1">
      <alignment vertical="center"/>
    </xf>
    <xf numFmtId="0" fontId="17" fillId="0" borderId="48" xfId="0" applyFont="1" applyBorder="1" applyAlignment="1">
      <alignment vertical="center"/>
    </xf>
    <xf numFmtId="0" fontId="17" fillId="0" borderId="49" xfId="0" applyFont="1" applyBorder="1" applyAlignment="1">
      <alignment vertical="center"/>
    </xf>
    <xf numFmtId="0" fontId="0" fillId="0" borderId="1" xfId="0" applyBorder="1"/>
    <xf numFmtId="0" fontId="0" fillId="0" borderId="39" xfId="0" applyBorder="1"/>
    <xf numFmtId="0" fontId="0" fillId="0" borderId="11" xfId="0" applyBorder="1"/>
    <xf numFmtId="0" fontId="10" fillId="0" borderId="29" xfId="0" applyFont="1" applyBorder="1" applyAlignment="1">
      <alignment horizontal="left" vertical="center" wrapText="1"/>
    </xf>
    <xf numFmtId="0" fontId="10" fillId="0" borderId="30" xfId="0" applyFont="1" applyBorder="1" applyAlignment="1">
      <alignment horizontal="left" vertical="center" wrapText="1"/>
    </xf>
    <xf numFmtId="0" fontId="10" fillId="0" borderId="14" xfId="0" applyFont="1" applyBorder="1" applyAlignment="1">
      <alignment horizontal="left" vertical="center" wrapText="1"/>
    </xf>
    <xf numFmtId="0" fontId="0" fillId="0" borderId="47" xfId="0" applyBorder="1" applyAlignment="1">
      <alignment vertical="center"/>
    </xf>
    <xf numFmtId="0" fontId="0" fillId="0" borderId="48" xfId="0" applyBorder="1" applyAlignment="1">
      <alignment vertical="center"/>
    </xf>
    <xf numFmtId="0" fontId="0" fillId="0" borderId="49" xfId="0" applyBorder="1" applyAlignment="1">
      <alignment vertical="center"/>
    </xf>
    <xf numFmtId="43" fontId="0" fillId="0" borderId="16" xfId="1" applyFont="1" applyBorder="1" applyAlignment="1">
      <alignment horizontal="center"/>
    </xf>
    <xf numFmtId="43" fontId="0" fillId="0" borderId="6" xfId="1" applyFont="1" applyBorder="1" applyAlignment="1">
      <alignment horizontal="center"/>
    </xf>
    <xf numFmtId="0" fontId="0" fillId="0" borderId="36" xfId="0" applyBorder="1" applyAlignment="1">
      <alignment horizontal="left" wrapText="1"/>
    </xf>
    <xf numFmtId="0" fontId="0" fillId="0" borderId="6" xfId="0" applyBorder="1" applyAlignment="1">
      <alignment horizontal="left" wrapText="1"/>
    </xf>
    <xf numFmtId="0" fontId="0" fillId="0" borderId="30" xfId="0" applyBorder="1" applyAlignment="1">
      <alignment horizontal="center" wrapText="1"/>
    </xf>
    <xf numFmtId="0" fontId="0" fillId="0" borderId="14" xfId="0" applyBorder="1" applyAlignment="1">
      <alignment horizontal="center" wrapText="1"/>
    </xf>
    <xf numFmtId="0" fontId="17" fillId="0" borderId="47" xfId="0" applyFont="1" applyBorder="1" applyAlignment="1">
      <alignment horizontal="center" vertical="center"/>
    </xf>
    <xf numFmtId="0" fontId="17" fillId="0" borderId="48" xfId="0" applyFont="1" applyBorder="1" applyAlignment="1">
      <alignment horizontal="center" vertical="center"/>
    </xf>
    <xf numFmtId="0" fontId="17" fillId="0" borderId="49" xfId="0" applyFont="1" applyBorder="1" applyAlignment="1">
      <alignment horizontal="center" vertical="center"/>
    </xf>
    <xf numFmtId="0" fontId="17" fillId="0" borderId="16" xfId="0" applyFont="1" applyBorder="1" applyAlignment="1">
      <alignment horizontal="center" vertical="center"/>
    </xf>
    <xf numFmtId="0" fontId="17" fillId="0" borderId="36" xfId="0" applyFont="1" applyBorder="1" applyAlignment="1">
      <alignment horizontal="center" vertical="center"/>
    </xf>
    <xf numFmtId="0" fontId="17" fillId="0" borderId="6" xfId="0" applyFont="1" applyBorder="1" applyAlignment="1">
      <alignment horizontal="center" vertical="center"/>
    </xf>
    <xf numFmtId="0" fontId="17" fillId="0" borderId="29" xfId="0" applyFont="1" applyBorder="1" applyAlignment="1">
      <alignment vertical="center"/>
    </xf>
    <xf numFmtId="43" fontId="17" fillId="0" borderId="44" xfId="1" applyFont="1" applyBorder="1" applyAlignment="1">
      <alignment horizontal="left" vertical="center" wrapText="1"/>
    </xf>
    <xf numFmtId="43" fontId="17" fillId="0" borderId="45" xfId="1" applyFont="1" applyBorder="1" applyAlignment="1">
      <alignment horizontal="left" vertical="center"/>
    </xf>
    <xf numFmtId="43" fontId="17" fillId="0" borderId="46" xfId="1" applyFont="1" applyBorder="1" applyAlignment="1">
      <alignment horizontal="left" vertical="center"/>
    </xf>
    <xf numFmtId="43" fontId="17" fillId="0" borderId="42" xfId="1" applyFont="1" applyBorder="1" applyAlignment="1">
      <alignment horizontal="center" vertical="center"/>
    </xf>
    <xf numFmtId="43" fontId="17" fillId="0" borderId="43" xfId="1" applyFont="1" applyBorder="1" applyAlignment="1">
      <alignment horizontal="center" vertical="center"/>
    </xf>
    <xf numFmtId="43" fontId="17" fillId="0" borderId="13" xfId="1" applyFont="1" applyBorder="1" applyAlignment="1">
      <alignment horizontal="center" vertical="center"/>
    </xf>
    <xf numFmtId="0" fontId="9" fillId="9" borderId="1" xfId="0" applyFont="1" applyFill="1" applyBorder="1" applyAlignment="1">
      <alignment horizontal="center"/>
    </xf>
    <xf numFmtId="0" fontId="9" fillId="9" borderId="11" xfId="0" applyFont="1" applyFill="1" applyBorder="1" applyAlignment="1">
      <alignment horizontal="center"/>
    </xf>
    <xf numFmtId="43" fontId="0" fillId="0" borderId="42" xfId="1" applyFont="1" applyBorder="1" applyAlignment="1">
      <alignment horizontal="right" vertical="center"/>
    </xf>
    <xf numFmtId="43" fontId="0" fillId="0" borderId="13" xfId="1" applyFont="1" applyBorder="1" applyAlignment="1">
      <alignment horizontal="right" vertical="center"/>
    </xf>
    <xf numFmtId="43" fontId="1" fillId="0" borderId="29" xfId="1" applyFont="1" applyBorder="1" applyAlignment="1">
      <alignment vertical="center"/>
    </xf>
    <xf numFmtId="43" fontId="1" fillId="0" borderId="14" xfId="1" applyFont="1" applyBorder="1" applyAlignment="1">
      <alignment vertical="center"/>
    </xf>
    <xf numFmtId="0" fontId="0" fillId="0" borderId="42" xfId="0" applyBorder="1" applyAlignment="1">
      <alignment wrapText="1"/>
    </xf>
    <xf numFmtId="0" fontId="0" fillId="0" borderId="43" xfId="0" applyBorder="1" applyAlignment="1">
      <alignment wrapText="1"/>
    </xf>
    <xf numFmtId="0" fontId="0" fillId="0" borderId="13" xfId="0" applyBorder="1" applyAlignment="1">
      <alignment wrapText="1"/>
    </xf>
    <xf numFmtId="0" fontId="0" fillId="0" borderId="42" xfId="0" applyBorder="1" applyAlignment="1">
      <alignment horizontal="left" vertical="center"/>
    </xf>
    <xf numFmtId="0" fontId="0" fillId="0" borderId="43" xfId="0" applyBorder="1" applyAlignment="1">
      <alignment horizontal="left" vertical="center"/>
    </xf>
    <xf numFmtId="0" fontId="0" fillId="0" borderId="13" xfId="0" applyBorder="1" applyAlignment="1">
      <alignment horizontal="left" vertical="center"/>
    </xf>
    <xf numFmtId="0" fontId="9" fillId="9" borderId="39" xfId="0" applyFont="1" applyFill="1" applyBorder="1" applyAlignment="1">
      <alignment horizontal="left"/>
    </xf>
    <xf numFmtId="43" fontId="0" fillId="0" borderId="27" xfId="1" applyFont="1" applyBorder="1" applyAlignment="1">
      <alignment vertical="center"/>
    </xf>
    <xf numFmtId="0" fontId="0" fillId="0" borderId="48" xfId="0" applyBorder="1" applyAlignment="1">
      <alignment horizontal="center"/>
    </xf>
    <xf numFmtId="0" fontId="0" fillId="0" borderId="8" xfId="0" applyBorder="1" applyAlignment="1">
      <alignment vertical="center"/>
    </xf>
    <xf numFmtId="0" fontId="0" fillId="0" borderId="9" xfId="0" applyBorder="1" applyAlignment="1">
      <alignment vertical="center"/>
    </xf>
    <xf numFmtId="43" fontId="14" fillId="0" borderId="1" xfId="0" applyNumberFormat="1" applyFont="1" applyBorder="1"/>
    <xf numFmtId="0" fontId="14" fillId="0" borderId="39" xfId="0" applyFont="1" applyBorder="1"/>
    <xf numFmtId="0" fontId="14" fillId="0" borderId="11" xfId="0" applyFont="1" applyBorder="1"/>
    <xf numFmtId="0" fontId="10" fillId="0" borderId="1" xfId="0" applyFont="1" applyBorder="1"/>
    <xf numFmtId="0" fontId="10" fillId="0" borderId="11" xfId="0" applyFont="1" applyBorder="1"/>
    <xf numFmtId="0" fontId="14" fillId="0" borderId="1" xfId="0" applyFont="1" applyBorder="1" applyAlignment="1">
      <alignment horizontal="right"/>
    </xf>
    <xf numFmtId="0" fontId="14" fillId="0" borderId="39" xfId="0" applyFont="1" applyBorder="1" applyAlignment="1">
      <alignment horizontal="right"/>
    </xf>
    <xf numFmtId="0" fontId="14" fillId="0" borderId="11" xfId="0" applyFont="1" applyBorder="1" applyAlignment="1">
      <alignment horizontal="right"/>
    </xf>
    <xf numFmtId="0" fontId="10" fillId="0" borderId="1" xfId="0" applyFont="1" applyBorder="1" applyAlignment="1">
      <alignment horizontal="center"/>
    </xf>
    <xf numFmtId="0" fontId="10" fillId="0" borderId="39" xfId="0" applyFont="1" applyBorder="1" applyAlignment="1">
      <alignment horizontal="center"/>
    </xf>
    <xf numFmtId="0" fontId="10" fillId="0" borderId="11" xfId="0" applyFont="1" applyBorder="1" applyAlignment="1">
      <alignment horizontal="center"/>
    </xf>
    <xf numFmtId="43" fontId="9" fillId="9" borderId="1" xfId="1" applyFont="1" applyFill="1" applyBorder="1" applyAlignment="1">
      <alignment horizontal="right"/>
    </xf>
    <xf numFmtId="43" fontId="9" fillId="9" borderId="39" xfId="1" applyFont="1" applyFill="1" applyBorder="1" applyAlignment="1">
      <alignment horizontal="right"/>
    </xf>
    <xf numFmtId="43" fontId="9" fillId="9" borderId="11" xfId="1" applyFont="1" applyFill="1" applyBorder="1" applyAlignment="1">
      <alignment horizontal="right"/>
    </xf>
    <xf numFmtId="0" fontId="0" fillId="0" borderId="8" xfId="0" applyBorder="1" applyAlignment="1">
      <alignment vertical="top" wrapText="1"/>
    </xf>
    <xf numFmtId="0" fontId="0" fillId="0" borderId="40" xfId="0" applyBorder="1" applyAlignment="1">
      <alignment vertical="top" wrapText="1"/>
    </xf>
    <xf numFmtId="0" fontId="0" fillId="0" borderId="9" xfId="0" applyBorder="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0" fillId="0" borderId="20" xfId="0" applyBorder="1" applyAlignment="1">
      <alignment vertical="top" wrapText="1"/>
    </xf>
    <xf numFmtId="43" fontId="0" fillId="0" borderId="8" xfId="1" applyFont="1" applyBorder="1" applyAlignment="1">
      <alignment vertical="center"/>
    </xf>
    <xf numFmtId="43" fontId="0" fillId="0" borderId="40" xfId="1" applyFont="1" applyBorder="1" applyAlignment="1">
      <alignment vertical="center"/>
    </xf>
    <xf numFmtId="43" fontId="0" fillId="0" borderId="9" xfId="1" applyFont="1" applyBorder="1" applyAlignment="1">
      <alignment vertical="center"/>
    </xf>
    <xf numFmtId="43" fontId="0" fillId="0" borderId="29" xfId="1" applyFont="1" applyBorder="1"/>
    <xf numFmtId="43" fontId="0" fillId="0" borderId="30" xfId="1" applyFont="1" applyBorder="1"/>
    <xf numFmtId="43" fontId="0" fillId="0" borderId="14" xfId="1" applyFont="1" applyBorder="1"/>
    <xf numFmtId="0" fontId="0" fillId="0" borderId="29" xfId="0" applyBorder="1" applyAlignment="1">
      <alignment vertical="top" wrapText="1"/>
    </xf>
    <xf numFmtId="0" fontId="0" fillId="0" borderId="30" xfId="0" applyBorder="1" applyAlignment="1">
      <alignment vertical="top" wrapText="1"/>
    </xf>
    <xf numFmtId="0" fontId="0" fillId="0" borderId="14" xfId="0" applyBorder="1" applyAlignment="1">
      <alignment vertical="top" wrapText="1"/>
    </xf>
    <xf numFmtId="43" fontId="0" fillId="0" borderId="30" xfId="1" applyFont="1" applyBorder="1" applyAlignment="1">
      <alignment vertical="center"/>
    </xf>
    <xf numFmtId="0" fontId="0" fillId="0" borderId="42" xfId="0" applyBorder="1" applyAlignment="1">
      <alignment vertical="top" wrapText="1"/>
    </xf>
    <xf numFmtId="0" fontId="0" fillId="0" borderId="43" xfId="0" applyBorder="1" applyAlignment="1">
      <alignment vertical="top" wrapText="1"/>
    </xf>
    <xf numFmtId="0" fontId="0" fillId="0" borderId="13" xfId="0" applyBorder="1" applyAlignment="1">
      <alignment vertical="top" wrapText="1"/>
    </xf>
    <xf numFmtId="0" fontId="0" fillId="0" borderId="8" xfId="0" applyBorder="1" applyAlignment="1">
      <alignment vertical="center" wrapText="1"/>
    </xf>
    <xf numFmtId="0" fontId="0" fillId="0" borderId="40" xfId="0" applyBorder="1" applyAlignment="1">
      <alignment vertical="center" wrapText="1"/>
    </xf>
    <xf numFmtId="0" fontId="0" fillId="0" borderId="9" xfId="0" applyBorder="1" applyAlignment="1">
      <alignment vertical="center" wrapText="1"/>
    </xf>
    <xf numFmtId="43" fontId="0" fillId="0" borderId="48" xfId="1" applyFont="1" applyBorder="1" applyAlignment="1">
      <alignment horizontal="center"/>
    </xf>
    <xf numFmtId="0" fontId="0" fillId="0" borderId="29" xfId="0" applyBorder="1" applyAlignment="1">
      <alignment horizontal="center" vertical="center"/>
    </xf>
    <xf numFmtId="0" fontId="0" fillId="0" borderId="14" xfId="0" applyBorder="1" applyAlignment="1">
      <alignment horizontal="center" vertical="center"/>
    </xf>
    <xf numFmtId="4" fontId="0" fillId="0" borderId="29" xfId="0" applyNumberFormat="1" applyBorder="1" applyAlignment="1">
      <alignment horizontal="center" vertical="center"/>
    </xf>
    <xf numFmtId="4" fontId="0" fillId="0" borderId="14" xfId="0" applyNumberFormat="1" applyBorder="1" applyAlignment="1">
      <alignment horizontal="center" vertical="center"/>
    </xf>
    <xf numFmtId="0" fontId="0" fillId="0" borderId="29" xfId="0" applyBorder="1" applyAlignment="1">
      <alignment horizontal="right"/>
    </xf>
    <xf numFmtId="0" fontId="0" fillId="0" borderId="14" xfId="0" applyBorder="1" applyAlignment="1">
      <alignment horizontal="right"/>
    </xf>
    <xf numFmtId="0" fontId="0" fillId="0" borderId="40" xfId="0" applyBorder="1" applyAlignment="1">
      <alignment horizontal="center"/>
    </xf>
    <xf numFmtId="43" fontId="0" fillId="0" borderId="26" xfId="1" applyFont="1" applyBorder="1" applyAlignment="1">
      <alignment horizontal="center" vertical="center"/>
    </xf>
    <xf numFmtId="43" fontId="0" fillId="0" borderId="20" xfId="1" applyFont="1" applyBorder="1" applyAlignment="1">
      <alignment horizontal="center" vertical="center"/>
    </xf>
    <xf numFmtId="0" fontId="0" fillId="0" borderId="30" xfId="0" applyBorder="1" applyAlignment="1">
      <alignment horizontal="center" vertical="center"/>
    </xf>
    <xf numFmtId="43" fontId="0" fillId="0" borderId="30" xfId="1" applyFont="1" applyBorder="1" applyAlignment="1">
      <alignment horizontal="center" vertical="center" wrapText="1"/>
    </xf>
    <xf numFmtId="43" fontId="0" fillId="0" borderId="14" xfId="1" applyFont="1" applyBorder="1" applyAlignment="1">
      <alignment horizontal="center" vertical="center" wrapText="1"/>
    </xf>
    <xf numFmtId="0" fontId="0" fillId="0" borderId="39" xfId="0" applyBorder="1" applyAlignment="1">
      <alignment horizontal="left"/>
    </xf>
    <xf numFmtId="0" fontId="0" fillId="0" borderId="11" xfId="0" applyBorder="1" applyAlignment="1">
      <alignment horizontal="left"/>
    </xf>
    <xf numFmtId="0" fontId="17" fillId="0" borderId="8" xfId="0" applyFont="1" applyBorder="1" applyAlignment="1">
      <alignment vertical="center"/>
    </xf>
    <xf numFmtId="0" fontId="17" fillId="0" borderId="40" xfId="0" applyFont="1" applyBorder="1" applyAlignment="1">
      <alignment vertical="center"/>
    </xf>
    <xf numFmtId="0" fontId="17" fillId="0" borderId="8" xfId="0" applyFont="1" applyBorder="1" applyAlignment="1">
      <alignment vertical="center" wrapText="1"/>
    </xf>
    <xf numFmtId="0" fontId="17" fillId="0" borderId="40" xfId="0" applyFont="1" applyBorder="1" applyAlignment="1">
      <alignment vertical="center" wrapText="1"/>
    </xf>
    <xf numFmtId="0" fontId="17" fillId="0" borderId="9" xfId="0" applyFont="1" applyBorder="1" applyAlignment="1">
      <alignment vertical="center" wrapText="1"/>
    </xf>
    <xf numFmtId="0" fontId="17" fillId="0" borderId="9" xfId="0" applyFont="1" applyBorder="1" applyAlignment="1">
      <alignment vertical="center"/>
    </xf>
    <xf numFmtId="43" fontId="17" fillId="0" borderId="8" xfId="1" applyFont="1" applyBorder="1" applyAlignment="1">
      <alignment vertical="center"/>
    </xf>
    <xf numFmtId="43" fontId="17" fillId="0" borderId="40" xfId="1" applyFont="1" applyBorder="1" applyAlignment="1">
      <alignment vertical="center"/>
    </xf>
    <xf numFmtId="43" fontId="17" fillId="0" borderId="9" xfId="1" applyFont="1" applyBorder="1" applyAlignment="1">
      <alignment vertical="center"/>
    </xf>
    <xf numFmtId="0" fontId="19" fillId="0" borderId="29" xfId="0" applyFont="1" applyBorder="1" applyAlignment="1">
      <alignment horizontal="left" vertical="center"/>
    </xf>
    <xf numFmtId="0" fontId="19" fillId="0" borderId="30" xfId="0" applyFont="1" applyBorder="1" applyAlignment="1">
      <alignment horizontal="left" vertical="center"/>
    </xf>
    <xf numFmtId="0" fontId="19" fillId="0" borderId="47" xfId="0" applyFont="1" applyBorder="1" applyAlignment="1">
      <alignment horizontal="left"/>
    </xf>
    <xf numFmtId="0" fontId="19" fillId="0" borderId="48" xfId="0" applyFont="1" applyBorder="1" applyAlignment="1">
      <alignment horizontal="left"/>
    </xf>
    <xf numFmtId="0" fontId="19" fillId="0" borderId="49" xfId="0" applyFont="1" applyBorder="1" applyAlignment="1">
      <alignment horizontal="left"/>
    </xf>
    <xf numFmtId="43" fontId="19" fillId="0" borderId="47" xfId="1" applyFont="1" applyBorder="1" applyAlignment="1">
      <alignment horizontal="center"/>
    </xf>
    <xf numFmtId="43" fontId="19" fillId="0" borderId="48" xfId="1" applyFont="1" applyBorder="1" applyAlignment="1">
      <alignment horizontal="center"/>
    </xf>
    <xf numFmtId="43" fontId="19" fillId="0" borderId="49" xfId="1" applyFont="1" applyBorder="1" applyAlignment="1">
      <alignment horizontal="center"/>
    </xf>
    <xf numFmtId="0" fontId="19" fillId="0" borderId="29" xfId="0" applyFont="1" applyBorder="1" applyAlignment="1">
      <alignment horizontal="left" vertical="center" wrapText="1"/>
    </xf>
    <xf numFmtId="0" fontId="19" fillId="0" borderId="30" xfId="0" applyFont="1" applyBorder="1" applyAlignment="1">
      <alignment horizontal="left" vertical="center" wrapText="1"/>
    </xf>
    <xf numFmtId="0" fontId="19" fillId="0" borderId="14" xfId="0" applyFont="1" applyBorder="1" applyAlignment="1">
      <alignment horizontal="left" vertical="center" wrapText="1"/>
    </xf>
    <xf numFmtId="0" fontId="19" fillId="0" borderId="14" xfId="0" applyFont="1" applyBorder="1" applyAlignment="1">
      <alignment horizontal="left" vertical="center"/>
    </xf>
    <xf numFmtId="43" fontId="19" fillId="0" borderId="29" xfId="1" applyFont="1" applyBorder="1" applyAlignment="1">
      <alignment vertical="center"/>
    </xf>
    <xf numFmtId="43" fontId="19" fillId="0" borderId="30" xfId="1" applyFont="1" applyBorder="1" applyAlignment="1">
      <alignment vertical="center"/>
    </xf>
    <xf numFmtId="43" fontId="19" fillId="0" borderId="14" xfId="1" applyFont="1" applyBorder="1" applyAlignment="1">
      <alignment vertical="center"/>
    </xf>
    <xf numFmtId="0" fontId="17" fillId="0" borderId="14" xfId="0" applyFont="1" applyBorder="1" applyAlignment="1">
      <alignment vertical="center"/>
    </xf>
    <xf numFmtId="43" fontId="17" fillId="0" borderId="29" xfId="1" applyFont="1" applyBorder="1" applyAlignment="1">
      <alignment vertical="center"/>
    </xf>
    <xf numFmtId="43" fontId="17" fillId="0" borderId="30" xfId="1" applyFont="1" applyBorder="1" applyAlignment="1">
      <alignment vertical="center"/>
    </xf>
    <xf numFmtId="43" fontId="17" fillId="0" borderId="14" xfId="1" applyFont="1" applyBorder="1" applyAlignment="1">
      <alignment vertical="center"/>
    </xf>
    <xf numFmtId="0" fontId="19" fillId="0" borderId="29" xfId="0" applyFont="1" applyBorder="1" applyAlignment="1">
      <alignment vertical="center"/>
    </xf>
    <xf numFmtId="0" fontId="19" fillId="0" borderId="30" xfId="0" applyFont="1" applyBorder="1" applyAlignment="1">
      <alignment vertical="center"/>
    </xf>
    <xf numFmtId="0" fontId="19" fillId="0" borderId="29" xfId="0" applyFont="1" applyBorder="1" applyAlignment="1">
      <alignment vertical="center" wrapText="1"/>
    </xf>
    <xf numFmtId="0" fontId="19" fillId="0" borderId="30" xfId="0" applyFont="1" applyBorder="1" applyAlignment="1">
      <alignment vertical="center" wrapText="1"/>
    </xf>
    <xf numFmtId="0" fontId="19" fillId="0" borderId="14" xfId="0" applyFont="1" applyBorder="1" applyAlignment="1">
      <alignment vertical="center" wrapText="1"/>
    </xf>
    <xf numFmtId="0" fontId="11" fillId="0" borderId="39" xfId="0" applyFont="1" applyBorder="1" applyAlignment="1">
      <alignment horizontal="center"/>
    </xf>
    <xf numFmtId="0" fontId="11" fillId="0" borderId="11" xfId="0" applyFont="1" applyBorder="1" applyAlignment="1">
      <alignment horizontal="center"/>
    </xf>
    <xf numFmtId="43" fontId="19" fillId="0" borderId="29" xfId="1" applyFont="1" applyBorder="1" applyAlignment="1">
      <alignment horizontal="center" vertical="center"/>
    </xf>
    <xf numFmtId="43" fontId="19" fillId="0" borderId="30" xfId="1" applyFont="1" applyBorder="1" applyAlignment="1">
      <alignment horizontal="center" vertical="center"/>
    </xf>
    <xf numFmtId="43" fontId="19" fillId="0" borderId="14" xfId="1" applyFont="1" applyBorder="1" applyAlignment="1">
      <alignment horizontal="center" vertical="center"/>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14" xfId="0" applyFont="1" applyBorder="1" applyAlignment="1">
      <alignment horizontal="center" vertical="center" wrapText="1"/>
    </xf>
    <xf numFmtId="0" fontId="17" fillId="0" borderId="47" xfId="0" applyFont="1" applyBorder="1" applyAlignment="1">
      <alignment horizontal="left"/>
    </xf>
    <xf numFmtId="0" fontId="17" fillId="0" borderId="48" xfId="0" applyFont="1" applyBorder="1" applyAlignment="1">
      <alignment horizontal="left"/>
    </xf>
    <xf numFmtId="0" fontId="17" fillId="0" borderId="49" xfId="0" applyFont="1" applyBorder="1" applyAlignment="1">
      <alignment horizontal="left"/>
    </xf>
    <xf numFmtId="0" fontId="17" fillId="0" borderId="47" xfId="0" applyFont="1" applyBorder="1" applyAlignment="1">
      <alignment horizontal="center"/>
    </xf>
    <xf numFmtId="0" fontId="17" fillId="0" borderId="48" xfId="0" applyFont="1" applyBorder="1" applyAlignment="1">
      <alignment horizontal="center"/>
    </xf>
    <xf numFmtId="0" fontId="17" fillId="0" borderId="49" xfId="0" applyFont="1" applyBorder="1" applyAlignment="1">
      <alignment horizontal="center"/>
    </xf>
    <xf numFmtId="0" fontId="0" fillId="0" borderId="0" xfId="0" applyAlignment="1">
      <alignment horizontal="center"/>
    </xf>
    <xf numFmtId="0" fontId="0" fillId="0" borderId="0" xfId="0" applyAlignment="1">
      <alignment horizontal="left" vertical="center"/>
    </xf>
    <xf numFmtId="0" fontId="0" fillId="0" borderId="21" xfId="0" applyBorder="1" applyAlignment="1">
      <alignment horizontal="left" vertical="center"/>
    </xf>
    <xf numFmtId="0" fontId="0" fillId="0" borderId="23" xfId="0" applyBorder="1" applyAlignment="1">
      <alignment vertical="center" wrapText="1"/>
    </xf>
    <xf numFmtId="0" fontId="0" fillId="0" borderId="24" xfId="0" applyBorder="1" applyAlignment="1">
      <alignment vertical="center"/>
    </xf>
    <xf numFmtId="0" fontId="0" fillId="0" borderId="41" xfId="0" applyBorder="1" applyAlignment="1">
      <alignment vertical="center"/>
    </xf>
    <xf numFmtId="43" fontId="0" fillId="0" borderId="23" xfId="1" applyFont="1" applyBorder="1" applyAlignment="1">
      <alignment vertical="center"/>
    </xf>
    <xf numFmtId="43" fontId="0" fillId="0" borderId="41" xfId="1" applyFont="1" applyBorder="1" applyAlignment="1">
      <alignment vertical="center"/>
    </xf>
    <xf numFmtId="43" fontId="8" fillId="0" borderId="0" xfId="0" applyNumberFormat="1" applyFont="1"/>
    <xf numFmtId="0" fontId="8" fillId="0" borderId="0" xfId="0" applyFont="1"/>
    <xf numFmtId="0" fontId="9" fillId="0" borderId="0" xfId="0" applyFont="1" applyAlignment="1">
      <alignment horizontal="left"/>
    </xf>
    <xf numFmtId="0" fontId="0" fillId="0" borderId="13" xfId="0" applyBorder="1" applyAlignment="1">
      <alignment horizontal="left" vertical="center" wrapText="1"/>
    </xf>
    <xf numFmtId="0" fontId="0" fillId="0" borderId="23" xfId="0" applyBorder="1" applyAlignment="1">
      <alignment vertical="center"/>
    </xf>
    <xf numFmtId="43" fontId="0" fillId="0" borderId="0" xfId="1" applyFont="1" applyBorder="1" applyAlignment="1">
      <alignment vertical="center"/>
    </xf>
    <xf numFmtId="0" fontId="0" fillId="0" borderId="0" xfId="0" applyAlignment="1">
      <alignment horizontal="left" wrapText="1"/>
    </xf>
    <xf numFmtId="0" fontId="0" fillId="0" borderId="20" xfId="0" applyBorder="1" applyAlignment="1">
      <alignment horizontal="left" vertical="center"/>
    </xf>
    <xf numFmtId="0" fontId="0" fillId="0" borderId="29" xfId="0" applyBorder="1" applyAlignment="1">
      <alignment horizontal="center" vertical="center" wrapText="1"/>
    </xf>
    <xf numFmtId="43" fontId="11" fillId="0" borderId="0" xfId="0" applyNumberFormat="1" applyFont="1" applyAlignment="1">
      <alignment horizontal="center"/>
    </xf>
    <xf numFmtId="0" fontId="11" fillId="0" borderId="40" xfId="0" applyFont="1" applyBorder="1" applyAlignment="1">
      <alignment horizontal="center"/>
    </xf>
    <xf numFmtId="43" fontId="11" fillId="0" borderId="40" xfId="0" applyNumberFormat="1" applyFont="1" applyBorder="1" applyAlignment="1">
      <alignment horizontal="center"/>
    </xf>
    <xf numFmtId="0" fontId="11" fillId="0" borderId="0" xfId="0" applyFont="1" applyAlignment="1">
      <alignment horizontal="center"/>
    </xf>
    <xf numFmtId="0" fontId="0" fillId="0" borderId="1" xfId="0" applyBorder="1" applyAlignment="1">
      <alignment horizontal="left"/>
    </xf>
    <xf numFmtId="0" fontId="0" fillId="0" borderId="26" xfId="0" applyBorder="1" applyAlignment="1">
      <alignment horizontal="left" wrapText="1"/>
    </xf>
    <xf numFmtId="0" fontId="0" fillId="0" borderId="20" xfId="0" applyBorder="1" applyAlignment="1">
      <alignment horizontal="left"/>
    </xf>
    <xf numFmtId="43" fontId="0" fillId="0" borderId="26" xfId="1" applyFont="1" applyBorder="1" applyAlignment="1">
      <alignment horizontal="center"/>
    </xf>
    <xf numFmtId="43" fontId="0" fillId="0" borderId="20" xfId="1" applyFont="1" applyBorder="1" applyAlignment="1">
      <alignment horizontal="center"/>
    </xf>
    <xf numFmtId="0" fontId="0" fillId="0" borderId="27" xfId="0" applyBorder="1" applyAlignment="1">
      <alignment horizontal="left" wrapText="1"/>
    </xf>
    <xf numFmtId="0" fontId="0" fillId="0" borderId="20" xfId="0" applyBorder="1" applyAlignment="1">
      <alignment horizontal="left" wrapText="1"/>
    </xf>
    <xf numFmtId="0" fontId="0" fillId="0" borderId="27" xfId="0" applyBorder="1" applyAlignment="1">
      <alignment horizontal="left"/>
    </xf>
    <xf numFmtId="0" fontId="0" fillId="0" borderId="47" xfId="0" applyBorder="1" applyAlignment="1">
      <alignment horizontal="left" wrapText="1"/>
    </xf>
    <xf numFmtId="0" fontId="0" fillId="0" borderId="48" xfId="0" applyBorder="1" applyAlignment="1">
      <alignment horizontal="left" wrapText="1"/>
    </xf>
    <xf numFmtId="0" fontId="0" fillId="0" borderId="49" xfId="0" applyBorder="1" applyAlignment="1">
      <alignment horizontal="left" wrapText="1"/>
    </xf>
    <xf numFmtId="43" fontId="0" fillId="0" borderId="42" xfId="1" applyFont="1" applyBorder="1" applyAlignment="1">
      <alignment horizontal="center" vertical="center"/>
    </xf>
    <xf numFmtId="43" fontId="0" fillId="0" borderId="13" xfId="1" applyFont="1" applyBorder="1" applyAlignment="1">
      <alignment horizontal="center" vertical="center"/>
    </xf>
    <xf numFmtId="0" fontId="0" fillId="0" borderId="29" xfId="0" applyBorder="1" applyAlignment="1">
      <alignment horizontal="center" wrapText="1"/>
    </xf>
    <xf numFmtId="0" fontId="0" fillId="0" borderId="40" xfId="0" applyBorder="1" applyAlignment="1">
      <alignment vertical="center"/>
    </xf>
    <xf numFmtId="0" fontId="0" fillId="0" borderId="19" xfId="0" applyBorder="1" applyAlignment="1">
      <alignment vertical="center"/>
    </xf>
    <xf numFmtId="0" fontId="0" fillId="0" borderId="21" xfId="0" applyBorder="1" applyAlignment="1">
      <alignment vertical="center"/>
    </xf>
    <xf numFmtId="0" fontId="0" fillId="0" borderId="19" xfId="0" applyBorder="1" applyAlignment="1">
      <alignment vertical="center" wrapText="1"/>
    </xf>
    <xf numFmtId="0" fontId="0" fillId="0" borderId="0" xfId="0" applyAlignment="1">
      <alignment vertical="center" wrapText="1"/>
    </xf>
    <xf numFmtId="0" fontId="0" fillId="0" borderId="21" xfId="0" applyBorder="1" applyAlignment="1">
      <alignment vertical="center" wrapText="1"/>
    </xf>
    <xf numFmtId="0" fontId="0" fillId="0" borderId="0" xfId="0" applyAlignment="1">
      <alignment vertical="center"/>
    </xf>
    <xf numFmtId="43" fontId="0" fillId="0" borderId="19" xfId="1" applyFont="1" applyBorder="1" applyAlignment="1">
      <alignment vertical="center"/>
    </xf>
    <xf numFmtId="43" fontId="0" fillId="0" borderId="21" xfId="1" applyFont="1" applyBorder="1" applyAlignment="1">
      <alignment vertical="center"/>
    </xf>
    <xf numFmtId="0" fontId="0" fillId="0" borderId="23" xfId="0" applyBorder="1" applyAlignment="1">
      <alignment wrapText="1"/>
    </xf>
    <xf numFmtId="0" fontId="0" fillId="0" borderId="24" xfId="0" applyBorder="1" applyAlignment="1">
      <alignment wrapText="1"/>
    </xf>
    <xf numFmtId="0" fontId="0" fillId="0" borderId="41" xfId="0" applyBorder="1" applyAlignment="1">
      <alignment wrapText="1"/>
    </xf>
    <xf numFmtId="0" fontId="0" fillId="0" borderId="24" xfId="0" applyBorder="1"/>
    <xf numFmtId="0" fontId="0" fillId="0" borderId="41" xfId="0" applyBorder="1"/>
    <xf numFmtId="43" fontId="0" fillId="0" borderId="23" xfId="1" applyFont="1" applyBorder="1"/>
    <xf numFmtId="43" fontId="0" fillId="0" borderId="24" xfId="1" applyFont="1" applyBorder="1"/>
    <xf numFmtId="43" fontId="0" fillId="0" borderId="41" xfId="1" applyFont="1" applyBorder="1"/>
    <xf numFmtId="43" fontId="11" fillId="0" borderId="1" xfId="0" applyNumberFormat="1" applyFont="1" applyBorder="1"/>
    <xf numFmtId="0" fontId="11" fillId="0" borderId="39" xfId="0" applyFont="1" applyBorder="1"/>
    <xf numFmtId="0" fontId="11" fillId="0" borderId="11" xfId="0" applyFont="1" applyBorder="1"/>
    <xf numFmtId="0" fontId="0" fillId="0" borderId="23" xfId="0" applyBorder="1" applyAlignment="1">
      <alignment horizontal="left" wrapText="1"/>
    </xf>
    <xf numFmtId="0" fontId="0" fillId="0" borderId="24" xfId="0" applyBorder="1" applyAlignment="1">
      <alignment horizontal="left" wrapText="1"/>
    </xf>
    <xf numFmtId="0" fontId="0" fillId="0" borderId="41" xfId="0" applyBorder="1" applyAlignment="1">
      <alignment horizontal="left" wrapText="1"/>
    </xf>
    <xf numFmtId="0" fontId="0" fillId="0" borderId="24" xfId="0" applyBorder="1" applyAlignment="1">
      <alignment horizontal="left"/>
    </xf>
    <xf numFmtId="0" fontId="0" fillId="0" borderId="41" xfId="0" applyBorder="1" applyAlignment="1">
      <alignment horizontal="left"/>
    </xf>
    <xf numFmtId="43" fontId="0" fillId="0" borderId="27" xfId="1" applyFont="1" applyBorder="1" applyAlignment="1">
      <alignment horizontal="center" vertical="center"/>
    </xf>
    <xf numFmtId="0" fontId="0" fillId="0" borderId="47" xfId="0" applyBorder="1" applyAlignment="1">
      <alignment horizontal="center" vertical="center"/>
    </xf>
    <xf numFmtId="0" fontId="0" fillId="0" borderId="49" xfId="0" applyBorder="1" applyAlignment="1">
      <alignment horizontal="center" vertical="center"/>
    </xf>
    <xf numFmtId="4" fontId="0" fillId="0" borderId="26" xfId="0" applyNumberFormat="1" applyBorder="1" applyAlignment="1">
      <alignment horizontal="center" vertical="center"/>
    </xf>
    <xf numFmtId="4" fontId="0" fillId="0" borderId="20" xfId="0" applyNumberFormat="1" applyBorder="1" applyAlignment="1">
      <alignment horizontal="center" vertical="center"/>
    </xf>
    <xf numFmtId="4" fontId="0" fillId="0" borderId="47" xfId="0" applyNumberFormat="1" applyBorder="1" applyAlignment="1">
      <alignment horizontal="center" vertical="center"/>
    </xf>
    <xf numFmtId="4" fontId="0" fillId="0" borderId="49" xfId="0" applyNumberForma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209550</xdr:colOff>
      <xdr:row>0</xdr:row>
      <xdr:rowOff>133350</xdr:rowOff>
    </xdr:from>
    <xdr:to>
      <xdr:col>0</xdr:col>
      <xdr:colOff>885825</xdr:colOff>
      <xdr:row>0</xdr:row>
      <xdr:rowOff>819150</xdr:rowOff>
    </xdr:to>
    <xdr:pic>
      <xdr:nvPicPr>
        <xdr:cNvPr id="2" name="Picture 1">
          <a:extLst>
            <a:ext uri="{FF2B5EF4-FFF2-40B4-BE49-F238E27FC236}">
              <a16:creationId xmlns:a16="http://schemas.microsoft.com/office/drawing/2014/main" id="{3F9ABE33-97CF-4A49-B89D-6CEA4231DB79}"/>
            </a:ext>
          </a:extLst>
        </xdr:cNvPr>
        <xdr:cNvPicPr/>
      </xdr:nvPicPr>
      <xdr:blipFill>
        <a:blip xmlns:r="http://schemas.openxmlformats.org/officeDocument/2006/relationships" r:embed="rId1"/>
        <a:srcRect/>
        <a:stretch>
          <a:fillRect/>
        </a:stretch>
      </xdr:blipFill>
      <xdr:spPr>
        <a:xfrm>
          <a:off x="209550" y="133350"/>
          <a:ext cx="676275" cy="685800"/>
        </a:xfrm>
        <a:prstGeom prst="flowChartConnector">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123826</xdr:colOff>
      <xdr:row>0</xdr:row>
      <xdr:rowOff>85725</xdr:rowOff>
    </xdr:from>
    <xdr:to>
      <xdr:col>0</xdr:col>
      <xdr:colOff>781050</xdr:colOff>
      <xdr:row>0</xdr:row>
      <xdr:rowOff>781050</xdr:rowOff>
    </xdr:to>
    <xdr:pic>
      <xdr:nvPicPr>
        <xdr:cNvPr id="2" name="Picture 1">
          <a:extLst>
            <a:ext uri="{FF2B5EF4-FFF2-40B4-BE49-F238E27FC236}">
              <a16:creationId xmlns:a16="http://schemas.microsoft.com/office/drawing/2014/main" id="{419D7E9E-F20D-408C-8529-94E8F5E5ED4D}"/>
            </a:ext>
          </a:extLst>
        </xdr:cNvPr>
        <xdr:cNvPicPr/>
      </xdr:nvPicPr>
      <xdr:blipFill>
        <a:blip xmlns:r="http://schemas.openxmlformats.org/officeDocument/2006/relationships" r:embed="rId1"/>
        <a:srcRect/>
        <a:stretch>
          <a:fillRect/>
        </a:stretch>
      </xdr:blipFill>
      <xdr:spPr>
        <a:xfrm>
          <a:off x="123826" y="85725"/>
          <a:ext cx="657224" cy="695325"/>
        </a:xfrm>
        <a:prstGeom prst="flowChartConnector">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844550</xdr:colOff>
      <xdr:row>1</xdr:row>
      <xdr:rowOff>228601</xdr:rowOff>
    </xdr:from>
    <xdr:to>
      <xdr:col>0</xdr:col>
      <xdr:colOff>1406525</xdr:colOff>
      <xdr:row>1</xdr:row>
      <xdr:rowOff>790575</xdr:rowOff>
    </xdr:to>
    <xdr:pic>
      <xdr:nvPicPr>
        <xdr:cNvPr id="2" name="Picture 1">
          <a:extLst>
            <a:ext uri="{FF2B5EF4-FFF2-40B4-BE49-F238E27FC236}">
              <a16:creationId xmlns:a16="http://schemas.microsoft.com/office/drawing/2014/main" id="{99DD0E58-27FB-450B-93A3-855A859B32C6}"/>
            </a:ext>
          </a:extLst>
        </xdr:cNvPr>
        <xdr:cNvPicPr/>
      </xdr:nvPicPr>
      <xdr:blipFill>
        <a:blip xmlns:r="http://schemas.openxmlformats.org/officeDocument/2006/relationships" r:embed="rId1"/>
        <a:srcRect/>
        <a:stretch>
          <a:fillRect/>
        </a:stretch>
      </xdr:blipFill>
      <xdr:spPr>
        <a:xfrm>
          <a:off x="844550" y="228601"/>
          <a:ext cx="561975" cy="561974"/>
        </a:xfrm>
        <a:prstGeom prst="flowChartConnector">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706987</xdr:colOff>
      <xdr:row>1</xdr:row>
      <xdr:rowOff>191748</xdr:rowOff>
    </xdr:from>
    <xdr:to>
      <xdr:col>0</xdr:col>
      <xdr:colOff>1272967</xdr:colOff>
      <xdr:row>1</xdr:row>
      <xdr:rowOff>747758</xdr:rowOff>
    </xdr:to>
    <xdr:pic>
      <xdr:nvPicPr>
        <xdr:cNvPr id="2" name="Picture 1">
          <a:extLst>
            <a:ext uri="{FF2B5EF4-FFF2-40B4-BE49-F238E27FC236}">
              <a16:creationId xmlns:a16="http://schemas.microsoft.com/office/drawing/2014/main" id="{0847E3F0-92CC-4147-BC3F-197343EDFE17}"/>
            </a:ext>
          </a:extLst>
        </xdr:cNvPr>
        <xdr:cNvPicPr/>
      </xdr:nvPicPr>
      <xdr:blipFill>
        <a:blip xmlns:r="http://schemas.openxmlformats.org/officeDocument/2006/relationships" r:embed="rId1"/>
        <a:srcRect/>
        <a:stretch>
          <a:fillRect/>
        </a:stretch>
      </xdr:blipFill>
      <xdr:spPr>
        <a:xfrm>
          <a:off x="706987" y="191748"/>
          <a:ext cx="565980" cy="556010"/>
        </a:xfrm>
        <a:prstGeom prst="flowChartConnector">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463262</xdr:colOff>
      <xdr:row>1</xdr:row>
      <xdr:rowOff>152402</xdr:rowOff>
    </xdr:from>
    <xdr:to>
      <xdr:col>0</xdr:col>
      <xdr:colOff>1050638</xdr:colOff>
      <xdr:row>1</xdr:row>
      <xdr:rowOff>750456</xdr:rowOff>
    </xdr:to>
    <xdr:pic>
      <xdr:nvPicPr>
        <xdr:cNvPr id="2" name="Picture 1">
          <a:extLst>
            <a:ext uri="{FF2B5EF4-FFF2-40B4-BE49-F238E27FC236}">
              <a16:creationId xmlns:a16="http://schemas.microsoft.com/office/drawing/2014/main" id="{E570B6B6-BD7A-4166-9F32-BEFA5215FC94}"/>
            </a:ext>
          </a:extLst>
        </xdr:cNvPr>
        <xdr:cNvPicPr/>
      </xdr:nvPicPr>
      <xdr:blipFill>
        <a:blip xmlns:r="http://schemas.openxmlformats.org/officeDocument/2006/relationships" r:embed="rId1"/>
        <a:srcRect/>
        <a:stretch>
          <a:fillRect/>
        </a:stretch>
      </xdr:blipFill>
      <xdr:spPr>
        <a:xfrm>
          <a:off x="463262" y="152402"/>
          <a:ext cx="587376" cy="598054"/>
        </a:xfrm>
        <a:prstGeom prst="flowChartConnector">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1114921</xdr:colOff>
      <xdr:row>1</xdr:row>
      <xdr:rowOff>144682</xdr:rowOff>
    </xdr:from>
    <xdr:to>
      <xdr:col>0</xdr:col>
      <xdr:colOff>1672167</xdr:colOff>
      <xdr:row>1</xdr:row>
      <xdr:rowOff>772584</xdr:rowOff>
    </xdr:to>
    <xdr:pic>
      <xdr:nvPicPr>
        <xdr:cNvPr id="2" name="Picture 1">
          <a:extLst>
            <a:ext uri="{FF2B5EF4-FFF2-40B4-BE49-F238E27FC236}">
              <a16:creationId xmlns:a16="http://schemas.microsoft.com/office/drawing/2014/main" id="{F5EC3635-A686-45CC-AED4-1979E3ED8215}"/>
            </a:ext>
          </a:extLst>
        </xdr:cNvPr>
        <xdr:cNvPicPr/>
      </xdr:nvPicPr>
      <xdr:blipFill>
        <a:blip xmlns:r="http://schemas.openxmlformats.org/officeDocument/2006/relationships" r:embed="rId1"/>
        <a:srcRect/>
        <a:stretch>
          <a:fillRect/>
        </a:stretch>
      </xdr:blipFill>
      <xdr:spPr>
        <a:xfrm>
          <a:off x="1114921" y="144682"/>
          <a:ext cx="557246" cy="627902"/>
        </a:xfrm>
        <a:prstGeom prst="flowChartConnector">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823913</xdr:colOff>
      <xdr:row>1</xdr:row>
      <xdr:rowOff>140495</xdr:rowOff>
    </xdr:from>
    <xdr:to>
      <xdr:col>0</xdr:col>
      <xdr:colOff>1428751</xdr:colOff>
      <xdr:row>1</xdr:row>
      <xdr:rowOff>738187</xdr:rowOff>
    </xdr:to>
    <xdr:pic>
      <xdr:nvPicPr>
        <xdr:cNvPr id="2" name="Picture 1">
          <a:extLst>
            <a:ext uri="{FF2B5EF4-FFF2-40B4-BE49-F238E27FC236}">
              <a16:creationId xmlns:a16="http://schemas.microsoft.com/office/drawing/2014/main" id="{1BFC9932-57AC-4FA2-B801-546F22242783}"/>
            </a:ext>
          </a:extLst>
        </xdr:cNvPr>
        <xdr:cNvPicPr/>
      </xdr:nvPicPr>
      <xdr:blipFill>
        <a:blip xmlns:r="http://schemas.openxmlformats.org/officeDocument/2006/relationships" r:embed="rId1"/>
        <a:srcRect/>
        <a:stretch>
          <a:fillRect/>
        </a:stretch>
      </xdr:blipFill>
      <xdr:spPr>
        <a:xfrm>
          <a:off x="823913" y="902495"/>
          <a:ext cx="604838" cy="597692"/>
        </a:xfrm>
        <a:prstGeom prst="flowChartConnector">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133351</xdr:rowOff>
    </xdr:from>
    <xdr:to>
      <xdr:col>0</xdr:col>
      <xdr:colOff>723900</xdr:colOff>
      <xdr:row>0</xdr:row>
      <xdr:rowOff>781050</xdr:rowOff>
    </xdr:to>
    <xdr:pic>
      <xdr:nvPicPr>
        <xdr:cNvPr id="2" name="Picture 1">
          <a:extLst>
            <a:ext uri="{FF2B5EF4-FFF2-40B4-BE49-F238E27FC236}">
              <a16:creationId xmlns:a16="http://schemas.microsoft.com/office/drawing/2014/main" id="{CE050637-0BFB-4B1F-AD81-89163527BD50}"/>
            </a:ext>
          </a:extLst>
        </xdr:cNvPr>
        <xdr:cNvPicPr/>
      </xdr:nvPicPr>
      <xdr:blipFill>
        <a:blip xmlns:r="http://schemas.openxmlformats.org/officeDocument/2006/relationships" r:embed="rId1"/>
        <a:srcRect/>
        <a:stretch>
          <a:fillRect/>
        </a:stretch>
      </xdr:blipFill>
      <xdr:spPr>
        <a:xfrm>
          <a:off x="85725" y="133351"/>
          <a:ext cx="638175" cy="647699"/>
        </a:xfrm>
        <a:prstGeom prst="flowChartConnector">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223307</xdr:colOff>
      <xdr:row>0</xdr:row>
      <xdr:rowOff>147109</xdr:rowOff>
    </xdr:from>
    <xdr:to>
      <xdr:col>0</xdr:col>
      <xdr:colOff>804334</xdr:colOff>
      <xdr:row>0</xdr:row>
      <xdr:rowOff>756708</xdr:rowOff>
    </xdr:to>
    <xdr:pic>
      <xdr:nvPicPr>
        <xdr:cNvPr id="2" name="Picture 1">
          <a:extLst>
            <a:ext uri="{FF2B5EF4-FFF2-40B4-BE49-F238E27FC236}">
              <a16:creationId xmlns:a16="http://schemas.microsoft.com/office/drawing/2014/main" id="{3487E567-37AA-48D4-A409-536586B8C005}"/>
            </a:ext>
          </a:extLst>
        </xdr:cNvPr>
        <xdr:cNvPicPr/>
      </xdr:nvPicPr>
      <xdr:blipFill>
        <a:blip xmlns:r="http://schemas.openxmlformats.org/officeDocument/2006/relationships" r:embed="rId1"/>
        <a:srcRect/>
        <a:stretch>
          <a:fillRect/>
        </a:stretch>
      </xdr:blipFill>
      <xdr:spPr>
        <a:xfrm>
          <a:off x="223307" y="147109"/>
          <a:ext cx="581027" cy="609599"/>
        </a:xfrm>
        <a:prstGeom prst="flowChartConnector">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190500</xdr:rowOff>
    </xdr:from>
    <xdr:to>
      <xdr:col>0</xdr:col>
      <xdr:colOff>714375</xdr:colOff>
      <xdr:row>0</xdr:row>
      <xdr:rowOff>809625</xdr:rowOff>
    </xdr:to>
    <xdr:pic>
      <xdr:nvPicPr>
        <xdr:cNvPr id="2" name="Picture 1">
          <a:extLst>
            <a:ext uri="{FF2B5EF4-FFF2-40B4-BE49-F238E27FC236}">
              <a16:creationId xmlns:a16="http://schemas.microsoft.com/office/drawing/2014/main" id="{8959EEAA-55DF-4FEF-B465-B9A879DEEBCF}"/>
            </a:ext>
          </a:extLst>
        </xdr:cNvPr>
        <xdr:cNvPicPr/>
      </xdr:nvPicPr>
      <xdr:blipFill>
        <a:blip xmlns:r="http://schemas.openxmlformats.org/officeDocument/2006/relationships" r:embed="rId1"/>
        <a:srcRect/>
        <a:stretch>
          <a:fillRect/>
        </a:stretch>
      </xdr:blipFill>
      <xdr:spPr>
        <a:xfrm>
          <a:off x="76200" y="190500"/>
          <a:ext cx="638175" cy="619125"/>
        </a:xfrm>
        <a:prstGeom prst="flowChartConnector">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28574</xdr:colOff>
      <xdr:row>0</xdr:row>
      <xdr:rowOff>171452</xdr:rowOff>
    </xdr:from>
    <xdr:to>
      <xdr:col>0</xdr:col>
      <xdr:colOff>657225</xdr:colOff>
      <xdr:row>0</xdr:row>
      <xdr:rowOff>800100</xdr:rowOff>
    </xdr:to>
    <xdr:pic>
      <xdr:nvPicPr>
        <xdr:cNvPr id="2" name="Picture 1">
          <a:extLst>
            <a:ext uri="{FF2B5EF4-FFF2-40B4-BE49-F238E27FC236}">
              <a16:creationId xmlns:a16="http://schemas.microsoft.com/office/drawing/2014/main" id="{91B0114B-51FE-4E7F-86FF-6352FEC26CBA}"/>
            </a:ext>
          </a:extLst>
        </xdr:cNvPr>
        <xdr:cNvPicPr/>
      </xdr:nvPicPr>
      <xdr:blipFill>
        <a:blip xmlns:r="http://schemas.openxmlformats.org/officeDocument/2006/relationships" r:embed="rId1"/>
        <a:srcRect/>
        <a:stretch>
          <a:fillRect/>
        </a:stretch>
      </xdr:blipFill>
      <xdr:spPr>
        <a:xfrm>
          <a:off x="28574" y="171452"/>
          <a:ext cx="628651" cy="628648"/>
        </a:xfrm>
        <a:prstGeom prst="flowChartConnector">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123826</xdr:rowOff>
    </xdr:from>
    <xdr:to>
      <xdr:col>0</xdr:col>
      <xdr:colOff>742950</xdr:colOff>
      <xdr:row>0</xdr:row>
      <xdr:rowOff>771525</xdr:rowOff>
    </xdr:to>
    <xdr:pic>
      <xdr:nvPicPr>
        <xdr:cNvPr id="2" name="Picture 1">
          <a:extLst>
            <a:ext uri="{FF2B5EF4-FFF2-40B4-BE49-F238E27FC236}">
              <a16:creationId xmlns:a16="http://schemas.microsoft.com/office/drawing/2014/main" id="{B9D17171-7FFB-430F-A174-F44261031BC4}"/>
            </a:ext>
          </a:extLst>
        </xdr:cNvPr>
        <xdr:cNvPicPr/>
      </xdr:nvPicPr>
      <xdr:blipFill>
        <a:blip xmlns:r="http://schemas.openxmlformats.org/officeDocument/2006/relationships" r:embed="rId1"/>
        <a:srcRect/>
        <a:stretch>
          <a:fillRect/>
        </a:stretch>
      </xdr:blipFill>
      <xdr:spPr>
        <a:xfrm>
          <a:off x="104775" y="123826"/>
          <a:ext cx="638175" cy="647699"/>
        </a:xfrm>
        <a:prstGeom prst="flowChartConnector">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104772</xdr:colOff>
      <xdr:row>0</xdr:row>
      <xdr:rowOff>190505</xdr:rowOff>
    </xdr:from>
    <xdr:to>
      <xdr:col>0</xdr:col>
      <xdr:colOff>657225</xdr:colOff>
      <xdr:row>0</xdr:row>
      <xdr:rowOff>762001</xdr:rowOff>
    </xdr:to>
    <xdr:pic>
      <xdr:nvPicPr>
        <xdr:cNvPr id="2" name="Picture 1">
          <a:extLst>
            <a:ext uri="{FF2B5EF4-FFF2-40B4-BE49-F238E27FC236}">
              <a16:creationId xmlns:a16="http://schemas.microsoft.com/office/drawing/2014/main" id="{95B84F95-1675-497F-AB25-F1F9816D4CFE}"/>
            </a:ext>
          </a:extLst>
        </xdr:cNvPr>
        <xdr:cNvPicPr/>
      </xdr:nvPicPr>
      <xdr:blipFill>
        <a:blip xmlns:r="http://schemas.openxmlformats.org/officeDocument/2006/relationships" r:embed="rId1"/>
        <a:srcRect/>
        <a:stretch>
          <a:fillRect/>
        </a:stretch>
      </xdr:blipFill>
      <xdr:spPr>
        <a:xfrm>
          <a:off x="104772" y="190505"/>
          <a:ext cx="552453" cy="571496"/>
        </a:xfrm>
        <a:prstGeom prst="flowChartConnector">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701482</xdr:colOff>
      <xdr:row>0</xdr:row>
      <xdr:rowOff>142011</xdr:rowOff>
    </xdr:from>
    <xdr:to>
      <xdr:col>0</xdr:col>
      <xdr:colOff>1301558</xdr:colOff>
      <xdr:row>0</xdr:row>
      <xdr:rowOff>751609</xdr:rowOff>
    </xdr:to>
    <xdr:pic>
      <xdr:nvPicPr>
        <xdr:cNvPr id="2" name="Picture 1">
          <a:extLst>
            <a:ext uri="{FF2B5EF4-FFF2-40B4-BE49-F238E27FC236}">
              <a16:creationId xmlns:a16="http://schemas.microsoft.com/office/drawing/2014/main" id="{8700BE7C-677F-4A52-8976-B8C5144B97E7}"/>
            </a:ext>
          </a:extLst>
        </xdr:cNvPr>
        <xdr:cNvPicPr/>
      </xdr:nvPicPr>
      <xdr:blipFill>
        <a:blip xmlns:r="http://schemas.openxmlformats.org/officeDocument/2006/relationships" r:embed="rId1"/>
        <a:srcRect/>
        <a:stretch>
          <a:fillRect/>
        </a:stretch>
      </xdr:blipFill>
      <xdr:spPr>
        <a:xfrm>
          <a:off x="701482" y="142011"/>
          <a:ext cx="600076" cy="609598"/>
        </a:xfrm>
        <a:prstGeom prst="flowChartConnector">
          <a:avLst/>
        </a:prstGeom>
        <a:noFill/>
        <a:ln w="9525">
          <a:noFill/>
          <a:miter lim="800000"/>
          <a:headEnd/>
          <a:tailEn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603248</xdr:colOff>
      <xdr:row>0</xdr:row>
      <xdr:rowOff>134411</xdr:rowOff>
    </xdr:from>
    <xdr:to>
      <xdr:col>0</xdr:col>
      <xdr:colOff>1231899</xdr:colOff>
      <xdr:row>0</xdr:row>
      <xdr:rowOff>772584</xdr:rowOff>
    </xdr:to>
    <xdr:pic>
      <xdr:nvPicPr>
        <xdr:cNvPr id="2" name="Picture 1">
          <a:extLst>
            <a:ext uri="{FF2B5EF4-FFF2-40B4-BE49-F238E27FC236}">
              <a16:creationId xmlns:a16="http://schemas.microsoft.com/office/drawing/2014/main" id="{47AEE549-412D-45D8-8AF4-DCCF5516D0AA}"/>
            </a:ext>
          </a:extLst>
        </xdr:cNvPr>
        <xdr:cNvPicPr/>
      </xdr:nvPicPr>
      <xdr:blipFill>
        <a:blip xmlns:r="http://schemas.openxmlformats.org/officeDocument/2006/relationships" r:embed="rId1"/>
        <a:srcRect/>
        <a:stretch>
          <a:fillRect/>
        </a:stretch>
      </xdr:blipFill>
      <xdr:spPr>
        <a:xfrm>
          <a:off x="603248" y="134411"/>
          <a:ext cx="628651" cy="638173"/>
        </a:xfrm>
        <a:prstGeom prst="flowChartConnector">
          <a:avLst/>
        </a:prstGeom>
        <a:noFill/>
        <a:ln w="9525">
          <a:noFill/>
          <a:miter lim="800000"/>
          <a:headEnd/>
          <a:tailEn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723898</xdr:colOff>
      <xdr:row>0</xdr:row>
      <xdr:rowOff>123827</xdr:rowOff>
    </xdr:from>
    <xdr:to>
      <xdr:col>0</xdr:col>
      <xdr:colOff>1323975</xdr:colOff>
      <xdr:row>0</xdr:row>
      <xdr:rowOff>762000</xdr:rowOff>
    </xdr:to>
    <xdr:pic>
      <xdr:nvPicPr>
        <xdr:cNvPr id="3" name="Picture 2">
          <a:extLst>
            <a:ext uri="{FF2B5EF4-FFF2-40B4-BE49-F238E27FC236}">
              <a16:creationId xmlns:a16="http://schemas.microsoft.com/office/drawing/2014/main" id="{81CAC563-F1BC-4472-A114-87DEC82A4BF3}"/>
            </a:ext>
          </a:extLst>
        </xdr:cNvPr>
        <xdr:cNvPicPr/>
      </xdr:nvPicPr>
      <xdr:blipFill>
        <a:blip xmlns:r="http://schemas.openxmlformats.org/officeDocument/2006/relationships" r:embed="rId1"/>
        <a:srcRect/>
        <a:stretch>
          <a:fillRect/>
        </a:stretch>
      </xdr:blipFill>
      <xdr:spPr>
        <a:xfrm>
          <a:off x="723898" y="123827"/>
          <a:ext cx="600077" cy="638173"/>
        </a:xfrm>
        <a:prstGeom prst="flowChartConnector">
          <a:avLst/>
        </a:prstGeom>
        <a:noFill/>
        <a:ln w="9525">
          <a:noFill/>
          <a:miter lim="800000"/>
          <a:headEnd/>
          <a:tailEn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95249</xdr:colOff>
      <xdr:row>0</xdr:row>
      <xdr:rowOff>190502</xdr:rowOff>
    </xdr:from>
    <xdr:to>
      <xdr:col>0</xdr:col>
      <xdr:colOff>657225</xdr:colOff>
      <xdr:row>0</xdr:row>
      <xdr:rowOff>762000</xdr:rowOff>
    </xdr:to>
    <xdr:pic>
      <xdr:nvPicPr>
        <xdr:cNvPr id="2" name="Picture 1">
          <a:extLst>
            <a:ext uri="{FF2B5EF4-FFF2-40B4-BE49-F238E27FC236}">
              <a16:creationId xmlns:a16="http://schemas.microsoft.com/office/drawing/2014/main" id="{1B959886-2787-4588-89E4-299800152566}"/>
            </a:ext>
          </a:extLst>
        </xdr:cNvPr>
        <xdr:cNvPicPr/>
      </xdr:nvPicPr>
      <xdr:blipFill>
        <a:blip xmlns:r="http://schemas.openxmlformats.org/officeDocument/2006/relationships" r:embed="rId1"/>
        <a:srcRect/>
        <a:stretch>
          <a:fillRect/>
        </a:stretch>
      </xdr:blipFill>
      <xdr:spPr>
        <a:xfrm>
          <a:off x="95249" y="190502"/>
          <a:ext cx="561976" cy="571498"/>
        </a:xfrm>
        <a:prstGeom prst="flowChartConnector">
          <a:avLst/>
        </a:prstGeom>
        <a:noFill/>
        <a:ln w="9525">
          <a:noFill/>
          <a:miter lim="800000"/>
          <a:headEnd/>
          <a:tailEn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66673</xdr:colOff>
      <xdr:row>0</xdr:row>
      <xdr:rowOff>161927</xdr:rowOff>
    </xdr:from>
    <xdr:to>
      <xdr:col>0</xdr:col>
      <xdr:colOff>666750</xdr:colOff>
      <xdr:row>0</xdr:row>
      <xdr:rowOff>800100</xdr:rowOff>
    </xdr:to>
    <xdr:pic>
      <xdr:nvPicPr>
        <xdr:cNvPr id="2" name="Picture 1">
          <a:extLst>
            <a:ext uri="{FF2B5EF4-FFF2-40B4-BE49-F238E27FC236}">
              <a16:creationId xmlns:a16="http://schemas.microsoft.com/office/drawing/2014/main" id="{8795C3E9-884B-47B5-B8B1-EC83B20F9832}"/>
            </a:ext>
          </a:extLst>
        </xdr:cNvPr>
        <xdr:cNvPicPr/>
      </xdr:nvPicPr>
      <xdr:blipFill>
        <a:blip xmlns:r="http://schemas.openxmlformats.org/officeDocument/2006/relationships" r:embed="rId1"/>
        <a:srcRect/>
        <a:stretch>
          <a:fillRect/>
        </a:stretch>
      </xdr:blipFill>
      <xdr:spPr>
        <a:xfrm>
          <a:off x="66673" y="161927"/>
          <a:ext cx="600077" cy="638173"/>
        </a:xfrm>
        <a:prstGeom prst="flowChartConnector">
          <a:avLst/>
        </a:prstGeom>
        <a:noFill/>
        <a:ln w="9525">
          <a:noFill/>
          <a:miter lim="800000"/>
          <a:headEnd/>
          <a:tailEn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114298</xdr:colOff>
      <xdr:row>0</xdr:row>
      <xdr:rowOff>142877</xdr:rowOff>
    </xdr:from>
    <xdr:to>
      <xdr:col>0</xdr:col>
      <xdr:colOff>742949</xdr:colOff>
      <xdr:row>0</xdr:row>
      <xdr:rowOff>790574</xdr:rowOff>
    </xdr:to>
    <xdr:pic>
      <xdr:nvPicPr>
        <xdr:cNvPr id="3" name="Picture 2">
          <a:extLst>
            <a:ext uri="{FF2B5EF4-FFF2-40B4-BE49-F238E27FC236}">
              <a16:creationId xmlns:a16="http://schemas.microsoft.com/office/drawing/2014/main" id="{4FBB0212-507F-459A-B320-83E86E14BD6C}"/>
            </a:ext>
          </a:extLst>
        </xdr:cNvPr>
        <xdr:cNvPicPr/>
      </xdr:nvPicPr>
      <xdr:blipFill>
        <a:blip xmlns:r="http://schemas.openxmlformats.org/officeDocument/2006/relationships" r:embed="rId1"/>
        <a:srcRect/>
        <a:stretch>
          <a:fillRect/>
        </a:stretch>
      </xdr:blipFill>
      <xdr:spPr>
        <a:xfrm>
          <a:off x="114298" y="142877"/>
          <a:ext cx="628651" cy="647697"/>
        </a:xfrm>
        <a:prstGeom prst="flowChartConnector">
          <a:avLst/>
        </a:prstGeom>
        <a:noFill/>
        <a:ln w="9525">
          <a:noFill/>
          <a:miter lim="800000"/>
          <a:headEnd/>
          <a:tailEn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104774</xdr:colOff>
      <xdr:row>0</xdr:row>
      <xdr:rowOff>95253</xdr:rowOff>
    </xdr:from>
    <xdr:to>
      <xdr:col>0</xdr:col>
      <xdr:colOff>714375</xdr:colOff>
      <xdr:row>0</xdr:row>
      <xdr:rowOff>704850</xdr:rowOff>
    </xdr:to>
    <xdr:pic>
      <xdr:nvPicPr>
        <xdr:cNvPr id="2" name="Picture 1">
          <a:extLst>
            <a:ext uri="{FF2B5EF4-FFF2-40B4-BE49-F238E27FC236}">
              <a16:creationId xmlns:a16="http://schemas.microsoft.com/office/drawing/2014/main" id="{7C8A9AC2-4555-4FE6-9929-1B3B6474E95D}"/>
            </a:ext>
          </a:extLst>
        </xdr:cNvPr>
        <xdr:cNvPicPr/>
      </xdr:nvPicPr>
      <xdr:blipFill>
        <a:blip xmlns:r="http://schemas.openxmlformats.org/officeDocument/2006/relationships" r:embed="rId1"/>
        <a:srcRect/>
        <a:stretch>
          <a:fillRect/>
        </a:stretch>
      </xdr:blipFill>
      <xdr:spPr>
        <a:xfrm>
          <a:off x="104774" y="95253"/>
          <a:ext cx="609601" cy="609597"/>
        </a:xfrm>
        <a:prstGeom prst="flowChartConnector">
          <a:avLst/>
        </a:prstGeom>
        <a:noFill/>
        <a:ln w="9525">
          <a:noFill/>
          <a:miter lim="800000"/>
          <a:headEnd/>
          <a:tailEn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66674</xdr:colOff>
      <xdr:row>0</xdr:row>
      <xdr:rowOff>104776</xdr:rowOff>
    </xdr:from>
    <xdr:to>
      <xdr:col>0</xdr:col>
      <xdr:colOff>685800</xdr:colOff>
      <xdr:row>0</xdr:row>
      <xdr:rowOff>733426</xdr:rowOff>
    </xdr:to>
    <xdr:pic>
      <xdr:nvPicPr>
        <xdr:cNvPr id="2" name="Picture 1">
          <a:extLst>
            <a:ext uri="{FF2B5EF4-FFF2-40B4-BE49-F238E27FC236}">
              <a16:creationId xmlns:a16="http://schemas.microsoft.com/office/drawing/2014/main" id="{A92C4748-1C5A-4F0F-8C85-75FEF64126D3}"/>
            </a:ext>
          </a:extLst>
        </xdr:cNvPr>
        <xdr:cNvPicPr/>
      </xdr:nvPicPr>
      <xdr:blipFill>
        <a:blip xmlns:r="http://schemas.openxmlformats.org/officeDocument/2006/relationships" r:embed="rId1"/>
        <a:srcRect/>
        <a:stretch>
          <a:fillRect/>
        </a:stretch>
      </xdr:blipFill>
      <xdr:spPr>
        <a:xfrm>
          <a:off x="66674" y="104776"/>
          <a:ext cx="619126" cy="628650"/>
        </a:xfrm>
        <a:prstGeom prst="flowChartConnector">
          <a:avLst/>
        </a:prstGeom>
        <a:noFill/>
        <a:ln w="9525">
          <a:noFill/>
          <a:miter lim="800000"/>
          <a:headEnd/>
          <a:tailEn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638174</xdr:colOff>
      <xdr:row>0</xdr:row>
      <xdr:rowOff>133353</xdr:rowOff>
    </xdr:from>
    <xdr:to>
      <xdr:col>0</xdr:col>
      <xdr:colOff>1228725</xdr:colOff>
      <xdr:row>0</xdr:row>
      <xdr:rowOff>695325</xdr:rowOff>
    </xdr:to>
    <xdr:pic>
      <xdr:nvPicPr>
        <xdr:cNvPr id="2" name="Picture 1">
          <a:extLst>
            <a:ext uri="{FF2B5EF4-FFF2-40B4-BE49-F238E27FC236}">
              <a16:creationId xmlns:a16="http://schemas.microsoft.com/office/drawing/2014/main" id="{95C0C08A-6370-4E5C-9C23-83B387E7675F}"/>
            </a:ext>
          </a:extLst>
        </xdr:cNvPr>
        <xdr:cNvPicPr/>
      </xdr:nvPicPr>
      <xdr:blipFill>
        <a:blip xmlns:r="http://schemas.openxmlformats.org/officeDocument/2006/relationships" r:embed="rId1"/>
        <a:srcRect/>
        <a:stretch>
          <a:fillRect/>
        </a:stretch>
      </xdr:blipFill>
      <xdr:spPr>
        <a:xfrm>
          <a:off x="638174" y="133353"/>
          <a:ext cx="590551" cy="561972"/>
        </a:xfrm>
        <a:prstGeom prst="flowChartConnector">
          <a:avLst/>
        </a:prstGeom>
        <a:noFill/>
        <a:ln w="9525">
          <a:noFill/>
          <a:miter lim="800000"/>
          <a:headEnd/>
          <a:tailEn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504824</xdr:colOff>
      <xdr:row>0</xdr:row>
      <xdr:rowOff>200028</xdr:rowOff>
    </xdr:from>
    <xdr:to>
      <xdr:col>0</xdr:col>
      <xdr:colOff>1076325</xdr:colOff>
      <xdr:row>0</xdr:row>
      <xdr:rowOff>809625</xdr:rowOff>
    </xdr:to>
    <xdr:pic>
      <xdr:nvPicPr>
        <xdr:cNvPr id="2" name="Picture 1">
          <a:extLst>
            <a:ext uri="{FF2B5EF4-FFF2-40B4-BE49-F238E27FC236}">
              <a16:creationId xmlns:a16="http://schemas.microsoft.com/office/drawing/2014/main" id="{D8ACD78E-E48C-4BCF-854B-6A61A8657FB1}"/>
            </a:ext>
          </a:extLst>
        </xdr:cNvPr>
        <xdr:cNvPicPr/>
      </xdr:nvPicPr>
      <xdr:blipFill>
        <a:blip xmlns:r="http://schemas.openxmlformats.org/officeDocument/2006/relationships" r:embed="rId1"/>
        <a:srcRect/>
        <a:stretch>
          <a:fillRect/>
        </a:stretch>
      </xdr:blipFill>
      <xdr:spPr>
        <a:xfrm>
          <a:off x="504824" y="200028"/>
          <a:ext cx="571501" cy="609597"/>
        </a:xfrm>
        <a:prstGeom prst="flowChartConnector">
          <a:avLst/>
        </a:prstGeom>
        <a:noFill/>
        <a:ln w="9525">
          <a:noFill/>
          <a:miter lim="800000"/>
          <a:headEnd/>
          <a:tailEn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228598</xdr:colOff>
      <xdr:row>0</xdr:row>
      <xdr:rowOff>180978</xdr:rowOff>
    </xdr:from>
    <xdr:to>
      <xdr:col>0</xdr:col>
      <xdr:colOff>838199</xdr:colOff>
      <xdr:row>0</xdr:row>
      <xdr:rowOff>771525</xdr:rowOff>
    </xdr:to>
    <xdr:pic>
      <xdr:nvPicPr>
        <xdr:cNvPr id="2" name="Picture 1">
          <a:extLst>
            <a:ext uri="{FF2B5EF4-FFF2-40B4-BE49-F238E27FC236}">
              <a16:creationId xmlns:a16="http://schemas.microsoft.com/office/drawing/2014/main" id="{D988DCA2-D3B8-4C47-BCD7-788EBFC16C17}"/>
            </a:ext>
          </a:extLst>
        </xdr:cNvPr>
        <xdr:cNvPicPr/>
      </xdr:nvPicPr>
      <xdr:blipFill>
        <a:blip xmlns:r="http://schemas.openxmlformats.org/officeDocument/2006/relationships" r:embed="rId1"/>
        <a:srcRect/>
        <a:stretch>
          <a:fillRect/>
        </a:stretch>
      </xdr:blipFill>
      <xdr:spPr>
        <a:xfrm>
          <a:off x="228598" y="180978"/>
          <a:ext cx="609601" cy="590547"/>
        </a:xfrm>
        <a:prstGeom prst="flowChartConnector">
          <a:avLst/>
        </a:prstGeom>
        <a:noFill/>
        <a:ln w="9525">
          <a:noFill/>
          <a:miter lim="800000"/>
          <a:headEnd/>
          <a:tailEn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19047</xdr:colOff>
      <xdr:row>0</xdr:row>
      <xdr:rowOff>190504</xdr:rowOff>
    </xdr:from>
    <xdr:to>
      <xdr:col>0</xdr:col>
      <xdr:colOff>561974</xdr:colOff>
      <xdr:row>0</xdr:row>
      <xdr:rowOff>752476</xdr:rowOff>
    </xdr:to>
    <xdr:pic>
      <xdr:nvPicPr>
        <xdr:cNvPr id="2" name="Picture 1">
          <a:extLst>
            <a:ext uri="{FF2B5EF4-FFF2-40B4-BE49-F238E27FC236}">
              <a16:creationId xmlns:a16="http://schemas.microsoft.com/office/drawing/2014/main" id="{6DE6D552-BB78-4939-8343-E32EAF62366F}"/>
            </a:ext>
          </a:extLst>
        </xdr:cNvPr>
        <xdr:cNvPicPr/>
      </xdr:nvPicPr>
      <xdr:blipFill>
        <a:blip xmlns:r="http://schemas.openxmlformats.org/officeDocument/2006/relationships" r:embed="rId1"/>
        <a:srcRect/>
        <a:stretch>
          <a:fillRect/>
        </a:stretch>
      </xdr:blipFill>
      <xdr:spPr>
        <a:xfrm>
          <a:off x="19047" y="190504"/>
          <a:ext cx="542927" cy="561972"/>
        </a:xfrm>
        <a:prstGeom prst="flowChartConnector">
          <a:avLst/>
        </a:prstGeom>
        <a:noFill/>
        <a:ln w="9525">
          <a:noFill/>
          <a:miter lim="800000"/>
          <a:headEnd/>
          <a:tailEnd/>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76197</xdr:colOff>
      <xdr:row>0</xdr:row>
      <xdr:rowOff>142875</xdr:rowOff>
    </xdr:from>
    <xdr:to>
      <xdr:col>0</xdr:col>
      <xdr:colOff>657224</xdr:colOff>
      <xdr:row>0</xdr:row>
      <xdr:rowOff>742950</xdr:rowOff>
    </xdr:to>
    <xdr:pic>
      <xdr:nvPicPr>
        <xdr:cNvPr id="2" name="Picture 1">
          <a:extLst>
            <a:ext uri="{FF2B5EF4-FFF2-40B4-BE49-F238E27FC236}">
              <a16:creationId xmlns:a16="http://schemas.microsoft.com/office/drawing/2014/main" id="{28DE12BB-09BE-4930-B90A-4DF6446D2586}"/>
            </a:ext>
          </a:extLst>
        </xdr:cNvPr>
        <xdr:cNvPicPr/>
      </xdr:nvPicPr>
      <xdr:blipFill>
        <a:blip xmlns:r="http://schemas.openxmlformats.org/officeDocument/2006/relationships" r:embed="rId1"/>
        <a:srcRect/>
        <a:stretch>
          <a:fillRect/>
        </a:stretch>
      </xdr:blipFill>
      <xdr:spPr>
        <a:xfrm>
          <a:off x="76197" y="142875"/>
          <a:ext cx="581027" cy="600075"/>
        </a:xfrm>
        <a:prstGeom prst="flowChartConnector">
          <a:avLst/>
        </a:prstGeom>
        <a:noFill/>
        <a:ln w="9525">
          <a:noFill/>
          <a:miter lim="800000"/>
          <a:headEnd/>
          <a:tailEnd/>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838196</xdr:colOff>
      <xdr:row>0</xdr:row>
      <xdr:rowOff>123829</xdr:rowOff>
    </xdr:from>
    <xdr:to>
      <xdr:col>0</xdr:col>
      <xdr:colOff>1428749</xdr:colOff>
      <xdr:row>0</xdr:row>
      <xdr:rowOff>714375</xdr:rowOff>
    </xdr:to>
    <xdr:pic>
      <xdr:nvPicPr>
        <xdr:cNvPr id="2" name="Picture 1">
          <a:extLst>
            <a:ext uri="{FF2B5EF4-FFF2-40B4-BE49-F238E27FC236}">
              <a16:creationId xmlns:a16="http://schemas.microsoft.com/office/drawing/2014/main" id="{ABA0D498-3AC0-491C-87B9-6ECE133B5443}"/>
            </a:ext>
          </a:extLst>
        </xdr:cNvPr>
        <xdr:cNvPicPr/>
      </xdr:nvPicPr>
      <xdr:blipFill>
        <a:blip xmlns:r="http://schemas.openxmlformats.org/officeDocument/2006/relationships" r:embed="rId1"/>
        <a:srcRect/>
        <a:stretch>
          <a:fillRect/>
        </a:stretch>
      </xdr:blipFill>
      <xdr:spPr>
        <a:xfrm>
          <a:off x="838196" y="123829"/>
          <a:ext cx="590553" cy="590546"/>
        </a:xfrm>
        <a:prstGeom prst="flowChartConnector">
          <a:avLst/>
        </a:prstGeom>
        <a:noFill/>
        <a:ln w="9525">
          <a:noFill/>
          <a:miter lim="800000"/>
          <a:headEnd/>
          <a:tailEnd/>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104773</xdr:colOff>
      <xdr:row>0</xdr:row>
      <xdr:rowOff>190504</xdr:rowOff>
    </xdr:from>
    <xdr:to>
      <xdr:col>0</xdr:col>
      <xdr:colOff>685800</xdr:colOff>
      <xdr:row>0</xdr:row>
      <xdr:rowOff>742950</xdr:rowOff>
    </xdr:to>
    <xdr:pic>
      <xdr:nvPicPr>
        <xdr:cNvPr id="2" name="Picture 1">
          <a:extLst>
            <a:ext uri="{FF2B5EF4-FFF2-40B4-BE49-F238E27FC236}">
              <a16:creationId xmlns:a16="http://schemas.microsoft.com/office/drawing/2014/main" id="{6392F55B-661B-4CFD-8FA2-3309A16B6D1F}"/>
            </a:ext>
          </a:extLst>
        </xdr:cNvPr>
        <xdr:cNvPicPr/>
      </xdr:nvPicPr>
      <xdr:blipFill>
        <a:blip xmlns:r="http://schemas.openxmlformats.org/officeDocument/2006/relationships" r:embed="rId1"/>
        <a:srcRect/>
        <a:stretch>
          <a:fillRect/>
        </a:stretch>
      </xdr:blipFill>
      <xdr:spPr>
        <a:xfrm>
          <a:off x="104773" y="190504"/>
          <a:ext cx="581027" cy="552446"/>
        </a:xfrm>
        <a:prstGeom prst="flowChartConnector">
          <a:avLst/>
        </a:prstGeom>
        <a:noFill/>
        <a:ln w="9525">
          <a:noFill/>
          <a:miter lim="800000"/>
          <a:headEnd/>
          <a:tailEnd/>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47622</xdr:colOff>
      <xdr:row>0</xdr:row>
      <xdr:rowOff>142879</xdr:rowOff>
    </xdr:from>
    <xdr:to>
      <xdr:col>0</xdr:col>
      <xdr:colOff>657225</xdr:colOff>
      <xdr:row>0</xdr:row>
      <xdr:rowOff>742950</xdr:rowOff>
    </xdr:to>
    <xdr:pic>
      <xdr:nvPicPr>
        <xdr:cNvPr id="2" name="Picture 1">
          <a:extLst>
            <a:ext uri="{FF2B5EF4-FFF2-40B4-BE49-F238E27FC236}">
              <a16:creationId xmlns:a16="http://schemas.microsoft.com/office/drawing/2014/main" id="{F76F329D-925F-453C-BC51-B2F2B5E4A7A8}"/>
            </a:ext>
          </a:extLst>
        </xdr:cNvPr>
        <xdr:cNvPicPr/>
      </xdr:nvPicPr>
      <xdr:blipFill>
        <a:blip xmlns:r="http://schemas.openxmlformats.org/officeDocument/2006/relationships" r:embed="rId1"/>
        <a:srcRect/>
        <a:stretch>
          <a:fillRect/>
        </a:stretch>
      </xdr:blipFill>
      <xdr:spPr>
        <a:xfrm>
          <a:off x="47622" y="142879"/>
          <a:ext cx="609603" cy="600071"/>
        </a:xfrm>
        <a:prstGeom prst="flowChartConnector">
          <a:avLst/>
        </a:prstGeom>
        <a:noFill/>
        <a:ln w="9525">
          <a:noFill/>
          <a:miter lim="800000"/>
          <a:headEnd/>
          <a:tailEnd/>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28572</xdr:colOff>
      <xdr:row>0</xdr:row>
      <xdr:rowOff>142879</xdr:rowOff>
    </xdr:from>
    <xdr:to>
      <xdr:col>0</xdr:col>
      <xdr:colOff>676275</xdr:colOff>
      <xdr:row>0</xdr:row>
      <xdr:rowOff>771524</xdr:rowOff>
    </xdr:to>
    <xdr:pic>
      <xdr:nvPicPr>
        <xdr:cNvPr id="2" name="Picture 1">
          <a:extLst>
            <a:ext uri="{FF2B5EF4-FFF2-40B4-BE49-F238E27FC236}">
              <a16:creationId xmlns:a16="http://schemas.microsoft.com/office/drawing/2014/main" id="{E123D91A-4954-4563-B300-A09403210CB9}"/>
            </a:ext>
          </a:extLst>
        </xdr:cNvPr>
        <xdr:cNvPicPr/>
      </xdr:nvPicPr>
      <xdr:blipFill>
        <a:blip xmlns:r="http://schemas.openxmlformats.org/officeDocument/2006/relationships" r:embed="rId1"/>
        <a:srcRect/>
        <a:stretch>
          <a:fillRect/>
        </a:stretch>
      </xdr:blipFill>
      <xdr:spPr>
        <a:xfrm>
          <a:off x="28572" y="142879"/>
          <a:ext cx="647703" cy="628645"/>
        </a:xfrm>
        <a:prstGeom prst="flowChartConnector">
          <a:avLst/>
        </a:prstGeom>
        <a:noFill/>
        <a:ln w="9525">
          <a:noFill/>
          <a:miter lim="800000"/>
          <a:headEnd/>
          <a:tailEnd/>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104772</xdr:colOff>
      <xdr:row>0</xdr:row>
      <xdr:rowOff>190505</xdr:rowOff>
    </xdr:from>
    <xdr:to>
      <xdr:col>0</xdr:col>
      <xdr:colOff>657225</xdr:colOff>
      <xdr:row>0</xdr:row>
      <xdr:rowOff>723900</xdr:rowOff>
    </xdr:to>
    <xdr:pic>
      <xdr:nvPicPr>
        <xdr:cNvPr id="2" name="Picture 1">
          <a:extLst>
            <a:ext uri="{FF2B5EF4-FFF2-40B4-BE49-F238E27FC236}">
              <a16:creationId xmlns:a16="http://schemas.microsoft.com/office/drawing/2014/main" id="{B0347815-FA7E-4F61-977D-CBC6CBC20D97}"/>
            </a:ext>
          </a:extLst>
        </xdr:cNvPr>
        <xdr:cNvPicPr/>
      </xdr:nvPicPr>
      <xdr:blipFill>
        <a:blip xmlns:r="http://schemas.openxmlformats.org/officeDocument/2006/relationships" r:embed="rId1"/>
        <a:srcRect/>
        <a:stretch>
          <a:fillRect/>
        </a:stretch>
      </xdr:blipFill>
      <xdr:spPr>
        <a:xfrm>
          <a:off x="104772" y="190505"/>
          <a:ext cx="552453" cy="533395"/>
        </a:xfrm>
        <a:prstGeom prst="flowChartConnector">
          <a:avLst/>
        </a:prstGeom>
        <a:noFill/>
        <a:ln w="9525">
          <a:noFill/>
          <a:miter lim="800000"/>
          <a:headEnd/>
          <a:tailEnd/>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28572</xdr:colOff>
      <xdr:row>0</xdr:row>
      <xdr:rowOff>180980</xdr:rowOff>
    </xdr:from>
    <xdr:to>
      <xdr:col>0</xdr:col>
      <xdr:colOff>609600</xdr:colOff>
      <xdr:row>0</xdr:row>
      <xdr:rowOff>761999</xdr:rowOff>
    </xdr:to>
    <xdr:pic>
      <xdr:nvPicPr>
        <xdr:cNvPr id="2" name="Picture 1">
          <a:extLst>
            <a:ext uri="{FF2B5EF4-FFF2-40B4-BE49-F238E27FC236}">
              <a16:creationId xmlns:a16="http://schemas.microsoft.com/office/drawing/2014/main" id="{D1D70828-31A9-4C43-BFED-433C1888BC87}"/>
            </a:ext>
          </a:extLst>
        </xdr:cNvPr>
        <xdr:cNvPicPr/>
      </xdr:nvPicPr>
      <xdr:blipFill>
        <a:blip xmlns:r="http://schemas.openxmlformats.org/officeDocument/2006/relationships" r:embed="rId1"/>
        <a:srcRect/>
        <a:stretch>
          <a:fillRect/>
        </a:stretch>
      </xdr:blipFill>
      <xdr:spPr>
        <a:xfrm>
          <a:off x="28572" y="180980"/>
          <a:ext cx="581028" cy="581019"/>
        </a:xfrm>
        <a:prstGeom prst="flowChartConnector">
          <a:avLst/>
        </a:prstGeom>
        <a:noFill/>
        <a:ln w="9525">
          <a:noFill/>
          <a:miter lim="800000"/>
          <a:headEnd/>
          <a:tailEnd/>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66673</xdr:colOff>
      <xdr:row>0</xdr:row>
      <xdr:rowOff>142880</xdr:rowOff>
    </xdr:from>
    <xdr:to>
      <xdr:col>0</xdr:col>
      <xdr:colOff>695325</xdr:colOff>
      <xdr:row>0</xdr:row>
      <xdr:rowOff>752475</xdr:rowOff>
    </xdr:to>
    <xdr:pic>
      <xdr:nvPicPr>
        <xdr:cNvPr id="2" name="Picture 1">
          <a:extLst>
            <a:ext uri="{FF2B5EF4-FFF2-40B4-BE49-F238E27FC236}">
              <a16:creationId xmlns:a16="http://schemas.microsoft.com/office/drawing/2014/main" id="{95473605-D117-49EF-A4E6-8B9BAB5BC9F1}"/>
            </a:ext>
          </a:extLst>
        </xdr:cNvPr>
        <xdr:cNvPicPr/>
      </xdr:nvPicPr>
      <xdr:blipFill>
        <a:blip xmlns:r="http://schemas.openxmlformats.org/officeDocument/2006/relationships" r:embed="rId1"/>
        <a:srcRect/>
        <a:stretch>
          <a:fillRect/>
        </a:stretch>
      </xdr:blipFill>
      <xdr:spPr>
        <a:xfrm>
          <a:off x="66673" y="142880"/>
          <a:ext cx="628652" cy="609595"/>
        </a:xfrm>
        <a:prstGeom prst="flowChartConnector">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D62C3-4DEE-4E58-B7A9-0D9791D86AB0}">
  <sheetPr>
    <pageSetUpPr fitToPage="1"/>
  </sheetPr>
  <dimension ref="A1:S50"/>
  <sheetViews>
    <sheetView zoomScale="90" zoomScaleNormal="90" workbookViewId="0">
      <selection activeCell="O5" sqref="O5"/>
    </sheetView>
  </sheetViews>
  <sheetFormatPr defaultRowHeight="15" x14ac:dyDescent="0.25"/>
  <cols>
    <col min="1" max="1" width="40.28515625" customWidth="1"/>
    <col min="2" max="2" width="16.7109375" hidden="1" customWidth="1"/>
    <col min="3" max="3" width="19.85546875" customWidth="1"/>
    <col min="4" max="4" width="18.28515625" customWidth="1"/>
    <col min="5" max="5" width="20.42578125" customWidth="1"/>
    <col min="6" max="6" width="14.5703125" customWidth="1"/>
    <col min="7" max="7" width="14.28515625" customWidth="1"/>
    <col min="8" max="8" width="11.28515625" customWidth="1"/>
    <col min="9" max="9" width="12.85546875" customWidth="1"/>
    <col min="10" max="10" width="11.28515625" customWidth="1"/>
    <col min="11" max="11" width="11.5703125" customWidth="1"/>
    <col min="12" max="12" width="10.28515625" customWidth="1"/>
    <col min="13" max="13" width="10.28515625" bestFit="1" customWidth="1"/>
    <col min="14" max="15" width="11.28515625" bestFit="1" customWidth="1"/>
    <col min="16" max="16" width="11.7109375" bestFit="1" customWidth="1"/>
    <col min="17" max="17" width="11.7109375" customWidth="1"/>
    <col min="18" max="18" width="10.42578125" customWidth="1"/>
    <col min="19" max="19" width="13.28515625" customWidth="1"/>
  </cols>
  <sheetData>
    <row r="1" spans="1:19" ht="72.75" customHeight="1" thickBot="1" x14ac:dyDescent="0.3">
      <c r="A1" s="1"/>
      <c r="B1" s="3" t="s">
        <v>165</v>
      </c>
      <c r="C1" s="4" t="s">
        <v>816</v>
      </c>
      <c r="D1" s="5" t="s">
        <v>812</v>
      </c>
      <c r="E1" s="6" t="s">
        <v>817</v>
      </c>
      <c r="F1" s="204" t="s">
        <v>4</v>
      </c>
      <c r="G1" s="65" t="s">
        <v>5</v>
      </c>
      <c r="H1" s="205" t="s">
        <v>6</v>
      </c>
      <c r="I1" s="65" t="s">
        <v>7</v>
      </c>
      <c r="J1" s="205" t="s">
        <v>8</v>
      </c>
      <c r="K1" s="65" t="s">
        <v>9</v>
      </c>
      <c r="L1" s="205" t="s">
        <v>10</v>
      </c>
      <c r="M1" s="65" t="s">
        <v>11</v>
      </c>
      <c r="N1" s="65" t="s">
        <v>12</v>
      </c>
      <c r="O1" s="65" t="s">
        <v>13</v>
      </c>
      <c r="P1" s="65" t="s">
        <v>14</v>
      </c>
      <c r="Q1" s="66" t="s">
        <v>15</v>
      </c>
      <c r="R1" s="66"/>
      <c r="S1" s="10" t="s">
        <v>16</v>
      </c>
    </row>
    <row r="2" spans="1:19" ht="16.5" thickBot="1" x14ac:dyDescent="0.3">
      <c r="A2" s="11" t="s">
        <v>26</v>
      </c>
      <c r="B2" s="60"/>
      <c r="C2" s="86"/>
      <c r="D2" s="91" t="s">
        <v>17</v>
      </c>
      <c r="E2" s="92"/>
      <c r="F2" s="57"/>
      <c r="G2" s="57"/>
      <c r="H2" s="88"/>
      <c r="I2" s="57"/>
      <c r="J2" s="88"/>
      <c r="K2" s="57"/>
      <c r="L2" s="12"/>
      <c r="M2" s="57"/>
      <c r="N2" s="57"/>
      <c r="O2" s="57"/>
      <c r="P2" s="57"/>
      <c r="Q2" s="12"/>
      <c r="R2" s="12"/>
      <c r="S2" s="12"/>
    </row>
    <row r="3" spans="1:19" ht="15.75" x14ac:dyDescent="0.25">
      <c r="A3" s="13" t="s">
        <v>29</v>
      </c>
      <c r="B3" s="58"/>
      <c r="C3" s="59">
        <v>141580</v>
      </c>
      <c r="D3" s="89">
        <f>SUM(F3:Q3)</f>
        <v>0</v>
      </c>
      <c r="E3" s="90">
        <f>B3+C3-D3</f>
        <v>141580</v>
      </c>
      <c r="F3" s="53"/>
      <c r="G3" s="53"/>
      <c r="H3" s="53"/>
      <c r="I3" s="53"/>
      <c r="J3" s="53"/>
      <c r="K3" s="53"/>
      <c r="L3" s="53"/>
      <c r="M3" s="53"/>
      <c r="N3" s="53"/>
      <c r="O3" s="53"/>
      <c r="P3" s="53"/>
      <c r="Q3" s="53"/>
      <c r="R3" s="31"/>
      <c r="S3" s="81">
        <f>SUM(F3:Q3)</f>
        <v>0</v>
      </c>
    </row>
    <row r="4" spans="1:19" ht="15.75" x14ac:dyDescent="0.25">
      <c r="A4" s="20" t="s">
        <v>28</v>
      </c>
      <c r="B4" s="15"/>
      <c r="C4" s="18">
        <v>1000000</v>
      </c>
      <c r="D4" s="89">
        <f t="shared" ref="D4:D12" si="0">SUM(F4:Q4)</f>
        <v>23000</v>
      </c>
      <c r="E4" s="90">
        <f t="shared" ref="E4:E12" si="1">B4+C4-D4</f>
        <v>977000</v>
      </c>
      <c r="F4" s="19"/>
      <c r="G4" s="19">
        <v>2100</v>
      </c>
      <c r="H4" s="19"/>
      <c r="I4" s="19"/>
      <c r="J4" s="22"/>
      <c r="K4" s="19">
        <v>2250</v>
      </c>
      <c r="L4" s="19">
        <f>12550</f>
        <v>12550</v>
      </c>
      <c r="M4" s="19">
        <f>750+1150</f>
        <v>1900</v>
      </c>
      <c r="N4" s="19">
        <f>2550</f>
        <v>2550</v>
      </c>
      <c r="O4" s="19">
        <f>1200+450</f>
        <v>1650</v>
      </c>
      <c r="P4" s="19"/>
      <c r="Q4" s="18"/>
      <c r="R4" s="75"/>
      <c r="S4" s="19">
        <f t="shared" ref="S4:S12" si="2">SUM(F4:Q4)</f>
        <v>23000</v>
      </c>
    </row>
    <row r="5" spans="1:19" ht="15.75" x14ac:dyDescent="0.25">
      <c r="A5" s="20" t="s">
        <v>30</v>
      </c>
      <c r="B5" s="15"/>
      <c r="C5" s="15">
        <v>1700000</v>
      </c>
      <c r="D5" s="89">
        <f t="shared" si="0"/>
        <v>0</v>
      </c>
      <c r="E5" s="90">
        <f t="shared" si="1"/>
        <v>1700000</v>
      </c>
      <c r="F5" s="19"/>
      <c r="G5" s="19"/>
      <c r="H5" s="19"/>
      <c r="I5" s="19"/>
      <c r="J5" s="22"/>
      <c r="K5" s="19"/>
      <c r="L5" s="19"/>
      <c r="M5" s="19"/>
      <c r="N5" s="19"/>
      <c r="O5" s="19"/>
      <c r="P5" s="19"/>
      <c r="Q5" s="18"/>
      <c r="R5" s="75"/>
      <c r="S5" s="19">
        <f t="shared" si="2"/>
        <v>0</v>
      </c>
    </row>
    <row r="6" spans="1:19" ht="15.75" x14ac:dyDescent="0.25">
      <c r="A6" s="20" t="s">
        <v>21</v>
      </c>
      <c r="B6" s="15"/>
      <c r="C6" s="15">
        <v>6235000</v>
      </c>
      <c r="D6" s="89">
        <f t="shared" si="0"/>
        <v>57750</v>
      </c>
      <c r="E6" s="90">
        <f t="shared" si="1"/>
        <v>6177250</v>
      </c>
      <c r="F6" s="19"/>
      <c r="G6" s="19"/>
      <c r="H6" s="19"/>
      <c r="I6" s="19"/>
      <c r="J6" s="22"/>
      <c r="K6" s="19"/>
      <c r="L6" s="19">
        <f>8750</f>
        <v>8750</v>
      </c>
      <c r="M6" s="19">
        <f>49000</f>
        <v>49000</v>
      </c>
      <c r="N6" s="19"/>
      <c r="O6" s="19"/>
      <c r="P6" s="19"/>
      <c r="Q6" s="18"/>
      <c r="R6" s="75"/>
      <c r="S6" s="19">
        <f t="shared" si="2"/>
        <v>57750</v>
      </c>
    </row>
    <row r="7" spans="1:19" ht="15.75" x14ac:dyDescent="0.25">
      <c r="A7" s="20" t="s">
        <v>166</v>
      </c>
      <c r="B7" s="15"/>
      <c r="C7" s="15">
        <v>425000</v>
      </c>
      <c r="D7" s="89">
        <f t="shared" si="0"/>
        <v>0</v>
      </c>
      <c r="E7" s="90">
        <f t="shared" si="1"/>
        <v>425000</v>
      </c>
      <c r="F7" s="19"/>
      <c r="G7" s="19"/>
      <c r="H7" s="19"/>
      <c r="I7" s="19"/>
      <c r="J7" s="22"/>
      <c r="K7" s="19"/>
      <c r="L7" s="19"/>
      <c r="M7" s="19"/>
      <c r="N7" s="19"/>
      <c r="O7" s="19"/>
      <c r="P7" s="19"/>
      <c r="Q7" s="18"/>
      <c r="R7" s="75"/>
      <c r="S7" s="19">
        <f t="shared" si="2"/>
        <v>0</v>
      </c>
    </row>
    <row r="8" spans="1:19" ht="15.75" x14ac:dyDescent="0.25">
      <c r="A8" s="20" t="s">
        <v>32</v>
      </c>
      <c r="B8" s="24"/>
      <c r="C8" s="24">
        <v>78000</v>
      </c>
      <c r="D8" s="89">
        <f t="shared" si="0"/>
        <v>0</v>
      </c>
      <c r="E8" s="90">
        <f t="shared" si="1"/>
        <v>78000</v>
      </c>
      <c r="F8" s="19"/>
      <c r="G8" s="19"/>
      <c r="H8" s="19"/>
      <c r="I8" s="19"/>
      <c r="J8" s="22"/>
      <c r="K8" s="19"/>
      <c r="L8" s="19"/>
      <c r="M8" s="19"/>
      <c r="N8" s="19"/>
      <c r="O8" s="19"/>
      <c r="P8" s="19"/>
      <c r="Q8" s="18"/>
      <c r="R8" s="75"/>
      <c r="S8" s="19">
        <f t="shared" si="2"/>
        <v>0</v>
      </c>
    </row>
    <row r="9" spans="1:19" ht="15.75" x14ac:dyDescent="0.25">
      <c r="A9" s="20" t="s">
        <v>34</v>
      </c>
      <c r="B9" s="15"/>
      <c r="C9" s="15">
        <v>34900</v>
      </c>
      <c r="D9" s="89">
        <f t="shared" si="0"/>
        <v>0</v>
      </c>
      <c r="E9" s="90">
        <f t="shared" si="1"/>
        <v>34900</v>
      </c>
      <c r="F9" s="19"/>
      <c r="G9" s="19"/>
      <c r="H9" s="19"/>
      <c r="I9" s="19"/>
      <c r="J9" s="22"/>
      <c r="K9" s="19"/>
      <c r="L9" s="19"/>
      <c r="M9" s="19"/>
      <c r="N9" s="19"/>
      <c r="O9" s="19"/>
      <c r="P9" s="19"/>
      <c r="Q9" s="18"/>
      <c r="R9" s="75"/>
      <c r="S9" s="19">
        <f t="shared" si="2"/>
        <v>0</v>
      </c>
    </row>
    <row r="10" spans="1:19" ht="15.75" x14ac:dyDescent="0.25">
      <c r="A10" s="20" t="s">
        <v>804</v>
      </c>
      <c r="B10" s="41"/>
      <c r="C10" s="15"/>
      <c r="D10" s="89">
        <f t="shared" si="0"/>
        <v>147670.19999999998</v>
      </c>
      <c r="E10" s="90">
        <f t="shared" si="1"/>
        <v>-147670.19999999998</v>
      </c>
      <c r="F10" s="19">
        <f>4755.21+5500.39</f>
        <v>10255.6</v>
      </c>
      <c r="G10" s="19">
        <f>5030+5030</f>
        <v>10060</v>
      </c>
      <c r="H10" s="19">
        <f>3018+5457.4</f>
        <v>8475.4</v>
      </c>
      <c r="I10" s="19">
        <f>7006.3+9012</f>
        <v>16018.3</v>
      </c>
      <c r="J10" s="22">
        <f>7293.5+11066</f>
        <v>18359.5</v>
      </c>
      <c r="K10" s="19">
        <f>10814.5+7276.7</f>
        <v>18091.2</v>
      </c>
      <c r="L10" s="19">
        <f>11018.75+8802.5</f>
        <v>19821.25</v>
      </c>
      <c r="M10" s="19">
        <f>6787.35+10715.8</f>
        <v>17503.150000000001</v>
      </c>
      <c r="N10" s="19">
        <f>10524.15</f>
        <v>10524.15</v>
      </c>
      <c r="O10" s="19">
        <f>9515+9046.65</f>
        <v>18561.650000000001</v>
      </c>
      <c r="P10" s="19"/>
      <c r="Q10" s="18"/>
      <c r="R10" s="75"/>
      <c r="S10" s="19">
        <f t="shared" si="2"/>
        <v>147670.19999999998</v>
      </c>
    </row>
    <row r="11" spans="1:19" ht="15.75" x14ac:dyDescent="0.25">
      <c r="A11" s="23" t="s">
        <v>31</v>
      </c>
      <c r="B11" s="41"/>
      <c r="C11" s="15">
        <f>480000+1057000</f>
        <v>1537000</v>
      </c>
      <c r="D11" s="89">
        <f t="shared" si="0"/>
        <v>0</v>
      </c>
      <c r="E11" s="90">
        <f t="shared" si="1"/>
        <v>1537000</v>
      </c>
      <c r="F11" s="19"/>
      <c r="G11" s="19"/>
      <c r="H11" s="19"/>
      <c r="I11" s="19"/>
      <c r="J11" s="19"/>
      <c r="K11" s="19"/>
      <c r="L11" s="19"/>
      <c r="M11" s="19"/>
      <c r="N11" s="19"/>
      <c r="O11" s="19"/>
      <c r="P11" s="19"/>
      <c r="Q11" s="18"/>
      <c r="R11" s="75"/>
      <c r="S11" s="19">
        <f t="shared" si="2"/>
        <v>0</v>
      </c>
    </row>
    <row r="12" spans="1:19" ht="15.75" x14ac:dyDescent="0.25">
      <c r="A12" s="23" t="s">
        <v>40</v>
      </c>
      <c r="B12" s="29"/>
      <c r="C12" s="29">
        <v>6750000</v>
      </c>
      <c r="D12" s="89">
        <f t="shared" si="0"/>
        <v>0</v>
      </c>
      <c r="E12" s="90">
        <f t="shared" si="1"/>
        <v>6750000</v>
      </c>
      <c r="F12" s="19"/>
      <c r="G12" s="19"/>
      <c r="H12" s="19"/>
      <c r="I12" s="19"/>
      <c r="J12" s="19"/>
      <c r="K12" s="19"/>
      <c r="L12" s="19"/>
      <c r="M12" s="19"/>
      <c r="N12" s="19"/>
      <c r="O12" s="19"/>
      <c r="P12" s="19"/>
      <c r="Q12" s="18"/>
      <c r="R12" s="95"/>
      <c r="S12" s="19">
        <f t="shared" si="2"/>
        <v>0</v>
      </c>
    </row>
    <row r="13" spans="1:19" ht="16.5" thickBot="1" x14ac:dyDescent="0.3">
      <c r="A13" s="25"/>
      <c r="B13" s="139">
        <f t="shared" ref="B13:Q13" si="3">SUM(B3:B12)</f>
        <v>0</v>
      </c>
      <c r="C13" s="96">
        <f t="shared" si="3"/>
        <v>17901480</v>
      </c>
      <c r="D13" s="96">
        <f t="shared" si="3"/>
        <v>228420.19999999998</v>
      </c>
      <c r="E13" s="27">
        <f t="shared" si="3"/>
        <v>17673059.800000001</v>
      </c>
      <c r="F13" s="27">
        <f t="shared" si="3"/>
        <v>10255.6</v>
      </c>
      <c r="G13" s="27">
        <f t="shared" si="3"/>
        <v>12160</v>
      </c>
      <c r="H13" s="27">
        <f t="shared" si="3"/>
        <v>8475.4</v>
      </c>
      <c r="I13" s="27">
        <f t="shared" si="3"/>
        <v>16018.3</v>
      </c>
      <c r="J13" s="27">
        <f t="shared" si="3"/>
        <v>18359.5</v>
      </c>
      <c r="K13" s="27">
        <f t="shared" si="3"/>
        <v>20341.2</v>
      </c>
      <c r="L13" s="27">
        <f t="shared" si="3"/>
        <v>41121.25</v>
      </c>
      <c r="M13" s="27">
        <f t="shared" si="3"/>
        <v>68403.149999999994</v>
      </c>
      <c r="N13" s="27">
        <f t="shared" si="3"/>
        <v>13074.15</v>
      </c>
      <c r="O13" s="27">
        <f t="shared" si="3"/>
        <v>20211.650000000001</v>
      </c>
      <c r="P13" s="27">
        <f t="shared" si="3"/>
        <v>0</v>
      </c>
      <c r="Q13" s="27">
        <f t="shared" si="3"/>
        <v>0</v>
      </c>
      <c r="R13" s="96" t="s">
        <v>25</v>
      </c>
      <c r="S13" s="47">
        <f>SUM(F13:Q13)</f>
        <v>228420.19999999998</v>
      </c>
    </row>
    <row r="15" spans="1:19" ht="37.5" x14ac:dyDescent="0.25">
      <c r="A15" s="30"/>
    </row>
    <row r="16" spans="1:19" ht="15.75" thickBot="1" x14ac:dyDescent="0.3"/>
    <row r="17" spans="1:9" ht="16.5" thickBot="1" x14ac:dyDescent="0.3">
      <c r="A17" s="136" t="s">
        <v>112</v>
      </c>
      <c r="B17" s="299" t="s">
        <v>115</v>
      </c>
      <c r="C17" s="300"/>
      <c r="D17" s="300"/>
      <c r="E17" s="301"/>
      <c r="F17" s="299" t="s">
        <v>114</v>
      </c>
      <c r="G17" s="301"/>
      <c r="H17" s="302" t="s">
        <v>113</v>
      </c>
      <c r="I17" s="303"/>
    </row>
    <row r="18" spans="1:9" ht="30" customHeight="1" x14ac:dyDescent="0.25">
      <c r="A18" s="168" t="s">
        <v>402</v>
      </c>
      <c r="B18" s="304" t="s">
        <v>393</v>
      </c>
      <c r="C18" s="305"/>
      <c r="D18" s="305"/>
      <c r="E18" s="306"/>
      <c r="F18" s="309" t="s">
        <v>394</v>
      </c>
      <c r="G18" s="310"/>
      <c r="H18" s="307">
        <v>2100</v>
      </c>
      <c r="I18" s="308"/>
    </row>
    <row r="19" spans="1:9" ht="30" customHeight="1" x14ac:dyDescent="0.25">
      <c r="A19" s="162" t="s">
        <v>671</v>
      </c>
      <c r="B19" s="276" t="s">
        <v>672</v>
      </c>
      <c r="C19" s="277"/>
      <c r="D19" s="277"/>
      <c r="E19" s="278"/>
      <c r="F19" s="276" t="s">
        <v>673</v>
      </c>
      <c r="G19" s="278"/>
      <c r="H19" s="279">
        <v>2250</v>
      </c>
      <c r="I19" s="280"/>
    </row>
    <row r="20" spans="1:9" ht="30.75" customHeight="1" x14ac:dyDescent="0.25">
      <c r="A20" s="156" t="s">
        <v>404</v>
      </c>
      <c r="B20" s="281" t="s">
        <v>699</v>
      </c>
      <c r="C20" s="282"/>
      <c r="D20" s="282"/>
      <c r="E20" s="283"/>
      <c r="F20" s="284" t="s">
        <v>691</v>
      </c>
      <c r="G20" s="285"/>
      <c r="H20" s="286">
        <v>12550</v>
      </c>
      <c r="I20" s="287"/>
    </row>
    <row r="21" spans="1:9" x14ac:dyDescent="0.25">
      <c r="A21" s="156" t="s">
        <v>671</v>
      </c>
      <c r="B21" s="266" t="s">
        <v>708</v>
      </c>
      <c r="C21" s="267"/>
      <c r="D21" s="267"/>
      <c r="E21" s="268"/>
      <c r="F21" s="266" t="s">
        <v>707</v>
      </c>
      <c r="G21" s="268"/>
      <c r="H21" s="261">
        <v>750</v>
      </c>
      <c r="I21" s="262"/>
    </row>
    <row r="22" spans="1:9" s="201" customFormat="1" ht="29.25" customHeight="1" x14ac:dyDescent="0.25">
      <c r="A22" s="202" t="s">
        <v>404</v>
      </c>
      <c r="B22" s="288" t="s">
        <v>714</v>
      </c>
      <c r="C22" s="289"/>
      <c r="D22" s="289"/>
      <c r="E22" s="290"/>
      <c r="F22" s="288" t="s">
        <v>715</v>
      </c>
      <c r="G22" s="290"/>
      <c r="H22" s="295">
        <v>1150</v>
      </c>
      <c r="I22" s="296"/>
    </row>
    <row r="23" spans="1:9" s="115" customFormat="1" ht="90" customHeight="1" x14ac:dyDescent="0.25">
      <c r="A23" s="162" t="s">
        <v>402</v>
      </c>
      <c r="B23" s="263" t="s">
        <v>871</v>
      </c>
      <c r="C23" s="264"/>
      <c r="D23" s="264"/>
      <c r="E23" s="265"/>
      <c r="F23" s="263" t="s">
        <v>872</v>
      </c>
      <c r="G23" s="294"/>
      <c r="H23" s="311">
        <v>2550</v>
      </c>
      <c r="I23" s="312"/>
    </row>
    <row r="24" spans="1:9" ht="30" customHeight="1" x14ac:dyDescent="0.25">
      <c r="A24" s="156" t="s">
        <v>366</v>
      </c>
      <c r="B24" s="266" t="s">
        <v>708</v>
      </c>
      <c r="C24" s="267"/>
      <c r="D24" s="267"/>
      <c r="E24" s="268"/>
      <c r="F24" s="288" t="s">
        <v>968</v>
      </c>
      <c r="G24" s="290"/>
      <c r="H24" s="261">
        <v>1500</v>
      </c>
      <c r="I24" s="262"/>
    </row>
    <row r="25" spans="1:9" x14ac:dyDescent="0.25">
      <c r="A25" s="156" t="s">
        <v>366</v>
      </c>
      <c r="B25" s="266" t="s">
        <v>708</v>
      </c>
      <c r="C25" s="267"/>
      <c r="D25" s="267"/>
      <c r="E25" s="268"/>
      <c r="F25" s="266" t="s">
        <v>970</v>
      </c>
      <c r="G25" s="268"/>
      <c r="H25" s="261">
        <v>450</v>
      </c>
      <c r="I25" s="262"/>
    </row>
    <row r="26" spans="1:9" x14ac:dyDescent="0.25">
      <c r="A26" s="156"/>
      <c r="B26" s="266"/>
      <c r="C26" s="267"/>
      <c r="D26" s="267"/>
      <c r="E26" s="268"/>
      <c r="F26" s="266"/>
      <c r="G26" s="268"/>
      <c r="H26" s="261"/>
      <c r="I26" s="262"/>
    </row>
    <row r="27" spans="1:9" x14ac:dyDescent="0.25">
      <c r="A27" s="156"/>
      <c r="B27" s="266"/>
      <c r="C27" s="267"/>
      <c r="D27" s="267"/>
      <c r="E27" s="268"/>
      <c r="F27" s="266"/>
      <c r="G27" s="268"/>
      <c r="H27" s="261"/>
      <c r="I27" s="262"/>
    </row>
    <row r="28" spans="1:9" x14ac:dyDescent="0.25">
      <c r="A28" s="156"/>
      <c r="B28" s="266"/>
      <c r="C28" s="267"/>
      <c r="D28" s="267"/>
      <c r="E28" s="268"/>
      <c r="F28" s="266"/>
      <c r="G28" s="268"/>
      <c r="H28" s="261"/>
      <c r="I28" s="262"/>
    </row>
    <row r="29" spans="1:9" ht="15.75" thickBot="1" x14ac:dyDescent="0.3">
      <c r="A29" s="120"/>
      <c r="B29" s="291"/>
      <c r="C29" s="292"/>
      <c r="D29" s="292"/>
      <c r="E29" s="293"/>
      <c r="F29" s="291"/>
      <c r="G29" s="293"/>
      <c r="H29" s="297"/>
      <c r="I29" s="298"/>
    </row>
    <row r="30" spans="1:9" ht="15.75" thickBot="1" x14ac:dyDescent="0.3">
      <c r="A30" s="85"/>
      <c r="B30" s="269"/>
      <c r="C30" s="270"/>
      <c r="D30" s="270"/>
      <c r="E30" s="271"/>
      <c r="F30" s="272" t="s">
        <v>116</v>
      </c>
      <c r="G30" s="273"/>
      <c r="H30" s="274">
        <f>SUM(H18:I29)</f>
        <v>23300</v>
      </c>
      <c r="I30" s="275"/>
    </row>
    <row r="35" spans="5:5" ht="18.75" x14ac:dyDescent="0.3">
      <c r="E35" s="158"/>
    </row>
    <row r="36" spans="5:5" ht="18.75" x14ac:dyDescent="0.3">
      <c r="E36" s="158"/>
    </row>
    <row r="37" spans="5:5" ht="18.75" x14ac:dyDescent="0.3">
      <c r="E37" s="158"/>
    </row>
    <row r="38" spans="5:5" ht="18.75" x14ac:dyDescent="0.3">
      <c r="E38" s="158"/>
    </row>
    <row r="39" spans="5:5" ht="18.75" x14ac:dyDescent="0.3">
      <c r="E39" s="158"/>
    </row>
    <row r="40" spans="5:5" ht="18.75" x14ac:dyDescent="0.3">
      <c r="E40" s="158"/>
    </row>
    <row r="41" spans="5:5" ht="18.75" x14ac:dyDescent="0.3">
      <c r="E41" s="158"/>
    </row>
    <row r="42" spans="5:5" ht="18.75" x14ac:dyDescent="0.3">
      <c r="E42" s="158"/>
    </row>
    <row r="43" spans="5:5" ht="18.75" x14ac:dyDescent="0.3">
      <c r="E43" s="158"/>
    </row>
    <row r="44" spans="5:5" ht="18.75" x14ac:dyDescent="0.3">
      <c r="E44" s="158"/>
    </row>
    <row r="45" spans="5:5" ht="18.75" x14ac:dyDescent="0.3">
      <c r="E45" s="158"/>
    </row>
    <row r="46" spans="5:5" ht="18.75" x14ac:dyDescent="0.3">
      <c r="E46" s="158"/>
    </row>
    <row r="47" spans="5:5" ht="18.75" x14ac:dyDescent="0.3">
      <c r="E47" s="158"/>
    </row>
    <row r="48" spans="5:5" ht="18.75" x14ac:dyDescent="0.3">
      <c r="E48" s="158"/>
    </row>
    <row r="49" spans="5:5" ht="18.75" x14ac:dyDescent="0.3">
      <c r="E49" s="158"/>
    </row>
    <row r="50" spans="5:5" ht="18.75" x14ac:dyDescent="0.3">
      <c r="E50" s="158"/>
    </row>
  </sheetData>
  <mergeCells count="42">
    <mergeCell ref="H22:I22"/>
    <mergeCell ref="H29:I29"/>
    <mergeCell ref="B17:E17"/>
    <mergeCell ref="F17:G17"/>
    <mergeCell ref="H17:I17"/>
    <mergeCell ref="B18:E18"/>
    <mergeCell ref="H18:I18"/>
    <mergeCell ref="F18:G18"/>
    <mergeCell ref="B21:E21"/>
    <mergeCell ref="F24:G24"/>
    <mergeCell ref="F25:G25"/>
    <mergeCell ref="F26:G26"/>
    <mergeCell ref="F27:G27"/>
    <mergeCell ref="F28:G28"/>
    <mergeCell ref="H23:I23"/>
    <mergeCell ref="H24:I24"/>
    <mergeCell ref="B30:E30"/>
    <mergeCell ref="F30:G30"/>
    <mergeCell ref="H30:I30"/>
    <mergeCell ref="B19:E19"/>
    <mergeCell ref="F19:G19"/>
    <mergeCell ref="H19:I19"/>
    <mergeCell ref="B20:E20"/>
    <mergeCell ref="F20:G20"/>
    <mergeCell ref="H20:I20"/>
    <mergeCell ref="B22:E22"/>
    <mergeCell ref="B29:E29"/>
    <mergeCell ref="F21:G21"/>
    <mergeCell ref="F22:G22"/>
    <mergeCell ref="F29:G29"/>
    <mergeCell ref="H21:I21"/>
    <mergeCell ref="F23:G23"/>
    <mergeCell ref="H25:I25"/>
    <mergeCell ref="H26:I26"/>
    <mergeCell ref="H27:I27"/>
    <mergeCell ref="H28:I28"/>
    <mergeCell ref="B23:E23"/>
    <mergeCell ref="B24:E24"/>
    <mergeCell ref="B25:E25"/>
    <mergeCell ref="B26:E26"/>
    <mergeCell ref="B27:E27"/>
    <mergeCell ref="B28:E28"/>
  </mergeCells>
  <pageMargins left="0.7" right="0.7" top="0.75" bottom="0.51" header="0.3" footer="0.3"/>
  <pageSetup scale="46" fitToHeight="0" orientation="landscape" horizontalDpi="4294967292"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3CB90-67B5-48AC-BE63-EB1B557161C2}">
  <dimension ref="A1:S69"/>
  <sheetViews>
    <sheetView zoomScale="90" zoomScaleNormal="90" workbookViewId="0">
      <selection activeCell="O4" sqref="O4"/>
    </sheetView>
  </sheetViews>
  <sheetFormatPr defaultRowHeight="15" x14ac:dyDescent="0.25"/>
  <cols>
    <col min="1" max="1" width="43.5703125" customWidth="1"/>
    <col min="2" max="2" width="14.7109375" hidden="1" customWidth="1"/>
    <col min="3" max="3" width="19.42578125" customWidth="1"/>
    <col min="4" max="4" width="18.42578125" customWidth="1"/>
    <col min="5" max="5" width="19.7109375" style="56" customWidth="1"/>
    <col min="6" max="6" width="13" customWidth="1"/>
    <col min="7" max="7" width="13.28515625" customWidth="1"/>
    <col min="8" max="8" width="14" customWidth="1"/>
    <col min="9" max="9" width="13.42578125" customWidth="1"/>
    <col min="10" max="10" width="12.7109375" customWidth="1"/>
    <col min="11" max="11" width="13.7109375" customWidth="1"/>
    <col min="12" max="12" width="13.5703125" customWidth="1"/>
    <col min="13" max="13" width="14.28515625" customWidth="1"/>
    <col min="14" max="14" width="13.28515625" customWidth="1"/>
    <col min="15" max="15" width="11.28515625" customWidth="1"/>
    <col min="16" max="16" width="11" customWidth="1"/>
    <col min="17" max="18" width="12.7109375" customWidth="1"/>
    <col min="19" max="19" width="14.85546875" customWidth="1"/>
  </cols>
  <sheetData>
    <row r="1" spans="1:19" ht="72.75" customHeight="1" thickBot="1" x14ac:dyDescent="0.3">
      <c r="A1" s="1"/>
      <c r="B1" s="3" t="s">
        <v>648</v>
      </c>
      <c r="C1" s="4" t="s">
        <v>810</v>
      </c>
      <c r="D1" s="5" t="s">
        <v>812</v>
      </c>
      <c r="E1" s="6" t="s">
        <v>813</v>
      </c>
      <c r="F1" s="204" t="s">
        <v>4</v>
      </c>
      <c r="G1" s="65" t="s">
        <v>5</v>
      </c>
      <c r="H1" s="205" t="s">
        <v>6</v>
      </c>
      <c r="I1" s="65" t="s">
        <v>7</v>
      </c>
      <c r="J1" s="205" t="s">
        <v>8</v>
      </c>
      <c r="K1" s="65" t="s">
        <v>9</v>
      </c>
      <c r="L1" s="205" t="s">
        <v>10</v>
      </c>
      <c r="M1" s="65" t="s">
        <v>11</v>
      </c>
      <c r="N1" s="205" t="s">
        <v>12</v>
      </c>
      <c r="O1" s="65" t="s">
        <v>13</v>
      </c>
      <c r="P1" s="205" t="s">
        <v>14</v>
      </c>
      <c r="Q1" s="65" t="s">
        <v>15</v>
      </c>
      <c r="R1" s="66"/>
      <c r="S1" s="10" t="s">
        <v>16</v>
      </c>
    </row>
    <row r="2" spans="1:19" ht="16.5" thickBot="1" x14ac:dyDescent="0.3">
      <c r="A2" s="86" t="s">
        <v>41</v>
      </c>
      <c r="B2" s="104"/>
      <c r="C2" s="86"/>
      <c r="D2" s="91" t="s">
        <v>17</v>
      </c>
      <c r="E2" s="105"/>
      <c r="F2" s="106"/>
      <c r="G2" s="57"/>
      <c r="H2" s="88"/>
      <c r="I2" s="57"/>
      <c r="J2" s="88"/>
      <c r="K2" s="57"/>
      <c r="L2" s="88"/>
      <c r="M2" s="57"/>
      <c r="N2" s="88"/>
      <c r="O2" s="57"/>
      <c r="P2" s="88"/>
      <c r="Q2" s="57"/>
      <c r="R2" s="57"/>
      <c r="S2" s="12"/>
    </row>
    <row r="3" spans="1:19" ht="15.75" x14ac:dyDescent="0.25">
      <c r="A3" s="150" t="s">
        <v>29</v>
      </c>
      <c r="B3" s="151"/>
      <c r="C3" s="152">
        <v>23900</v>
      </c>
      <c r="D3" s="153">
        <f>SUM(F3:Q3)</f>
        <v>78121</v>
      </c>
      <c r="E3" s="145">
        <f t="shared" ref="E3:E22" si="0">B3+C3-D3</f>
        <v>-54221</v>
      </c>
      <c r="F3" s="74"/>
      <c r="G3" s="81"/>
      <c r="H3" s="74">
        <f>8276</f>
        <v>8276</v>
      </c>
      <c r="I3" s="81"/>
      <c r="J3" s="74">
        <f>4000+1632+17462</f>
        <v>23094</v>
      </c>
      <c r="K3" s="81">
        <f>18655+28096</f>
        <v>46751</v>
      </c>
      <c r="L3" s="74"/>
      <c r="M3" s="81"/>
      <c r="N3" s="81"/>
      <c r="O3" s="74"/>
      <c r="P3" s="81"/>
      <c r="Q3" s="74"/>
      <c r="R3" s="81"/>
      <c r="S3" s="81">
        <f>SUM(F3:R3)</f>
        <v>78121</v>
      </c>
    </row>
    <row r="4" spans="1:19" ht="15.75" x14ac:dyDescent="0.25">
      <c r="A4" s="20" t="s">
        <v>34</v>
      </c>
      <c r="B4" s="15"/>
      <c r="C4" s="149">
        <v>30000</v>
      </c>
      <c r="D4" s="17">
        <f t="shared" ref="D4:D22" si="1">SUM(F4:Q4)</f>
        <v>40904</v>
      </c>
      <c r="E4" s="18">
        <f t="shared" si="0"/>
        <v>-10904</v>
      </c>
      <c r="F4" s="49"/>
      <c r="G4" s="19"/>
      <c r="H4" s="49">
        <v>1759</v>
      </c>
      <c r="I4" s="19"/>
      <c r="J4" s="154"/>
      <c r="K4" s="19"/>
      <c r="L4" s="49"/>
      <c r="M4" s="19"/>
      <c r="N4" s="19">
        <f>9995</f>
        <v>9995</v>
      </c>
      <c r="O4" s="49">
        <f>29150</f>
        <v>29150</v>
      </c>
      <c r="P4" s="19"/>
      <c r="Q4" s="149"/>
      <c r="R4" s="18"/>
      <c r="S4" s="19">
        <f>SUM(F4:Q4)</f>
        <v>40904</v>
      </c>
    </row>
    <row r="5" spans="1:19" ht="15.75" x14ac:dyDescent="0.25">
      <c r="A5" s="157" t="s">
        <v>103</v>
      </c>
      <c r="B5" s="15"/>
      <c r="C5" s="149"/>
      <c r="D5" s="17"/>
      <c r="E5" s="18"/>
      <c r="F5" s="49">
        <f>1000+2550</f>
        <v>3550</v>
      </c>
      <c r="G5" s="19">
        <f>2150+850+2650+1150+1150+1150+5100+1150+1150+1150+1000+6300+8400</f>
        <v>33350</v>
      </c>
      <c r="H5" s="49">
        <f>30000+1150+3602+1150</f>
        <v>35902</v>
      </c>
      <c r="I5" s="19">
        <f>5750+2250</f>
        <v>8000</v>
      </c>
      <c r="J5" s="154">
        <f>1000</f>
        <v>1000</v>
      </c>
      <c r="K5" s="19">
        <f>1150</f>
        <v>1150</v>
      </c>
      <c r="L5" s="49">
        <f>4150+5126</f>
        <v>9276</v>
      </c>
      <c r="M5" s="19"/>
      <c r="N5" s="19"/>
      <c r="O5" s="49"/>
      <c r="P5" s="19"/>
      <c r="Q5" s="149"/>
      <c r="R5" s="18"/>
      <c r="S5" s="19">
        <f t="shared" ref="S5:S22" si="2">SUM(F5:Q5)</f>
        <v>92228</v>
      </c>
    </row>
    <row r="6" spans="1:19" ht="15.75" x14ac:dyDescent="0.25">
      <c r="A6" s="93" t="s">
        <v>110</v>
      </c>
      <c r="B6" s="15"/>
      <c r="C6" s="149">
        <v>200000</v>
      </c>
      <c r="D6" s="17">
        <f t="shared" si="1"/>
        <v>32400</v>
      </c>
      <c r="E6" s="18">
        <f t="shared" si="0"/>
        <v>167600</v>
      </c>
      <c r="F6" s="49"/>
      <c r="G6" s="19">
        <f>24000</f>
        <v>24000</v>
      </c>
      <c r="H6" s="49"/>
      <c r="I6" s="19"/>
      <c r="J6" s="154"/>
      <c r="K6" s="19"/>
      <c r="L6" s="49">
        <f>8400</f>
        <v>8400</v>
      </c>
      <c r="M6" s="19"/>
      <c r="N6" s="19"/>
      <c r="O6" s="49"/>
      <c r="P6" s="19"/>
      <c r="Q6" s="149"/>
      <c r="R6" s="18"/>
      <c r="S6" s="19">
        <f t="shared" si="2"/>
        <v>32400</v>
      </c>
    </row>
    <row r="7" spans="1:19" ht="15.75" x14ac:dyDescent="0.25">
      <c r="A7" s="23" t="s">
        <v>142</v>
      </c>
      <c r="B7" s="15"/>
      <c r="C7" s="149">
        <v>13340000</v>
      </c>
      <c r="D7" s="17">
        <f t="shared" si="1"/>
        <v>0</v>
      </c>
      <c r="E7" s="18">
        <f t="shared" si="0"/>
        <v>13340000</v>
      </c>
      <c r="F7" s="49"/>
      <c r="G7" s="19"/>
      <c r="H7" s="49"/>
      <c r="I7" s="19"/>
      <c r="J7" s="154"/>
      <c r="K7" s="19"/>
      <c r="L7" s="49"/>
      <c r="M7" s="19"/>
      <c r="N7" s="19"/>
      <c r="O7" s="49"/>
      <c r="P7" s="19"/>
      <c r="Q7" s="149"/>
      <c r="R7" s="18"/>
      <c r="S7" s="19">
        <f t="shared" si="2"/>
        <v>0</v>
      </c>
    </row>
    <row r="8" spans="1:19" ht="15.75" x14ac:dyDescent="0.25">
      <c r="A8" s="23" t="s">
        <v>143</v>
      </c>
      <c r="B8" s="15"/>
      <c r="C8" s="149">
        <v>515000</v>
      </c>
      <c r="D8" s="17">
        <f t="shared" si="1"/>
        <v>7500</v>
      </c>
      <c r="E8" s="18">
        <f t="shared" si="0"/>
        <v>507500</v>
      </c>
      <c r="F8" s="49"/>
      <c r="G8" s="19">
        <v>7500</v>
      </c>
      <c r="H8" s="49"/>
      <c r="I8" s="19"/>
      <c r="J8" s="154"/>
      <c r="K8" s="19"/>
      <c r="L8" s="49"/>
      <c r="M8" s="19"/>
      <c r="N8" s="19"/>
      <c r="O8" s="49"/>
      <c r="P8" s="19"/>
      <c r="Q8" s="149"/>
      <c r="R8" s="18"/>
      <c r="S8" s="19">
        <f t="shared" si="2"/>
        <v>7500</v>
      </c>
    </row>
    <row r="9" spans="1:19" ht="15.75" x14ac:dyDescent="0.25">
      <c r="A9" s="23" t="s">
        <v>170</v>
      </c>
      <c r="B9" s="15"/>
      <c r="C9" s="149"/>
      <c r="D9" s="17"/>
      <c r="E9" s="18"/>
      <c r="F9" s="49"/>
      <c r="G9" s="19"/>
      <c r="H9" s="49">
        <v>3245</v>
      </c>
      <c r="I9" s="19"/>
      <c r="J9" s="154"/>
      <c r="K9" s="19"/>
      <c r="L9" s="49"/>
      <c r="M9" s="19"/>
      <c r="N9" s="19"/>
      <c r="O9" s="49"/>
      <c r="P9" s="19"/>
      <c r="Q9" s="149"/>
      <c r="R9" s="18"/>
      <c r="S9" s="19">
        <f t="shared" si="2"/>
        <v>3245</v>
      </c>
    </row>
    <row r="10" spans="1:19" ht="15.75" x14ac:dyDescent="0.25">
      <c r="A10" s="20" t="s">
        <v>107</v>
      </c>
      <c r="B10" s="24"/>
      <c r="C10" s="149"/>
      <c r="D10" s="17">
        <f t="shared" si="1"/>
        <v>0</v>
      </c>
      <c r="E10" s="18">
        <f t="shared" si="0"/>
        <v>0</v>
      </c>
      <c r="F10" s="49"/>
      <c r="G10" s="19"/>
      <c r="H10" s="49"/>
      <c r="I10" s="19"/>
      <c r="J10" s="154"/>
      <c r="K10" s="19"/>
      <c r="L10" s="49"/>
      <c r="M10" s="19"/>
      <c r="N10" s="19"/>
      <c r="O10" s="49"/>
      <c r="P10" s="19"/>
      <c r="Q10" s="149"/>
      <c r="R10" s="18"/>
      <c r="S10" s="19">
        <f t="shared" si="2"/>
        <v>0</v>
      </c>
    </row>
    <row r="11" spans="1:19" ht="15.75" x14ac:dyDescent="0.25">
      <c r="A11" s="20" t="s">
        <v>106</v>
      </c>
      <c r="B11" s="24"/>
      <c r="C11" s="149"/>
      <c r="D11" s="17">
        <f t="shared" si="1"/>
        <v>12780.37</v>
      </c>
      <c r="E11" s="18">
        <f t="shared" si="0"/>
        <v>-12780.37</v>
      </c>
      <c r="F11" s="49"/>
      <c r="G11" s="19"/>
      <c r="H11" s="49"/>
      <c r="I11" s="19"/>
      <c r="J11" s="154"/>
      <c r="K11" s="19">
        <f>12780.37</f>
        <v>12780.37</v>
      </c>
      <c r="L11" s="49"/>
      <c r="M11" s="19"/>
      <c r="N11" s="19"/>
      <c r="O11" s="49"/>
      <c r="P11" s="19"/>
      <c r="Q11" s="149"/>
      <c r="R11" s="18"/>
      <c r="S11" s="19">
        <f t="shared" si="2"/>
        <v>12780.37</v>
      </c>
    </row>
    <row r="12" spans="1:19" ht="15.75" x14ac:dyDescent="0.25">
      <c r="A12" s="20" t="s">
        <v>174</v>
      </c>
      <c r="B12" s="24"/>
      <c r="C12" s="149"/>
      <c r="D12" s="17"/>
      <c r="E12" s="18"/>
      <c r="F12" s="49"/>
      <c r="G12" s="19"/>
      <c r="H12" s="49"/>
      <c r="I12" s="19"/>
      <c r="J12" s="154"/>
      <c r="K12" s="19">
        <v>91875</v>
      </c>
      <c r="L12" s="49"/>
      <c r="M12" s="19"/>
      <c r="N12" s="19"/>
      <c r="O12" s="49"/>
      <c r="P12" s="19"/>
      <c r="Q12" s="149"/>
      <c r="R12" s="18"/>
      <c r="S12" s="19">
        <f t="shared" si="2"/>
        <v>91875</v>
      </c>
    </row>
    <row r="13" spans="1:19" ht="15.75" x14ac:dyDescent="0.25">
      <c r="A13" s="20" t="s">
        <v>128</v>
      </c>
      <c r="B13" s="24"/>
      <c r="C13" s="149">
        <v>1000000</v>
      </c>
      <c r="D13" s="17">
        <f t="shared" si="1"/>
        <v>0</v>
      </c>
      <c r="E13" s="18">
        <f t="shared" si="0"/>
        <v>1000000</v>
      </c>
      <c r="F13" s="49"/>
      <c r="G13" s="19"/>
      <c r="H13" s="49"/>
      <c r="I13" s="19"/>
      <c r="J13" s="154"/>
      <c r="K13" s="19"/>
      <c r="L13" s="49"/>
      <c r="M13" s="19"/>
      <c r="N13" s="19"/>
      <c r="O13" s="49"/>
      <c r="P13" s="19"/>
      <c r="Q13" s="149"/>
      <c r="R13" s="18"/>
      <c r="S13" s="19">
        <f t="shared" si="2"/>
        <v>0</v>
      </c>
    </row>
    <row r="14" spans="1:19" ht="15.75" x14ac:dyDescent="0.25">
      <c r="A14" s="20" t="s">
        <v>141</v>
      </c>
      <c r="B14" s="24"/>
      <c r="C14" s="149">
        <v>2500000</v>
      </c>
      <c r="D14" s="17">
        <f t="shared" si="1"/>
        <v>1063483.48</v>
      </c>
      <c r="E14" s="18">
        <f t="shared" si="0"/>
        <v>1436516.52</v>
      </c>
      <c r="F14" s="49"/>
      <c r="G14" s="19"/>
      <c r="H14" s="49">
        <f>603186.64 +301593.32</f>
        <v>904779.96</v>
      </c>
      <c r="I14" s="19"/>
      <c r="J14" s="154"/>
      <c r="K14" s="19"/>
      <c r="L14" s="49"/>
      <c r="M14" s="19">
        <f>158703.52</f>
        <v>158703.51999999999</v>
      </c>
      <c r="N14" s="19"/>
      <c r="O14" s="49"/>
      <c r="P14" s="19"/>
      <c r="Q14" s="149"/>
      <c r="R14" s="18"/>
      <c r="S14" s="19">
        <f t="shared" si="2"/>
        <v>1063483.48</v>
      </c>
    </row>
    <row r="15" spans="1:19" ht="15.75" x14ac:dyDescent="0.25">
      <c r="A15" s="20" t="s">
        <v>21</v>
      </c>
      <c r="B15" s="15"/>
      <c r="C15" s="149">
        <v>50000</v>
      </c>
      <c r="D15" s="17">
        <f t="shared" si="1"/>
        <v>183071</v>
      </c>
      <c r="E15" s="90">
        <f t="shared" si="0"/>
        <v>-133071</v>
      </c>
      <c r="F15" s="49"/>
      <c r="G15" s="19"/>
      <c r="H15" s="49">
        <f>14000+54864+1167</f>
        <v>70031</v>
      </c>
      <c r="I15" s="19"/>
      <c r="J15" s="154">
        <f>33000</f>
        <v>33000</v>
      </c>
      <c r="K15" s="19"/>
      <c r="L15" s="49"/>
      <c r="M15" s="19">
        <f>26200+19250+24500</f>
        <v>69950</v>
      </c>
      <c r="N15" s="19">
        <f>7000</f>
        <v>7000</v>
      </c>
      <c r="O15" s="49">
        <v>3090</v>
      </c>
      <c r="P15" s="19"/>
      <c r="Q15" s="149"/>
      <c r="R15" s="18"/>
      <c r="S15" s="19">
        <f t="shared" si="2"/>
        <v>183071</v>
      </c>
    </row>
    <row r="16" spans="1:19" ht="15.75" x14ac:dyDescent="0.25">
      <c r="A16" s="20" t="s">
        <v>804</v>
      </c>
      <c r="B16" s="15"/>
      <c r="C16" s="149">
        <v>6000000</v>
      </c>
      <c r="D16" s="17">
        <f t="shared" si="1"/>
        <v>105297.69</v>
      </c>
      <c r="E16" s="18">
        <f t="shared" si="0"/>
        <v>5894702.3099999996</v>
      </c>
      <c r="F16" s="49">
        <f>4940.6+5469.94</f>
        <v>10410.540000000001</v>
      </c>
      <c r="G16" s="19">
        <f>5009+4519.65</f>
        <v>9528.65</v>
      </c>
      <c r="H16" s="49">
        <f>5000.6+5021.8</f>
        <v>10022.400000000001</v>
      </c>
      <c r="I16" s="19">
        <f>4008.25+4769.05</f>
        <v>8777.2999999999993</v>
      </c>
      <c r="J16" s="154">
        <f>4527+5521.45</f>
        <v>10048.450000000001</v>
      </c>
      <c r="K16" s="19">
        <f>5030+4024</f>
        <v>9054</v>
      </c>
      <c r="L16" s="49">
        <f>6036+5518.3</f>
        <v>11554.3</v>
      </c>
      <c r="M16" s="19">
        <f>3521+5525.65</f>
        <v>9046.65</v>
      </c>
      <c r="N16" s="19">
        <f>5533</f>
        <v>5533</v>
      </c>
      <c r="O16" s="49">
        <f>21322.4</f>
        <v>21322.400000000001</v>
      </c>
      <c r="P16" s="19"/>
      <c r="Q16" s="149"/>
      <c r="R16" s="18"/>
      <c r="S16" s="19">
        <f t="shared" si="2"/>
        <v>105297.69</v>
      </c>
    </row>
    <row r="17" spans="1:19" ht="15.75" x14ac:dyDescent="0.25">
      <c r="A17" s="20" t="s">
        <v>144</v>
      </c>
      <c r="B17" s="15"/>
      <c r="C17" s="149">
        <v>8500000</v>
      </c>
      <c r="D17" s="17">
        <f t="shared" si="1"/>
        <v>0</v>
      </c>
      <c r="E17" s="18">
        <f t="shared" si="0"/>
        <v>8500000</v>
      </c>
      <c r="F17" s="49"/>
      <c r="G17" s="19"/>
      <c r="H17" s="49"/>
      <c r="I17" s="19"/>
      <c r="J17" s="154"/>
      <c r="K17" s="19"/>
      <c r="L17" s="49"/>
      <c r="M17" s="19"/>
      <c r="N17" s="19"/>
      <c r="O17" s="49"/>
      <c r="P17" s="19"/>
      <c r="Q17" s="149"/>
      <c r="R17" s="18"/>
      <c r="S17" s="19">
        <f t="shared" si="2"/>
        <v>0</v>
      </c>
    </row>
    <row r="18" spans="1:19" ht="15.75" x14ac:dyDescent="0.25">
      <c r="A18" s="20" t="s">
        <v>145</v>
      </c>
      <c r="B18" s="15"/>
      <c r="C18" s="149">
        <v>60000000</v>
      </c>
      <c r="D18" s="17">
        <f t="shared" si="1"/>
        <v>0</v>
      </c>
      <c r="E18" s="18">
        <f t="shared" si="0"/>
        <v>60000000</v>
      </c>
      <c r="F18" s="49"/>
      <c r="G18" s="19"/>
      <c r="H18" s="49"/>
      <c r="I18" s="19"/>
      <c r="J18" s="154"/>
      <c r="K18" s="19"/>
      <c r="L18" s="49"/>
      <c r="M18" s="19"/>
      <c r="N18" s="19"/>
      <c r="O18" s="49"/>
      <c r="P18" s="19"/>
      <c r="Q18" s="149"/>
      <c r="R18" s="18"/>
      <c r="S18" s="19">
        <f t="shared" si="2"/>
        <v>0</v>
      </c>
    </row>
    <row r="19" spans="1:19" ht="15.75" x14ac:dyDescent="0.25">
      <c r="A19" s="20" t="s">
        <v>36</v>
      </c>
      <c r="B19" s="15"/>
      <c r="C19" s="149">
        <v>25500000</v>
      </c>
      <c r="D19" s="17">
        <f t="shared" si="1"/>
        <v>0</v>
      </c>
      <c r="E19" s="18">
        <f t="shared" si="0"/>
        <v>25500000</v>
      </c>
      <c r="F19" s="49"/>
      <c r="G19" s="19"/>
      <c r="H19" s="49"/>
      <c r="I19" s="19"/>
      <c r="J19" s="154"/>
      <c r="K19" s="19"/>
      <c r="L19" s="49"/>
      <c r="M19" s="19"/>
      <c r="N19" s="19"/>
      <c r="O19" s="49"/>
      <c r="P19" s="19"/>
      <c r="Q19" s="149"/>
      <c r="R19" s="18"/>
      <c r="S19" s="19">
        <f t="shared" si="2"/>
        <v>0</v>
      </c>
    </row>
    <row r="20" spans="1:19" ht="15.75" x14ac:dyDescent="0.25">
      <c r="A20" s="20" t="s">
        <v>131</v>
      </c>
      <c r="B20" s="15"/>
      <c r="C20" s="149">
        <v>100000</v>
      </c>
      <c r="D20" s="17">
        <f t="shared" si="1"/>
        <v>0</v>
      </c>
      <c r="E20" s="18">
        <f t="shared" si="0"/>
        <v>100000</v>
      </c>
      <c r="F20" s="49"/>
      <c r="G20" s="19"/>
      <c r="H20" s="49"/>
      <c r="I20" s="19"/>
      <c r="J20" s="154"/>
      <c r="K20" s="19"/>
      <c r="L20" s="49"/>
      <c r="M20" s="19"/>
      <c r="N20" s="19"/>
      <c r="O20" s="49"/>
      <c r="P20" s="19"/>
      <c r="Q20" s="149"/>
      <c r="R20" s="18"/>
      <c r="S20" s="19">
        <f t="shared" si="2"/>
        <v>0</v>
      </c>
    </row>
    <row r="21" spans="1:19" ht="15.75" x14ac:dyDescent="0.25">
      <c r="A21" s="20" t="s">
        <v>146</v>
      </c>
      <c r="B21" s="15"/>
      <c r="C21" s="149">
        <v>80000</v>
      </c>
      <c r="D21" s="17">
        <f t="shared" si="1"/>
        <v>0</v>
      </c>
      <c r="E21" s="18">
        <f t="shared" si="0"/>
        <v>80000</v>
      </c>
      <c r="F21" s="49"/>
      <c r="G21" s="19"/>
      <c r="H21" s="49"/>
      <c r="I21" s="19"/>
      <c r="J21" s="154"/>
      <c r="K21" s="19"/>
      <c r="L21" s="49"/>
      <c r="M21" s="19"/>
      <c r="N21" s="19"/>
      <c r="O21" s="49"/>
      <c r="P21" s="19"/>
      <c r="Q21" s="149"/>
      <c r="R21" s="18"/>
      <c r="S21" s="19">
        <f t="shared" si="2"/>
        <v>0</v>
      </c>
    </row>
    <row r="22" spans="1:19" ht="15.75" x14ac:dyDescent="0.25">
      <c r="A22" s="20" t="s">
        <v>147</v>
      </c>
      <c r="B22" s="15"/>
      <c r="C22" s="149">
        <v>30000</v>
      </c>
      <c r="D22" s="89">
        <f t="shared" si="1"/>
        <v>0</v>
      </c>
      <c r="E22" s="18">
        <f t="shared" si="0"/>
        <v>30000</v>
      </c>
      <c r="F22" s="49"/>
      <c r="G22" s="19"/>
      <c r="H22" s="49"/>
      <c r="I22" s="19"/>
      <c r="J22" s="154"/>
      <c r="K22" s="19"/>
      <c r="L22" s="49"/>
      <c r="M22" s="19"/>
      <c r="N22" s="19"/>
      <c r="O22" s="49"/>
      <c r="P22" s="19"/>
      <c r="Q22" s="149"/>
      <c r="R22" s="18"/>
      <c r="S22" s="19">
        <f t="shared" si="2"/>
        <v>0</v>
      </c>
    </row>
    <row r="23" spans="1:19" ht="16.5" thickBot="1" x14ac:dyDescent="0.3">
      <c r="A23" s="25"/>
      <c r="B23" s="76">
        <f>SUM(B3:B15)</f>
        <v>0</v>
      </c>
      <c r="C23" s="27">
        <f>SUM(C3:C22)</f>
        <v>117868900</v>
      </c>
      <c r="D23" s="70">
        <f>SUM(D3:D22)</f>
        <v>1523557.54</v>
      </c>
      <c r="E23" s="76">
        <f>SUM(E3:E22)</f>
        <v>116345342.46000001</v>
      </c>
      <c r="F23" s="27">
        <f>SUM(F3:F15)</f>
        <v>3550</v>
      </c>
      <c r="G23" s="70">
        <f>SUM(G3:G15)</f>
        <v>64850</v>
      </c>
      <c r="H23" s="76">
        <f>SUM(H3:H15)</f>
        <v>1023992.96</v>
      </c>
      <c r="I23" s="70">
        <f>SUM(I3:I15)</f>
        <v>8000</v>
      </c>
      <c r="J23" s="76">
        <f>SUM(J3:J15)</f>
        <v>57094</v>
      </c>
      <c r="K23" s="70">
        <f>SUM(K4:K11)</f>
        <v>13930.37</v>
      </c>
      <c r="L23" s="76">
        <f t="shared" ref="L23:Q23" si="3">SUM(L3:L15)</f>
        <v>17676</v>
      </c>
      <c r="M23" s="70">
        <f t="shared" si="3"/>
        <v>228653.52</v>
      </c>
      <c r="N23" s="70">
        <f t="shared" si="3"/>
        <v>16995</v>
      </c>
      <c r="O23" s="76">
        <f t="shared" si="3"/>
        <v>32240</v>
      </c>
      <c r="P23" s="70">
        <f t="shared" si="3"/>
        <v>0</v>
      </c>
      <c r="Q23" s="76">
        <f t="shared" si="3"/>
        <v>0</v>
      </c>
      <c r="R23" s="84" t="s">
        <v>25</v>
      </c>
      <c r="S23" s="83">
        <f>SUM(S3:S22)</f>
        <v>1710905.54</v>
      </c>
    </row>
    <row r="25" spans="1:19" ht="38.25" thickBot="1" x14ac:dyDescent="0.3">
      <c r="A25" s="30"/>
    </row>
    <row r="26" spans="1:19" ht="16.5" thickBot="1" x14ac:dyDescent="0.3">
      <c r="A26" s="167" t="s">
        <v>175</v>
      </c>
      <c r="B26" s="313" t="s">
        <v>188</v>
      </c>
      <c r="C26" s="314"/>
      <c r="D26" s="314"/>
      <c r="E26" s="315"/>
      <c r="F26" s="313" t="s">
        <v>114</v>
      </c>
      <c r="G26" s="315"/>
      <c r="H26" s="325" t="s">
        <v>113</v>
      </c>
      <c r="I26" s="326"/>
      <c r="J26" s="112"/>
      <c r="K26" s="112"/>
      <c r="L26" s="112"/>
      <c r="M26" s="112"/>
    </row>
    <row r="27" spans="1:19" ht="15" customHeight="1" x14ac:dyDescent="0.25">
      <c r="A27" s="168" t="s">
        <v>183</v>
      </c>
      <c r="B27" s="316" t="s">
        <v>184</v>
      </c>
      <c r="C27" s="317"/>
      <c r="D27" s="317"/>
      <c r="E27" s="318"/>
      <c r="F27" s="309" t="s">
        <v>178</v>
      </c>
      <c r="G27" s="320"/>
      <c r="H27" s="327">
        <v>30000</v>
      </c>
      <c r="I27" s="328"/>
      <c r="J27" s="128"/>
      <c r="K27" s="128"/>
      <c r="L27" s="118"/>
      <c r="M27" s="118"/>
    </row>
    <row r="28" spans="1:19" ht="15" customHeight="1" x14ac:dyDescent="0.25">
      <c r="A28" s="166" t="s">
        <v>180</v>
      </c>
      <c r="B28" s="263" t="s">
        <v>181</v>
      </c>
      <c r="C28" s="319"/>
      <c r="D28" s="319"/>
      <c r="E28" s="294"/>
      <c r="F28" s="263" t="s">
        <v>182</v>
      </c>
      <c r="G28" s="294"/>
      <c r="H28" s="331">
        <v>17500</v>
      </c>
      <c r="I28" s="332"/>
      <c r="J28" s="164"/>
      <c r="K28" s="129"/>
      <c r="L28" s="118"/>
      <c r="M28" s="118"/>
      <c r="N28" s="118"/>
    </row>
    <row r="29" spans="1:19" ht="29.25" customHeight="1" x14ac:dyDescent="0.25">
      <c r="A29" s="156" t="s">
        <v>19</v>
      </c>
      <c r="B29" s="322" t="s">
        <v>208</v>
      </c>
      <c r="C29" s="323"/>
      <c r="D29" s="323"/>
      <c r="E29" s="324"/>
      <c r="F29" s="276" t="s">
        <v>227</v>
      </c>
      <c r="G29" s="321"/>
      <c r="H29" s="329">
        <v>4000</v>
      </c>
      <c r="I29" s="330"/>
      <c r="J29" s="129"/>
      <c r="K29" s="129"/>
      <c r="L29" s="118"/>
      <c r="M29" s="118"/>
      <c r="N29" s="118"/>
    </row>
    <row r="30" spans="1:19" ht="30" customHeight="1" x14ac:dyDescent="0.25">
      <c r="A30" s="156" t="s">
        <v>180</v>
      </c>
      <c r="B30" s="322" t="s">
        <v>225</v>
      </c>
      <c r="C30" s="323"/>
      <c r="D30" s="323"/>
      <c r="E30" s="324"/>
      <c r="F30" s="276" t="s">
        <v>226</v>
      </c>
      <c r="G30" s="321"/>
      <c r="H30" s="329">
        <v>33000</v>
      </c>
      <c r="I30" s="330"/>
    </row>
    <row r="31" spans="1:19" ht="30" customHeight="1" x14ac:dyDescent="0.25">
      <c r="A31" s="156" t="s">
        <v>19</v>
      </c>
      <c r="B31" s="281" t="s">
        <v>235</v>
      </c>
      <c r="C31" s="323"/>
      <c r="D31" s="323"/>
      <c r="E31" s="324"/>
      <c r="F31" s="276" t="s">
        <v>236</v>
      </c>
      <c r="G31" s="321"/>
      <c r="H31" s="333">
        <v>1632</v>
      </c>
      <c r="I31" s="334"/>
    </row>
    <row r="32" spans="1:19" ht="30" customHeight="1" x14ac:dyDescent="0.25">
      <c r="A32" s="162" t="s">
        <v>19</v>
      </c>
      <c r="B32" s="284" t="s">
        <v>237</v>
      </c>
      <c r="C32" s="321"/>
      <c r="D32" s="321"/>
      <c r="E32" s="285"/>
      <c r="F32" s="276" t="s">
        <v>236</v>
      </c>
      <c r="G32" s="321"/>
      <c r="H32" s="342">
        <v>17462</v>
      </c>
      <c r="I32" s="343"/>
    </row>
    <row r="33" spans="1:11" ht="30" customHeight="1" x14ac:dyDescent="0.25">
      <c r="A33" s="156" t="s">
        <v>19</v>
      </c>
      <c r="B33" s="322" t="s">
        <v>237</v>
      </c>
      <c r="C33" s="323"/>
      <c r="D33" s="323"/>
      <c r="E33" s="324"/>
      <c r="F33" s="276" t="s">
        <v>577</v>
      </c>
      <c r="G33" s="321"/>
      <c r="H33" s="333">
        <v>18655</v>
      </c>
      <c r="I33" s="334"/>
    </row>
    <row r="34" spans="1:11" ht="30" customHeight="1" x14ac:dyDescent="0.25">
      <c r="A34" s="156" t="s">
        <v>19</v>
      </c>
      <c r="B34" s="266" t="s">
        <v>237</v>
      </c>
      <c r="C34" s="267"/>
      <c r="D34" s="267"/>
      <c r="E34" s="268"/>
      <c r="F34" s="276" t="s">
        <v>581</v>
      </c>
      <c r="G34" s="321"/>
      <c r="H34" s="261">
        <v>28096</v>
      </c>
      <c r="I34" s="262"/>
    </row>
    <row r="35" spans="1:11" ht="30" customHeight="1" x14ac:dyDescent="0.25">
      <c r="A35" s="156" t="s">
        <v>641</v>
      </c>
      <c r="B35" s="266" t="s">
        <v>642</v>
      </c>
      <c r="C35" s="267"/>
      <c r="D35" s="267"/>
      <c r="E35" s="268"/>
      <c r="F35" s="288" t="s">
        <v>643</v>
      </c>
      <c r="G35" s="268"/>
      <c r="H35" s="261">
        <v>91875</v>
      </c>
      <c r="I35" s="262"/>
    </row>
    <row r="36" spans="1:11" ht="30.75" customHeight="1" x14ac:dyDescent="0.25">
      <c r="A36" s="156" t="s">
        <v>180</v>
      </c>
      <c r="B36" s="288" t="s">
        <v>727</v>
      </c>
      <c r="C36" s="289"/>
      <c r="D36" s="289"/>
      <c r="E36" s="290"/>
      <c r="F36" s="288" t="s">
        <v>728</v>
      </c>
      <c r="G36" s="268"/>
      <c r="H36" s="344">
        <v>7000</v>
      </c>
      <c r="I36" s="345"/>
    </row>
    <row r="37" spans="1:11" ht="30" customHeight="1" x14ac:dyDescent="0.25">
      <c r="A37" s="156" t="s">
        <v>563</v>
      </c>
      <c r="B37" s="266" t="s">
        <v>741</v>
      </c>
      <c r="C37" s="267"/>
      <c r="D37" s="267"/>
      <c r="E37" s="268"/>
      <c r="F37" s="288" t="s">
        <v>742</v>
      </c>
      <c r="G37" s="268"/>
      <c r="H37" s="344">
        <v>19250</v>
      </c>
      <c r="I37" s="345"/>
    </row>
    <row r="38" spans="1:11" ht="30.75" customHeight="1" x14ac:dyDescent="0.25">
      <c r="A38" s="156" t="s">
        <v>563</v>
      </c>
      <c r="B38" s="266" t="s">
        <v>741</v>
      </c>
      <c r="C38" s="267"/>
      <c r="D38" s="267"/>
      <c r="E38" s="268"/>
      <c r="F38" s="288" t="s">
        <v>743</v>
      </c>
      <c r="G38" s="268"/>
      <c r="H38" s="344">
        <v>24500</v>
      </c>
      <c r="I38" s="345"/>
    </row>
    <row r="39" spans="1:11" ht="29.25" customHeight="1" x14ac:dyDescent="0.25">
      <c r="A39" s="156" t="s">
        <v>180</v>
      </c>
      <c r="B39" s="288" t="s">
        <v>744</v>
      </c>
      <c r="C39" s="289"/>
      <c r="D39" s="289"/>
      <c r="E39" s="290"/>
      <c r="F39" s="288" t="s">
        <v>745</v>
      </c>
      <c r="G39" s="268"/>
      <c r="H39" s="261">
        <v>49000</v>
      </c>
      <c r="I39" s="262"/>
    </row>
    <row r="40" spans="1:11" ht="30" customHeight="1" x14ac:dyDescent="0.25">
      <c r="A40" s="156" t="s">
        <v>747</v>
      </c>
      <c r="B40" s="362" t="s">
        <v>748</v>
      </c>
      <c r="C40" s="363"/>
      <c r="D40" s="363"/>
      <c r="E40" s="364"/>
      <c r="F40" s="288" t="s">
        <v>749</v>
      </c>
      <c r="G40" s="268"/>
      <c r="H40" s="261">
        <v>26200</v>
      </c>
      <c r="I40" s="262"/>
    </row>
    <row r="41" spans="1:11" s="246" customFormat="1" ht="30" customHeight="1" x14ac:dyDescent="0.25">
      <c r="A41" s="162" t="s">
        <v>636</v>
      </c>
      <c r="B41" s="263" t="s">
        <v>1005</v>
      </c>
      <c r="C41" s="264"/>
      <c r="D41" s="264"/>
      <c r="E41" s="265"/>
      <c r="F41" s="362" t="s">
        <v>760</v>
      </c>
      <c r="G41" s="348"/>
      <c r="H41" s="358">
        <v>9995</v>
      </c>
      <c r="I41" s="312"/>
    </row>
    <row r="42" spans="1:11" ht="30" customHeight="1" x14ac:dyDescent="0.25">
      <c r="A42" s="156" t="s">
        <v>1053</v>
      </c>
      <c r="B42" s="346" t="s">
        <v>1054</v>
      </c>
      <c r="C42" s="347"/>
      <c r="D42" s="347"/>
      <c r="E42" s="348"/>
      <c r="F42" s="288" t="s">
        <v>1055</v>
      </c>
      <c r="G42" s="268"/>
      <c r="H42" s="261">
        <v>29150</v>
      </c>
      <c r="I42" s="262"/>
    </row>
    <row r="43" spans="1:11" x14ac:dyDescent="0.25">
      <c r="A43" s="156"/>
      <c r="B43" s="359"/>
      <c r="C43" s="360"/>
      <c r="D43" s="360"/>
      <c r="E43" s="361"/>
      <c r="F43" s="353"/>
      <c r="G43" s="354"/>
      <c r="H43" s="261"/>
      <c r="I43" s="262"/>
    </row>
    <row r="44" spans="1:11" x14ac:dyDescent="0.25">
      <c r="A44" s="156"/>
      <c r="B44" s="346"/>
      <c r="C44" s="347"/>
      <c r="D44" s="347"/>
      <c r="E44" s="348"/>
      <c r="F44" s="266"/>
      <c r="G44" s="268"/>
      <c r="H44" s="344"/>
      <c r="I44" s="345"/>
    </row>
    <row r="45" spans="1:11" x14ac:dyDescent="0.25">
      <c r="A45" s="156"/>
      <c r="B45" s="346"/>
      <c r="C45" s="347"/>
      <c r="D45" s="347"/>
      <c r="E45" s="348"/>
      <c r="F45" s="266"/>
      <c r="G45" s="268"/>
      <c r="H45" s="344"/>
      <c r="I45" s="345"/>
    </row>
    <row r="46" spans="1:11" ht="15.75" thickBot="1" x14ac:dyDescent="0.3">
      <c r="A46" s="120"/>
      <c r="B46" s="335"/>
      <c r="C46" s="336"/>
      <c r="D46" s="336"/>
      <c r="E46" s="337"/>
      <c r="F46" s="338"/>
      <c r="G46" s="339"/>
      <c r="H46" s="340"/>
      <c r="I46" s="341"/>
    </row>
    <row r="47" spans="1:11" ht="15.75" thickBot="1" x14ac:dyDescent="0.3">
      <c r="A47" s="85"/>
      <c r="B47" s="269"/>
      <c r="C47" s="270"/>
      <c r="D47" s="270"/>
      <c r="E47" s="271"/>
      <c r="F47" s="272" t="s">
        <v>116</v>
      </c>
      <c r="G47" s="273"/>
      <c r="H47" s="274">
        <f>SUM(H27:I46)</f>
        <v>407315</v>
      </c>
      <c r="I47" s="275"/>
      <c r="J47" s="130"/>
      <c r="K47" s="130"/>
    </row>
    <row r="49" spans="1:13" ht="15.75" thickBot="1" x14ac:dyDescent="0.3"/>
    <row r="50" spans="1:13" ht="16.5" thickBot="1" x14ac:dyDescent="0.3">
      <c r="A50" s="167" t="s">
        <v>112</v>
      </c>
      <c r="B50" s="313" t="s">
        <v>315</v>
      </c>
      <c r="C50" s="314"/>
      <c r="D50" s="314"/>
      <c r="E50" s="315"/>
      <c r="F50" s="313" t="s">
        <v>114</v>
      </c>
      <c r="G50" s="315"/>
      <c r="H50" s="325" t="s">
        <v>113</v>
      </c>
      <c r="I50" s="326"/>
    </row>
    <row r="51" spans="1:13" x14ac:dyDescent="0.25">
      <c r="A51" s="168" t="s">
        <v>323</v>
      </c>
      <c r="B51" s="316" t="s">
        <v>316</v>
      </c>
      <c r="C51" s="317"/>
      <c r="D51" s="317"/>
      <c r="E51" s="318"/>
      <c r="F51" s="309" t="s">
        <v>317</v>
      </c>
      <c r="G51" s="320"/>
      <c r="H51" s="327">
        <v>2550</v>
      </c>
      <c r="I51" s="328"/>
    </row>
    <row r="52" spans="1:13" ht="45" customHeight="1" x14ac:dyDescent="0.25">
      <c r="A52" s="163" t="s">
        <v>323</v>
      </c>
      <c r="B52" s="350" t="s">
        <v>324</v>
      </c>
      <c r="C52" s="351"/>
      <c r="D52" s="351"/>
      <c r="E52" s="352"/>
      <c r="F52" s="263" t="s">
        <v>325</v>
      </c>
      <c r="G52" s="294"/>
      <c r="H52" s="331">
        <v>850</v>
      </c>
      <c r="I52" s="332"/>
      <c r="M52" t="s">
        <v>20</v>
      </c>
    </row>
    <row r="53" spans="1:13" ht="30" customHeight="1" x14ac:dyDescent="0.25">
      <c r="A53" s="156" t="s">
        <v>349</v>
      </c>
      <c r="B53" s="281" t="s">
        <v>350</v>
      </c>
      <c r="C53" s="282"/>
      <c r="D53" s="282"/>
      <c r="E53" s="283"/>
      <c r="F53" s="276" t="s">
        <v>330</v>
      </c>
      <c r="G53" s="321"/>
      <c r="H53" s="329">
        <v>1150</v>
      </c>
      <c r="I53" s="330"/>
    </row>
    <row r="54" spans="1:13" ht="30" customHeight="1" x14ac:dyDescent="0.25">
      <c r="A54" s="156" t="s">
        <v>349</v>
      </c>
      <c r="B54" s="304" t="s">
        <v>393</v>
      </c>
      <c r="C54" s="305"/>
      <c r="D54" s="305"/>
      <c r="E54" s="306"/>
      <c r="F54" s="276" t="s">
        <v>394</v>
      </c>
      <c r="G54" s="321"/>
      <c r="H54" s="329">
        <v>2100</v>
      </c>
      <c r="I54" s="330"/>
    </row>
    <row r="55" spans="1:13" x14ac:dyDescent="0.25">
      <c r="A55" s="156" t="s">
        <v>349</v>
      </c>
      <c r="B55" s="281" t="s">
        <v>549</v>
      </c>
      <c r="C55" s="323"/>
      <c r="D55" s="323"/>
      <c r="E55" s="324"/>
      <c r="F55" s="276" t="s">
        <v>509</v>
      </c>
      <c r="G55" s="321"/>
      <c r="H55" s="333">
        <v>1000</v>
      </c>
      <c r="I55" s="334"/>
    </row>
    <row r="56" spans="1:13" ht="30" customHeight="1" x14ac:dyDescent="0.25">
      <c r="A56" s="162" t="s">
        <v>349</v>
      </c>
      <c r="B56" s="276" t="s">
        <v>626</v>
      </c>
      <c r="C56" s="277"/>
      <c r="D56" s="277"/>
      <c r="E56" s="278"/>
      <c r="F56" s="276" t="s">
        <v>627</v>
      </c>
      <c r="G56" s="321"/>
      <c r="H56" s="342">
        <v>1150</v>
      </c>
      <c r="I56" s="343"/>
    </row>
    <row r="57" spans="1:13" ht="45" customHeight="1" x14ac:dyDescent="0.25">
      <c r="A57" s="162" t="s">
        <v>349</v>
      </c>
      <c r="B57" s="263" t="s">
        <v>684</v>
      </c>
      <c r="C57" s="319"/>
      <c r="D57" s="319"/>
      <c r="E57" s="294"/>
      <c r="F57" s="263" t="s">
        <v>685</v>
      </c>
      <c r="G57" s="294"/>
      <c r="H57" s="331">
        <v>5126</v>
      </c>
      <c r="I57" s="332"/>
    </row>
    <row r="58" spans="1:13" ht="45" customHeight="1" x14ac:dyDescent="0.25">
      <c r="A58" s="162" t="s">
        <v>349</v>
      </c>
      <c r="B58" s="263" t="s">
        <v>692</v>
      </c>
      <c r="C58" s="319"/>
      <c r="D58" s="319"/>
      <c r="E58" s="294"/>
      <c r="F58" s="263" t="s">
        <v>691</v>
      </c>
      <c r="G58" s="294"/>
      <c r="H58" s="331">
        <v>12550</v>
      </c>
      <c r="I58" s="332"/>
    </row>
    <row r="59" spans="1:13" x14ac:dyDescent="0.25">
      <c r="A59" s="162"/>
      <c r="B59" s="349"/>
      <c r="C59" s="264"/>
      <c r="D59" s="264"/>
      <c r="E59" s="265"/>
      <c r="F59" s="263"/>
      <c r="G59" s="294"/>
      <c r="H59" s="331"/>
      <c r="I59" s="332"/>
    </row>
    <row r="60" spans="1:13" x14ac:dyDescent="0.25">
      <c r="A60" s="162"/>
      <c r="B60" s="207"/>
      <c r="C60" s="186"/>
      <c r="D60" s="186"/>
      <c r="E60" s="223"/>
      <c r="F60" s="221"/>
      <c r="G60" s="230"/>
      <c r="H60" s="231"/>
      <c r="I60" s="232"/>
    </row>
    <row r="61" spans="1:13" x14ac:dyDescent="0.25">
      <c r="A61" s="162"/>
      <c r="B61" s="207"/>
      <c r="C61" s="186"/>
      <c r="D61" s="186"/>
      <c r="E61" s="223"/>
      <c r="F61" s="221"/>
      <c r="G61" s="230"/>
      <c r="H61" s="231"/>
      <c r="I61" s="232"/>
    </row>
    <row r="62" spans="1:13" x14ac:dyDescent="0.25">
      <c r="A62" s="162"/>
      <c r="B62" s="207"/>
      <c r="C62" s="186"/>
      <c r="D62" s="186"/>
      <c r="E62" s="223"/>
      <c r="F62" s="221"/>
      <c r="G62" s="230"/>
      <c r="H62" s="231"/>
      <c r="I62" s="232"/>
    </row>
    <row r="63" spans="1:13" x14ac:dyDescent="0.25">
      <c r="A63" s="162"/>
      <c r="B63" s="207"/>
      <c r="C63" s="186"/>
      <c r="D63" s="186"/>
      <c r="E63" s="223"/>
      <c r="F63" s="221"/>
      <c r="G63" s="230"/>
      <c r="H63" s="231"/>
      <c r="I63" s="232"/>
    </row>
    <row r="64" spans="1:13" x14ac:dyDescent="0.25">
      <c r="A64" s="162"/>
      <c r="B64" s="207"/>
      <c r="C64" s="186"/>
      <c r="D64" s="186"/>
      <c r="E64" s="223"/>
      <c r="F64" s="221"/>
      <c r="G64" s="230"/>
      <c r="H64" s="231"/>
      <c r="I64" s="232"/>
    </row>
    <row r="65" spans="1:9" x14ac:dyDescent="0.25">
      <c r="A65" s="162"/>
      <c r="B65" s="207"/>
      <c r="C65" s="186"/>
      <c r="D65" s="186"/>
      <c r="E65" s="223"/>
      <c r="F65" s="221"/>
      <c r="G65" s="230"/>
      <c r="H65" s="231"/>
      <c r="I65" s="232"/>
    </row>
    <row r="66" spans="1:9" x14ac:dyDescent="0.25">
      <c r="A66" s="156"/>
      <c r="B66" s="266"/>
      <c r="C66" s="267"/>
      <c r="D66" s="267"/>
      <c r="E66" s="268"/>
      <c r="F66" s="266"/>
      <c r="G66" s="267"/>
      <c r="H66" s="333"/>
      <c r="I66" s="334"/>
    </row>
    <row r="67" spans="1:9" x14ac:dyDescent="0.25">
      <c r="A67" s="156"/>
      <c r="B67" s="266"/>
      <c r="C67" s="267"/>
      <c r="D67" s="267"/>
      <c r="E67" s="268"/>
      <c r="F67" s="266"/>
      <c r="G67" s="267"/>
      <c r="H67" s="353"/>
      <c r="I67" s="354"/>
    </row>
    <row r="68" spans="1:9" ht="15.75" thickBot="1" x14ac:dyDescent="0.3">
      <c r="A68" s="120"/>
      <c r="B68" s="338"/>
      <c r="C68" s="339"/>
      <c r="D68" s="339"/>
      <c r="E68" s="355"/>
      <c r="F68" s="338"/>
      <c r="G68" s="339"/>
      <c r="H68" s="356"/>
      <c r="I68" s="357"/>
    </row>
    <row r="69" spans="1:9" ht="15.75" thickBot="1" x14ac:dyDescent="0.3">
      <c r="A69" s="85"/>
      <c r="B69" s="269"/>
      <c r="C69" s="270"/>
      <c r="D69" s="270"/>
      <c r="E69" s="271"/>
      <c r="F69" s="272" t="s">
        <v>116</v>
      </c>
      <c r="G69" s="273"/>
      <c r="H69" s="274">
        <f>SUM(H51:I68)</f>
        <v>26476</v>
      </c>
      <c r="I69" s="275"/>
    </row>
  </sheetData>
  <mergeCells count="108">
    <mergeCell ref="H50:I50"/>
    <mergeCell ref="B51:E51"/>
    <mergeCell ref="F51:G51"/>
    <mergeCell ref="H51:I51"/>
    <mergeCell ref="H47:I47"/>
    <mergeCell ref="B47:E47"/>
    <mergeCell ref="H39:I39"/>
    <mergeCell ref="H40:I40"/>
    <mergeCell ref="H41:I41"/>
    <mergeCell ref="B42:E42"/>
    <mergeCell ref="B43:E43"/>
    <mergeCell ref="F42:G42"/>
    <mergeCell ref="F43:G43"/>
    <mergeCell ref="H42:I42"/>
    <mergeCell ref="H43:I43"/>
    <mergeCell ref="B39:E39"/>
    <mergeCell ref="B40:E40"/>
    <mergeCell ref="B41:E41"/>
    <mergeCell ref="F39:G39"/>
    <mergeCell ref="F40:G40"/>
    <mergeCell ref="F41:G41"/>
    <mergeCell ref="F47:G47"/>
    <mergeCell ref="B69:E69"/>
    <mergeCell ref="F69:G69"/>
    <mergeCell ref="H69:I69"/>
    <mergeCell ref="B67:E67"/>
    <mergeCell ref="F67:G67"/>
    <mergeCell ref="H67:I67"/>
    <mergeCell ref="B68:E68"/>
    <mergeCell ref="F68:G68"/>
    <mergeCell ref="H68:I68"/>
    <mergeCell ref="H66:I66"/>
    <mergeCell ref="B59:E59"/>
    <mergeCell ref="F59:G59"/>
    <mergeCell ref="H59:I59"/>
    <mergeCell ref="F55:G55"/>
    <mergeCell ref="H55:I55"/>
    <mergeCell ref="B52:E52"/>
    <mergeCell ref="F52:G52"/>
    <mergeCell ref="H52:I52"/>
    <mergeCell ref="B53:E53"/>
    <mergeCell ref="F53:G53"/>
    <mergeCell ref="H53:I53"/>
    <mergeCell ref="B57:E57"/>
    <mergeCell ref="B58:E58"/>
    <mergeCell ref="F57:G57"/>
    <mergeCell ref="F58:G58"/>
    <mergeCell ref="H57:I57"/>
    <mergeCell ref="H58:I58"/>
    <mergeCell ref="B56:E56"/>
    <mergeCell ref="F56:G56"/>
    <mergeCell ref="H56:I56"/>
    <mergeCell ref="B54:E54"/>
    <mergeCell ref="F54:G54"/>
    <mergeCell ref="H54:I54"/>
    <mergeCell ref="B36:E36"/>
    <mergeCell ref="B44:E44"/>
    <mergeCell ref="B45:E45"/>
    <mergeCell ref="B38:E38"/>
    <mergeCell ref="F35:G35"/>
    <mergeCell ref="F36:G36"/>
    <mergeCell ref="F37:G37"/>
    <mergeCell ref="B66:E66"/>
    <mergeCell ref="F66:G66"/>
    <mergeCell ref="B55:E55"/>
    <mergeCell ref="B50:E50"/>
    <mergeCell ref="F50:G50"/>
    <mergeCell ref="B34:E34"/>
    <mergeCell ref="B46:E46"/>
    <mergeCell ref="F34:G34"/>
    <mergeCell ref="F46:G46"/>
    <mergeCell ref="H34:I34"/>
    <mergeCell ref="H46:I46"/>
    <mergeCell ref="B31:E31"/>
    <mergeCell ref="B33:E33"/>
    <mergeCell ref="F33:G33"/>
    <mergeCell ref="B32:E32"/>
    <mergeCell ref="F32:G32"/>
    <mergeCell ref="F38:G38"/>
    <mergeCell ref="F44:G44"/>
    <mergeCell ref="F45:G45"/>
    <mergeCell ref="H35:I35"/>
    <mergeCell ref="H32:I32"/>
    <mergeCell ref="H33:I33"/>
    <mergeCell ref="H36:I36"/>
    <mergeCell ref="H37:I37"/>
    <mergeCell ref="H38:I38"/>
    <mergeCell ref="H44:I44"/>
    <mergeCell ref="H45:I45"/>
    <mergeCell ref="B35:E35"/>
    <mergeCell ref="B37:E37"/>
    <mergeCell ref="B26:E26"/>
    <mergeCell ref="B27:E27"/>
    <mergeCell ref="B28:E28"/>
    <mergeCell ref="F27:G27"/>
    <mergeCell ref="F31:G31"/>
    <mergeCell ref="B29:E29"/>
    <mergeCell ref="B30:E30"/>
    <mergeCell ref="H26:I26"/>
    <mergeCell ref="H27:I27"/>
    <mergeCell ref="F30:G30"/>
    <mergeCell ref="H30:I30"/>
    <mergeCell ref="F29:G29"/>
    <mergeCell ref="H29:I29"/>
    <mergeCell ref="F26:G26"/>
    <mergeCell ref="F28:G28"/>
    <mergeCell ref="H28:I28"/>
    <mergeCell ref="H31:I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F506-8F8B-41A1-8570-0594FAF72D19}">
  <dimension ref="A1"/>
  <sheetViews>
    <sheetView workbookViewId="0">
      <selection activeCell="M15" sqref="M15"/>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A5555-15B1-4DDA-BBB0-FD36DAE4D9F8}">
  <sheetPr>
    <pageSetUpPr fitToPage="1"/>
  </sheetPr>
  <dimension ref="A1:Z34"/>
  <sheetViews>
    <sheetView zoomScale="90" zoomScaleNormal="90" workbookViewId="0">
      <selection activeCell="C24" sqref="C24:I24"/>
    </sheetView>
  </sheetViews>
  <sheetFormatPr defaultRowHeight="15" x14ac:dyDescent="0.25"/>
  <cols>
    <col min="1" max="1" width="41.5703125" customWidth="1"/>
    <col min="2" max="2" width="16.7109375" hidden="1" customWidth="1"/>
    <col min="3" max="9" width="16.7109375" customWidth="1"/>
    <col min="10" max="10" width="19" customWidth="1"/>
    <col min="11" max="11" width="17.140625" customWidth="1"/>
    <col min="12" max="12" width="16" customWidth="1"/>
    <col min="13" max="13" width="11.85546875" customWidth="1"/>
    <col min="14" max="14" width="10.28515625" customWidth="1"/>
    <col min="15" max="15" width="12.42578125" customWidth="1"/>
    <col min="16" max="16" width="12.85546875" customWidth="1"/>
    <col min="17" max="17" width="11.28515625" customWidth="1"/>
    <col min="18" max="19" width="10.28515625" customWidth="1"/>
    <col min="20" max="20" width="12.28515625" customWidth="1"/>
    <col min="21" max="21" width="12.42578125" customWidth="1"/>
    <col min="22" max="23" width="10.28515625" bestFit="1" customWidth="1"/>
    <col min="24" max="24" width="10.5703125" customWidth="1"/>
    <col min="25" max="25" width="10.7109375" customWidth="1"/>
    <col min="26" max="26" width="14" customWidth="1"/>
  </cols>
  <sheetData>
    <row r="1" spans="1:26" ht="55.5" customHeight="1" thickBot="1" x14ac:dyDescent="0.5">
      <c r="C1" s="365" t="s">
        <v>1088</v>
      </c>
      <c r="D1" s="366"/>
      <c r="E1" s="366"/>
      <c r="F1" s="366"/>
      <c r="G1" s="366"/>
      <c r="H1" s="366"/>
      <c r="I1" s="367"/>
      <c r="J1" s="356"/>
      <c r="K1" s="368"/>
      <c r="L1" s="368"/>
      <c r="M1" s="368"/>
      <c r="N1" s="368"/>
      <c r="O1" s="368"/>
      <c r="P1" s="368"/>
      <c r="Q1" s="368"/>
      <c r="R1" s="368"/>
      <c r="S1" s="368"/>
      <c r="T1" s="368"/>
      <c r="U1" s="368"/>
      <c r="V1" s="368"/>
      <c r="W1" s="368"/>
      <c r="X1" s="368"/>
      <c r="Y1" s="368"/>
      <c r="Z1" s="368"/>
    </row>
    <row r="2" spans="1:26" ht="72.75" customHeight="1" thickBot="1" x14ac:dyDescent="0.3">
      <c r="A2" s="1"/>
      <c r="B2" s="77" t="s">
        <v>122</v>
      </c>
      <c r="C2" s="98" t="s">
        <v>1063</v>
      </c>
      <c r="D2" s="251" t="s">
        <v>1070</v>
      </c>
      <c r="E2" s="98" t="s">
        <v>1078</v>
      </c>
      <c r="F2" s="199" t="s">
        <v>1079</v>
      </c>
      <c r="G2" s="199" t="s">
        <v>1082</v>
      </c>
      <c r="H2" s="199" t="s">
        <v>1084</v>
      </c>
      <c r="I2" s="199" t="s">
        <v>1086</v>
      </c>
      <c r="J2" s="252" t="s">
        <v>124</v>
      </c>
      <c r="K2" s="5" t="s">
        <v>814</v>
      </c>
      <c r="L2" s="135" t="s">
        <v>818</v>
      </c>
      <c r="M2" s="204" t="s">
        <v>4</v>
      </c>
      <c r="N2" s="65" t="s">
        <v>5</v>
      </c>
      <c r="O2" s="205" t="s">
        <v>6</v>
      </c>
      <c r="P2" s="65" t="s">
        <v>7</v>
      </c>
      <c r="Q2" s="205" t="s">
        <v>8</v>
      </c>
      <c r="R2" s="65" t="s">
        <v>9</v>
      </c>
      <c r="S2" s="205" t="s">
        <v>10</v>
      </c>
      <c r="T2" s="65" t="s">
        <v>11</v>
      </c>
      <c r="U2" s="205" t="s">
        <v>12</v>
      </c>
      <c r="V2" s="65" t="s">
        <v>13</v>
      </c>
      <c r="W2" s="205" t="s">
        <v>14</v>
      </c>
      <c r="X2" s="65" t="s">
        <v>15</v>
      </c>
      <c r="Y2" s="65"/>
      <c r="Z2" s="10" t="s">
        <v>16</v>
      </c>
    </row>
    <row r="3" spans="1:26" ht="16.5" thickBot="1" x14ac:dyDescent="0.3">
      <c r="A3" s="60" t="s">
        <v>46</v>
      </c>
      <c r="B3" s="86"/>
      <c r="C3" s="86"/>
      <c r="D3" s="86"/>
      <c r="E3" s="61"/>
      <c r="F3" s="61"/>
      <c r="G3" s="61"/>
      <c r="H3" s="61"/>
      <c r="I3" s="61"/>
      <c r="J3" s="61"/>
      <c r="K3" s="91" t="s">
        <v>17</v>
      </c>
      <c r="L3" s="92"/>
      <c r="M3" s="106"/>
      <c r="N3" s="57"/>
      <c r="O3" s="88"/>
      <c r="P3" s="57"/>
      <c r="Q3" s="88"/>
      <c r="R3" s="57"/>
      <c r="S3" s="88"/>
      <c r="T3" s="57"/>
      <c r="U3" s="88"/>
      <c r="V3" s="57"/>
      <c r="W3" s="88"/>
      <c r="X3" s="57"/>
      <c r="Y3" s="57"/>
      <c r="Z3" s="57"/>
    </row>
    <row r="4" spans="1:26" ht="15.75" x14ac:dyDescent="0.25">
      <c r="A4" s="94" t="s">
        <v>96</v>
      </c>
      <c r="B4" s="58"/>
      <c r="C4" s="58"/>
      <c r="D4" s="58"/>
      <c r="E4" s="58"/>
      <c r="F4" s="58"/>
      <c r="G4" s="58"/>
      <c r="H4" s="58"/>
      <c r="I4" s="58"/>
      <c r="J4" s="59">
        <v>25000</v>
      </c>
      <c r="K4" s="89">
        <f>SUM(M4:X4)</f>
        <v>0</v>
      </c>
      <c r="L4" s="90">
        <f>C4+D4+E4+F4+G4+H4+I4+J4-K4</f>
        <v>25000</v>
      </c>
      <c r="M4" s="53"/>
      <c r="N4" s="53"/>
      <c r="O4" s="53"/>
      <c r="P4" s="53"/>
      <c r="Q4" s="53"/>
      <c r="R4" s="53"/>
      <c r="S4" s="53"/>
      <c r="T4" s="53"/>
      <c r="U4" s="53"/>
      <c r="V4" s="53"/>
      <c r="W4" s="53"/>
      <c r="X4" s="53"/>
      <c r="Y4" s="74"/>
      <c r="Z4" s="81">
        <f>SUM(M4:X4)</f>
        <v>0</v>
      </c>
    </row>
    <row r="5" spans="1:26" ht="15.75" x14ac:dyDescent="0.25">
      <c r="A5" s="94" t="s">
        <v>167</v>
      </c>
      <c r="B5" s="58"/>
      <c r="C5" s="58"/>
      <c r="D5" s="58"/>
      <c r="E5" s="58"/>
      <c r="F5" s="58"/>
      <c r="G5" s="58"/>
      <c r="H5" s="58"/>
      <c r="I5" s="58"/>
      <c r="J5" s="59"/>
      <c r="K5" s="89">
        <f t="shared" ref="K5:K6" si="0">SUM(M5:X5)</f>
        <v>83675</v>
      </c>
      <c r="L5" s="90">
        <f t="shared" ref="L5:L23" si="1">C5+D5+E5+F5+G5+H5+I5+J5-K5</f>
        <v>-83675</v>
      </c>
      <c r="M5" s="53">
        <v>60275</v>
      </c>
      <c r="N5" s="53">
        <v>23400</v>
      </c>
      <c r="O5" s="53"/>
      <c r="P5" s="53"/>
      <c r="Q5" s="53"/>
      <c r="R5" s="53"/>
      <c r="S5" s="53"/>
      <c r="T5" s="53"/>
      <c r="U5" s="53"/>
      <c r="V5" s="53"/>
      <c r="W5" s="53"/>
      <c r="X5" s="53"/>
      <c r="Y5" s="74"/>
      <c r="Z5" s="53">
        <f t="shared" ref="Z5:Z23" si="2">SUM(M5:X5)</f>
        <v>83675</v>
      </c>
    </row>
    <row r="6" spans="1:26" ht="15.75" x14ac:dyDescent="0.25">
      <c r="A6" s="94" t="s">
        <v>758</v>
      </c>
      <c r="B6" s="58"/>
      <c r="C6" s="58"/>
      <c r="D6" s="58"/>
      <c r="E6" s="58"/>
      <c r="F6" s="58"/>
      <c r="G6" s="58"/>
      <c r="H6" s="58"/>
      <c r="I6" s="58"/>
      <c r="J6" s="59"/>
      <c r="K6" s="89">
        <f t="shared" si="0"/>
        <v>0</v>
      </c>
      <c r="L6" s="90">
        <f t="shared" si="1"/>
        <v>0</v>
      </c>
      <c r="M6" s="53"/>
      <c r="N6" s="53"/>
      <c r="O6" s="53"/>
      <c r="P6" s="53"/>
      <c r="Q6" s="53"/>
      <c r="R6" s="53"/>
      <c r="S6" s="53"/>
      <c r="T6" s="53"/>
      <c r="U6" s="53"/>
      <c r="V6" s="53"/>
      <c r="W6" s="53"/>
      <c r="X6" s="53"/>
      <c r="Y6" s="74"/>
      <c r="Z6" s="53">
        <f t="shared" si="2"/>
        <v>0</v>
      </c>
    </row>
    <row r="7" spans="1:26" ht="15.75" x14ac:dyDescent="0.25">
      <c r="A7" s="13" t="s">
        <v>97</v>
      </c>
      <c r="B7" s="15"/>
      <c r="C7" s="15"/>
      <c r="D7" s="15"/>
      <c r="E7" s="15"/>
      <c r="F7" s="15"/>
      <c r="G7" s="15"/>
      <c r="H7" s="15"/>
      <c r="I7" s="15"/>
      <c r="J7" s="16">
        <v>50000</v>
      </c>
      <c r="K7" s="89">
        <f t="shared" ref="K7:K23" si="3">SUM(M7:X7)</f>
        <v>0</v>
      </c>
      <c r="L7" s="90">
        <f t="shared" si="1"/>
        <v>50000</v>
      </c>
      <c r="M7" s="19"/>
      <c r="N7" s="19"/>
      <c r="O7" s="19"/>
      <c r="P7" s="19"/>
      <c r="Q7" s="19"/>
      <c r="R7" s="19"/>
      <c r="S7" s="19"/>
      <c r="T7" s="19"/>
      <c r="U7" s="19"/>
      <c r="V7" s="19"/>
      <c r="W7" s="19"/>
      <c r="X7" s="19"/>
      <c r="Y7" s="74"/>
      <c r="Z7" s="53">
        <f t="shared" si="2"/>
        <v>0</v>
      </c>
    </row>
    <row r="8" spans="1:26" ht="15.75" x14ac:dyDescent="0.25">
      <c r="A8" s="13" t="s">
        <v>98</v>
      </c>
      <c r="B8" s="15"/>
      <c r="C8" s="15"/>
      <c r="D8" s="15"/>
      <c r="E8" s="15"/>
      <c r="F8" s="15"/>
      <c r="G8" s="15"/>
      <c r="H8" s="15"/>
      <c r="I8" s="15"/>
      <c r="J8" s="16">
        <v>100000</v>
      </c>
      <c r="K8" s="89">
        <f t="shared" si="3"/>
        <v>1000</v>
      </c>
      <c r="L8" s="90">
        <f t="shared" si="1"/>
        <v>99000</v>
      </c>
      <c r="M8" s="19"/>
      <c r="N8" s="19">
        <v>1000</v>
      </c>
      <c r="O8" s="19"/>
      <c r="P8" s="19"/>
      <c r="Q8" s="19"/>
      <c r="R8" s="19"/>
      <c r="S8" s="19"/>
      <c r="T8" s="19"/>
      <c r="U8" s="19"/>
      <c r="V8" s="19"/>
      <c r="W8" s="19"/>
      <c r="X8" s="19"/>
      <c r="Y8" s="74"/>
      <c r="Z8" s="53">
        <f t="shared" si="2"/>
        <v>1000</v>
      </c>
    </row>
    <row r="9" spans="1:26" ht="15.75" x14ac:dyDescent="0.25">
      <c r="A9" s="13" t="s">
        <v>109</v>
      </c>
      <c r="B9" s="15"/>
      <c r="C9" s="15">
        <v>20000</v>
      </c>
      <c r="D9" s="15">
        <v>20000</v>
      </c>
      <c r="E9" s="15">
        <v>20000</v>
      </c>
      <c r="F9" s="15"/>
      <c r="G9" s="15"/>
      <c r="H9" s="15"/>
      <c r="I9" s="15"/>
      <c r="J9" s="16"/>
      <c r="K9" s="89"/>
      <c r="L9" s="90">
        <f t="shared" si="1"/>
        <v>60000</v>
      </c>
      <c r="M9" s="19"/>
      <c r="N9" s="19"/>
      <c r="O9" s="19"/>
      <c r="P9" s="19"/>
      <c r="Q9" s="19"/>
      <c r="R9" s="19"/>
      <c r="S9" s="19"/>
      <c r="T9" s="19"/>
      <c r="U9" s="19"/>
      <c r="V9" s="19"/>
      <c r="W9" s="19"/>
      <c r="X9" s="19"/>
      <c r="Y9" s="74"/>
      <c r="Z9" s="53"/>
    </row>
    <row r="10" spans="1:26" ht="15.75" x14ac:dyDescent="0.25">
      <c r="A10" s="13" t="s">
        <v>108</v>
      </c>
      <c r="B10" s="15"/>
      <c r="C10" s="15">
        <v>10000</v>
      </c>
      <c r="D10" s="15">
        <v>10000</v>
      </c>
      <c r="E10" s="15">
        <v>10000</v>
      </c>
      <c r="F10" s="15"/>
      <c r="G10" s="15"/>
      <c r="H10" s="15">
        <v>7000</v>
      </c>
      <c r="I10" s="15">
        <v>7000</v>
      </c>
      <c r="J10" s="16"/>
      <c r="K10" s="89"/>
      <c r="L10" s="90">
        <f t="shared" si="1"/>
        <v>44000</v>
      </c>
      <c r="M10" s="19"/>
      <c r="N10" s="19"/>
      <c r="O10" s="19"/>
      <c r="P10" s="19"/>
      <c r="Q10" s="19"/>
      <c r="R10" s="19"/>
      <c r="S10" s="19"/>
      <c r="T10" s="19"/>
      <c r="U10" s="19"/>
      <c r="V10" s="19"/>
      <c r="W10" s="19"/>
      <c r="X10" s="19"/>
      <c r="Y10" s="74"/>
      <c r="Z10" s="53"/>
    </row>
    <row r="11" spans="1:26" ht="15.75" x14ac:dyDescent="0.25">
      <c r="A11" s="13" t="s">
        <v>1068</v>
      </c>
      <c r="B11" s="15"/>
      <c r="C11" s="15">
        <v>29710.25</v>
      </c>
      <c r="D11" s="15"/>
      <c r="E11" s="15"/>
      <c r="F11" s="15"/>
      <c r="G11" s="15"/>
      <c r="H11" s="15"/>
      <c r="I11" s="15"/>
      <c r="J11" s="16"/>
      <c r="K11" s="89"/>
      <c r="L11" s="90">
        <f t="shared" si="1"/>
        <v>29710.25</v>
      </c>
      <c r="M11" s="19"/>
      <c r="N11" s="19"/>
      <c r="O11" s="19"/>
      <c r="P11" s="19"/>
      <c r="Q11" s="19"/>
      <c r="R11" s="19"/>
      <c r="S11" s="19"/>
      <c r="T11" s="19"/>
      <c r="U11" s="19"/>
      <c r="V11" s="19"/>
      <c r="W11" s="19"/>
      <c r="X11" s="19"/>
      <c r="Y11" s="74"/>
      <c r="Z11" s="53"/>
    </row>
    <row r="12" spans="1:26" ht="15.75" x14ac:dyDescent="0.25">
      <c r="A12" s="13" t="s">
        <v>135</v>
      </c>
      <c r="B12" s="15"/>
      <c r="C12" s="15"/>
      <c r="D12" s="15">
        <v>70000</v>
      </c>
      <c r="E12" s="15">
        <v>10000</v>
      </c>
      <c r="F12" s="15"/>
      <c r="G12" s="15">
        <v>200000</v>
      </c>
      <c r="H12" s="15"/>
      <c r="I12" s="15"/>
      <c r="J12" s="16">
        <v>60000</v>
      </c>
      <c r="K12" s="89">
        <f t="shared" si="3"/>
        <v>0</v>
      </c>
      <c r="L12" s="90">
        <f t="shared" si="1"/>
        <v>340000</v>
      </c>
      <c r="M12" s="19"/>
      <c r="N12" s="19"/>
      <c r="O12" s="19"/>
      <c r="P12" s="19"/>
      <c r="Q12" s="19"/>
      <c r="R12" s="19"/>
      <c r="S12" s="19"/>
      <c r="T12" s="19"/>
      <c r="U12" s="19"/>
      <c r="V12" s="19"/>
      <c r="W12" s="19"/>
      <c r="X12" s="19"/>
      <c r="Y12" s="74"/>
      <c r="Z12" s="53">
        <f t="shared" si="2"/>
        <v>0</v>
      </c>
    </row>
    <row r="13" spans="1:26" ht="15.75" x14ac:dyDescent="0.25">
      <c r="A13" s="13" t="s">
        <v>1071</v>
      </c>
      <c r="B13" s="15"/>
      <c r="C13" s="15"/>
      <c r="D13" s="15">
        <v>5150</v>
      </c>
      <c r="E13" s="15"/>
      <c r="F13" s="15"/>
      <c r="G13" s="15"/>
      <c r="H13" s="15"/>
      <c r="I13" s="15"/>
      <c r="J13" s="16"/>
      <c r="K13" s="89"/>
      <c r="L13" s="90">
        <f t="shared" si="1"/>
        <v>5150</v>
      </c>
      <c r="M13" s="19"/>
      <c r="N13" s="19"/>
      <c r="O13" s="19"/>
      <c r="P13" s="19"/>
      <c r="Q13" s="19"/>
      <c r="R13" s="19"/>
      <c r="S13" s="19"/>
      <c r="T13" s="19"/>
      <c r="U13" s="19"/>
      <c r="V13" s="19"/>
      <c r="W13" s="19"/>
      <c r="X13" s="19"/>
      <c r="Y13" s="74"/>
      <c r="Z13" s="53"/>
    </row>
    <row r="14" spans="1:26" ht="15.75" x14ac:dyDescent="0.25">
      <c r="A14" s="13" t="s">
        <v>136</v>
      </c>
      <c r="B14" s="15"/>
      <c r="C14" s="15"/>
      <c r="D14" s="15"/>
      <c r="E14" s="15"/>
      <c r="F14" s="15"/>
      <c r="G14" s="15"/>
      <c r="H14" s="15"/>
      <c r="I14" s="15"/>
      <c r="J14" s="16">
        <v>25000</v>
      </c>
      <c r="K14" s="89">
        <f t="shared" si="3"/>
        <v>0</v>
      </c>
      <c r="L14" s="90">
        <f t="shared" si="1"/>
        <v>25000</v>
      </c>
      <c r="M14" s="19"/>
      <c r="N14" s="19"/>
      <c r="O14" s="19"/>
      <c r="P14" s="19"/>
      <c r="Q14" s="19"/>
      <c r="R14" s="19"/>
      <c r="S14" s="19"/>
      <c r="T14" s="19"/>
      <c r="U14" s="19"/>
      <c r="V14" s="19"/>
      <c r="W14" s="19"/>
      <c r="X14" s="19"/>
      <c r="Y14" s="74"/>
      <c r="Z14" s="53">
        <f t="shared" si="2"/>
        <v>0</v>
      </c>
    </row>
    <row r="15" spans="1:26" ht="15.75" x14ac:dyDescent="0.25">
      <c r="A15" s="13" t="s">
        <v>29</v>
      </c>
      <c r="B15" s="15"/>
      <c r="C15" s="15">
        <v>20000</v>
      </c>
      <c r="D15" s="15">
        <v>15000</v>
      </c>
      <c r="E15" s="15">
        <v>5000</v>
      </c>
      <c r="F15" s="15">
        <v>25000</v>
      </c>
      <c r="G15" s="15"/>
      <c r="H15" s="15"/>
      <c r="I15" s="15"/>
      <c r="J15" s="16">
        <v>54250</v>
      </c>
      <c r="K15" s="89">
        <f t="shared" si="3"/>
        <v>0</v>
      </c>
      <c r="L15" s="90">
        <f t="shared" si="1"/>
        <v>119250</v>
      </c>
      <c r="M15" s="19"/>
      <c r="N15" s="19"/>
      <c r="O15" s="19"/>
      <c r="P15" s="19"/>
      <c r="Q15" s="19"/>
      <c r="R15" s="19"/>
      <c r="S15" s="19"/>
      <c r="T15" s="19"/>
      <c r="U15" s="19"/>
      <c r="V15" s="19"/>
      <c r="W15" s="19"/>
      <c r="X15" s="19"/>
      <c r="Y15" s="74"/>
      <c r="Z15" s="53">
        <f t="shared" si="2"/>
        <v>0</v>
      </c>
    </row>
    <row r="16" spans="1:26" ht="15.75" x14ac:dyDescent="0.25">
      <c r="A16" s="13" t="s">
        <v>1069</v>
      </c>
      <c r="B16" s="15"/>
      <c r="C16" s="15">
        <v>8200</v>
      </c>
      <c r="D16" s="15">
        <v>5000</v>
      </c>
      <c r="E16" s="15"/>
      <c r="F16" s="15"/>
      <c r="G16" s="15">
        <v>5891.77</v>
      </c>
      <c r="H16" s="15"/>
      <c r="I16" s="15"/>
      <c r="J16" s="16"/>
      <c r="K16" s="89"/>
      <c r="L16" s="90">
        <f t="shared" si="1"/>
        <v>19091.77</v>
      </c>
      <c r="M16" s="19"/>
      <c r="N16" s="19"/>
      <c r="O16" s="19"/>
      <c r="P16" s="19"/>
      <c r="Q16" s="19"/>
      <c r="R16" s="19"/>
      <c r="S16" s="19"/>
      <c r="T16" s="19"/>
      <c r="U16" s="19"/>
      <c r="V16" s="19"/>
      <c r="W16" s="19"/>
      <c r="X16" s="19"/>
      <c r="Y16" s="74"/>
      <c r="Z16" s="53"/>
    </row>
    <row r="17" spans="1:26" ht="15.75" x14ac:dyDescent="0.25">
      <c r="A17" s="13" t="s">
        <v>104</v>
      </c>
      <c r="B17" s="15"/>
      <c r="C17" s="15"/>
      <c r="D17" s="15"/>
      <c r="E17" s="15"/>
      <c r="F17" s="15"/>
      <c r="G17" s="15"/>
      <c r="H17" s="15"/>
      <c r="I17" s="15"/>
      <c r="J17" s="16">
        <v>48000</v>
      </c>
      <c r="K17" s="89">
        <f t="shared" si="3"/>
        <v>14944.560000000001</v>
      </c>
      <c r="L17" s="90">
        <f t="shared" si="1"/>
        <v>33055.440000000002</v>
      </c>
      <c r="M17" s="19">
        <v>3049.99</v>
      </c>
      <c r="N17" s="19">
        <v>3046.61</v>
      </c>
      <c r="O17" s="19">
        <v>3022.86</v>
      </c>
      <c r="P17" s="19"/>
      <c r="Q17" s="19">
        <v>2912.55</v>
      </c>
      <c r="R17" s="19">
        <v>2912.55</v>
      </c>
      <c r="S17" s="19"/>
      <c r="T17" s="19"/>
      <c r="U17" s="19"/>
      <c r="V17" s="19"/>
      <c r="W17" s="19"/>
      <c r="X17" s="19"/>
      <c r="Y17" s="74"/>
      <c r="Z17" s="53">
        <f t="shared" si="2"/>
        <v>14944.560000000001</v>
      </c>
    </row>
    <row r="18" spans="1:26" ht="15.75" customHeight="1" x14ac:dyDescent="0.25">
      <c r="A18" s="23" t="s">
        <v>137</v>
      </c>
      <c r="B18" s="15"/>
      <c r="C18" s="15"/>
      <c r="D18" s="15"/>
      <c r="E18" s="15"/>
      <c r="F18" s="15"/>
      <c r="G18" s="15"/>
      <c r="H18" s="15"/>
      <c r="I18" s="15"/>
      <c r="J18" s="16">
        <v>107264.09</v>
      </c>
      <c r="K18" s="89">
        <f t="shared" si="3"/>
        <v>0</v>
      </c>
      <c r="L18" s="90">
        <f t="shared" si="1"/>
        <v>107264.09</v>
      </c>
      <c r="M18" s="19"/>
      <c r="N18" s="19"/>
      <c r="O18" s="19"/>
      <c r="P18" s="19"/>
      <c r="Q18" s="19"/>
      <c r="R18" s="19"/>
      <c r="S18" s="19"/>
      <c r="T18" s="19"/>
      <c r="U18" s="19"/>
      <c r="V18" s="19"/>
      <c r="W18" s="19"/>
      <c r="X18" s="19"/>
      <c r="Y18" s="74"/>
      <c r="Z18" s="53">
        <f t="shared" si="2"/>
        <v>0</v>
      </c>
    </row>
    <row r="19" spans="1:26" ht="15.75" x14ac:dyDescent="0.25">
      <c r="A19" s="20" t="s">
        <v>34</v>
      </c>
      <c r="B19" s="15"/>
      <c r="C19" s="15">
        <v>50000</v>
      </c>
      <c r="D19" s="15">
        <v>40000</v>
      </c>
      <c r="E19" s="15">
        <v>20000</v>
      </c>
      <c r="F19" s="15">
        <v>50000</v>
      </c>
      <c r="G19" s="15">
        <v>200000</v>
      </c>
      <c r="H19" s="15">
        <v>40220.32</v>
      </c>
      <c r="I19" s="15">
        <v>10000</v>
      </c>
      <c r="J19" s="16">
        <v>5500</v>
      </c>
      <c r="K19" s="89">
        <f t="shared" si="3"/>
        <v>0</v>
      </c>
      <c r="L19" s="90">
        <f t="shared" si="1"/>
        <v>415720.32</v>
      </c>
      <c r="M19" s="19"/>
      <c r="N19" s="19"/>
      <c r="O19" s="19"/>
      <c r="P19" s="19"/>
      <c r="Q19" s="19"/>
      <c r="R19" s="19"/>
      <c r="S19" s="19"/>
      <c r="T19" s="19"/>
      <c r="U19" s="19"/>
      <c r="V19" s="19"/>
      <c r="W19" s="19"/>
      <c r="X19" s="19"/>
      <c r="Y19" s="74"/>
      <c r="Z19" s="53">
        <f t="shared" si="2"/>
        <v>0</v>
      </c>
    </row>
    <row r="20" spans="1:26" ht="15.75" x14ac:dyDescent="0.25">
      <c r="A20" s="20" t="s">
        <v>21</v>
      </c>
      <c r="B20" s="15"/>
      <c r="C20" s="15">
        <v>270000</v>
      </c>
      <c r="D20" s="15">
        <v>215295.35999999999</v>
      </c>
      <c r="E20" s="15">
        <v>20000</v>
      </c>
      <c r="F20" s="15">
        <v>40000</v>
      </c>
      <c r="G20" s="15"/>
      <c r="H20" s="15">
        <v>20000</v>
      </c>
      <c r="I20" s="15"/>
      <c r="J20" s="16">
        <v>25000</v>
      </c>
      <c r="K20" s="89">
        <f t="shared" si="3"/>
        <v>50000</v>
      </c>
      <c r="L20" s="90">
        <f t="shared" si="1"/>
        <v>540295.36</v>
      </c>
      <c r="M20" s="19"/>
      <c r="N20" s="19"/>
      <c r="O20" s="19"/>
      <c r="P20" s="19"/>
      <c r="Q20" s="19">
        <v>50000</v>
      </c>
      <c r="R20" s="19"/>
      <c r="S20" s="19"/>
      <c r="T20" s="19"/>
      <c r="U20" s="19"/>
      <c r="V20" s="19"/>
      <c r="W20" s="19"/>
      <c r="X20" s="19"/>
      <c r="Y20" s="74"/>
      <c r="Z20" s="53">
        <f t="shared" si="2"/>
        <v>50000</v>
      </c>
    </row>
    <row r="21" spans="1:26" ht="15.75" x14ac:dyDescent="0.25">
      <c r="A21" s="20" t="s">
        <v>32</v>
      </c>
      <c r="B21" s="15"/>
      <c r="C21" s="15"/>
      <c r="D21" s="15">
        <v>60000</v>
      </c>
      <c r="E21" s="15">
        <v>20000</v>
      </c>
      <c r="F21" s="15">
        <v>60000</v>
      </c>
      <c r="G21" s="15"/>
      <c r="H21" s="15"/>
      <c r="I21" s="15"/>
      <c r="J21" s="16"/>
      <c r="K21" s="89"/>
      <c r="L21" s="90">
        <f t="shared" si="1"/>
        <v>140000</v>
      </c>
      <c r="M21" s="19"/>
      <c r="N21" s="19"/>
      <c r="O21" s="19"/>
      <c r="P21" s="19"/>
      <c r="Q21" s="19"/>
      <c r="R21" s="19"/>
      <c r="S21" s="19"/>
      <c r="T21" s="19"/>
      <c r="U21" s="19"/>
      <c r="V21" s="19"/>
      <c r="W21" s="19"/>
      <c r="X21" s="19"/>
      <c r="Y21" s="82"/>
      <c r="Z21" s="53"/>
    </row>
    <row r="22" spans="1:26" ht="15.75" x14ac:dyDescent="0.25">
      <c r="A22" s="20" t="s">
        <v>31</v>
      </c>
      <c r="B22" s="15"/>
      <c r="C22" s="15"/>
      <c r="D22" s="15"/>
      <c r="E22" s="15"/>
      <c r="F22" s="15"/>
      <c r="G22" s="15"/>
      <c r="H22" s="15"/>
      <c r="I22" s="15"/>
      <c r="J22" s="16">
        <v>32000</v>
      </c>
      <c r="K22" s="89">
        <f t="shared" si="3"/>
        <v>0</v>
      </c>
      <c r="L22" s="90">
        <f t="shared" si="1"/>
        <v>32000</v>
      </c>
      <c r="M22" s="19"/>
      <c r="N22" s="19"/>
      <c r="O22" s="19"/>
      <c r="P22" s="19"/>
      <c r="Q22" s="19"/>
      <c r="R22" s="19"/>
      <c r="S22" s="19"/>
      <c r="T22" s="19"/>
      <c r="U22" s="19"/>
      <c r="V22" s="19"/>
      <c r="W22" s="19"/>
      <c r="X22" s="19"/>
      <c r="Y22" s="82"/>
      <c r="Z22" s="53">
        <f t="shared" si="2"/>
        <v>0</v>
      </c>
    </row>
    <row r="23" spans="1:26" ht="15.75" x14ac:dyDescent="0.25">
      <c r="A23" s="20" t="s">
        <v>804</v>
      </c>
      <c r="B23" s="41"/>
      <c r="C23" s="41"/>
      <c r="D23" s="41"/>
      <c r="E23" s="41"/>
      <c r="F23" s="41"/>
      <c r="G23" s="41"/>
      <c r="H23" s="41"/>
      <c r="I23" s="41"/>
      <c r="J23" s="72">
        <v>150000</v>
      </c>
      <c r="K23" s="89">
        <f t="shared" si="3"/>
        <v>56337.89</v>
      </c>
      <c r="L23" s="90">
        <f t="shared" si="1"/>
        <v>93662.11</v>
      </c>
      <c r="M23" s="42">
        <f>5030.9+5533.99</f>
        <v>10564.89</v>
      </c>
      <c r="N23" s="42">
        <f>5030+4778.5</f>
        <v>9808.5</v>
      </c>
      <c r="O23" s="42">
        <f>5030+5030</f>
        <v>10060</v>
      </c>
      <c r="P23" s="42">
        <f>4024+4778.5</f>
        <v>8802.5</v>
      </c>
      <c r="Q23" s="42">
        <f>4024+4024</f>
        <v>8048</v>
      </c>
      <c r="R23" s="42">
        <f>5030+4024</f>
        <v>9054</v>
      </c>
      <c r="S23" s="42"/>
      <c r="T23" s="42"/>
      <c r="U23" s="42"/>
      <c r="V23" s="42"/>
      <c r="W23" s="42"/>
      <c r="X23" s="42"/>
      <c r="Y23" s="42"/>
      <c r="Z23" s="53">
        <f t="shared" si="2"/>
        <v>56337.89</v>
      </c>
    </row>
    <row r="24" spans="1:26" ht="16.5" thickBot="1" x14ac:dyDescent="0.3">
      <c r="A24" s="25"/>
      <c r="B24" s="27">
        <f t="shared" ref="B24:K24" si="4">SUM(B4:B23)</f>
        <v>0</v>
      </c>
      <c r="C24" s="27">
        <f t="shared" si="4"/>
        <v>407910.25</v>
      </c>
      <c r="D24" s="27">
        <f t="shared" si="4"/>
        <v>440445.36</v>
      </c>
      <c r="E24" s="27">
        <f t="shared" si="4"/>
        <v>105000</v>
      </c>
      <c r="F24" s="27">
        <f t="shared" si="4"/>
        <v>175000</v>
      </c>
      <c r="G24" s="27">
        <f t="shared" si="4"/>
        <v>405891.77</v>
      </c>
      <c r="H24" s="27">
        <f t="shared" si="4"/>
        <v>67220.320000000007</v>
      </c>
      <c r="I24" s="27">
        <f t="shared" si="4"/>
        <v>17000</v>
      </c>
      <c r="J24" s="27">
        <f t="shared" si="4"/>
        <v>682014.09</v>
      </c>
      <c r="K24" s="27">
        <f t="shared" si="4"/>
        <v>205957.45</v>
      </c>
      <c r="L24" s="67">
        <f>SUM(L4:L23)</f>
        <v>2094524.34</v>
      </c>
      <c r="M24" s="27">
        <f>SUM(M4:M23)</f>
        <v>73889.88</v>
      </c>
      <c r="N24" s="27">
        <f t="shared" ref="N24:X24" si="5">SUM(N4:N23)</f>
        <v>37255.11</v>
      </c>
      <c r="O24" s="27">
        <f t="shared" si="5"/>
        <v>13082.86</v>
      </c>
      <c r="P24" s="27">
        <f t="shared" si="5"/>
        <v>8802.5</v>
      </c>
      <c r="Q24" s="27">
        <f t="shared" si="5"/>
        <v>60960.55</v>
      </c>
      <c r="R24" s="27">
        <f t="shared" si="5"/>
        <v>11966.55</v>
      </c>
      <c r="S24" s="27">
        <f t="shared" si="5"/>
        <v>0</v>
      </c>
      <c r="T24" s="27">
        <f t="shared" si="5"/>
        <v>0</v>
      </c>
      <c r="U24" s="27">
        <f t="shared" si="5"/>
        <v>0</v>
      </c>
      <c r="V24" s="27">
        <f t="shared" si="5"/>
        <v>0</v>
      </c>
      <c r="W24" s="27">
        <f t="shared" si="5"/>
        <v>0</v>
      </c>
      <c r="X24" s="27">
        <f t="shared" si="5"/>
        <v>0</v>
      </c>
      <c r="Y24" s="26" t="s">
        <v>25</v>
      </c>
      <c r="Z24" s="47">
        <f>SUM(M24:X24)</f>
        <v>205957.45</v>
      </c>
    </row>
    <row r="25" spans="1:26" ht="16.5" customHeight="1" x14ac:dyDescent="0.25"/>
    <row r="26" spans="1:26" ht="15.75" thickBot="1" x14ac:dyDescent="0.3"/>
    <row r="27" spans="1:26" ht="16.5" thickBot="1" x14ac:dyDescent="0.3">
      <c r="A27" s="136" t="s">
        <v>112</v>
      </c>
      <c r="B27" s="299" t="s">
        <v>307</v>
      </c>
      <c r="C27" s="300"/>
      <c r="D27" s="300"/>
      <c r="E27" s="300"/>
      <c r="F27" s="300"/>
      <c r="G27" s="300"/>
      <c r="H27" s="300"/>
      <c r="I27" s="300"/>
      <c r="J27" s="300"/>
      <c r="K27" s="300"/>
      <c r="L27" s="301"/>
      <c r="M27" s="299" t="s">
        <v>114</v>
      </c>
      <c r="N27" s="301"/>
      <c r="O27" s="302" t="s">
        <v>113</v>
      </c>
      <c r="P27" s="303"/>
    </row>
    <row r="28" spans="1:26" ht="15" customHeight="1" x14ac:dyDescent="0.25">
      <c r="A28" s="121"/>
      <c r="B28" s="316"/>
      <c r="C28" s="317"/>
      <c r="D28" s="317"/>
      <c r="E28" s="317"/>
      <c r="F28" s="317"/>
      <c r="G28" s="317"/>
      <c r="H28" s="317"/>
      <c r="I28" s="317"/>
      <c r="J28" s="317"/>
      <c r="K28" s="317"/>
      <c r="L28" s="318"/>
      <c r="M28" s="309"/>
      <c r="N28" s="310"/>
      <c r="O28" s="307"/>
      <c r="P28" s="308"/>
    </row>
    <row r="29" spans="1:26" x14ac:dyDescent="0.25">
      <c r="A29" s="131"/>
      <c r="B29" s="284"/>
      <c r="C29" s="321"/>
      <c r="D29" s="321"/>
      <c r="E29" s="321"/>
      <c r="F29" s="321"/>
      <c r="G29" s="321"/>
      <c r="H29" s="321"/>
      <c r="I29" s="321"/>
      <c r="J29" s="321"/>
      <c r="K29" s="321"/>
      <c r="L29" s="285"/>
      <c r="M29" s="276"/>
      <c r="N29" s="278"/>
      <c r="O29" s="279"/>
      <c r="P29" s="280"/>
    </row>
    <row r="30" spans="1:26" ht="27.75" customHeight="1" x14ac:dyDescent="0.25">
      <c r="A30" s="131"/>
      <c r="B30" s="281"/>
      <c r="C30" s="282"/>
      <c r="D30" s="282"/>
      <c r="E30" s="282"/>
      <c r="F30" s="282"/>
      <c r="G30" s="282"/>
      <c r="H30" s="282"/>
      <c r="I30" s="282"/>
      <c r="J30" s="282"/>
      <c r="K30" s="282"/>
      <c r="L30" s="283"/>
      <c r="M30" s="284"/>
      <c r="N30" s="285"/>
      <c r="O30" s="329"/>
      <c r="P30" s="330"/>
    </row>
    <row r="31" spans="1:26" ht="15" customHeight="1" x14ac:dyDescent="0.25">
      <c r="A31" s="127"/>
      <c r="B31" s="281"/>
      <c r="C31" s="282"/>
      <c r="D31" s="282"/>
      <c r="E31" s="282"/>
      <c r="F31" s="282"/>
      <c r="G31" s="282"/>
      <c r="H31" s="282"/>
      <c r="I31" s="282"/>
      <c r="J31" s="282"/>
      <c r="K31" s="282"/>
      <c r="L31" s="283"/>
      <c r="M31" s="284"/>
      <c r="N31" s="285"/>
      <c r="O31" s="329"/>
      <c r="P31" s="330"/>
    </row>
    <row r="32" spans="1:26" x14ac:dyDescent="0.25">
      <c r="A32" s="156"/>
      <c r="B32" s="353"/>
      <c r="C32" s="369"/>
      <c r="D32" s="369"/>
      <c r="E32" s="369"/>
      <c r="F32" s="369"/>
      <c r="G32" s="369"/>
      <c r="H32" s="369"/>
      <c r="I32" s="369"/>
      <c r="J32" s="369"/>
      <c r="K32" s="369"/>
      <c r="L32" s="354"/>
      <c r="M32" s="353"/>
      <c r="N32" s="354"/>
      <c r="O32" s="353"/>
      <c r="P32" s="354"/>
    </row>
    <row r="33" spans="1:16" ht="15.75" thickBot="1" x14ac:dyDescent="0.3">
      <c r="A33" s="120"/>
      <c r="B33" s="356"/>
      <c r="C33" s="368"/>
      <c r="D33" s="368"/>
      <c r="E33" s="368"/>
      <c r="F33" s="368"/>
      <c r="G33" s="368"/>
      <c r="H33" s="368"/>
      <c r="I33" s="368"/>
      <c r="J33" s="368"/>
      <c r="K33" s="368"/>
      <c r="L33" s="357"/>
      <c r="M33" s="356"/>
      <c r="N33" s="357"/>
      <c r="O33" s="356"/>
      <c r="P33" s="357"/>
    </row>
    <row r="34" spans="1:16" ht="15.75" thickBot="1" x14ac:dyDescent="0.3">
      <c r="A34" s="85"/>
      <c r="B34" s="269"/>
      <c r="C34" s="270"/>
      <c r="D34" s="270"/>
      <c r="E34" s="270"/>
      <c r="F34" s="270"/>
      <c r="G34" s="270"/>
      <c r="H34" s="270"/>
      <c r="I34" s="270"/>
      <c r="J34" s="270"/>
      <c r="K34" s="270"/>
      <c r="L34" s="271"/>
      <c r="M34" s="272" t="s">
        <v>116</v>
      </c>
      <c r="N34" s="273"/>
      <c r="O34" s="274">
        <f>SUM(O28:P33)</f>
        <v>0</v>
      </c>
      <c r="P34" s="275"/>
    </row>
  </sheetData>
  <mergeCells count="26">
    <mergeCell ref="C1:I1"/>
    <mergeCell ref="J1:Z1"/>
    <mergeCell ref="B34:L34"/>
    <mergeCell ref="M34:N34"/>
    <mergeCell ref="O34:P34"/>
    <mergeCell ref="B30:L30"/>
    <mergeCell ref="M30:N30"/>
    <mergeCell ref="O30:P30"/>
    <mergeCell ref="B31:L31"/>
    <mergeCell ref="M31:N31"/>
    <mergeCell ref="O31:P31"/>
    <mergeCell ref="B32:L32"/>
    <mergeCell ref="B33:L33"/>
    <mergeCell ref="M32:N32"/>
    <mergeCell ref="M33:N33"/>
    <mergeCell ref="B27:L27"/>
    <mergeCell ref="M27:N27"/>
    <mergeCell ref="O27:P27"/>
    <mergeCell ref="O32:P32"/>
    <mergeCell ref="O33:P33"/>
    <mergeCell ref="B28:L28"/>
    <mergeCell ref="M28:N28"/>
    <mergeCell ref="O28:P28"/>
    <mergeCell ref="B29:L29"/>
    <mergeCell ref="M29:N29"/>
    <mergeCell ref="O29:P29"/>
  </mergeCells>
  <pageMargins left="0.7" right="0.7" top="0.75" bottom="0.75" header="0.3" footer="0.3"/>
  <pageSetup paperSize="256" scale="60" fitToHeight="0" orientation="landscape"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FC8EE-2B7A-4AD4-BB1A-6AC1A3F43357}">
  <sheetPr>
    <pageSetUpPr fitToPage="1"/>
  </sheetPr>
  <dimension ref="A1:AB54"/>
  <sheetViews>
    <sheetView zoomScale="90" zoomScaleNormal="90" workbookViewId="0">
      <selection activeCell="C20" sqref="C20:I20"/>
    </sheetView>
  </sheetViews>
  <sheetFormatPr defaultRowHeight="15" x14ac:dyDescent="0.25"/>
  <cols>
    <col min="1" max="1" width="39.7109375" customWidth="1"/>
    <col min="2" max="2" width="9.85546875" hidden="1" customWidth="1"/>
    <col min="3" max="3" width="15" customWidth="1"/>
    <col min="4" max="4" width="16" customWidth="1"/>
    <col min="5" max="5" width="17.85546875" customWidth="1"/>
    <col min="6" max="6" width="15" customWidth="1"/>
    <col min="7" max="7" width="16.28515625" customWidth="1"/>
    <col min="8" max="8" width="17.7109375" customWidth="1"/>
    <col min="9" max="9" width="13.7109375" customWidth="1"/>
    <col min="10" max="10" width="18.5703125" customWidth="1"/>
    <col min="11" max="11" width="15.7109375" customWidth="1"/>
    <col min="12" max="12" width="15" customWidth="1"/>
    <col min="13" max="13" width="13.42578125" customWidth="1"/>
    <col min="14" max="14" width="10.5703125" customWidth="1"/>
    <col min="15" max="15" width="12.140625" customWidth="1"/>
    <col min="16" max="16" width="14" customWidth="1"/>
    <col min="17" max="17" width="12.85546875" customWidth="1"/>
    <col min="18" max="18" width="12.140625" customWidth="1"/>
    <col min="19" max="19" width="13.85546875" customWidth="1"/>
    <col min="20" max="20" width="12.28515625" customWidth="1"/>
    <col min="21" max="21" width="11.5703125" customWidth="1"/>
    <col min="22" max="22" width="11.42578125" customWidth="1"/>
    <col min="23" max="23" width="12" customWidth="1"/>
    <col min="24" max="25" width="12.7109375" customWidth="1"/>
    <col min="26" max="26" width="13.7109375" customWidth="1"/>
    <col min="27" max="27" width="11.5703125" bestFit="1" customWidth="1"/>
  </cols>
  <sheetData>
    <row r="1" spans="1:27" s="115" customFormat="1" ht="54" customHeight="1" thickBot="1" x14ac:dyDescent="0.3">
      <c r="A1" s="380" t="s">
        <v>1062</v>
      </c>
      <c r="B1" s="380"/>
      <c r="C1" s="380"/>
      <c r="D1" s="380"/>
      <c r="E1" s="380"/>
      <c r="F1" s="380"/>
      <c r="G1" s="380"/>
      <c r="H1" s="380"/>
      <c r="I1" s="380"/>
      <c r="J1" s="382"/>
      <c r="K1" s="383"/>
      <c r="L1" s="383"/>
      <c r="M1" s="383"/>
      <c r="N1" s="383"/>
      <c r="O1" s="383"/>
      <c r="P1" s="383"/>
      <c r="Q1" s="383"/>
      <c r="R1" s="383"/>
      <c r="S1" s="383"/>
      <c r="T1" s="383"/>
      <c r="U1" s="383"/>
      <c r="V1" s="383"/>
      <c r="W1" s="383"/>
      <c r="X1" s="383"/>
      <c r="Y1" s="383"/>
      <c r="Z1" s="384"/>
    </row>
    <row r="2" spans="1:27" ht="72.75" customHeight="1" thickBot="1" x14ac:dyDescent="0.3">
      <c r="A2" s="1"/>
      <c r="B2" s="98" t="s">
        <v>648</v>
      </c>
      <c r="C2" s="98" t="s">
        <v>1075</v>
      </c>
      <c r="D2" s="98" t="s">
        <v>1063</v>
      </c>
      <c r="E2" s="199" t="s">
        <v>1064</v>
      </c>
      <c r="F2" s="199" t="s">
        <v>1079</v>
      </c>
      <c r="G2" s="199" t="s">
        <v>1082</v>
      </c>
      <c r="H2" s="199" t="s">
        <v>1084</v>
      </c>
      <c r="I2" s="199" t="s">
        <v>1086</v>
      </c>
      <c r="J2" s="203" t="s">
        <v>810</v>
      </c>
      <c r="K2" s="5" t="s">
        <v>812</v>
      </c>
      <c r="L2" s="135" t="s">
        <v>815</v>
      </c>
      <c r="M2" s="65" t="s">
        <v>4</v>
      </c>
      <c r="N2" s="65" t="s">
        <v>5</v>
      </c>
      <c r="O2" s="205" t="s">
        <v>6</v>
      </c>
      <c r="P2" s="65" t="s">
        <v>7</v>
      </c>
      <c r="Q2" s="205" t="s">
        <v>8</v>
      </c>
      <c r="R2" s="65" t="s">
        <v>9</v>
      </c>
      <c r="S2" s="205" t="s">
        <v>10</v>
      </c>
      <c r="T2" s="65" t="s">
        <v>11</v>
      </c>
      <c r="U2" s="205" t="s">
        <v>12</v>
      </c>
      <c r="V2" s="65" t="s">
        <v>13</v>
      </c>
      <c r="W2" s="205" t="s">
        <v>14</v>
      </c>
      <c r="X2" s="65" t="s">
        <v>15</v>
      </c>
      <c r="Y2" s="66"/>
      <c r="Z2" s="10" t="s">
        <v>16</v>
      </c>
    </row>
    <row r="3" spans="1:27" ht="16.5" thickBot="1" x14ac:dyDescent="0.3">
      <c r="A3" s="60" t="s">
        <v>48</v>
      </c>
      <c r="B3" s="86"/>
      <c r="C3" s="86"/>
      <c r="D3" s="86"/>
      <c r="E3" s="61"/>
      <c r="F3" s="61"/>
      <c r="G3" s="61"/>
      <c r="H3" s="61"/>
      <c r="I3" s="61"/>
      <c r="J3" s="86"/>
      <c r="K3" s="91" t="s">
        <v>17</v>
      </c>
      <c r="L3" s="92"/>
      <c r="M3" s="106"/>
      <c r="N3" s="57"/>
      <c r="O3" s="88"/>
      <c r="P3" s="57"/>
      <c r="Q3" s="88"/>
      <c r="R3" s="57"/>
      <c r="S3" s="88"/>
      <c r="T3" s="57"/>
      <c r="U3" s="88"/>
      <c r="V3" s="57"/>
      <c r="W3" s="88"/>
      <c r="X3" s="57"/>
      <c r="Y3" s="57"/>
      <c r="Z3" s="57"/>
    </row>
    <row r="4" spans="1:27" ht="15.75" x14ac:dyDescent="0.25">
      <c r="A4" s="94" t="s">
        <v>47</v>
      </c>
      <c r="B4" s="58"/>
      <c r="C4" s="58">
        <v>10000</v>
      </c>
      <c r="D4" s="58">
        <v>10000</v>
      </c>
      <c r="E4" s="58">
        <v>10000</v>
      </c>
      <c r="F4" s="58"/>
      <c r="G4" s="58"/>
      <c r="H4" s="58">
        <v>7000</v>
      </c>
      <c r="I4" s="58">
        <v>7000</v>
      </c>
      <c r="J4" s="59">
        <v>550000</v>
      </c>
      <c r="K4" s="89">
        <f>SUM(M4:X4)</f>
        <v>0</v>
      </c>
      <c r="L4" s="90">
        <f>C4+D4+E4+F4+G4+H4+I4+J4-K4</f>
        <v>594000</v>
      </c>
      <c r="M4" s="53"/>
      <c r="N4" s="53"/>
      <c r="O4" s="53"/>
      <c r="P4" s="53"/>
      <c r="Q4" s="53"/>
      <c r="R4" s="53"/>
      <c r="S4" s="53"/>
      <c r="T4" s="53"/>
      <c r="U4" s="53"/>
      <c r="V4" s="53"/>
      <c r="W4" s="53"/>
      <c r="X4" s="53"/>
      <c r="Y4" s="31"/>
      <c r="Z4" s="31">
        <f>SUM(M4:X4)</f>
        <v>0</v>
      </c>
    </row>
    <row r="5" spans="1:27" ht="15.75" x14ac:dyDescent="0.25">
      <c r="A5" s="94" t="s">
        <v>167</v>
      </c>
      <c r="B5" s="58"/>
      <c r="C5" s="58"/>
      <c r="D5" s="58"/>
      <c r="E5" s="58"/>
      <c r="F5" s="58"/>
      <c r="G5" s="58"/>
      <c r="H5" s="58"/>
      <c r="I5" s="58"/>
      <c r="J5" s="59"/>
      <c r="K5" s="89">
        <f t="shared" ref="K5:K7" si="0">SUM(M5:X5)</f>
        <v>580425</v>
      </c>
      <c r="L5" s="90">
        <f t="shared" ref="L5:L19" si="1">C5+D5+E5+F5+G5+H5+I5+J5-K5</f>
        <v>-580425</v>
      </c>
      <c r="M5" s="53">
        <v>84200</v>
      </c>
      <c r="N5" s="53">
        <v>44550</v>
      </c>
      <c r="O5" s="53">
        <v>103900</v>
      </c>
      <c r="P5" s="53">
        <v>174900</v>
      </c>
      <c r="Q5" s="53">
        <v>84975</v>
      </c>
      <c r="R5" s="53">
        <v>57300</v>
      </c>
      <c r="S5" s="53">
        <f>23300+7300</f>
        <v>30600</v>
      </c>
      <c r="T5" s="53"/>
      <c r="U5" s="53"/>
      <c r="V5" s="53"/>
      <c r="W5" s="53"/>
      <c r="X5" s="53"/>
      <c r="Y5" s="31"/>
      <c r="Z5" s="31">
        <f t="shared" ref="Z5:Z7" si="2">SUM(M5:X5)</f>
        <v>580425</v>
      </c>
    </row>
    <row r="6" spans="1:27" ht="15.75" x14ac:dyDescent="0.25">
      <c r="A6" s="94" t="s">
        <v>758</v>
      </c>
      <c r="B6" s="58"/>
      <c r="C6" s="58"/>
      <c r="D6" s="58"/>
      <c r="E6" s="58"/>
      <c r="F6" s="58"/>
      <c r="G6" s="58"/>
      <c r="H6" s="58"/>
      <c r="I6" s="58"/>
      <c r="J6" s="59"/>
      <c r="K6" s="89">
        <f t="shared" si="0"/>
        <v>373689.79</v>
      </c>
      <c r="L6" s="90">
        <f t="shared" si="1"/>
        <v>-373689.79</v>
      </c>
      <c r="M6" s="53"/>
      <c r="N6" s="53">
        <f>157222.06</f>
        <v>157222.06</v>
      </c>
      <c r="O6" s="53">
        <v>83793.14</v>
      </c>
      <c r="P6" s="53">
        <v>52400.61</v>
      </c>
      <c r="Q6" s="53"/>
      <c r="R6" s="53"/>
      <c r="S6" s="53"/>
      <c r="T6" s="53">
        <v>80273.98</v>
      </c>
      <c r="U6" s="53"/>
      <c r="V6" s="53"/>
      <c r="W6" s="53"/>
      <c r="X6" s="53"/>
      <c r="Y6" s="31"/>
      <c r="Z6" s="31">
        <f t="shared" si="2"/>
        <v>373689.79</v>
      </c>
    </row>
    <row r="7" spans="1:27" ht="15.75" x14ac:dyDescent="0.25">
      <c r="A7" s="94" t="s">
        <v>103</v>
      </c>
      <c r="B7" s="58"/>
      <c r="C7" s="58">
        <v>20000</v>
      </c>
      <c r="D7" s="58">
        <v>20000</v>
      </c>
      <c r="E7" s="58">
        <v>20000</v>
      </c>
      <c r="F7" s="58"/>
      <c r="G7" s="58"/>
      <c r="H7" s="58"/>
      <c r="I7" s="58"/>
      <c r="J7" s="59"/>
      <c r="K7" s="89">
        <f t="shared" si="0"/>
        <v>0</v>
      </c>
      <c r="L7" s="90">
        <f t="shared" si="1"/>
        <v>60000</v>
      </c>
      <c r="M7" s="53"/>
      <c r="N7" s="53"/>
      <c r="O7" s="53"/>
      <c r="P7" s="53"/>
      <c r="Q7" s="53"/>
      <c r="R7" s="53"/>
      <c r="S7" s="53"/>
      <c r="T7" s="53"/>
      <c r="U7" s="53"/>
      <c r="V7" s="53"/>
      <c r="W7" s="53"/>
      <c r="X7" s="53"/>
      <c r="Y7" s="31"/>
      <c r="Z7" s="31">
        <f t="shared" si="2"/>
        <v>0</v>
      </c>
    </row>
    <row r="8" spans="1:27" ht="15.75" x14ac:dyDescent="0.25">
      <c r="A8" s="94" t="s">
        <v>1072</v>
      </c>
      <c r="B8" s="58"/>
      <c r="C8" s="58">
        <v>10000</v>
      </c>
      <c r="D8" s="58"/>
      <c r="E8" s="58">
        <v>70000</v>
      </c>
      <c r="F8" s="58"/>
      <c r="G8" s="58">
        <v>200000</v>
      </c>
      <c r="H8" s="58"/>
      <c r="I8" s="58"/>
      <c r="J8" s="59"/>
      <c r="K8" s="89"/>
      <c r="L8" s="90">
        <f t="shared" si="1"/>
        <v>280000</v>
      </c>
      <c r="M8" s="53"/>
      <c r="N8" s="53"/>
      <c r="O8" s="53"/>
      <c r="P8" s="53"/>
      <c r="Q8" s="53"/>
      <c r="R8" s="53"/>
      <c r="S8" s="53"/>
      <c r="T8" s="53"/>
      <c r="U8" s="53"/>
      <c r="V8" s="53"/>
      <c r="W8" s="53"/>
      <c r="X8" s="53"/>
      <c r="Y8" s="31"/>
      <c r="Z8" s="31"/>
    </row>
    <row r="9" spans="1:27" ht="15.75" x14ac:dyDescent="0.25">
      <c r="A9" s="94" t="s">
        <v>1067</v>
      </c>
      <c r="B9" s="58"/>
      <c r="C9" s="58"/>
      <c r="D9" s="58">
        <v>29710.25</v>
      </c>
      <c r="E9" s="58"/>
      <c r="F9" s="58"/>
      <c r="G9" s="58"/>
      <c r="H9" s="58"/>
      <c r="I9" s="58"/>
      <c r="J9" s="59"/>
      <c r="K9" s="89"/>
      <c r="L9" s="90">
        <f t="shared" si="1"/>
        <v>29710.25</v>
      </c>
      <c r="M9" s="53"/>
      <c r="N9" s="53"/>
      <c r="O9" s="53"/>
      <c r="P9" s="53"/>
      <c r="Q9" s="53"/>
      <c r="R9" s="53"/>
      <c r="S9" s="53"/>
      <c r="T9" s="53"/>
      <c r="U9" s="53"/>
      <c r="V9" s="53"/>
      <c r="W9" s="53"/>
      <c r="X9" s="53"/>
      <c r="Y9" s="31"/>
      <c r="Z9" s="31"/>
    </row>
    <row r="10" spans="1:27" ht="15.75" x14ac:dyDescent="0.25">
      <c r="A10" s="13" t="s">
        <v>29</v>
      </c>
      <c r="B10" s="15"/>
      <c r="C10" s="15">
        <v>5000</v>
      </c>
      <c r="D10" s="15">
        <v>20000</v>
      </c>
      <c r="E10" s="15">
        <v>15000</v>
      </c>
      <c r="F10" s="15">
        <v>25000</v>
      </c>
      <c r="G10" s="15"/>
      <c r="H10" s="15"/>
      <c r="I10" s="15"/>
      <c r="J10" s="16">
        <v>36716</v>
      </c>
      <c r="K10" s="89">
        <f t="shared" ref="K10:K19" si="3">SUM(M10:X10)</f>
        <v>20036</v>
      </c>
      <c r="L10" s="90">
        <f t="shared" si="1"/>
        <v>81680</v>
      </c>
      <c r="M10" s="19"/>
      <c r="N10" s="19"/>
      <c r="O10" s="19"/>
      <c r="P10" s="19"/>
      <c r="Q10" s="19">
        <f>610+19426</f>
        <v>20036</v>
      </c>
      <c r="R10" s="19"/>
      <c r="S10" s="19"/>
      <c r="T10" s="19"/>
      <c r="U10" s="19"/>
      <c r="V10" s="19"/>
      <c r="W10" s="19"/>
      <c r="X10" s="19"/>
      <c r="Y10" s="31"/>
      <c r="Z10" s="31">
        <f t="shared" ref="Z10:Z19" si="4">SUM(M10:X10)</f>
        <v>20036</v>
      </c>
      <c r="AA10" s="97"/>
    </row>
    <row r="11" spans="1:27" ht="15.75" x14ac:dyDescent="0.25">
      <c r="A11" s="13" t="s">
        <v>1073</v>
      </c>
      <c r="B11" s="15"/>
      <c r="C11" s="15"/>
      <c r="D11" s="15"/>
      <c r="E11" s="15">
        <v>5150</v>
      </c>
      <c r="F11" s="15"/>
      <c r="G11" s="15"/>
      <c r="H11" s="15"/>
      <c r="I11" s="15"/>
      <c r="J11" s="16"/>
      <c r="K11" s="89"/>
      <c r="L11" s="90">
        <f t="shared" si="1"/>
        <v>5150</v>
      </c>
      <c r="M11" s="19"/>
      <c r="N11" s="19"/>
      <c r="O11" s="19"/>
      <c r="P11" s="19"/>
      <c r="Q11" s="19"/>
      <c r="R11" s="19"/>
      <c r="S11" s="19"/>
      <c r="T11" s="19"/>
      <c r="U11" s="19"/>
      <c r="V11" s="19"/>
      <c r="W11" s="19"/>
      <c r="X11" s="19"/>
      <c r="Y11" s="31"/>
      <c r="Z11" s="31"/>
      <c r="AA11" s="97"/>
    </row>
    <row r="12" spans="1:27" ht="15.75" x14ac:dyDescent="0.25">
      <c r="A12" s="20" t="s">
        <v>21</v>
      </c>
      <c r="B12" s="15"/>
      <c r="C12" s="15">
        <v>20000</v>
      </c>
      <c r="D12" s="15">
        <v>270000</v>
      </c>
      <c r="E12" s="15">
        <v>215295.35999999999</v>
      </c>
      <c r="F12" s="15">
        <v>40000</v>
      </c>
      <c r="G12" s="15"/>
      <c r="H12" s="15">
        <v>20000</v>
      </c>
      <c r="I12" s="15"/>
      <c r="J12" s="16">
        <v>525000</v>
      </c>
      <c r="K12" s="89">
        <f t="shared" si="3"/>
        <v>232879</v>
      </c>
      <c r="L12" s="90">
        <f t="shared" si="1"/>
        <v>857416.35999999987</v>
      </c>
      <c r="M12" s="19"/>
      <c r="N12" s="19"/>
      <c r="O12" s="19">
        <f>55965+17500+33000+54864</f>
        <v>161329</v>
      </c>
      <c r="P12" s="19"/>
      <c r="Q12" s="19"/>
      <c r="R12" s="19">
        <f>65000</f>
        <v>65000</v>
      </c>
      <c r="S12" s="19"/>
      <c r="T12" s="19">
        <f>6550</f>
        <v>6550</v>
      </c>
      <c r="U12" s="19"/>
      <c r="V12" s="19"/>
      <c r="W12" s="19"/>
      <c r="X12" s="19"/>
      <c r="Y12" s="31"/>
      <c r="Z12" s="31">
        <f t="shared" si="4"/>
        <v>232879</v>
      </c>
    </row>
    <row r="13" spans="1:27" ht="15.75" x14ac:dyDescent="0.25">
      <c r="A13" s="13" t="s">
        <v>31</v>
      </c>
      <c r="B13" s="15"/>
      <c r="C13" s="15"/>
      <c r="D13" s="15"/>
      <c r="E13" s="15"/>
      <c r="F13" s="15"/>
      <c r="G13" s="15"/>
      <c r="H13" s="15"/>
      <c r="I13" s="15"/>
      <c r="J13" s="16">
        <v>1800</v>
      </c>
      <c r="K13" s="89">
        <f t="shared" si="3"/>
        <v>80000</v>
      </c>
      <c r="L13" s="90">
        <f t="shared" si="1"/>
        <v>-78200</v>
      </c>
      <c r="M13" s="19"/>
      <c r="N13" s="19"/>
      <c r="O13" s="19"/>
      <c r="P13" s="19"/>
      <c r="Q13" s="19"/>
      <c r="R13" s="19"/>
      <c r="S13" s="19"/>
      <c r="T13" s="19"/>
      <c r="U13" s="19"/>
      <c r="V13" s="19">
        <v>80000</v>
      </c>
      <c r="W13" s="19"/>
      <c r="X13" s="19"/>
      <c r="Y13" s="31"/>
      <c r="Z13" s="31">
        <f t="shared" si="4"/>
        <v>80000</v>
      </c>
    </row>
    <row r="14" spans="1:27" ht="15.75" x14ac:dyDescent="0.25">
      <c r="A14" s="13" t="s">
        <v>1066</v>
      </c>
      <c r="B14" s="15"/>
      <c r="C14" s="15"/>
      <c r="D14" s="15">
        <v>8200</v>
      </c>
      <c r="E14" s="15">
        <v>5000</v>
      </c>
      <c r="F14" s="15"/>
      <c r="G14" s="15">
        <v>5891.77</v>
      </c>
      <c r="H14" s="15"/>
      <c r="I14" s="15"/>
      <c r="J14" s="16"/>
      <c r="K14" s="89"/>
      <c r="L14" s="90">
        <f t="shared" si="1"/>
        <v>19091.77</v>
      </c>
      <c r="M14" s="19"/>
      <c r="N14" s="19"/>
      <c r="O14" s="19"/>
      <c r="P14" s="19"/>
      <c r="Q14" s="19"/>
      <c r="R14" s="19"/>
      <c r="S14" s="19"/>
      <c r="T14" s="19"/>
      <c r="U14" s="19"/>
      <c r="V14" s="19"/>
      <c r="W14" s="19"/>
      <c r="X14" s="19"/>
      <c r="Y14" s="31"/>
      <c r="Z14" s="31"/>
    </row>
    <row r="15" spans="1:27" ht="15.75" x14ac:dyDescent="0.25">
      <c r="A15" s="20" t="s">
        <v>32</v>
      </c>
      <c r="B15" s="15"/>
      <c r="C15" s="15">
        <v>20000</v>
      </c>
      <c r="D15" s="15"/>
      <c r="E15" s="15">
        <v>60000</v>
      </c>
      <c r="F15" s="15">
        <v>60000</v>
      </c>
      <c r="G15" s="15"/>
      <c r="H15" s="15"/>
      <c r="I15" s="15">
        <v>557775</v>
      </c>
      <c r="J15" s="16">
        <v>122200</v>
      </c>
      <c r="K15" s="89">
        <f t="shared" si="3"/>
        <v>0</v>
      </c>
      <c r="L15" s="90">
        <f t="shared" si="1"/>
        <v>819975</v>
      </c>
      <c r="M15" s="19"/>
      <c r="N15" s="19"/>
      <c r="O15" s="19"/>
      <c r="P15" s="19"/>
      <c r="Q15" s="19"/>
      <c r="R15" s="19"/>
      <c r="S15" s="19"/>
      <c r="T15" s="19"/>
      <c r="U15" s="19"/>
      <c r="V15" s="19"/>
      <c r="W15" s="19"/>
      <c r="X15" s="19"/>
      <c r="Y15" s="31"/>
      <c r="Z15" s="31">
        <f t="shared" si="4"/>
        <v>0</v>
      </c>
    </row>
    <row r="16" spans="1:27" ht="15.75" x14ac:dyDescent="0.25">
      <c r="A16" s="13" t="s">
        <v>50</v>
      </c>
      <c r="B16" s="15"/>
      <c r="C16" s="15"/>
      <c r="D16" s="15"/>
      <c r="E16" s="15"/>
      <c r="F16" s="15"/>
      <c r="G16" s="15"/>
      <c r="H16" s="15"/>
      <c r="I16" s="15"/>
      <c r="J16" s="16">
        <v>600000</v>
      </c>
      <c r="K16" s="89">
        <f t="shared" si="3"/>
        <v>0</v>
      </c>
      <c r="L16" s="90">
        <f t="shared" si="1"/>
        <v>600000</v>
      </c>
      <c r="M16" s="19"/>
      <c r="N16" s="19"/>
      <c r="O16" s="19"/>
      <c r="P16" s="19"/>
      <c r="Q16" s="19"/>
      <c r="R16" s="19"/>
      <c r="S16" s="19"/>
      <c r="T16" s="19"/>
      <c r="U16" s="19"/>
      <c r="V16" s="19"/>
      <c r="W16" s="19"/>
      <c r="X16" s="19"/>
      <c r="Y16" s="31"/>
      <c r="Z16" s="31">
        <f t="shared" si="4"/>
        <v>0</v>
      </c>
    </row>
    <row r="17" spans="1:28" ht="15.75" x14ac:dyDescent="0.25">
      <c r="A17" s="13" t="s">
        <v>804</v>
      </c>
      <c r="B17" s="15"/>
      <c r="C17" s="15"/>
      <c r="D17" s="15"/>
      <c r="E17" s="15"/>
      <c r="F17" s="15"/>
      <c r="G17" s="15"/>
      <c r="H17" s="15"/>
      <c r="I17" s="15"/>
      <c r="J17" s="16"/>
      <c r="K17" s="89">
        <f t="shared" si="3"/>
        <v>184258.83</v>
      </c>
      <c r="L17" s="90">
        <f t="shared" si="1"/>
        <v>-184258.83</v>
      </c>
      <c r="M17" s="19">
        <f>9925.3+10957.73</f>
        <v>20883.03</v>
      </c>
      <c r="N17" s="19">
        <f>10044.25+9277.15</f>
        <v>19321.400000000001</v>
      </c>
      <c r="O17" s="19">
        <f>10052.65+10554.6</f>
        <v>20607.25</v>
      </c>
      <c r="P17" s="19">
        <f>7532.4+9544.4</f>
        <v>17076.8</v>
      </c>
      <c r="Q17" s="19">
        <f>7007.35+10468.5</f>
        <v>17475.849999999999</v>
      </c>
      <c r="R17" s="19">
        <f>10060+7503</f>
        <v>17563</v>
      </c>
      <c r="S17" s="19">
        <f>12054.15+11053.4</f>
        <v>23107.55</v>
      </c>
      <c r="T17" s="19">
        <f>6790.5+11059.7</f>
        <v>17850.2</v>
      </c>
      <c r="U17" s="19">
        <f>10794.55</f>
        <v>10794.55</v>
      </c>
      <c r="V17" s="19">
        <f>9026.7+10552.5</f>
        <v>19579.2</v>
      </c>
      <c r="W17" s="19"/>
      <c r="X17" s="19"/>
      <c r="Y17" s="31"/>
      <c r="Z17" s="31">
        <f t="shared" si="4"/>
        <v>184258.83</v>
      </c>
    </row>
    <row r="18" spans="1:28" ht="15.75" x14ac:dyDescent="0.25">
      <c r="A18" s="13" t="s">
        <v>51</v>
      </c>
      <c r="B18" s="15"/>
      <c r="C18" s="15"/>
      <c r="D18" s="15"/>
      <c r="E18" s="15"/>
      <c r="F18" s="15"/>
      <c r="G18" s="15"/>
      <c r="H18" s="15"/>
      <c r="I18" s="15"/>
      <c r="J18" s="16">
        <v>2024000</v>
      </c>
      <c r="K18" s="89">
        <f t="shared" si="3"/>
        <v>0</v>
      </c>
      <c r="L18" s="90">
        <f t="shared" si="1"/>
        <v>2024000</v>
      </c>
      <c r="M18" s="19"/>
      <c r="N18" s="19"/>
      <c r="O18" s="19"/>
      <c r="P18" s="19"/>
      <c r="Q18" s="19"/>
      <c r="R18" s="19"/>
      <c r="S18" s="19"/>
      <c r="T18" s="19"/>
      <c r="U18" s="19"/>
      <c r="V18" s="19"/>
      <c r="W18" s="19"/>
      <c r="X18" s="19"/>
      <c r="Y18" s="31"/>
      <c r="Z18" s="31">
        <f t="shared" si="4"/>
        <v>0</v>
      </c>
    </row>
    <row r="19" spans="1:28" ht="15.75" x14ac:dyDescent="0.25">
      <c r="A19" s="20" t="s">
        <v>34</v>
      </c>
      <c r="B19" s="15"/>
      <c r="C19" s="15">
        <v>20000</v>
      </c>
      <c r="D19" s="15">
        <v>50000</v>
      </c>
      <c r="E19" s="15">
        <v>40000</v>
      </c>
      <c r="F19" s="15">
        <v>50000</v>
      </c>
      <c r="G19" s="15">
        <v>200000</v>
      </c>
      <c r="H19" s="15">
        <v>40220.32</v>
      </c>
      <c r="I19" s="15">
        <v>10000</v>
      </c>
      <c r="J19" s="16">
        <v>8871</v>
      </c>
      <c r="K19" s="89">
        <f t="shared" si="3"/>
        <v>0</v>
      </c>
      <c r="L19" s="90">
        <f t="shared" si="1"/>
        <v>419091.32</v>
      </c>
      <c r="M19" s="19"/>
      <c r="N19" s="19"/>
      <c r="O19" s="19"/>
      <c r="P19" s="19"/>
      <c r="Q19" s="19"/>
      <c r="R19" s="19"/>
      <c r="S19" s="19"/>
      <c r="T19" s="19"/>
      <c r="U19" s="19"/>
      <c r="V19" s="19"/>
      <c r="W19" s="19"/>
      <c r="X19" s="19"/>
      <c r="Y19" s="31"/>
      <c r="Z19" s="19">
        <f t="shared" si="4"/>
        <v>0</v>
      </c>
    </row>
    <row r="20" spans="1:28" ht="16.5" thickBot="1" x14ac:dyDescent="0.3">
      <c r="A20" s="25"/>
      <c r="B20" s="27">
        <f t="shared" ref="B20:J20" si="5">SUM(B4:B19)</f>
        <v>0</v>
      </c>
      <c r="C20" s="27">
        <f t="shared" si="5"/>
        <v>105000</v>
      </c>
      <c r="D20" s="27">
        <f t="shared" si="5"/>
        <v>407910.25</v>
      </c>
      <c r="E20" s="27">
        <f t="shared" si="5"/>
        <v>440445.36</v>
      </c>
      <c r="F20" s="27">
        <f t="shared" si="5"/>
        <v>175000</v>
      </c>
      <c r="G20" s="27">
        <f t="shared" si="5"/>
        <v>405891.77</v>
      </c>
      <c r="H20" s="27">
        <f t="shared" si="5"/>
        <v>67220.320000000007</v>
      </c>
      <c r="I20" s="27">
        <f t="shared" si="5"/>
        <v>574775</v>
      </c>
      <c r="J20" s="27">
        <f t="shared" si="5"/>
        <v>3868587</v>
      </c>
      <c r="K20" s="27">
        <f t="shared" ref="K20:X20" si="6">SUM(K4:K19)</f>
        <v>1471288.62</v>
      </c>
      <c r="L20" s="27">
        <f t="shared" si="6"/>
        <v>4573541.08</v>
      </c>
      <c r="M20" s="27">
        <f t="shared" si="6"/>
        <v>105083.03</v>
      </c>
      <c r="N20" s="27">
        <f t="shared" si="6"/>
        <v>221093.46</v>
      </c>
      <c r="O20" s="27">
        <f t="shared" si="6"/>
        <v>369629.39</v>
      </c>
      <c r="P20" s="27">
        <f t="shared" si="6"/>
        <v>244377.40999999997</v>
      </c>
      <c r="Q20" s="27">
        <f t="shared" si="6"/>
        <v>122486.85</v>
      </c>
      <c r="R20" s="27">
        <f t="shared" si="6"/>
        <v>139863</v>
      </c>
      <c r="S20" s="27">
        <f t="shared" si="6"/>
        <v>53707.55</v>
      </c>
      <c r="T20" s="27">
        <f t="shared" si="6"/>
        <v>104674.18</v>
      </c>
      <c r="U20" s="27">
        <f t="shared" si="6"/>
        <v>10794.55</v>
      </c>
      <c r="V20" s="27">
        <f t="shared" si="6"/>
        <v>99579.199999999997</v>
      </c>
      <c r="W20" s="27">
        <f t="shared" si="6"/>
        <v>0</v>
      </c>
      <c r="X20" s="27">
        <f t="shared" si="6"/>
        <v>0</v>
      </c>
      <c r="Y20" s="26" t="s">
        <v>25</v>
      </c>
      <c r="Z20" s="47">
        <f>SUM(M20:X20)</f>
        <v>1471288.62</v>
      </c>
    </row>
    <row r="24" spans="1:28" ht="38.25" thickBot="1" x14ac:dyDescent="0.55000000000000004">
      <c r="A24" s="30"/>
      <c r="B24" s="32"/>
      <c r="C24" s="32"/>
      <c r="D24" s="32"/>
      <c r="E24" s="32"/>
      <c r="F24" s="32"/>
      <c r="G24" s="32"/>
      <c r="H24" s="32"/>
      <c r="I24" s="32"/>
      <c r="R24" s="141"/>
      <c r="S24" s="141"/>
      <c r="T24" s="141"/>
      <c r="U24" s="141"/>
      <c r="V24" s="141"/>
      <c r="W24" s="141"/>
      <c r="X24" s="141"/>
      <c r="Y24" s="141"/>
      <c r="Z24" s="141"/>
      <c r="AA24" s="141"/>
      <c r="AB24" s="141"/>
    </row>
    <row r="25" spans="1:28" ht="16.5" thickBot="1" x14ac:dyDescent="0.3">
      <c r="A25" s="136" t="s">
        <v>175</v>
      </c>
      <c r="B25" s="299" t="s">
        <v>188</v>
      </c>
      <c r="C25" s="300"/>
      <c r="D25" s="300"/>
      <c r="E25" s="300"/>
      <c r="F25" s="300"/>
      <c r="G25" s="300"/>
      <c r="H25" s="300"/>
      <c r="I25" s="300"/>
      <c r="J25" s="300"/>
      <c r="K25" s="300"/>
      <c r="L25" s="301"/>
      <c r="M25" s="299" t="s">
        <v>114</v>
      </c>
      <c r="N25" s="300"/>
      <c r="O25" s="300"/>
      <c r="P25" s="302" t="s">
        <v>113</v>
      </c>
      <c r="Q25" s="303"/>
      <c r="R25" s="249"/>
      <c r="S25" s="141"/>
      <c r="T25" s="141"/>
      <c r="U25" s="141"/>
      <c r="V25" s="141"/>
      <c r="W25" s="141"/>
      <c r="X25" s="141"/>
      <c r="Y25" s="141"/>
      <c r="Z25" s="141"/>
      <c r="AA25" s="141"/>
      <c r="AB25" s="141"/>
    </row>
    <row r="26" spans="1:28" ht="36" customHeight="1" x14ac:dyDescent="0.25">
      <c r="A26" s="162" t="s">
        <v>176</v>
      </c>
      <c r="B26" s="276" t="s">
        <v>653</v>
      </c>
      <c r="C26" s="277"/>
      <c r="D26" s="277"/>
      <c r="E26" s="277"/>
      <c r="F26" s="277"/>
      <c r="G26" s="277"/>
      <c r="H26" s="277"/>
      <c r="I26" s="277"/>
      <c r="J26" s="277"/>
      <c r="K26" s="277"/>
      <c r="L26" s="278"/>
      <c r="M26" s="350" t="s">
        <v>654</v>
      </c>
      <c r="N26" s="370"/>
      <c r="O26" s="370"/>
      <c r="P26" s="331">
        <v>54864</v>
      </c>
      <c r="Q26" s="332"/>
      <c r="R26" s="118"/>
      <c r="S26" s="141"/>
      <c r="T26" s="141"/>
      <c r="U26" s="141"/>
      <c r="V26" s="141"/>
      <c r="W26" s="141"/>
      <c r="X26" s="141"/>
      <c r="Y26" s="141"/>
      <c r="Z26" s="141"/>
      <c r="AA26" s="141"/>
      <c r="AB26" s="141"/>
    </row>
    <row r="27" spans="1:28" ht="15" customHeight="1" x14ac:dyDescent="0.25">
      <c r="A27" s="166" t="s">
        <v>180</v>
      </c>
      <c r="B27" s="263" t="s">
        <v>181</v>
      </c>
      <c r="C27" s="319"/>
      <c r="D27" s="319"/>
      <c r="E27" s="319"/>
      <c r="F27" s="319"/>
      <c r="G27" s="319"/>
      <c r="H27" s="319"/>
      <c r="I27" s="319"/>
      <c r="J27" s="319"/>
      <c r="K27" s="319"/>
      <c r="L27" s="294"/>
      <c r="M27" s="263" t="s">
        <v>655</v>
      </c>
      <c r="N27" s="319"/>
      <c r="O27" s="319"/>
      <c r="P27" s="331">
        <v>17500</v>
      </c>
      <c r="Q27" s="332"/>
      <c r="R27" s="118"/>
      <c r="S27" s="141"/>
      <c r="T27" s="141"/>
      <c r="U27" s="141"/>
      <c r="V27" s="141"/>
      <c r="W27" s="141"/>
      <c r="X27" s="141"/>
      <c r="Y27" s="141"/>
      <c r="Z27" s="141"/>
      <c r="AA27" s="141"/>
      <c r="AB27" s="141"/>
    </row>
    <row r="28" spans="1:28" ht="35.25" customHeight="1" x14ac:dyDescent="0.25">
      <c r="A28" s="162" t="s">
        <v>180</v>
      </c>
      <c r="B28" s="350" t="s">
        <v>651</v>
      </c>
      <c r="C28" s="351"/>
      <c r="D28" s="351"/>
      <c r="E28" s="351"/>
      <c r="F28" s="351"/>
      <c r="G28" s="351"/>
      <c r="H28" s="351"/>
      <c r="I28" s="351"/>
      <c r="J28" s="351"/>
      <c r="K28" s="351"/>
      <c r="L28" s="352"/>
      <c r="M28" s="350" t="s">
        <v>652</v>
      </c>
      <c r="N28" s="370"/>
      <c r="O28" s="370"/>
      <c r="P28" s="373">
        <v>33000</v>
      </c>
      <c r="Q28" s="374"/>
      <c r="R28" s="118"/>
      <c r="S28" s="141"/>
      <c r="T28" s="141"/>
      <c r="U28" s="141"/>
      <c r="V28" s="141"/>
      <c r="W28" s="141"/>
      <c r="X28" s="141"/>
      <c r="Y28" s="141"/>
      <c r="Z28" s="141"/>
      <c r="AA28" s="141"/>
      <c r="AB28" s="141"/>
    </row>
    <row r="29" spans="1:28" ht="34.5" customHeight="1" x14ac:dyDescent="0.25">
      <c r="A29" s="162" t="s">
        <v>176</v>
      </c>
      <c r="B29" s="263" t="s">
        <v>186</v>
      </c>
      <c r="C29" s="319"/>
      <c r="D29" s="319"/>
      <c r="E29" s="319"/>
      <c r="F29" s="319"/>
      <c r="G29" s="319"/>
      <c r="H29" s="319"/>
      <c r="I29" s="319"/>
      <c r="J29" s="319"/>
      <c r="K29" s="319"/>
      <c r="L29" s="294"/>
      <c r="M29" s="263" t="s">
        <v>656</v>
      </c>
      <c r="N29" s="264"/>
      <c r="O29" s="265"/>
      <c r="P29" s="331">
        <f>223860/4</f>
        <v>55965</v>
      </c>
      <c r="Q29" s="332"/>
      <c r="R29" s="118"/>
    </row>
    <row r="30" spans="1:28" ht="30.75" customHeight="1" x14ac:dyDescent="0.25">
      <c r="A30" s="162" t="s">
        <v>19</v>
      </c>
      <c r="B30" s="263" t="s">
        <v>292</v>
      </c>
      <c r="C30" s="319"/>
      <c r="D30" s="319"/>
      <c r="E30" s="319"/>
      <c r="F30" s="319"/>
      <c r="G30" s="319"/>
      <c r="H30" s="319"/>
      <c r="I30" s="319"/>
      <c r="J30" s="319"/>
      <c r="K30" s="319"/>
      <c r="L30" s="294"/>
      <c r="M30" s="263" t="s">
        <v>649</v>
      </c>
      <c r="N30" s="264"/>
      <c r="O30" s="265"/>
      <c r="P30" s="331">
        <v>610</v>
      </c>
      <c r="Q30" s="332"/>
      <c r="R30" s="118"/>
    </row>
    <row r="31" spans="1:28" s="115" customFormat="1" ht="30" customHeight="1" x14ac:dyDescent="0.25">
      <c r="A31" s="162" t="s">
        <v>19</v>
      </c>
      <c r="B31" s="349" t="s">
        <v>189</v>
      </c>
      <c r="C31" s="264"/>
      <c r="D31" s="264"/>
      <c r="E31" s="264"/>
      <c r="F31" s="264"/>
      <c r="G31" s="264"/>
      <c r="H31" s="264"/>
      <c r="I31" s="264"/>
      <c r="J31" s="264"/>
      <c r="K31" s="264"/>
      <c r="L31" s="265"/>
      <c r="M31" s="263" t="s">
        <v>650</v>
      </c>
      <c r="N31" s="264"/>
      <c r="O31" s="264"/>
      <c r="P31" s="329">
        <v>19426</v>
      </c>
      <c r="Q31" s="330"/>
    </row>
    <row r="32" spans="1:28" ht="30" customHeight="1" x14ac:dyDescent="0.25">
      <c r="A32" s="156" t="s">
        <v>303</v>
      </c>
      <c r="B32" s="288" t="s">
        <v>584</v>
      </c>
      <c r="C32" s="289"/>
      <c r="D32" s="289"/>
      <c r="E32" s="289"/>
      <c r="F32" s="289"/>
      <c r="G32" s="289"/>
      <c r="H32" s="289"/>
      <c r="I32" s="289"/>
      <c r="J32" s="289"/>
      <c r="K32" s="289"/>
      <c r="L32" s="290"/>
      <c r="M32" s="263" t="s">
        <v>650</v>
      </c>
      <c r="N32" s="264"/>
      <c r="O32" s="264"/>
      <c r="P32" s="329">
        <v>65000</v>
      </c>
      <c r="Q32" s="330"/>
      <c r="R32" s="115"/>
    </row>
    <row r="33" spans="1:18" ht="30" customHeight="1" x14ac:dyDescent="0.25">
      <c r="A33" s="156" t="s">
        <v>180</v>
      </c>
      <c r="B33" s="288" t="s">
        <v>729</v>
      </c>
      <c r="C33" s="289"/>
      <c r="D33" s="289"/>
      <c r="E33" s="289"/>
      <c r="F33" s="289"/>
      <c r="G33" s="289"/>
      <c r="H33" s="289"/>
      <c r="I33" s="289"/>
      <c r="J33" s="289"/>
      <c r="K33" s="289"/>
      <c r="L33" s="290"/>
      <c r="M33" s="263" t="s">
        <v>728</v>
      </c>
      <c r="N33" s="264"/>
      <c r="O33" s="265"/>
      <c r="P33" s="329">
        <v>4812.5</v>
      </c>
      <c r="Q33" s="330"/>
      <c r="R33" s="115"/>
    </row>
    <row r="34" spans="1:18" ht="30.75" customHeight="1" x14ac:dyDescent="0.25">
      <c r="A34" s="156" t="s">
        <v>750</v>
      </c>
      <c r="B34" s="288" t="s">
        <v>751</v>
      </c>
      <c r="C34" s="289"/>
      <c r="D34" s="289"/>
      <c r="E34" s="289"/>
      <c r="F34" s="289"/>
      <c r="G34" s="289"/>
      <c r="H34" s="289"/>
      <c r="I34" s="289"/>
      <c r="J34" s="289"/>
      <c r="K34" s="289"/>
      <c r="L34" s="290"/>
      <c r="M34" s="263" t="s">
        <v>749</v>
      </c>
      <c r="N34" s="264"/>
      <c r="O34" s="265"/>
      <c r="P34" s="311">
        <v>6550</v>
      </c>
      <c r="Q34" s="312"/>
      <c r="R34" s="115"/>
    </row>
    <row r="35" spans="1:18" ht="30.75" customHeight="1" x14ac:dyDescent="0.25">
      <c r="A35" s="156" t="s">
        <v>1016</v>
      </c>
      <c r="B35" s="266" t="s">
        <v>1017</v>
      </c>
      <c r="C35" s="267"/>
      <c r="D35" s="267"/>
      <c r="E35" s="267"/>
      <c r="F35" s="267"/>
      <c r="G35" s="267"/>
      <c r="H35" s="267"/>
      <c r="I35" s="267"/>
      <c r="J35" s="267"/>
      <c r="K35" s="267"/>
      <c r="L35" s="268"/>
      <c r="M35" s="263" t="s">
        <v>1018</v>
      </c>
      <c r="N35" s="264"/>
      <c r="O35" s="265"/>
      <c r="P35" s="311">
        <v>80000</v>
      </c>
      <c r="Q35" s="312"/>
      <c r="R35" s="115"/>
    </row>
    <row r="36" spans="1:18" x14ac:dyDescent="0.25">
      <c r="A36" s="156"/>
      <c r="B36" s="266"/>
      <c r="C36" s="267"/>
      <c r="D36" s="267"/>
      <c r="E36" s="267"/>
      <c r="F36" s="267"/>
      <c r="G36" s="267"/>
      <c r="H36" s="267"/>
      <c r="I36" s="267"/>
      <c r="J36" s="267"/>
      <c r="K36" s="267"/>
      <c r="L36" s="268"/>
      <c r="M36" s="349"/>
      <c r="N36" s="264"/>
      <c r="O36" s="265"/>
      <c r="P36" s="261"/>
      <c r="Q36" s="381"/>
      <c r="R36" s="197"/>
    </row>
    <row r="37" spans="1:18" ht="15.75" customHeight="1" x14ac:dyDescent="0.25">
      <c r="A37" s="156"/>
      <c r="B37" s="266"/>
      <c r="C37" s="267"/>
      <c r="D37" s="267"/>
      <c r="E37" s="267"/>
      <c r="F37" s="267"/>
      <c r="G37" s="267"/>
      <c r="H37" s="267"/>
      <c r="I37" s="267"/>
      <c r="J37" s="267"/>
      <c r="K37" s="267"/>
      <c r="L37" s="268"/>
      <c r="M37" s="349"/>
      <c r="N37" s="264"/>
      <c r="O37" s="265"/>
      <c r="P37" s="311"/>
      <c r="Q37" s="312"/>
      <c r="R37" s="115"/>
    </row>
    <row r="38" spans="1:18" x14ac:dyDescent="0.25">
      <c r="A38" s="156"/>
      <c r="B38" s="266"/>
      <c r="C38" s="267"/>
      <c r="D38" s="267"/>
      <c r="E38" s="267"/>
      <c r="F38" s="267"/>
      <c r="G38" s="267"/>
      <c r="H38" s="267"/>
      <c r="I38" s="267"/>
      <c r="J38" s="267"/>
      <c r="K38" s="267"/>
      <c r="L38" s="268"/>
      <c r="M38" s="349"/>
      <c r="N38" s="264"/>
      <c r="O38" s="265"/>
      <c r="P38" s="371"/>
      <c r="Q38" s="372"/>
      <c r="R38" s="115"/>
    </row>
    <row r="39" spans="1:18" ht="15.75" thickBot="1" x14ac:dyDescent="0.3">
      <c r="A39" s="119"/>
      <c r="B39" s="291"/>
      <c r="C39" s="292"/>
      <c r="D39" s="292"/>
      <c r="E39" s="292"/>
      <c r="F39" s="292"/>
      <c r="G39" s="292"/>
      <c r="H39" s="292"/>
      <c r="I39" s="292"/>
      <c r="J39" s="292"/>
      <c r="K39" s="292"/>
      <c r="L39" s="293"/>
      <c r="M39" s="291"/>
      <c r="N39" s="292"/>
      <c r="O39" s="293"/>
      <c r="P39" s="375"/>
      <c r="Q39" s="376"/>
    </row>
    <row r="40" spans="1:18" ht="15.75" thickBot="1" x14ac:dyDescent="0.3">
      <c r="A40" s="85"/>
      <c r="B40" s="269"/>
      <c r="C40" s="270"/>
      <c r="D40" s="270"/>
      <c r="E40" s="270"/>
      <c r="F40" s="270"/>
      <c r="G40" s="270"/>
      <c r="H40" s="270"/>
      <c r="I40" s="270"/>
      <c r="J40" s="270"/>
      <c r="K40" s="270"/>
      <c r="L40" s="271"/>
      <c r="M40" s="272" t="s">
        <v>116</v>
      </c>
      <c r="N40" s="273"/>
      <c r="O40" s="273"/>
      <c r="P40" s="274">
        <f>SUM(P26:R39)</f>
        <v>337727.5</v>
      </c>
      <c r="Q40" s="275"/>
      <c r="R40" s="130"/>
    </row>
    <row r="42" spans="1:18" ht="15.75" thickBot="1" x14ac:dyDescent="0.3"/>
    <row r="43" spans="1:18" ht="16.5" thickBot="1" x14ac:dyDescent="0.3">
      <c r="A43" s="136" t="s">
        <v>112</v>
      </c>
      <c r="B43" s="299" t="s">
        <v>306</v>
      </c>
      <c r="C43" s="300"/>
      <c r="D43" s="300"/>
      <c r="E43" s="300"/>
      <c r="F43" s="300"/>
      <c r="G43" s="300"/>
      <c r="H43" s="300"/>
      <c r="I43" s="300"/>
      <c r="J43" s="300"/>
      <c r="K43" s="300"/>
      <c r="L43" s="301"/>
      <c r="M43" s="299" t="s">
        <v>114</v>
      </c>
      <c r="N43" s="300"/>
      <c r="O43" s="300"/>
      <c r="P43" s="302" t="s">
        <v>113</v>
      </c>
      <c r="Q43" s="303"/>
    </row>
    <row r="44" spans="1:18" x14ac:dyDescent="0.25">
      <c r="A44" s="162"/>
      <c r="B44" s="276"/>
      <c r="C44" s="277"/>
      <c r="D44" s="277"/>
      <c r="E44" s="277"/>
      <c r="F44" s="277"/>
      <c r="G44" s="277"/>
      <c r="H44" s="277"/>
      <c r="I44" s="277"/>
      <c r="J44" s="277"/>
      <c r="K44" s="277"/>
      <c r="L44" s="278"/>
      <c r="M44" s="284"/>
      <c r="N44" s="321"/>
      <c r="O44" s="321"/>
      <c r="P44" s="331"/>
      <c r="Q44" s="332"/>
    </row>
    <row r="45" spans="1:18" x14ac:dyDescent="0.25">
      <c r="A45" s="166"/>
      <c r="B45" s="263"/>
      <c r="C45" s="319"/>
      <c r="D45" s="319"/>
      <c r="E45" s="319"/>
      <c r="F45" s="319"/>
      <c r="G45" s="319"/>
      <c r="H45" s="319"/>
      <c r="I45" s="319"/>
      <c r="J45" s="319"/>
      <c r="K45" s="319"/>
      <c r="L45" s="294"/>
      <c r="M45" s="263"/>
      <c r="N45" s="319"/>
      <c r="O45" s="319"/>
      <c r="P45" s="331"/>
      <c r="Q45" s="332"/>
    </row>
    <row r="46" spans="1:18" x14ac:dyDescent="0.25">
      <c r="A46" s="162"/>
      <c r="B46" s="350"/>
      <c r="C46" s="351"/>
      <c r="D46" s="351"/>
      <c r="E46" s="351"/>
      <c r="F46" s="351"/>
      <c r="G46" s="351"/>
      <c r="H46" s="351"/>
      <c r="I46" s="351"/>
      <c r="J46" s="351"/>
      <c r="K46" s="351"/>
      <c r="L46" s="352"/>
      <c r="M46" s="377"/>
      <c r="N46" s="370"/>
      <c r="O46" s="370"/>
      <c r="P46" s="373"/>
      <c r="Q46" s="374"/>
    </row>
    <row r="47" spans="1:18" x14ac:dyDescent="0.25">
      <c r="A47" s="162"/>
      <c r="B47" s="263"/>
      <c r="C47" s="319"/>
      <c r="D47" s="319"/>
      <c r="E47" s="319"/>
      <c r="F47" s="319"/>
      <c r="G47" s="319"/>
      <c r="H47" s="319"/>
      <c r="I47" s="319"/>
      <c r="J47" s="319"/>
      <c r="K47" s="319"/>
      <c r="L47" s="294"/>
      <c r="M47" s="349"/>
      <c r="N47" s="264"/>
      <c r="O47" s="265"/>
      <c r="P47" s="331"/>
      <c r="Q47" s="332"/>
    </row>
    <row r="48" spans="1:18" x14ac:dyDescent="0.25">
      <c r="A48" s="162"/>
      <c r="B48" s="263"/>
      <c r="C48" s="319"/>
      <c r="D48" s="319"/>
      <c r="E48" s="319"/>
      <c r="F48" s="319"/>
      <c r="G48" s="319"/>
      <c r="H48" s="319"/>
      <c r="I48" s="319"/>
      <c r="J48" s="319"/>
      <c r="K48" s="319"/>
      <c r="L48" s="294"/>
      <c r="M48" s="263"/>
      <c r="N48" s="264"/>
      <c r="O48" s="265"/>
      <c r="P48" s="331"/>
      <c r="Q48" s="332"/>
    </row>
    <row r="49" spans="1:17" x14ac:dyDescent="0.25">
      <c r="A49" s="156"/>
      <c r="B49" s="266"/>
      <c r="C49" s="267"/>
      <c r="D49" s="267"/>
      <c r="E49" s="267"/>
      <c r="F49" s="267"/>
      <c r="G49" s="267"/>
      <c r="H49" s="267"/>
      <c r="I49" s="267"/>
      <c r="J49" s="267"/>
      <c r="K49" s="267"/>
      <c r="L49" s="268"/>
      <c r="M49" s="263"/>
      <c r="N49" s="264"/>
      <c r="O49" s="264"/>
      <c r="P49" s="329"/>
      <c r="Q49" s="330"/>
    </row>
    <row r="50" spans="1:17" x14ac:dyDescent="0.25">
      <c r="A50" s="127"/>
      <c r="B50" s="266"/>
      <c r="C50" s="267"/>
      <c r="D50" s="267"/>
      <c r="E50" s="267"/>
      <c r="F50" s="267"/>
      <c r="G50" s="267"/>
      <c r="H50" s="267"/>
      <c r="I50" s="267"/>
      <c r="J50" s="267"/>
      <c r="K50" s="267"/>
      <c r="L50" s="268"/>
      <c r="M50" s="349"/>
      <c r="N50" s="264"/>
      <c r="O50" s="265"/>
      <c r="P50" s="329"/>
      <c r="Q50" s="330"/>
    </row>
    <row r="51" spans="1:17" x14ac:dyDescent="0.25">
      <c r="A51" s="127"/>
      <c r="B51" s="266"/>
      <c r="C51" s="267"/>
      <c r="D51" s="267"/>
      <c r="E51" s="267"/>
      <c r="F51" s="267"/>
      <c r="G51" s="267"/>
      <c r="H51" s="267"/>
      <c r="I51" s="267"/>
      <c r="J51" s="267"/>
      <c r="K51" s="267"/>
      <c r="L51" s="268"/>
      <c r="M51" s="349"/>
      <c r="N51" s="264"/>
      <c r="O51" s="265"/>
      <c r="P51" s="329"/>
      <c r="Q51" s="330"/>
    </row>
    <row r="52" spans="1:17" x14ac:dyDescent="0.25">
      <c r="A52" s="127"/>
      <c r="B52" s="266"/>
      <c r="C52" s="267"/>
      <c r="D52" s="267"/>
      <c r="E52" s="267"/>
      <c r="F52" s="267"/>
      <c r="G52" s="267"/>
      <c r="H52" s="267"/>
      <c r="I52" s="267"/>
      <c r="J52" s="267"/>
      <c r="K52" s="267"/>
      <c r="L52" s="268"/>
      <c r="M52" s="349"/>
      <c r="N52" s="264"/>
      <c r="O52" s="265"/>
      <c r="P52" s="329"/>
      <c r="Q52" s="330"/>
    </row>
    <row r="53" spans="1:17" ht="15.75" thickBot="1" x14ac:dyDescent="0.3">
      <c r="A53" s="119"/>
      <c r="B53" s="291"/>
      <c r="C53" s="292"/>
      <c r="D53" s="292"/>
      <c r="E53" s="292"/>
      <c r="F53" s="292"/>
      <c r="G53" s="292"/>
      <c r="H53" s="292"/>
      <c r="I53" s="292"/>
      <c r="J53" s="292"/>
      <c r="K53" s="292"/>
      <c r="L53" s="293"/>
      <c r="M53" s="291"/>
      <c r="N53" s="292"/>
      <c r="O53" s="293"/>
      <c r="P53" s="378"/>
      <c r="Q53" s="379"/>
    </row>
    <row r="54" spans="1:17" ht="15.75" thickBot="1" x14ac:dyDescent="0.3">
      <c r="A54" s="85"/>
      <c r="B54" s="269"/>
      <c r="C54" s="270"/>
      <c r="D54" s="270"/>
      <c r="E54" s="270"/>
      <c r="F54" s="270"/>
      <c r="G54" s="270"/>
      <c r="H54" s="270"/>
      <c r="I54" s="270"/>
      <c r="J54" s="270"/>
      <c r="K54" s="270"/>
      <c r="L54" s="271"/>
      <c r="M54" s="272" t="s">
        <v>116</v>
      </c>
      <c r="N54" s="273"/>
      <c r="O54" s="273"/>
      <c r="P54" s="274">
        <f>SUM(P44:R53)</f>
        <v>0</v>
      </c>
      <c r="Q54" s="275"/>
    </row>
  </sheetData>
  <mergeCells count="86">
    <mergeCell ref="A1:I1"/>
    <mergeCell ref="M36:O36"/>
    <mergeCell ref="M37:O37"/>
    <mergeCell ref="P34:Q34"/>
    <mergeCell ref="P35:Q35"/>
    <mergeCell ref="P36:Q36"/>
    <mergeCell ref="P37:Q37"/>
    <mergeCell ref="B32:L32"/>
    <mergeCell ref="B33:L33"/>
    <mergeCell ref="P25:Q25"/>
    <mergeCell ref="P26:Q26"/>
    <mergeCell ref="P32:Q32"/>
    <mergeCell ref="P33:Q33"/>
    <mergeCell ref="J1:Z1"/>
    <mergeCell ref="M31:O31"/>
    <mergeCell ref="B25:L25"/>
    <mergeCell ref="B51:L51"/>
    <mergeCell ref="M51:O51"/>
    <mergeCell ref="P51:Q51"/>
    <mergeCell ref="B54:L54"/>
    <mergeCell ref="M54:O54"/>
    <mergeCell ref="P54:Q54"/>
    <mergeCell ref="B52:L52"/>
    <mergeCell ref="M52:O52"/>
    <mergeCell ref="P52:Q52"/>
    <mergeCell ref="B53:L53"/>
    <mergeCell ref="M53:O53"/>
    <mergeCell ref="P53:Q53"/>
    <mergeCell ref="B49:L49"/>
    <mergeCell ref="M49:O49"/>
    <mergeCell ref="P49:Q49"/>
    <mergeCell ref="B50:L50"/>
    <mergeCell ref="M50:O50"/>
    <mergeCell ref="P50:Q50"/>
    <mergeCell ref="B47:L47"/>
    <mergeCell ref="M47:O47"/>
    <mergeCell ref="P47:Q47"/>
    <mergeCell ref="B48:L48"/>
    <mergeCell ref="M48:O48"/>
    <mergeCell ref="P48:Q48"/>
    <mergeCell ref="P44:Q44"/>
    <mergeCell ref="B45:L45"/>
    <mergeCell ref="M45:O45"/>
    <mergeCell ref="P45:Q45"/>
    <mergeCell ref="B46:L46"/>
    <mergeCell ref="M46:O46"/>
    <mergeCell ref="P46:Q46"/>
    <mergeCell ref="B38:L38"/>
    <mergeCell ref="M32:O32"/>
    <mergeCell ref="B44:L44"/>
    <mergeCell ref="M44:O44"/>
    <mergeCell ref="B43:L43"/>
    <mergeCell ref="M43:O43"/>
    <mergeCell ref="M33:O33"/>
    <mergeCell ref="M38:O38"/>
    <mergeCell ref="B34:L34"/>
    <mergeCell ref="B35:L35"/>
    <mergeCell ref="B36:L36"/>
    <mergeCell ref="B37:L37"/>
    <mergeCell ref="M34:O34"/>
    <mergeCell ref="M35:O35"/>
    <mergeCell ref="P43:Q43"/>
    <mergeCell ref="P40:Q40"/>
    <mergeCell ref="P39:Q39"/>
    <mergeCell ref="B40:L40"/>
    <mergeCell ref="M40:O40"/>
    <mergeCell ref="B39:L39"/>
    <mergeCell ref="M39:O39"/>
    <mergeCell ref="P38:Q38"/>
    <mergeCell ref="P27:Q27"/>
    <mergeCell ref="P28:Q28"/>
    <mergeCell ref="P31:Q31"/>
    <mergeCell ref="P29:Q29"/>
    <mergeCell ref="P30:Q30"/>
    <mergeCell ref="B28:L28"/>
    <mergeCell ref="M28:O28"/>
    <mergeCell ref="M25:O25"/>
    <mergeCell ref="B26:L26"/>
    <mergeCell ref="M26:O26"/>
    <mergeCell ref="B27:L27"/>
    <mergeCell ref="M27:O27"/>
    <mergeCell ref="B31:L31"/>
    <mergeCell ref="B29:L29"/>
    <mergeCell ref="M29:O29"/>
    <mergeCell ref="M30:O30"/>
    <mergeCell ref="B30:L30"/>
  </mergeCells>
  <pageMargins left="0.7" right="0.7" top="0.75" bottom="0.75" header="0.3" footer="0.3"/>
  <pageSetup paperSize="256" scale="59" fitToHeight="0" orientation="landscape" horizontalDpi="4294967293"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81022-421C-4AA8-8D6F-F20F53F6DBB5}">
  <sheetPr>
    <pageSetUpPr fitToPage="1"/>
  </sheetPr>
  <dimension ref="A1:Z79"/>
  <sheetViews>
    <sheetView zoomScale="90" zoomScaleNormal="90" workbookViewId="0">
      <selection activeCell="L26" sqref="L26"/>
    </sheetView>
  </sheetViews>
  <sheetFormatPr defaultRowHeight="15" x14ac:dyDescent="0.25"/>
  <cols>
    <col min="1" max="1" width="40.140625" customWidth="1"/>
    <col min="2" max="2" width="16.7109375" hidden="1" customWidth="1"/>
    <col min="3" max="9" width="16.7109375" customWidth="1"/>
    <col min="10" max="11" width="17.85546875" customWidth="1"/>
    <col min="12" max="12" width="18.7109375" customWidth="1"/>
    <col min="13" max="13" width="13" customWidth="1"/>
    <col min="14" max="14" width="14" customWidth="1"/>
    <col min="15" max="15" width="13.28515625" customWidth="1"/>
    <col min="16" max="16" width="15.28515625" customWidth="1"/>
    <col min="17" max="17" width="13.5703125" customWidth="1"/>
    <col min="18" max="18" width="14" customWidth="1"/>
    <col min="19" max="19" width="12.85546875" customWidth="1"/>
    <col min="20" max="20" width="12.140625" customWidth="1"/>
    <col min="21" max="21" width="11.7109375" customWidth="1"/>
    <col min="22" max="22" width="12.28515625" customWidth="1"/>
    <col min="23" max="23" width="10.42578125" customWidth="1"/>
    <col min="24" max="25" width="12" customWidth="1"/>
    <col min="26" max="26" width="14.7109375" customWidth="1"/>
  </cols>
  <sheetData>
    <row r="1" spans="1:26" s="115" customFormat="1" ht="43.5" customHeight="1" thickBot="1" x14ac:dyDescent="0.3">
      <c r="C1" s="403" t="s">
        <v>1062</v>
      </c>
      <c r="D1" s="404"/>
      <c r="E1" s="404"/>
      <c r="F1" s="404"/>
      <c r="G1" s="404"/>
      <c r="H1" s="404"/>
      <c r="I1" s="405"/>
      <c r="J1" s="382"/>
      <c r="K1" s="383"/>
      <c r="L1" s="383"/>
      <c r="M1" s="383"/>
      <c r="N1" s="383"/>
      <c r="O1" s="383"/>
      <c r="P1" s="383"/>
      <c r="Q1" s="383"/>
      <c r="R1" s="383"/>
      <c r="S1" s="383"/>
      <c r="T1" s="383"/>
      <c r="U1" s="383"/>
      <c r="V1" s="383"/>
      <c r="W1" s="383"/>
      <c r="X1" s="383"/>
      <c r="Y1" s="383"/>
      <c r="Z1" s="384"/>
    </row>
    <row r="2" spans="1:26" ht="72.75" customHeight="1" thickBot="1" x14ac:dyDescent="0.3">
      <c r="A2" s="1"/>
      <c r="B2" s="98" t="s">
        <v>27</v>
      </c>
      <c r="C2" s="98" t="s">
        <v>1063</v>
      </c>
      <c r="D2" s="98" t="s">
        <v>1064</v>
      </c>
      <c r="E2" s="98" t="s">
        <v>1075</v>
      </c>
      <c r="F2" s="98" t="s">
        <v>1079</v>
      </c>
      <c r="G2" s="98" t="s">
        <v>1082</v>
      </c>
      <c r="H2" s="98" t="s">
        <v>1085</v>
      </c>
      <c r="I2" s="98" t="s">
        <v>1086</v>
      </c>
      <c r="J2" s="203" t="s">
        <v>810</v>
      </c>
      <c r="K2" s="5" t="s">
        <v>812</v>
      </c>
      <c r="L2" s="135" t="s">
        <v>815</v>
      </c>
      <c r="M2" s="204" t="s">
        <v>4</v>
      </c>
      <c r="N2" s="65" t="s">
        <v>5</v>
      </c>
      <c r="O2" s="205" t="s">
        <v>6</v>
      </c>
      <c r="P2" s="65" t="s">
        <v>7</v>
      </c>
      <c r="Q2" s="205" t="s">
        <v>8</v>
      </c>
      <c r="R2" s="65" t="s">
        <v>9</v>
      </c>
      <c r="S2" s="205" t="s">
        <v>10</v>
      </c>
      <c r="T2" s="65" t="s">
        <v>11</v>
      </c>
      <c r="U2" s="205" t="s">
        <v>12</v>
      </c>
      <c r="V2" s="65" t="s">
        <v>13</v>
      </c>
      <c r="W2" s="205" t="s">
        <v>14</v>
      </c>
      <c r="X2" s="65" t="s">
        <v>15</v>
      </c>
      <c r="Y2" s="66"/>
      <c r="Z2" s="10" t="s">
        <v>16</v>
      </c>
    </row>
    <row r="3" spans="1:26" ht="16.5" thickBot="1" x14ac:dyDescent="0.3">
      <c r="A3" s="60" t="s">
        <v>55</v>
      </c>
      <c r="B3" s="86"/>
      <c r="C3" s="86"/>
      <c r="D3" s="86"/>
      <c r="E3" s="86"/>
      <c r="F3" s="86"/>
      <c r="G3" s="86"/>
      <c r="H3" s="86"/>
      <c r="I3" s="86"/>
      <c r="J3" s="86"/>
      <c r="K3" s="91" t="s">
        <v>17</v>
      </c>
      <c r="L3" s="92"/>
      <c r="M3" s="106"/>
      <c r="N3" s="57"/>
      <c r="O3" s="88"/>
      <c r="P3" s="57"/>
      <c r="Q3" s="88"/>
      <c r="R3" s="57"/>
      <c r="S3" s="88"/>
      <c r="T3" s="57"/>
      <c r="U3" s="88"/>
      <c r="V3" s="57"/>
      <c r="W3" s="88"/>
      <c r="X3" s="57"/>
      <c r="Y3" s="106"/>
      <c r="Z3" s="57"/>
    </row>
    <row r="4" spans="1:26" ht="15.75" x14ac:dyDescent="0.25">
      <c r="A4" s="94" t="s">
        <v>99</v>
      </c>
      <c r="B4" s="58"/>
      <c r="C4" s="58"/>
      <c r="D4" s="58"/>
      <c r="E4" s="58"/>
      <c r="F4" s="58"/>
      <c r="G4" s="58"/>
      <c r="H4" s="58"/>
      <c r="I4" s="58"/>
      <c r="J4" s="59">
        <v>20000</v>
      </c>
      <c r="K4" s="89">
        <f>M4+N4+O4+P4+Q4+R4+S4+T4+U4+V4+W4+X4</f>
        <v>0</v>
      </c>
      <c r="L4" s="90">
        <f>C4+D4+E4+F4+G4+H4+I4+J4-K4</f>
        <v>20000</v>
      </c>
      <c r="M4" s="53"/>
      <c r="N4" s="53"/>
      <c r="O4" s="53"/>
      <c r="P4" s="53"/>
      <c r="Q4" s="53"/>
      <c r="R4" s="53"/>
      <c r="S4" s="53"/>
      <c r="T4" s="53"/>
      <c r="U4" s="53"/>
      <c r="V4" s="53"/>
      <c r="W4" s="53"/>
      <c r="X4" s="53"/>
      <c r="Y4" s="31"/>
      <c r="Z4" s="31">
        <f>SUM(M4:X4)</f>
        <v>0</v>
      </c>
    </row>
    <row r="5" spans="1:26" ht="15.75" x14ac:dyDescent="0.25">
      <c r="A5" s="94" t="s">
        <v>167</v>
      </c>
      <c r="B5" s="58"/>
      <c r="C5" s="58"/>
      <c r="D5" s="58"/>
      <c r="E5" s="58"/>
      <c r="F5" s="58"/>
      <c r="G5" s="58"/>
      <c r="H5" s="58"/>
      <c r="I5" s="58"/>
      <c r="J5" s="59"/>
      <c r="K5" s="89">
        <f t="shared" ref="K5:K25" si="0">M5+N5+O5+P5+Q5+R5+S5+T5+U5+V5+W5+X5</f>
        <v>2042900</v>
      </c>
      <c r="L5" s="90">
        <f t="shared" ref="L5:L25" si="1">C5+D5+E5+F5+G5+H5+I5+J5-K5</f>
        <v>-2042900</v>
      </c>
      <c r="M5" s="53">
        <f>132150+60275</f>
        <v>192425</v>
      </c>
      <c r="N5" s="53">
        <f>27200+23400</f>
        <v>50600</v>
      </c>
      <c r="O5" s="53">
        <f>539750</f>
        <v>539750</v>
      </c>
      <c r="P5" s="53">
        <f>427350</f>
        <v>427350</v>
      </c>
      <c r="Q5" s="53">
        <f>2700+393100</f>
        <v>395800</v>
      </c>
      <c r="R5" s="53">
        <f>313000</f>
        <v>313000</v>
      </c>
      <c r="S5" s="53">
        <f>27975</f>
        <v>27975</v>
      </c>
      <c r="T5" s="53">
        <f>32400</f>
        <v>32400</v>
      </c>
      <c r="U5" s="53">
        <f>63600</f>
        <v>63600</v>
      </c>
      <c r="V5" s="53"/>
      <c r="W5" s="53"/>
      <c r="X5" s="53"/>
      <c r="Y5" s="31"/>
      <c r="Z5" s="31">
        <f t="shared" ref="Z5:Z25" si="2">SUM(M5:X5)</f>
        <v>2042900</v>
      </c>
    </row>
    <row r="6" spans="1:26" ht="15.75" x14ac:dyDescent="0.25">
      <c r="A6" s="94" t="s">
        <v>758</v>
      </c>
      <c r="B6" s="58"/>
      <c r="C6" s="58"/>
      <c r="D6" s="58"/>
      <c r="E6" s="58"/>
      <c r="F6" s="58"/>
      <c r="G6" s="58"/>
      <c r="H6" s="58"/>
      <c r="I6" s="58"/>
      <c r="J6" s="59"/>
      <c r="K6" s="89">
        <f t="shared" si="0"/>
        <v>603748.92000000004</v>
      </c>
      <c r="L6" s="90">
        <f t="shared" si="1"/>
        <v>-603748.92000000004</v>
      </c>
      <c r="M6" s="53"/>
      <c r="N6" s="53">
        <f>224032.25</f>
        <v>224032.25</v>
      </c>
      <c r="O6" s="53">
        <v>185333.92</v>
      </c>
      <c r="P6" s="53">
        <v>134178</v>
      </c>
      <c r="Q6" s="53"/>
      <c r="R6" s="53"/>
      <c r="S6" s="53"/>
      <c r="T6" s="53">
        <f>53486.8+6717.95</f>
        <v>60204.75</v>
      </c>
      <c r="U6" s="53"/>
      <c r="V6" s="53"/>
      <c r="W6" s="53"/>
      <c r="X6" s="53"/>
      <c r="Y6" s="31"/>
      <c r="Z6" s="31">
        <f t="shared" si="2"/>
        <v>603748.92000000004</v>
      </c>
    </row>
    <row r="7" spans="1:26" ht="15.75" x14ac:dyDescent="0.25">
      <c r="A7" s="13" t="s">
        <v>98</v>
      </c>
      <c r="B7" s="15"/>
      <c r="C7" s="15"/>
      <c r="D7" s="15"/>
      <c r="E7" s="15"/>
      <c r="F7" s="15"/>
      <c r="G7" s="15"/>
      <c r="H7" s="15"/>
      <c r="I7" s="15"/>
      <c r="J7" s="16">
        <v>150000</v>
      </c>
      <c r="K7" s="89">
        <f t="shared" si="0"/>
        <v>1850</v>
      </c>
      <c r="L7" s="90">
        <f t="shared" si="1"/>
        <v>148150</v>
      </c>
      <c r="M7" s="19"/>
      <c r="N7" s="19"/>
      <c r="O7" s="19"/>
      <c r="P7" s="19"/>
      <c r="Q7" s="19"/>
      <c r="R7" s="19"/>
      <c r="S7" s="19"/>
      <c r="T7" s="19"/>
      <c r="U7" s="19"/>
      <c r="V7" s="19">
        <f>1850</f>
        <v>1850</v>
      </c>
      <c r="W7" s="19"/>
      <c r="X7" s="19"/>
      <c r="Y7" s="31"/>
      <c r="Z7" s="31">
        <f t="shared" si="2"/>
        <v>1850</v>
      </c>
    </row>
    <row r="8" spans="1:26" ht="15.75" x14ac:dyDescent="0.25">
      <c r="A8" s="13" t="s">
        <v>96</v>
      </c>
      <c r="B8" s="15"/>
      <c r="C8" s="15"/>
      <c r="D8" s="15"/>
      <c r="E8" s="15"/>
      <c r="F8" s="15"/>
      <c r="G8" s="15"/>
      <c r="H8" s="15"/>
      <c r="I8" s="15"/>
      <c r="J8" s="16">
        <v>10000</v>
      </c>
      <c r="K8" s="89">
        <f t="shared" si="0"/>
        <v>0</v>
      </c>
      <c r="L8" s="90">
        <f t="shared" si="1"/>
        <v>10000</v>
      </c>
      <c r="M8" s="19"/>
      <c r="N8" s="19"/>
      <c r="O8" s="19"/>
      <c r="P8" s="19"/>
      <c r="Q8" s="19"/>
      <c r="R8" s="19"/>
      <c r="S8" s="19"/>
      <c r="T8" s="19"/>
      <c r="U8" s="19"/>
      <c r="V8" s="19"/>
      <c r="W8" s="19"/>
      <c r="X8" s="19"/>
      <c r="Y8" s="31"/>
      <c r="Z8" s="31">
        <f t="shared" si="2"/>
        <v>0</v>
      </c>
    </row>
    <row r="9" spans="1:26" ht="15.75" x14ac:dyDescent="0.25">
      <c r="A9" s="13" t="s">
        <v>58</v>
      </c>
      <c r="B9" s="15"/>
      <c r="C9" s="15"/>
      <c r="D9" s="15">
        <v>70000</v>
      </c>
      <c r="E9" s="15">
        <v>10000</v>
      </c>
      <c r="F9" s="15"/>
      <c r="G9" s="15">
        <v>200000</v>
      </c>
      <c r="H9" s="15"/>
      <c r="I9" s="15"/>
      <c r="J9" s="16"/>
      <c r="K9" s="89">
        <f t="shared" si="0"/>
        <v>431488</v>
      </c>
      <c r="L9" s="90">
        <f t="shared" si="1"/>
        <v>-151488</v>
      </c>
      <c r="M9" s="19"/>
      <c r="N9" s="19"/>
      <c r="O9" s="19"/>
      <c r="P9" s="19"/>
      <c r="Q9" s="19"/>
      <c r="R9" s="19">
        <f>19020+10920+3348</f>
        <v>33288</v>
      </c>
      <c r="S9" s="19">
        <f>87800+230400</f>
        <v>318200</v>
      </c>
      <c r="T9" s="19"/>
      <c r="U9" s="19"/>
      <c r="V9" s="19">
        <v>80000</v>
      </c>
      <c r="W9" s="19"/>
      <c r="X9" s="19"/>
      <c r="Y9" s="31"/>
      <c r="Z9" s="31">
        <f t="shared" si="2"/>
        <v>431488</v>
      </c>
    </row>
    <row r="10" spans="1:26" ht="15.75" x14ac:dyDescent="0.25">
      <c r="A10" s="13" t="s">
        <v>664</v>
      </c>
      <c r="B10" s="15"/>
      <c r="C10" s="15">
        <v>10000</v>
      </c>
      <c r="D10" s="15">
        <v>10000</v>
      </c>
      <c r="E10" s="15">
        <v>10000</v>
      </c>
      <c r="F10" s="15"/>
      <c r="G10" s="15"/>
      <c r="H10" s="15">
        <v>7000</v>
      </c>
      <c r="I10" s="15">
        <v>7000</v>
      </c>
      <c r="J10" s="16"/>
      <c r="K10" s="89">
        <f t="shared" si="0"/>
        <v>1500</v>
      </c>
      <c r="L10" s="90">
        <f t="shared" si="1"/>
        <v>42500</v>
      </c>
      <c r="M10" s="19"/>
      <c r="N10" s="19"/>
      <c r="O10" s="19"/>
      <c r="P10" s="19"/>
      <c r="Q10" s="19"/>
      <c r="R10" s="19"/>
      <c r="S10" s="19">
        <f>1500</f>
        <v>1500</v>
      </c>
      <c r="T10" s="19"/>
      <c r="U10" s="19"/>
      <c r="V10" s="19"/>
      <c r="W10" s="19"/>
      <c r="X10" s="19"/>
      <c r="Y10" s="31"/>
      <c r="Z10" s="31">
        <f t="shared" si="2"/>
        <v>1500</v>
      </c>
    </row>
    <row r="11" spans="1:26" ht="15.75" x14ac:dyDescent="0.25">
      <c r="A11" s="13" t="s">
        <v>1067</v>
      </c>
      <c r="B11" s="15"/>
      <c r="C11" s="15">
        <v>29710.25</v>
      </c>
      <c r="D11" s="15"/>
      <c r="E11" s="15"/>
      <c r="F11" s="15"/>
      <c r="G11" s="15"/>
      <c r="H11" s="15"/>
      <c r="I11" s="15"/>
      <c r="J11" s="16"/>
      <c r="K11" s="89"/>
      <c r="L11" s="90">
        <f t="shared" si="1"/>
        <v>29710.25</v>
      </c>
      <c r="M11" s="19"/>
      <c r="N11" s="19"/>
      <c r="O11" s="19"/>
      <c r="P11" s="19"/>
      <c r="Q11" s="19"/>
      <c r="R11" s="19"/>
      <c r="S11" s="19"/>
      <c r="T11" s="19"/>
      <c r="U11" s="19"/>
      <c r="V11" s="19"/>
      <c r="W11" s="19"/>
      <c r="X11" s="19"/>
      <c r="Y11" s="31"/>
      <c r="Z11" s="31"/>
    </row>
    <row r="12" spans="1:26" ht="15.75" x14ac:dyDescent="0.25">
      <c r="A12" s="13" t="s">
        <v>926</v>
      </c>
      <c r="B12" s="15"/>
      <c r="C12" s="15"/>
      <c r="D12" s="15"/>
      <c r="E12" s="15"/>
      <c r="F12" s="15"/>
      <c r="G12" s="15"/>
      <c r="H12" s="15"/>
      <c r="I12" s="15"/>
      <c r="J12" s="16">
        <v>150000</v>
      </c>
      <c r="K12" s="89">
        <f t="shared" si="0"/>
        <v>32596</v>
      </c>
      <c r="L12" s="90">
        <f t="shared" si="1"/>
        <v>117404</v>
      </c>
      <c r="M12" s="19"/>
      <c r="N12" s="19"/>
      <c r="O12" s="19"/>
      <c r="P12" s="19"/>
      <c r="Q12" s="19"/>
      <c r="R12" s="19">
        <v>26396</v>
      </c>
      <c r="S12" s="19"/>
      <c r="T12" s="19"/>
      <c r="U12" s="19">
        <v>6200</v>
      </c>
      <c r="V12" s="19"/>
      <c r="W12" s="19"/>
      <c r="X12" s="19"/>
      <c r="Y12" s="31"/>
      <c r="Z12" s="31">
        <f t="shared" si="2"/>
        <v>32596</v>
      </c>
    </row>
    <row r="13" spans="1:26" ht="15.75" x14ac:dyDescent="0.25">
      <c r="A13" s="13" t="s">
        <v>253</v>
      </c>
      <c r="B13" s="15"/>
      <c r="C13" s="15"/>
      <c r="D13" s="15"/>
      <c r="E13" s="15"/>
      <c r="F13" s="15"/>
      <c r="G13" s="15"/>
      <c r="H13" s="15"/>
      <c r="I13" s="15"/>
      <c r="J13" s="16"/>
      <c r="K13" s="89">
        <f t="shared" si="0"/>
        <v>6200</v>
      </c>
      <c r="L13" s="90">
        <f t="shared" si="1"/>
        <v>-6200</v>
      </c>
      <c r="M13" s="19"/>
      <c r="N13" s="19"/>
      <c r="O13" s="19"/>
      <c r="P13" s="19"/>
      <c r="Q13" s="19"/>
      <c r="R13" s="19"/>
      <c r="S13" s="19"/>
      <c r="T13" s="19"/>
      <c r="U13" s="19">
        <f>6200</f>
        <v>6200</v>
      </c>
      <c r="V13" s="19"/>
      <c r="W13" s="19"/>
      <c r="X13" s="19"/>
      <c r="Y13" s="31"/>
      <c r="Z13" s="31">
        <f t="shared" si="2"/>
        <v>6200</v>
      </c>
    </row>
    <row r="14" spans="1:26" ht="15.75" x14ac:dyDescent="0.25">
      <c r="A14" s="13" t="s">
        <v>1066</v>
      </c>
      <c r="B14" s="15"/>
      <c r="C14" s="15">
        <v>8200</v>
      </c>
      <c r="D14" s="15">
        <v>5000</v>
      </c>
      <c r="E14" s="15"/>
      <c r="F14" s="15"/>
      <c r="G14" s="15">
        <v>5891.77</v>
      </c>
      <c r="H14" s="15"/>
      <c r="I14" s="15"/>
      <c r="J14" s="16"/>
      <c r="K14" s="89"/>
      <c r="L14" s="90">
        <f t="shared" si="1"/>
        <v>19091.77</v>
      </c>
      <c r="M14" s="19"/>
      <c r="N14" s="19"/>
      <c r="O14" s="19"/>
      <c r="P14" s="19"/>
      <c r="Q14" s="19"/>
      <c r="R14" s="19"/>
      <c r="S14" s="19"/>
      <c r="T14" s="19"/>
      <c r="U14" s="19"/>
      <c r="V14" s="19"/>
      <c r="W14" s="19"/>
      <c r="X14" s="19"/>
      <c r="Y14" s="31"/>
      <c r="Z14" s="31"/>
    </row>
    <row r="15" spans="1:26" ht="15.75" x14ac:dyDescent="0.25">
      <c r="A15" s="13" t="s">
        <v>103</v>
      </c>
      <c r="B15" s="15"/>
      <c r="C15" s="15">
        <v>20000</v>
      </c>
      <c r="D15" s="15">
        <v>20000</v>
      </c>
      <c r="E15" s="15">
        <v>20000</v>
      </c>
      <c r="F15" s="15"/>
      <c r="G15" s="15"/>
      <c r="H15" s="15"/>
      <c r="I15" s="15"/>
      <c r="J15" s="16"/>
      <c r="K15" s="89">
        <f t="shared" si="0"/>
        <v>30642</v>
      </c>
      <c r="L15" s="90">
        <f t="shared" si="1"/>
        <v>29358</v>
      </c>
      <c r="M15" s="19"/>
      <c r="N15" s="19">
        <f>3700+1150+4700</f>
        <v>9550</v>
      </c>
      <c r="O15" s="19"/>
      <c r="P15" s="19">
        <f>1950</f>
        <v>1950</v>
      </c>
      <c r="Q15" s="19"/>
      <c r="R15" s="19">
        <f>1000+1000</f>
        <v>2000</v>
      </c>
      <c r="S15" s="19">
        <f>3650+6192+900</f>
        <v>10742</v>
      </c>
      <c r="T15" s="19"/>
      <c r="U15" s="19"/>
      <c r="V15" s="19">
        <f>1850+850+850+2000+850</f>
        <v>6400</v>
      </c>
      <c r="W15" s="19"/>
      <c r="X15" s="19"/>
      <c r="Y15" s="31"/>
      <c r="Z15" s="31">
        <f t="shared" si="2"/>
        <v>30642</v>
      </c>
    </row>
    <row r="16" spans="1:26" ht="15.75" x14ac:dyDescent="0.25">
      <c r="A16" s="13" t="s">
        <v>1076</v>
      </c>
      <c r="B16" s="15"/>
      <c r="C16" s="15"/>
      <c r="D16" s="15">
        <v>5150</v>
      </c>
      <c r="E16" s="15"/>
      <c r="F16" s="15"/>
      <c r="G16" s="15"/>
      <c r="H16" s="15"/>
      <c r="I16" s="15"/>
      <c r="J16" s="16"/>
      <c r="K16" s="89"/>
      <c r="L16" s="90">
        <f t="shared" si="1"/>
        <v>5150</v>
      </c>
      <c r="M16" s="19"/>
      <c r="N16" s="19"/>
      <c r="O16" s="19"/>
      <c r="P16" s="19"/>
      <c r="Q16" s="19"/>
      <c r="R16" s="19"/>
      <c r="S16" s="19"/>
      <c r="T16" s="19"/>
      <c r="U16" s="19"/>
      <c r="V16" s="19"/>
      <c r="W16" s="19"/>
      <c r="X16" s="19"/>
      <c r="Y16" s="31"/>
      <c r="Z16" s="31"/>
    </row>
    <row r="17" spans="1:26" ht="15.75" x14ac:dyDescent="0.25">
      <c r="A17" s="13" t="s">
        <v>29</v>
      </c>
      <c r="B17" s="15"/>
      <c r="C17" s="15">
        <v>20000</v>
      </c>
      <c r="D17" s="15">
        <v>15000</v>
      </c>
      <c r="E17" s="15">
        <v>5000</v>
      </c>
      <c r="F17" s="15">
        <v>25000</v>
      </c>
      <c r="G17" s="15"/>
      <c r="H17" s="15"/>
      <c r="I17" s="15"/>
      <c r="J17" s="16">
        <v>152695</v>
      </c>
      <c r="K17" s="89">
        <f t="shared" si="0"/>
        <v>50149</v>
      </c>
      <c r="L17" s="90">
        <f t="shared" si="1"/>
        <v>167546</v>
      </c>
      <c r="M17" s="19"/>
      <c r="N17" s="19"/>
      <c r="O17" s="19"/>
      <c r="P17" s="19"/>
      <c r="Q17" s="19">
        <f>22230</f>
        <v>22230</v>
      </c>
      <c r="R17" s="19"/>
      <c r="S17" s="19">
        <f>26364+1555</f>
        <v>27919</v>
      </c>
      <c r="T17" s="19"/>
      <c r="U17" s="19"/>
      <c r="V17" s="19"/>
      <c r="W17" s="19"/>
      <c r="X17" s="19"/>
      <c r="Y17" s="31"/>
      <c r="Z17" s="31">
        <f t="shared" si="2"/>
        <v>50149</v>
      </c>
    </row>
    <row r="18" spans="1:26" ht="15.75" x14ac:dyDescent="0.25">
      <c r="A18" s="13" t="s">
        <v>56</v>
      </c>
      <c r="B18" s="15"/>
      <c r="C18" s="15"/>
      <c r="D18" s="15"/>
      <c r="E18" s="15"/>
      <c r="F18" s="15"/>
      <c r="G18" s="15"/>
      <c r="H18" s="15"/>
      <c r="I18" s="15"/>
      <c r="J18" s="16">
        <v>450450</v>
      </c>
      <c r="K18" s="89">
        <f t="shared" si="0"/>
        <v>0</v>
      </c>
      <c r="L18" s="90">
        <f t="shared" si="1"/>
        <v>450450</v>
      </c>
      <c r="M18" s="19"/>
      <c r="N18" s="19"/>
      <c r="O18" s="19"/>
      <c r="P18" s="19"/>
      <c r="Q18" s="19"/>
      <c r="R18" s="19"/>
      <c r="S18" s="19"/>
      <c r="T18" s="19"/>
      <c r="U18" s="19"/>
      <c r="V18" s="19"/>
      <c r="W18" s="19"/>
      <c r="X18" s="19"/>
      <c r="Y18" s="31"/>
      <c r="Z18" s="31">
        <f t="shared" si="2"/>
        <v>0</v>
      </c>
    </row>
    <row r="19" spans="1:26" ht="15.75" x14ac:dyDescent="0.25">
      <c r="A19" s="13" t="s">
        <v>57</v>
      </c>
      <c r="B19" s="15"/>
      <c r="C19" s="15"/>
      <c r="D19" s="15"/>
      <c r="E19" s="15"/>
      <c r="F19" s="15"/>
      <c r="G19" s="15"/>
      <c r="H19" s="15"/>
      <c r="I19" s="15"/>
      <c r="J19" s="16">
        <v>1295470</v>
      </c>
      <c r="K19" s="89">
        <f t="shared" si="0"/>
        <v>0</v>
      </c>
      <c r="L19" s="90">
        <f t="shared" si="1"/>
        <v>1295470</v>
      </c>
      <c r="M19" s="19"/>
      <c r="N19" s="19"/>
      <c r="O19" s="19"/>
      <c r="P19" s="19"/>
      <c r="Q19" s="19"/>
      <c r="R19" s="19"/>
      <c r="S19" s="19"/>
      <c r="T19" s="19"/>
      <c r="U19" s="19"/>
      <c r="V19" s="19"/>
      <c r="W19" s="19"/>
      <c r="X19" s="19"/>
      <c r="Y19" s="31"/>
      <c r="Z19" s="31">
        <f t="shared" si="2"/>
        <v>0</v>
      </c>
    </row>
    <row r="20" spans="1:26" ht="15.75" x14ac:dyDescent="0.25">
      <c r="A20" s="23" t="s">
        <v>38</v>
      </c>
      <c r="B20" s="15"/>
      <c r="C20" s="15"/>
      <c r="D20" s="15"/>
      <c r="E20" s="15"/>
      <c r="F20" s="15"/>
      <c r="G20" s="15"/>
      <c r="H20" s="15"/>
      <c r="I20" s="15"/>
      <c r="J20" s="16"/>
      <c r="K20" s="89">
        <f t="shared" si="0"/>
        <v>0</v>
      </c>
      <c r="L20" s="90">
        <f t="shared" si="1"/>
        <v>0</v>
      </c>
      <c r="M20" s="19"/>
      <c r="N20" s="19"/>
      <c r="O20" s="19"/>
      <c r="P20" s="19"/>
      <c r="Q20" s="19"/>
      <c r="R20" s="19"/>
      <c r="S20" s="19"/>
      <c r="T20" s="19"/>
      <c r="U20" s="19"/>
      <c r="V20" s="19"/>
      <c r="W20" s="19"/>
      <c r="X20" s="19"/>
      <c r="Y20" s="31"/>
      <c r="Z20" s="31">
        <f t="shared" si="2"/>
        <v>0</v>
      </c>
    </row>
    <row r="21" spans="1:26" ht="15.75" x14ac:dyDescent="0.25">
      <c r="A21" s="20" t="s">
        <v>34</v>
      </c>
      <c r="B21" s="15"/>
      <c r="C21" s="15">
        <v>50000</v>
      </c>
      <c r="D21" s="15">
        <v>40000</v>
      </c>
      <c r="E21" s="15">
        <v>20000</v>
      </c>
      <c r="F21" s="15">
        <v>50000</v>
      </c>
      <c r="G21" s="15">
        <v>200000</v>
      </c>
      <c r="H21" s="15">
        <v>40220.32</v>
      </c>
      <c r="I21" s="15">
        <v>10000</v>
      </c>
      <c r="J21" s="16"/>
      <c r="K21" s="89">
        <f t="shared" si="0"/>
        <v>62070</v>
      </c>
      <c r="L21" s="90">
        <f t="shared" si="1"/>
        <v>348150.32</v>
      </c>
      <c r="M21" s="19"/>
      <c r="N21" s="19"/>
      <c r="O21" s="19"/>
      <c r="P21" s="19"/>
      <c r="Q21" s="19">
        <f>19990</f>
        <v>19990</v>
      </c>
      <c r="R21" s="19"/>
      <c r="S21" s="19"/>
      <c r="T21" s="19">
        <f>42080</f>
        <v>42080</v>
      </c>
      <c r="U21" s="19"/>
      <c r="V21" s="19"/>
      <c r="W21" s="19"/>
      <c r="X21" s="19"/>
      <c r="Y21" s="31"/>
      <c r="Z21" s="31">
        <f t="shared" si="2"/>
        <v>62070</v>
      </c>
    </row>
    <row r="22" spans="1:26" ht="15.75" x14ac:dyDescent="0.25">
      <c r="A22" s="20" t="s">
        <v>804</v>
      </c>
      <c r="B22" s="15"/>
      <c r="C22" s="15"/>
      <c r="D22" s="15"/>
      <c r="E22" s="15"/>
      <c r="F22" s="15"/>
      <c r="G22" s="15"/>
      <c r="H22" s="15"/>
      <c r="I22" s="15"/>
      <c r="J22" s="16"/>
      <c r="K22" s="89">
        <f t="shared" si="0"/>
        <v>73612.06</v>
      </c>
      <c r="L22" s="90">
        <f t="shared" si="1"/>
        <v>-73612.06</v>
      </c>
      <c r="M22" s="19">
        <f>6952.96</f>
        <v>6952.96</v>
      </c>
      <c r="N22" s="19">
        <f>4964.9+4331.7</f>
        <v>9296.5999999999985</v>
      </c>
      <c r="O22" s="19">
        <f>5030+5533</f>
        <v>10563</v>
      </c>
      <c r="P22" s="19">
        <f>3515.75+4005.1</f>
        <v>7520.85</v>
      </c>
      <c r="Q22" s="19">
        <f>3982</f>
        <v>3982</v>
      </c>
      <c r="R22" s="19"/>
      <c r="S22" s="19">
        <f>6015+4982.75</f>
        <v>10997.75</v>
      </c>
      <c r="T22" s="19">
        <f>3521+5506.75</f>
        <v>9027.75</v>
      </c>
      <c r="U22" s="19">
        <v>5533</v>
      </c>
      <c r="V22" s="19">
        <f>4733.35+5004.8</f>
        <v>9738.1500000000015</v>
      </c>
      <c r="W22" s="19"/>
      <c r="X22" s="19"/>
      <c r="Y22" s="31"/>
      <c r="Z22" s="31">
        <f t="shared" si="2"/>
        <v>73612.06</v>
      </c>
    </row>
    <row r="23" spans="1:26" ht="15.75" x14ac:dyDescent="0.25">
      <c r="A23" s="20" t="s">
        <v>31</v>
      </c>
      <c r="B23" s="15"/>
      <c r="C23" s="15"/>
      <c r="D23" s="15"/>
      <c r="E23" s="15"/>
      <c r="F23" s="15"/>
      <c r="G23" s="15"/>
      <c r="H23" s="15"/>
      <c r="I23" s="15"/>
      <c r="J23" s="16">
        <v>22000</v>
      </c>
      <c r="K23" s="89">
        <f t="shared" si="0"/>
        <v>0</v>
      </c>
      <c r="L23" s="90">
        <f t="shared" si="1"/>
        <v>22000</v>
      </c>
      <c r="M23" s="19"/>
      <c r="N23" s="19"/>
      <c r="O23" s="19"/>
      <c r="P23" s="19"/>
      <c r="Q23" s="19"/>
      <c r="R23" s="19"/>
      <c r="S23" s="19"/>
      <c r="T23" s="19"/>
      <c r="U23" s="19"/>
      <c r="V23" s="19"/>
      <c r="W23" s="19"/>
      <c r="X23" s="19"/>
      <c r="Y23" s="31"/>
      <c r="Z23" s="31">
        <f t="shared" si="2"/>
        <v>0</v>
      </c>
    </row>
    <row r="24" spans="1:26" ht="15.75" x14ac:dyDescent="0.25">
      <c r="A24" s="13" t="s">
        <v>32</v>
      </c>
      <c r="B24" s="15"/>
      <c r="C24" s="15"/>
      <c r="D24" s="15">
        <v>60000</v>
      </c>
      <c r="E24" s="15">
        <v>20000</v>
      </c>
      <c r="F24" s="15">
        <v>60000</v>
      </c>
      <c r="G24" s="15"/>
      <c r="H24" s="15"/>
      <c r="I24" s="15"/>
      <c r="J24" s="16"/>
      <c r="K24" s="89">
        <f t="shared" si="0"/>
        <v>659000</v>
      </c>
      <c r="L24" s="90">
        <f t="shared" si="1"/>
        <v>-519000</v>
      </c>
      <c r="M24" s="19"/>
      <c r="N24" s="19"/>
      <c r="O24" s="19"/>
      <c r="P24" s="19"/>
      <c r="Q24" s="19"/>
      <c r="R24" s="19">
        <f>659000</f>
        <v>659000</v>
      </c>
      <c r="S24" s="19"/>
      <c r="T24" s="19"/>
      <c r="U24" s="19"/>
      <c r="V24" s="19"/>
      <c r="W24" s="19"/>
      <c r="X24" s="19"/>
      <c r="Y24" s="31"/>
      <c r="Z24" s="31">
        <f t="shared" si="2"/>
        <v>659000</v>
      </c>
    </row>
    <row r="25" spans="1:26" ht="15.75" x14ac:dyDescent="0.25">
      <c r="A25" s="20" t="s">
        <v>21</v>
      </c>
      <c r="B25" s="15"/>
      <c r="C25" s="15">
        <v>270000</v>
      </c>
      <c r="D25" s="15">
        <v>215295.35999999999</v>
      </c>
      <c r="E25" s="15">
        <v>20000</v>
      </c>
      <c r="F25" s="15">
        <v>40000</v>
      </c>
      <c r="G25" s="15"/>
      <c r="H25" s="15">
        <v>20000</v>
      </c>
      <c r="I25" s="15"/>
      <c r="J25" s="16">
        <v>330000</v>
      </c>
      <c r="K25" s="89">
        <f t="shared" si="0"/>
        <v>146118.18</v>
      </c>
      <c r="L25" s="90">
        <f t="shared" si="1"/>
        <v>749177.17999999993</v>
      </c>
      <c r="M25" s="19"/>
      <c r="N25" s="19"/>
      <c r="O25" s="19"/>
      <c r="P25" s="19">
        <f>55965+14000+54864</f>
        <v>124829</v>
      </c>
      <c r="Q25" s="19">
        <f>5938.48</f>
        <v>5938.48</v>
      </c>
      <c r="R25" s="19"/>
      <c r="S25" s="19"/>
      <c r="T25" s="19">
        <f>6550+2900.48</f>
        <v>9450.48</v>
      </c>
      <c r="U25" s="19"/>
      <c r="V25" s="19">
        <f>5900.22</f>
        <v>5900.22</v>
      </c>
      <c r="W25" s="19"/>
      <c r="X25" s="19"/>
      <c r="Y25" s="31"/>
      <c r="Z25" s="31">
        <f t="shared" si="2"/>
        <v>146118.18</v>
      </c>
    </row>
    <row r="26" spans="1:26" ht="16.5" thickBot="1" x14ac:dyDescent="0.3">
      <c r="A26" s="25"/>
      <c r="B26" s="27">
        <f>SUM(B4:B25)</f>
        <v>0</v>
      </c>
      <c r="C26" s="27">
        <f>SUM(C4:C25)</f>
        <v>407910.25</v>
      </c>
      <c r="D26" s="27">
        <f t="shared" ref="D26:I26" si="3">SUM(D4:D25)</f>
        <v>440445.36</v>
      </c>
      <c r="E26" s="27">
        <f t="shared" si="3"/>
        <v>105000</v>
      </c>
      <c r="F26" s="27">
        <f t="shared" si="3"/>
        <v>175000</v>
      </c>
      <c r="G26" s="27">
        <f t="shared" si="3"/>
        <v>405891.77</v>
      </c>
      <c r="H26" s="27">
        <f t="shared" si="3"/>
        <v>67220.320000000007</v>
      </c>
      <c r="I26" s="27">
        <f t="shared" si="3"/>
        <v>17000</v>
      </c>
      <c r="J26" s="27">
        <f>SUM(J4:J25)</f>
        <v>2580615</v>
      </c>
      <c r="K26" s="27">
        <f t="shared" ref="K26:X26" si="4">SUM(K4:K25)</f>
        <v>4141874.16</v>
      </c>
      <c r="L26" s="27">
        <f>SUM(L4:L25)</f>
        <v>57208.540000000037</v>
      </c>
      <c r="M26" s="27">
        <f t="shared" si="4"/>
        <v>199377.96</v>
      </c>
      <c r="N26" s="27">
        <f t="shared" si="4"/>
        <v>293478.84999999998</v>
      </c>
      <c r="O26" s="27">
        <f t="shared" si="4"/>
        <v>735646.92</v>
      </c>
      <c r="P26" s="27">
        <f t="shared" si="4"/>
        <v>695827.85</v>
      </c>
      <c r="Q26" s="27">
        <f t="shared" si="4"/>
        <v>447940.48</v>
      </c>
      <c r="R26" s="27">
        <f t="shared" si="4"/>
        <v>1033684</v>
      </c>
      <c r="S26" s="27">
        <f t="shared" si="4"/>
        <v>397333.75</v>
      </c>
      <c r="T26" s="27">
        <f t="shared" si="4"/>
        <v>153162.98000000001</v>
      </c>
      <c r="U26" s="27">
        <f t="shared" si="4"/>
        <v>81533</v>
      </c>
      <c r="V26" s="27">
        <f t="shared" si="4"/>
        <v>103888.37</v>
      </c>
      <c r="W26" s="27">
        <f t="shared" si="4"/>
        <v>0</v>
      </c>
      <c r="X26" s="27">
        <f t="shared" si="4"/>
        <v>0</v>
      </c>
      <c r="Y26" s="26" t="s">
        <v>25</v>
      </c>
      <c r="Z26" s="67">
        <f>SUM(Z4:Z25)</f>
        <v>4141874.16</v>
      </c>
    </row>
    <row r="28" spans="1:26" ht="15.75" thickBot="1" x14ac:dyDescent="0.3"/>
    <row r="29" spans="1:26" ht="16.5" thickBot="1" x14ac:dyDescent="0.3">
      <c r="A29" s="136" t="s">
        <v>175</v>
      </c>
      <c r="B29" s="299" t="s">
        <v>188</v>
      </c>
      <c r="C29" s="300"/>
      <c r="D29" s="300"/>
      <c r="E29" s="300"/>
      <c r="F29" s="300"/>
      <c r="G29" s="300"/>
      <c r="H29" s="300"/>
      <c r="I29" s="300"/>
      <c r="J29" s="300"/>
      <c r="K29" s="300"/>
      <c r="L29" s="301"/>
      <c r="M29" s="299" t="s">
        <v>114</v>
      </c>
      <c r="N29" s="300"/>
      <c r="O29" s="301"/>
      <c r="P29" s="387" t="s">
        <v>113</v>
      </c>
      <c r="Q29" s="388"/>
    </row>
    <row r="30" spans="1:26" ht="30" customHeight="1" x14ac:dyDescent="0.25">
      <c r="A30" s="162" t="s">
        <v>176</v>
      </c>
      <c r="B30" s="276" t="s">
        <v>177</v>
      </c>
      <c r="C30" s="277"/>
      <c r="D30" s="277"/>
      <c r="E30" s="277"/>
      <c r="F30" s="277"/>
      <c r="G30" s="277"/>
      <c r="H30" s="277"/>
      <c r="I30" s="277"/>
      <c r="J30" s="277"/>
      <c r="K30" s="277"/>
      <c r="L30" s="278"/>
      <c r="M30" s="350" t="s">
        <v>654</v>
      </c>
      <c r="N30" s="370"/>
      <c r="O30" s="370"/>
      <c r="P30" s="389">
        <v>54864</v>
      </c>
      <c r="Q30" s="390"/>
    </row>
    <row r="31" spans="1:26" ht="30" customHeight="1" x14ac:dyDescent="0.25">
      <c r="A31" s="166" t="s">
        <v>180</v>
      </c>
      <c r="B31" s="263" t="s">
        <v>181</v>
      </c>
      <c r="C31" s="319"/>
      <c r="D31" s="319"/>
      <c r="E31" s="319"/>
      <c r="F31" s="319"/>
      <c r="G31" s="319"/>
      <c r="H31" s="319"/>
      <c r="I31" s="319"/>
      <c r="J31" s="319"/>
      <c r="K31" s="319"/>
      <c r="L31" s="294"/>
      <c r="M31" s="263" t="s">
        <v>655</v>
      </c>
      <c r="N31" s="319"/>
      <c r="O31" s="319"/>
      <c r="P31" s="331">
        <v>17500</v>
      </c>
      <c r="Q31" s="332"/>
    </row>
    <row r="32" spans="1:26" x14ac:dyDescent="0.25">
      <c r="A32" s="162" t="s">
        <v>176</v>
      </c>
      <c r="B32" s="263" t="s">
        <v>186</v>
      </c>
      <c r="C32" s="319"/>
      <c r="D32" s="319"/>
      <c r="E32" s="319"/>
      <c r="F32" s="319"/>
      <c r="G32" s="319"/>
      <c r="H32" s="319"/>
      <c r="I32" s="319"/>
      <c r="J32" s="319"/>
      <c r="K32" s="319"/>
      <c r="L32" s="294"/>
      <c r="M32" s="349" t="s">
        <v>187</v>
      </c>
      <c r="N32" s="264"/>
      <c r="O32" s="265"/>
      <c r="P32" s="331">
        <f>223860/4</f>
        <v>55965</v>
      </c>
      <c r="Q32" s="332"/>
    </row>
    <row r="33" spans="1:20" ht="30" customHeight="1" x14ac:dyDescent="0.25">
      <c r="A33" s="163" t="s">
        <v>19</v>
      </c>
      <c r="B33" s="350" t="s">
        <v>216</v>
      </c>
      <c r="C33" s="351"/>
      <c r="D33" s="351"/>
      <c r="E33" s="351"/>
      <c r="F33" s="351"/>
      <c r="G33" s="351"/>
      <c r="H33" s="351"/>
      <c r="I33" s="351"/>
      <c r="J33" s="351"/>
      <c r="K33" s="351"/>
      <c r="L33" s="352"/>
      <c r="M33" s="350" t="s">
        <v>217</v>
      </c>
      <c r="N33" s="370"/>
      <c r="O33" s="370"/>
      <c r="P33" s="373">
        <v>22230</v>
      </c>
      <c r="Q33" s="374"/>
    </row>
    <row r="34" spans="1:20" ht="31.5" customHeight="1" x14ac:dyDescent="0.25">
      <c r="A34" s="163" t="s">
        <v>173</v>
      </c>
      <c r="B34" s="350" t="s">
        <v>259</v>
      </c>
      <c r="C34" s="351"/>
      <c r="D34" s="351"/>
      <c r="E34" s="351"/>
      <c r="F34" s="351"/>
      <c r="G34" s="351"/>
      <c r="H34" s="351"/>
      <c r="I34" s="351"/>
      <c r="J34" s="351"/>
      <c r="K34" s="351"/>
      <c r="L34" s="352"/>
      <c r="M34" s="350" t="s">
        <v>260</v>
      </c>
      <c r="N34" s="370"/>
      <c r="O34" s="370"/>
      <c r="P34" s="373">
        <v>19990</v>
      </c>
      <c r="Q34" s="374"/>
    </row>
    <row r="35" spans="1:20" ht="15.75" customHeight="1" x14ac:dyDescent="0.25">
      <c r="A35" s="162" t="s">
        <v>256</v>
      </c>
      <c r="B35" s="276" t="s">
        <v>280</v>
      </c>
      <c r="C35" s="277"/>
      <c r="D35" s="277"/>
      <c r="E35" s="277"/>
      <c r="F35" s="277"/>
      <c r="G35" s="277"/>
      <c r="H35" s="277"/>
      <c r="I35" s="277"/>
      <c r="J35" s="277"/>
      <c r="K35" s="277"/>
      <c r="L35" s="278"/>
      <c r="M35" s="284" t="s">
        <v>258</v>
      </c>
      <c r="N35" s="321"/>
      <c r="O35" s="321"/>
      <c r="P35" s="331">
        <v>50000</v>
      </c>
      <c r="Q35" s="332"/>
    </row>
    <row r="36" spans="1:20" ht="31.5" customHeight="1" x14ac:dyDescent="0.25">
      <c r="A36" s="163" t="s">
        <v>571</v>
      </c>
      <c r="B36" s="263" t="s">
        <v>572</v>
      </c>
      <c r="C36" s="319"/>
      <c r="D36" s="319"/>
      <c r="E36" s="319"/>
      <c r="F36" s="319"/>
      <c r="G36" s="319"/>
      <c r="H36" s="319"/>
      <c r="I36" s="319"/>
      <c r="J36" s="319"/>
      <c r="K36" s="319"/>
      <c r="L36" s="294"/>
      <c r="M36" s="350" t="s">
        <v>573</v>
      </c>
      <c r="N36" s="370"/>
      <c r="O36" s="370"/>
      <c r="P36" s="331">
        <v>19020</v>
      </c>
      <c r="Q36" s="332"/>
    </row>
    <row r="37" spans="1:20" ht="31.5" customHeight="1" x14ac:dyDescent="0.25">
      <c r="A37" s="163" t="s">
        <v>574</v>
      </c>
      <c r="B37" s="263" t="s">
        <v>575</v>
      </c>
      <c r="C37" s="319"/>
      <c r="D37" s="319"/>
      <c r="E37" s="319"/>
      <c r="F37" s="319"/>
      <c r="G37" s="319"/>
      <c r="H37" s="319"/>
      <c r="I37" s="319"/>
      <c r="J37" s="319"/>
      <c r="K37" s="319"/>
      <c r="L37" s="294"/>
      <c r="M37" s="350" t="s">
        <v>576</v>
      </c>
      <c r="N37" s="370"/>
      <c r="O37" s="370"/>
      <c r="P37" s="331">
        <v>659000</v>
      </c>
      <c r="Q37" s="332"/>
    </row>
    <row r="38" spans="1:20" ht="31.5" customHeight="1" x14ac:dyDescent="0.25">
      <c r="A38" s="163" t="s">
        <v>619</v>
      </c>
      <c r="B38" s="263" t="s">
        <v>620</v>
      </c>
      <c r="C38" s="319"/>
      <c r="D38" s="319"/>
      <c r="E38" s="319"/>
      <c r="F38" s="319"/>
      <c r="G38" s="319"/>
      <c r="H38" s="319"/>
      <c r="I38" s="319"/>
      <c r="J38" s="319"/>
      <c r="K38" s="319"/>
      <c r="L38" s="294"/>
      <c r="M38" s="263" t="s">
        <v>621</v>
      </c>
      <c r="N38" s="264"/>
      <c r="O38" s="265"/>
      <c r="P38" s="331">
        <v>10920</v>
      </c>
      <c r="Q38" s="332"/>
    </row>
    <row r="39" spans="1:20" ht="31.5" customHeight="1" x14ac:dyDescent="0.25">
      <c r="A39" s="163" t="s">
        <v>619</v>
      </c>
      <c r="B39" s="263" t="s">
        <v>622</v>
      </c>
      <c r="C39" s="319"/>
      <c r="D39" s="319"/>
      <c r="E39" s="319"/>
      <c r="F39" s="319"/>
      <c r="G39" s="319"/>
      <c r="H39" s="319"/>
      <c r="I39" s="319"/>
      <c r="J39" s="319"/>
      <c r="K39" s="319"/>
      <c r="L39" s="294"/>
      <c r="M39" s="263" t="s">
        <v>623</v>
      </c>
      <c r="N39" s="264"/>
      <c r="O39" s="265"/>
      <c r="P39" s="331">
        <v>3348</v>
      </c>
      <c r="Q39" s="332"/>
    </row>
    <row r="40" spans="1:20" ht="31.5" customHeight="1" x14ac:dyDescent="0.25">
      <c r="A40" s="163" t="s">
        <v>180</v>
      </c>
      <c r="B40" s="263" t="s">
        <v>730</v>
      </c>
      <c r="C40" s="319"/>
      <c r="D40" s="319"/>
      <c r="E40" s="319"/>
      <c r="F40" s="319"/>
      <c r="G40" s="319"/>
      <c r="H40" s="319"/>
      <c r="I40" s="319"/>
      <c r="J40" s="319"/>
      <c r="K40" s="319"/>
      <c r="L40" s="294"/>
      <c r="M40" s="263" t="s">
        <v>728</v>
      </c>
      <c r="N40" s="264"/>
      <c r="O40" s="265"/>
      <c r="P40" s="331">
        <v>4812.5</v>
      </c>
      <c r="Q40" s="332"/>
    </row>
    <row r="41" spans="1:20" ht="48.75" customHeight="1" x14ac:dyDescent="0.25">
      <c r="A41" s="163" t="s">
        <v>738</v>
      </c>
      <c r="B41" s="263" t="s">
        <v>739</v>
      </c>
      <c r="C41" s="319"/>
      <c r="D41" s="319"/>
      <c r="E41" s="319"/>
      <c r="F41" s="319"/>
      <c r="G41" s="319"/>
      <c r="H41" s="319"/>
      <c r="I41" s="319"/>
      <c r="J41" s="319"/>
      <c r="K41" s="319"/>
      <c r="L41" s="294"/>
      <c r="M41" s="263" t="s">
        <v>740</v>
      </c>
      <c r="N41" s="264"/>
      <c r="O41" s="265"/>
      <c r="P41" s="331">
        <v>42080</v>
      </c>
      <c r="Q41" s="332"/>
    </row>
    <row r="42" spans="1:20" ht="32.25" customHeight="1" x14ac:dyDescent="0.25">
      <c r="A42" s="166" t="s">
        <v>752</v>
      </c>
      <c r="B42" s="263" t="s">
        <v>186</v>
      </c>
      <c r="C42" s="319"/>
      <c r="D42" s="319"/>
      <c r="E42" s="319"/>
      <c r="F42" s="319"/>
      <c r="G42" s="319"/>
      <c r="H42" s="319"/>
      <c r="I42" s="319"/>
      <c r="J42" s="319"/>
      <c r="K42" s="319"/>
      <c r="L42" s="294"/>
      <c r="M42" s="263" t="s">
        <v>749</v>
      </c>
      <c r="N42" s="264"/>
      <c r="O42" s="265"/>
      <c r="P42" s="331">
        <v>6550</v>
      </c>
      <c r="Q42" s="332"/>
    </row>
    <row r="43" spans="1:20" ht="35.25" customHeight="1" x14ac:dyDescent="0.25">
      <c r="A43" s="166" t="s">
        <v>873</v>
      </c>
      <c r="B43" s="263" t="s">
        <v>874</v>
      </c>
      <c r="C43" s="319"/>
      <c r="D43" s="319"/>
      <c r="E43" s="319"/>
      <c r="F43" s="319"/>
      <c r="G43" s="319"/>
      <c r="H43" s="319"/>
      <c r="I43" s="319"/>
      <c r="J43" s="319"/>
      <c r="K43" s="319"/>
      <c r="L43" s="294"/>
      <c r="M43" s="263" t="s">
        <v>875</v>
      </c>
      <c r="N43" s="264"/>
      <c r="O43" s="265"/>
      <c r="P43" s="331">
        <v>6200</v>
      </c>
      <c r="Q43" s="332"/>
    </row>
    <row r="44" spans="1:20" ht="30.75" customHeight="1" x14ac:dyDescent="0.25">
      <c r="A44" s="166" t="s">
        <v>986</v>
      </c>
      <c r="B44" s="263" t="s">
        <v>987</v>
      </c>
      <c r="C44" s="319"/>
      <c r="D44" s="319"/>
      <c r="E44" s="319"/>
      <c r="F44" s="319"/>
      <c r="G44" s="319"/>
      <c r="H44" s="319"/>
      <c r="I44" s="319"/>
      <c r="J44" s="319"/>
      <c r="K44" s="319"/>
      <c r="L44" s="294"/>
      <c r="M44" s="263" t="s">
        <v>988</v>
      </c>
      <c r="N44" s="264"/>
      <c r="O44" s="265"/>
      <c r="P44" s="331">
        <v>80000</v>
      </c>
      <c r="Q44" s="332"/>
    </row>
    <row r="45" spans="1:20" x14ac:dyDescent="0.25">
      <c r="A45" s="166"/>
      <c r="B45" s="304"/>
      <c r="C45" s="305"/>
      <c r="D45" s="305"/>
      <c r="E45" s="305"/>
      <c r="F45" s="305"/>
      <c r="G45" s="305"/>
      <c r="H45" s="305"/>
      <c r="I45" s="305"/>
      <c r="J45" s="305"/>
      <c r="K45" s="305"/>
      <c r="L45" s="306"/>
      <c r="M45" s="392"/>
      <c r="N45" s="393"/>
      <c r="O45" s="393"/>
      <c r="P45" s="373"/>
      <c r="Q45" s="374"/>
      <c r="T45" t="s">
        <v>117</v>
      </c>
    </row>
    <row r="46" spans="1:20" x14ac:dyDescent="0.25">
      <c r="A46" s="190"/>
      <c r="B46" s="245"/>
      <c r="C46" s="385"/>
      <c r="D46" s="385"/>
      <c r="E46" s="385"/>
      <c r="F46" s="385"/>
      <c r="G46" s="385"/>
      <c r="H46" s="385"/>
      <c r="I46" s="385"/>
      <c r="J46" s="385"/>
      <c r="K46" s="385"/>
      <c r="L46" s="386"/>
      <c r="M46" s="349"/>
      <c r="N46" s="264"/>
      <c r="O46" s="265"/>
      <c r="P46" s="331"/>
      <c r="Q46" s="332"/>
    </row>
    <row r="47" spans="1:20" ht="15.75" thickBot="1" x14ac:dyDescent="0.3">
      <c r="A47" s="193"/>
      <c r="B47" s="291"/>
      <c r="C47" s="292"/>
      <c r="D47" s="292"/>
      <c r="E47" s="292"/>
      <c r="F47" s="292"/>
      <c r="G47" s="292"/>
      <c r="H47" s="292"/>
      <c r="I47" s="292"/>
      <c r="J47" s="292"/>
      <c r="K47" s="292"/>
      <c r="L47" s="293"/>
      <c r="M47" s="291"/>
      <c r="N47" s="292"/>
      <c r="O47" s="293"/>
      <c r="P47" s="297"/>
      <c r="Q47" s="298"/>
    </row>
    <row r="48" spans="1:20" ht="15.75" thickBot="1" x14ac:dyDescent="0.3">
      <c r="A48" s="85"/>
      <c r="B48" s="269"/>
      <c r="C48" s="270"/>
      <c r="D48" s="270"/>
      <c r="E48" s="270"/>
      <c r="F48" s="270"/>
      <c r="G48" s="270"/>
      <c r="H48" s="270"/>
      <c r="I48" s="270"/>
      <c r="J48" s="270"/>
      <c r="K48" s="270"/>
      <c r="L48" s="271"/>
      <c r="M48" s="272" t="s">
        <v>116</v>
      </c>
      <c r="N48" s="273"/>
      <c r="O48" s="391"/>
      <c r="P48" s="274">
        <f>SUM(P30:R47)</f>
        <v>1052479.5</v>
      </c>
      <c r="Q48" s="275"/>
    </row>
    <row r="50" spans="1:17" ht="15.75" thickBot="1" x14ac:dyDescent="0.3"/>
    <row r="51" spans="1:17" ht="16.5" thickBot="1" x14ac:dyDescent="0.3">
      <c r="A51" s="136" t="s">
        <v>112</v>
      </c>
      <c r="B51" s="299" t="s">
        <v>308</v>
      </c>
      <c r="C51" s="300"/>
      <c r="D51" s="300"/>
      <c r="E51" s="300"/>
      <c r="F51" s="300"/>
      <c r="G51" s="300"/>
      <c r="H51" s="300"/>
      <c r="I51" s="300"/>
      <c r="J51" s="300"/>
      <c r="K51" s="300"/>
      <c r="L51" s="301"/>
      <c r="M51" s="299" t="s">
        <v>114</v>
      </c>
      <c r="N51" s="300"/>
      <c r="O51" s="301"/>
      <c r="P51" s="387" t="s">
        <v>113</v>
      </c>
      <c r="Q51" s="388"/>
    </row>
    <row r="52" spans="1:17" ht="15.75" customHeight="1" x14ac:dyDescent="0.25">
      <c r="A52" s="162" t="s">
        <v>417</v>
      </c>
      <c r="B52" s="276" t="s">
        <v>418</v>
      </c>
      <c r="C52" s="277"/>
      <c r="D52" s="277"/>
      <c r="E52" s="277"/>
      <c r="F52" s="277"/>
      <c r="G52" s="277"/>
      <c r="H52" s="277"/>
      <c r="I52" s="277"/>
      <c r="J52" s="277"/>
      <c r="K52" s="277"/>
      <c r="L52" s="278"/>
      <c r="M52" s="284" t="s">
        <v>413</v>
      </c>
      <c r="N52" s="321"/>
      <c r="O52" s="321"/>
      <c r="P52" s="389">
        <v>3700</v>
      </c>
      <c r="Q52" s="390"/>
    </row>
    <row r="53" spans="1:17" x14ac:dyDescent="0.25">
      <c r="A53" s="166" t="s">
        <v>419</v>
      </c>
      <c r="B53" s="263" t="s">
        <v>420</v>
      </c>
      <c r="C53" s="319"/>
      <c r="D53" s="319"/>
      <c r="E53" s="319"/>
      <c r="F53" s="319"/>
      <c r="G53" s="319"/>
      <c r="H53" s="319"/>
      <c r="I53" s="319"/>
      <c r="J53" s="319"/>
      <c r="K53" s="319"/>
      <c r="L53" s="294"/>
      <c r="M53" s="263" t="s">
        <v>421</v>
      </c>
      <c r="N53" s="319"/>
      <c r="O53" s="319"/>
      <c r="P53" s="331">
        <v>1150</v>
      </c>
      <c r="Q53" s="332"/>
    </row>
    <row r="54" spans="1:17" ht="15" customHeight="1" x14ac:dyDescent="0.25">
      <c r="A54" s="162" t="s">
        <v>422</v>
      </c>
      <c r="B54" s="394" t="s">
        <v>410</v>
      </c>
      <c r="C54" s="395"/>
      <c r="D54" s="395"/>
      <c r="E54" s="395"/>
      <c r="F54" s="395"/>
      <c r="G54" s="395"/>
      <c r="H54" s="395"/>
      <c r="I54" s="395"/>
      <c r="J54" s="395"/>
      <c r="K54" s="395"/>
      <c r="L54" s="396"/>
      <c r="M54" s="349" t="s">
        <v>359</v>
      </c>
      <c r="N54" s="264"/>
      <c r="O54" s="265"/>
      <c r="P54" s="331">
        <v>1150</v>
      </c>
      <c r="Q54" s="332"/>
    </row>
    <row r="55" spans="1:17" ht="15.75" customHeight="1" x14ac:dyDescent="0.25">
      <c r="A55" s="163" t="s">
        <v>422</v>
      </c>
      <c r="B55" s="276" t="s">
        <v>418</v>
      </c>
      <c r="C55" s="277"/>
      <c r="D55" s="277"/>
      <c r="E55" s="277"/>
      <c r="F55" s="277"/>
      <c r="G55" s="277"/>
      <c r="H55" s="277"/>
      <c r="I55" s="277"/>
      <c r="J55" s="277"/>
      <c r="K55" s="277"/>
      <c r="L55" s="278"/>
      <c r="M55" s="350" t="s">
        <v>413</v>
      </c>
      <c r="N55" s="370"/>
      <c r="O55" s="370"/>
      <c r="P55" s="373">
        <v>3700</v>
      </c>
      <c r="Q55" s="374"/>
    </row>
    <row r="56" spans="1:17" ht="14.25" customHeight="1" x14ac:dyDescent="0.25">
      <c r="A56" s="163" t="s">
        <v>451</v>
      </c>
      <c r="B56" s="350" t="s">
        <v>452</v>
      </c>
      <c r="C56" s="351"/>
      <c r="D56" s="351"/>
      <c r="E56" s="351"/>
      <c r="F56" s="351"/>
      <c r="G56" s="351"/>
      <c r="H56" s="351"/>
      <c r="I56" s="351"/>
      <c r="J56" s="351"/>
      <c r="K56" s="351"/>
      <c r="L56" s="352"/>
      <c r="M56" s="350" t="s">
        <v>453</v>
      </c>
      <c r="N56" s="370"/>
      <c r="O56" s="370"/>
      <c r="P56" s="373">
        <v>22268.5</v>
      </c>
      <c r="Q56" s="374"/>
    </row>
    <row r="57" spans="1:17" x14ac:dyDescent="0.25">
      <c r="A57" s="162" t="s">
        <v>454</v>
      </c>
      <c r="B57" s="350" t="s">
        <v>452</v>
      </c>
      <c r="C57" s="351"/>
      <c r="D57" s="351"/>
      <c r="E57" s="351"/>
      <c r="F57" s="351"/>
      <c r="G57" s="351"/>
      <c r="H57" s="351"/>
      <c r="I57" s="351"/>
      <c r="J57" s="351"/>
      <c r="K57" s="351"/>
      <c r="L57" s="352"/>
      <c r="M57" s="284" t="s">
        <v>455</v>
      </c>
      <c r="N57" s="321"/>
      <c r="O57" s="321"/>
      <c r="P57" s="331">
        <v>22632</v>
      </c>
      <c r="Q57" s="332"/>
    </row>
    <row r="58" spans="1:17" x14ac:dyDescent="0.25">
      <c r="A58" s="163" t="s">
        <v>419</v>
      </c>
      <c r="B58" s="350" t="s">
        <v>456</v>
      </c>
      <c r="C58" s="351"/>
      <c r="D58" s="351"/>
      <c r="E58" s="351"/>
      <c r="F58" s="351"/>
      <c r="G58" s="351"/>
      <c r="H58" s="351"/>
      <c r="I58" s="351"/>
      <c r="J58" s="351"/>
      <c r="K58" s="351"/>
      <c r="L58" s="352"/>
      <c r="M58" s="349" t="s">
        <v>457</v>
      </c>
      <c r="N58" s="264"/>
      <c r="O58" s="265"/>
      <c r="P58" s="331">
        <v>9377.5</v>
      </c>
      <c r="Q58" s="332"/>
    </row>
    <row r="59" spans="1:17" x14ac:dyDescent="0.25">
      <c r="A59" s="163" t="s">
        <v>422</v>
      </c>
      <c r="B59" s="350" t="s">
        <v>456</v>
      </c>
      <c r="C59" s="351"/>
      <c r="D59" s="351"/>
      <c r="E59" s="351"/>
      <c r="F59" s="351"/>
      <c r="G59" s="351"/>
      <c r="H59" s="351"/>
      <c r="I59" s="351"/>
      <c r="J59" s="351"/>
      <c r="K59" s="351"/>
      <c r="L59" s="352"/>
      <c r="M59" s="349" t="s">
        <v>457</v>
      </c>
      <c r="N59" s="264"/>
      <c r="O59" s="265"/>
      <c r="P59" s="331">
        <v>10545</v>
      </c>
      <c r="Q59" s="332"/>
    </row>
    <row r="60" spans="1:17" x14ac:dyDescent="0.25">
      <c r="A60" s="163" t="s">
        <v>417</v>
      </c>
      <c r="B60" s="263" t="s">
        <v>481</v>
      </c>
      <c r="C60" s="319"/>
      <c r="D60" s="319"/>
      <c r="E60" s="319"/>
      <c r="F60" s="319"/>
      <c r="G60" s="319"/>
      <c r="H60" s="319"/>
      <c r="I60" s="319"/>
      <c r="J60" s="319"/>
      <c r="K60" s="319"/>
      <c r="L60" s="294"/>
      <c r="M60" s="349" t="s">
        <v>482</v>
      </c>
      <c r="N60" s="264"/>
      <c r="O60" s="265"/>
      <c r="P60" s="331">
        <v>1950</v>
      </c>
      <c r="Q60" s="332"/>
    </row>
    <row r="61" spans="1:17" ht="13.5" customHeight="1" x14ac:dyDescent="0.25">
      <c r="A61" s="163" t="s">
        <v>454</v>
      </c>
      <c r="B61" s="263" t="s">
        <v>629</v>
      </c>
      <c r="C61" s="319"/>
      <c r="D61" s="319"/>
      <c r="E61" s="319"/>
      <c r="F61" s="319"/>
      <c r="G61" s="319"/>
      <c r="H61" s="319"/>
      <c r="I61" s="319"/>
      <c r="J61" s="319"/>
      <c r="K61" s="319"/>
      <c r="L61" s="294"/>
      <c r="M61" s="349" t="s">
        <v>630</v>
      </c>
      <c r="N61" s="264"/>
      <c r="O61" s="265"/>
      <c r="P61" s="331">
        <v>1000</v>
      </c>
      <c r="Q61" s="332"/>
    </row>
    <row r="62" spans="1:17" ht="13.5" customHeight="1" x14ac:dyDescent="0.25">
      <c r="A62" s="163" t="s">
        <v>422</v>
      </c>
      <c r="B62" s="263" t="s">
        <v>646</v>
      </c>
      <c r="C62" s="319"/>
      <c r="D62" s="319"/>
      <c r="E62" s="319"/>
      <c r="F62" s="319"/>
      <c r="G62" s="319"/>
      <c r="H62" s="319"/>
      <c r="I62" s="319"/>
      <c r="J62" s="319"/>
      <c r="K62" s="319"/>
      <c r="L62" s="294"/>
      <c r="M62" s="349" t="s">
        <v>647</v>
      </c>
      <c r="N62" s="264"/>
      <c r="O62" s="265"/>
      <c r="P62" s="331">
        <v>1000</v>
      </c>
      <c r="Q62" s="332"/>
    </row>
    <row r="63" spans="1:17" ht="15" customHeight="1" x14ac:dyDescent="0.25">
      <c r="A63" s="163" t="s">
        <v>682</v>
      </c>
      <c r="B63" s="263" t="s">
        <v>683</v>
      </c>
      <c r="C63" s="319"/>
      <c r="D63" s="319"/>
      <c r="E63" s="319"/>
      <c r="F63" s="319"/>
      <c r="G63" s="319"/>
      <c r="H63" s="319"/>
      <c r="I63" s="319"/>
      <c r="J63" s="319"/>
      <c r="K63" s="319"/>
      <c r="L63" s="294"/>
      <c r="M63" s="349" t="s">
        <v>680</v>
      </c>
      <c r="N63" s="264"/>
      <c r="O63" s="265"/>
      <c r="P63" s="331">
        <v>7692</v>
      </c>
      <c r="Q63" s="332"/>
    </row>
    <row r="64" spans="1:17" ht="15.75" customHeight="1" x14ac:dyDescent="0.25">
      <c r="A64" s="163" t="s">
        <v>417</v>
      </c>
      <c r="B64" s="263" t="s">
        <v>688</v>
      </c>
      <c r="C64" s="319"/>
      <c r="D64" s="319"/>
      <c r="E64" s="319"/>
      <c r="F64" s="319"/>
      <c r="G64" s="319"/>
      <c r="H64" s="319"/>
      <c r="I64" s="319"/>
      <c r="J64" s="319"/>
      <c r="K64" s="319"/>
      <c r="L64" s="294"/>
      <c r="M64" s="349" t="s">
        <v>689</v>
      </c>
      <c r="N64" s="264"/>
      <c r="O64" s="265"/>
      <c r="P64" s="397">
        <v>3650</v>
      </c>
      <c r="Q64" s="398"/>
    </row>
    <row r="65" spans="1:17" x14ac:dyDescent="0.25">
      <c r="A65" s="163" t="s">
        <v>454</v>
      </c>
      <c r="B65" s="263" t="s">
        <v>935</v>
      </c>
      <c r="C65" s="319"/>
      <c r="D65" s="319"/>
      <c r="E65" s="319"/>
      <c r="F65" s="319"/>
      <c r="G65" s="319"/>
      <c r="H65" s="319"/>
      <c r="I65" s="319"/>
      <c r="J65" s="319"/>
      <c r="K65" s="319"/>
      <c r="L65" s="294"/>
      <c r="M65" s="349" t="s">
        <v>936</v>
      </c>
      <c r="N65" s="264"/>
      <c r="O65" s="265"/>
      <c r="P65" s="397">
        <v>3000</v>
      </c>
      <c r="Q65" s="398"/>
    </row>
    <row r="66" spans="1:17" ht="15" customHeight="1" x14ac:dyDescent="0.25">
      <c r="A66" s="163" t="s">
        <v>682</v>
      </c>
      <c r="B66" s="263" t="s">
        <v>940</v>
      </c>
      <c r="C66" s="319"/>
      <c r="D66" s="319"/>
      <c r="E66" s="319"/>
      <c r="F66" s="319"/>
      <c r="G66" s="319"/>
      <c r="H66" s="319"/>
      <c r="I66" s="319"/>
      <c r="J66" s="319"/>
      <c r="K66" s="319"/>
      <c r="L66" s="294"/>
      <c r="M66" s="349" t="s">
        <v>941</v>
      </c>
      <c r="N66" s="264"/>
      <c r="O66" s="265"/>
      <c r="P66" s="397">
        <v>850</v>
      </c>
      <c r="Q66" s="398"/>
    </row>
    <row r="67" spans="1:17" ht="15.75" customHeight="1" x14ac:dyDescent="0.25">
      <c r="A67" s="166" t="s">
        <v>962</v>
      </c>
      <c r="B67" s="263" t="s">
        <v>940</v>
      </c>
      <c r="C67" s="319"/>
      <c r="D67" s="319"/>
      <c r="E67" s="319"/>
      <c r="F67" s="319"/>
      <c r="G67" s="319"/>
      <c r="H67" s="319"/>
      <c r="I67" s="319"/>
      <c r="J67" s="319"/>
      <c r="K67" s="319"/>
      <c r="L67" s="294"/>
      <c r="M67" s="349" t="s">
        <v>941</v>
      </c>
      <c r="N67" s="264"/>
      <c r="O67" s="265"/>
      <c r="P67" s="397">
        <v>850</v>
      </c>
      <c r="Q67" s="398"/>
    </row>
    <row r="68" spans="1:17" ht="15" customHeight="1" x14ac:dyDescent="0.25">
      <c r="A68" s="166" t="s">
        <v>419</v>
      </c>
      <c r="B68" s="221"/>
      <c r="C68" s="319" t="s">
        <v>963</v>
      </c>
      <c r="D68" s="319"/>
      <c r="E68" s="319"/>
      <c r="F68" s="319"/>
      <c r="G68" s="319"/>
      <c r="H68" s="319"/>
      <c r="I68" s="319"/>
      <c r="J68" s="319"/>
      <c r="K68" s="319"/>
      <c r="L68" s="294"/>
      <c r="M68" s="349" t="s">
        <v>964</v>
      </c>
      <c r="N68" s="264"/>
      <c r="O68" s="265"/>
      <c r="P68" s="331">
        <v>1850</v>
      </c>
      <c r="Q68" s="332"/>
    </row>
    <row r="69" spans="1:17" ht="14.25" customHeight="1" x14ac:dyDescent="0.25">
      <c r="A69" s="166" t="s">
        <v>705</v>
      </c>
      <c r="B69" s="221"/>
      <c r="C69" s="319" t="s">
        <v>1024</v>
      </c>
      <c r="D69" s="319"/>
      <c r="E69" s="319"/>
      <c r="F69" s="319"/>
      <c r="G69" s="319"/>
      <c r="H69" s="319"/>
      <c r="I69" s="319"/>
      <c r="J69" s="319"/>
      <c r="K69" s="319"/>
      <c r="L69" s="294"/>
      <c r="M69" s="349" t="s">
        <v>941</v>
      </c>
      <c r="N69" s="264"/>
      <c r="O69" s="265"/>
      <c r="P69" s="331">
        <v>850</v>
      </c>
      <c r="Q69" s="332"/>
    </row>
    <row r="70" spans="1:17" x14ac:dyDescent="0.25">
      <c r="A70" s="166"/>
      <c r="B70" s="221"/>
      <c r="C70" s="319"/>
      <c r="D70" s="319"/>
      <c r="E70" s="319"/>
      <c r="F70" s="319"/>
      <c r="G70" s="319"/>
      <c r="H70" s="319"/>
      <c r="I70" s="319"/>
      <c r="J70" s="319"/>
      <c r="K70" s="319"/>
      <c r="L70" s="294"/>
      <c r="M70" s="349"/>
      <c r="N70" s="264"/>
      <c r="O70" s="265"/>
      <c r="P70" s="331"/>
      <c r="Q70" s="332"/>
    </row>
    <row r="71" spans="1:17" x14ac:dyDescent="0.25">
      <c r="A71" s="166"/>
      <c r="B71" s="221"/>
      <c r="C71" s="319"/>
      <c r="D71" s="319"/>
      <c r="E71" s="319"/>
      <c r="F71" s="319"/>
      <c r="G71" s="319"/>
      <c r="H71" s="319"/>
      <c r="I71" s="319"/>
      <c r="J71" s="319"/>
      <c r="K71" s="319"/>
      <c r="L71" s="294"/>
      <c r="M71" s="349"/>
      <c r="N71" s="264"/>
      <c r="O71" s="265"/>
      <c r="P71" s="331"/>
      <c r="Q71" s="332"/>
    </row>
    <row r="72" spans="1:17" x14ac:dyDescent="0.25">
      <c r="A72" s="166"/>
      <c r="B72" s="221"/>
      <c r="C72" s="319"/>
      <c r="D72" s="319"/>
      <c r="E72" s="319"/>
      <c r="F72" s="319"/>
      <c r="G72" s="319"/>
      <c r="H72" s="319"/>
      <c r="I72" s="319"/>
      <c r="J72" s="319"/>
      <c r="K72" s="319"/>
      <c r="L72" s="294"/>
      <c r="M72" s="349"/>
      <c r="N72" s="264"/>
      <c r="O72" s="265"/>
      <c r="P72" s="331"/>
      <c r="Q72" s="332"/>
    </row>
    <row r="73" spans="1:17" x14ac:dyDescent="0.25">
      <c r="A73" s="166"/>
      <c r="B73" s="221"/>
      <c r="C73" s="319"/>
      <c r="D73" s="319"/>
      <c r="E73" s="319"/>
      <c r="F73" s="319"/>
      <c r="G73" s="319"/>
      <c r="H73" s="319"/>
      <c r="I73" s="319"/>
      <c r="J73" s="319"/>
      <c r="K73" s="319"/>
      <c r="L73" s="294"/>
      <c r="M73" s="349"/>
      <c r="N73" s="264"/>
      <c r="O73" s="265"/>
      <c r="P73" s="331"/>
      <c r="Q73" s="332"/>
    </row>
    <row r="74" spans="1:17" x14ac:dyDescent="0.25">
      <c r="A74" s="166"/>
      <c r="B74" s="263"/>
      <c r="C74" s="319"/>
      <c r="D74" s="319"/>
      <c r="E74" s="319"/>
      <c r="F74" s="319"/>
      <c r="G74" s="319"/>
      <c r="H74" s="319"/>
      <c r="I74" s="319"/>
      <c r="J74" s="319"/>
      <c r="K74" s="319"/>
      <c r="L74" s="294"/>
      <c r="M74" s="349"/>
      <c r="N74" s="264"/>
      <c r="O74" s="265"/>
      <c r="P74" s="397"/>
      <c r="Q74" s="398"/>
    </row>
    <row r="75" spans="1:17" x14ac:dyDescent="0.25">
      <c r="A75" s="166"/>
      <c r="B75" s="304"/>
      <c r="C75" s="305"/>
      <c r="D75" s="305"/>
      <c r="E75" s="305"/>
      <c r="F75" s="305"/>
      <c r="G75" s="305"/>
      <c r="H75" s="305"/>
      <c r="I75" s="305"/>
      <c r="J75" s="305"/>
      <c r="K75" s="305"/>
      <c r="L75" s="306"/>
      <c r="M75" s="392"/>
      <c r="N75" s="393"/>
      <c r="O75" s="393"/>
      <c r="P75" s="401"/>
      <c r="Q75" s="402"/>
    </row>
    <row r="76" spans="1:17" ht="15.75" thickBot="1" x14ac:dyDescent="0.3">
      <c r="A76" s="193"/>
      <c r="B76" s="291"/>
      <c r="C76" s="292"/>
      <c r="D76" s="292"/>
      <c r="E76" s="292"/>
      <c r="F76" s="292"/>
      <c r="G76" s="292"/>
      <c r="H76" s="292"/>
      <c r="I76" s="292"/>
      <c r="J76" s="292"/>
      <c r="K76" s="292"/>
      <c r="L76" s="293"/>
      <c r="M76" s="291"/>
      <c r="N76" s="292"/>
      <c r="O76" s="293"/>
      <c r="P76" s="375"/>
      <c r="Q76" s="376"/>
    </row>
    <row r="77" spans="1:17" ht="15.75" thickBot="1" x14ac:dyDescent="0.3">
      <c r="A77" s="85"/>
      <c r="B77" s="269"/>
      <c r="C77" s="270"/>
      <c r="D77" s="270"/>
      <c r="E77" s="270"/>
      <c r="F77" s="270"/>
      <c r="G77" s="270"/>
      <c r="H77" s="270"/>
      <c r="I77" s="270"/>
      <c r="J77" s="270"/>
      <c r="K77" s="270"/>
      <c r="L77" s="271"/>
      <c r="M77" s="272" t="s">
        <v>116</v>
      </c>
      <c r="N77" s="273"/>
      <c r="O77" s="391"/>
      <c r="P77" s="399">
        <f>SUM(P52:R76)</f>
        <v>97215</v>
      </c>
      <c r="Q77" s="400"/>
    </row>
    <row r="79" spans="1:17" x14ac:dyDescent="0.25">
      <c r="J79" s="196"/>
      <c r="K79" s="196"/>
      <c r="L79" s="196"/>
    </row>
  </sheetData>
  <mergeCells count="143">
    <mergeCell ref="C71:L71"/>
    <mergeCell ref="C72:L72"/>
    <mergeCell ref="C73:L73"/>
    <mergeCell ref="C1:I1"/>
    <mergeCell ref="M67:O67"/>
    <mergeCell ref="P65:Q65"/>
    <mergeCell ref="P66:Q66"/>
    <mergeCell ref="P67:Q67"/>
    <mergeCell ref="B66:L66"/>
    <mergeCell ref="B67:L67"/>
    <mergeCell ref="M68:O68"/>
    <mergeCell ref="M69:O69"/>
    <mergeCell ref="M70:O70"/>
    <mergeCell ref="B64:L64"/>
    <mergeCell ref="M64:O64"/>
    <mergeCell ref="P64:Q64"/>
    <mergeCell ref="B57:L57"/>
    <mergeCell ref="M57:O57"/>
    <mergeCell ref="P57:Q57"/>
    <mergeCell ref="B58:L58"/>
    <mergeCell ref="M58:O58"/>
    <mergeCell ref="B77:L77"/>
    <mergeCell ref="M77:O77"/>
    <mergeCell ref="P77:Q77"/>
    <mergeCell ref="B75:L75"/>
    <mergeCell ref="M75:O75"/>
    <mergeCell ref="P75:Q75"/>
    <mergeCell ref="B76:L76"/>
    <mergeCell ref="M76:O76"/>
    <mergeCell ref="P76:Q76"/>
    <mergeCell ref="B74:L74"/>
    <mergeCell ref="M74:O74"/>
    <mergeCell ref="P74:Q74"/>
    <mergeCell ref="B59:L59"/>
    <mergeCell ref="M59:O59"/>
    <mergeCell ref="P59:Q59"/>
    <mergeCell ref="B60:L60"/>
    <mergeCell ref="M60:O60"/>
    <mergeCell ref="P60:Q60"/>
    <mergeCell ref="P61:Q61"/>
    <mergeCell ref="P62:Q62"/>
    <mergeCell ref="P63:Q63"/>
    <mergeCell ref="B61:L61"/>
    <mergeCell ref="B62:L62"/>
    <mergeCell ref="B63:L63"/>
    <mergeCell ref="M61:O61"/>
    <mergeCell ref="M62:O62"/>
    <mergeCell ref="M63:O63"/>
    <mergeCell ref="B65:L65"/>
    <mergeCell ref="M65:O65"/>
    <mergeCell ref="M66:O66"/>
    <mergeCell ref="C68:L68"/>
    <mergeCell ref="C69:L69"/>
    <mergeCell ref="C70:L70"/>
    <mergeCell ref="P58:Q58"/>
    <mergeCell ref="B55:L55"/>
    <mergeCell ref="M55:O55"/>
    <mergeCell ref="P55:Q55"/>
    <mergeCell ref="B56:L56"/>
    <mergeCell ref="M56:O56"/>
    <mergeCell ref="P56:Q56"/>
    <mergeCell ref="B53:L53"/>
    <mergeCell ref="M53:O53"/>
    <mergeCell ref="P53:Q53"/>
    <mergeCell ref="B54:L54"/>
    <mergeCell ref="M54:O54"/>
    <mergeCell ref="P54:Q54"/>
    <mergeCell ref="B51:L51"/>
    <mergeCell ref="M51:O51"/>
    <mergeCell ref="P51:Q51"/>
    <mergeCell ref="B52:L52"/>
    <mergeCell ref="M52:O52"/>
    <mergeCell ref="P52:Q52"/>
    <mergeCell ref="B29:L29"/>
    <mergeCell ref="M29:O29"/>
    <mergeCell ref="B30:L30"/>
    <mergeCell ref="M30:O30"/>
    <mergeCell ref="P30:Q30"/>
    <mergeCell ref="P29:Q29"/>
    <mergeCell ref="B48:L48"/>
    <mergeCell ref="M48:O48"/>
    <mergeCell ref="P48:Q48"/>
    <mergeCell ref="B45:L45"/>
    <mergeCell ref="M45:O45"/>
    <mergeCell ref="P45:Q45"/>
    <mergeCell ref="M34:O34"/>
    <mergeCell ref="P34:Q34"/>
    <mergeCell ref="B34:L34"/>
    <mergeCell ref="B35:L35"/>
    <mergeCell ref="M35:O35"/>
    <mergeCell ref="P35:Q35"/>
    <mergeCell ref="B31:L31"/>
    <mergeCell ref="M31:O31"/>
    <mergeCell ref="P31:Q31"/>
    <mergeCell ref="B33:L33"/>
    <mergeCell ref="M33:O33"/>
    <mergeCell ref="P33:Q33"/>
    <mergeCell ref="B32:L32"/>
    <mergeCell ref="M32:O32"/>
    <mergeCell ref="P32:Q32"/>
    <mergeCell ref="M46:O46"/>
    <mergeCell ref="P46:Q46"/>
    <mergeCell ref="B36:L36"/>
    <mergeCell ref="M36:O36"/>
    <mergeCell ref="B40:L40"/>
    <mergeCell ref="B41:L41"/>
    <mergeCell ref="M40:O40"/>
    <mergeCell ref="M41:O41"/>
    <mergeCell ref="P39:Q39"/>
    <mergeCell ref="C46:L46"/>
    <mergeCell ref="P36:Q36"/>
    <mergeCell ref="P37:Q37"/>
    <mergeCell ref="P38:Q38"/>
    <mergeCell ref="B37:L37"/>
    <mergeCell ref="B38:L38"/>
    <mergeCell ref="M37:O37"/>
    <mergeCell ref="M38:O38"/>
    <mergeCell ref="P43:Q43"/>
    <mergeCell ref="P44:Q44"/>
    <mergeCell ref="J1:Z1"/>
    <mergeCell ref="M71:O71"/>
    <mergeCell ref="M72:O72"/>
    <mergeCell ref="M73:O73"/>
    <mergeCell ref="P68:Q68"/>
    <mergeCell ref="P69:Q69"/>
    <mergeCell ref="P70:Q70"/>
    <mergeCell ref="P71:Q71"/>
    <mergeCell ref="P72:Q72"/>
    <mergeCell ref="P73:Q73"/>
    <mergeCell ref="P42:Q42"/>
    <mergeCell ref="P47:Q47"/>
    <mergeCell ref="M39:O39"/>
    <mergeCell ref="M42:O42"/>
    <mergeCell ref="M47:O47"/>
    <mergeCell ref="P40:Q40"/>
    <mergeCell ref="P41:Q41"/>
    <mergeCell ref="B39:L39"/>
    <mergeCell ref="B42:L42"/>
    <mergeCell ref="B47:L47"/>
    <mergeCell ref="B43:L43"/>
    <mergeCell ref="B44:L44"/>
    <mergeCell ref="M43:O43"/>
    <mergeCell ref="M44:O44"/>
  </mergeCells>
  <pageMargins left="0.7" right="0.7" top="0.75" bottom="0.75" header="0.3" footer="0.3"/>
  <pageSetup paperSize="256" scale="56" fitToHeight="0" orientation="landscape"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E471B-4AB7-435A-AD6D-2A0A151A0C7C}">
  <sheetPr>
    <pageSetUpPr fitToPage="1"/>
  </sheetPr>
  <dimension ref="A1:Z70"/>
  <sheetViews>
    <sheetView zoomScale="90" zoomScaleNormal="90" workbookViewId="0">
      <selection activeCell="C24" sqref="C24:I24"/>
    </sheetView>
  </sheetViews>
  <sheetFormatPr defaultRowHeight="15" x14ac:dyDescent="0.25"/>
  <cols>
    <col min="1" max="1" width="47.42578125" customWidth="1"/>
    <col min="2" max="2" width="16.7109375" hidden="1" customWidth="1"/>
    <col min="3" max="9" width="16.7109375" customWidth="1"/>
    <col min="10" max="10" width="18" customWidth="1"/>
    <col min="11" max="11" width="20.140625" customWidth="1"/>
    <col min="12" max="12" width="24.7109375" customWidth="1"/>
    <col min="13" max="13" width="15.42578125" customWidth="1"/>
    <col min="14" max="14" width="14.140625" customWidth="1"/>
    <col min="15" max="15" width="14.85546875" customWidth="1"/>
    <col min="16" max="16" width="11.7109375" customWidth="1"/>
    <col min="17" max="17" width="11.28515625" customWidth="1"/>
    <col min="18" max="19" width="12.5703125" customWidth="1"/>
    <col min="20" max="20" width="12.42578125" customWidth="1"/>
    <col min="21" max="21" width="11.85546875" customWidth="1"/>
    <col min="22" max="22" width="11" bestFit="1" customWidth="1"/>
    <col min="23" max="23" width="11.28515625" customWidth="1"/>
    <col min="24" max="25" width="12.7109375" customWidth="1"/>
    <col min="26" max="26" width="13.5703125" customWidth="1"/>
  </cols>
  <sheetData>
    <row r="1" spans="1:26" s="255" customFormat="1" ht="52.5" customHeight="1" thickBot="1" x14ac:dyDescent="0.3">
      <c r="C1" s="416" t="s">
        <v>1062</v>
      </c>
      <c r="D1" s="416"/>
      <c r="E1" s="416"/>
      <c r="F1" s="416"/>
      <c r="G1" s="416"/>
      <c r="H1" s="416"/>
      <c r="I1" s="416"/>
      <c r="J1" s="417"/>
      <c r="K1" s="418"/>
      <c r="L1" s="418"/>
      <c r="M1" s="418"/>
      <c r="N1" s="418"/>
      <c r="O1" s="418"/>
      <c r="P1" s="418"/>
      <c r="Q1" s="418"/>
      <c r="R1" s="418"/>
      <c r="S1" s="418"/>
      <c r="T1" s="418"/>
      <c r="U1" s="418"/>
      <c r="V1" s="418"/>
      <c r="W1" s="418"/>
      <c r="X1" s="418"/>
      <c r="Y1" s="418"/>
      <c r="Z1" s="419"/>
    </row>
    <row r="2" spans="1:26" ht="72.75" customHeight="1" thickBot="1" x14ac:dyDescent="0.3">
      <c r="A2" s="1"/>
      <c r="B2" s="3" t="s">
        <v>127</v>
      </c>
      <c r="C2" s="98" t="s">
        <v>1065</v>
      </c>
      <c r="D2" s="98" t="s">
        <v>1064</v>
      </c>
      <c r="E2" s="199" t="s">
        <v>1075</v>
      </c>
      <c r="F2" s="199" t="s">
        <v>1080</v>
      </c>
      <c r="G2" s="199" t="s">
        <v>1082</v>
      </c>
      <c r="H2" s="199" t="s">
        <v>1084</v>
      </c>
      <c r="I2" s="199" t="s">
        <v>1086</v>
      </c>
      <c r="J2" s="252" t="s">
        <v>810</v>
      </c>
      <c r="K2" s="5" t="s">
        <v>812</v>
      </c>
      <c r="L2" s="135" t="s">
        <v>815</v>
      </c>
      <c r="M2" s="204" t="s">
        <v>4</v>
      </c>
      <c r="N2" s="65" t="s">
        <v>5</v>
      </c>
      <c r="O2" s="205" t="s">
        <v>6</v>
      </c>
      <c r="P2" s="65" t="s">
        <v>7</v>
      </c>
      <c r="Q2" s="205" t="s">
        <v>8</v>
      </c>
      <c r="R2" s="65" t="s">
        <v>9</v>
      </c>
      <c r="S2" s="205" t="s">
        <v>10</v>
      </c>
      <c r="T2" s="65" t="s">
        <v>11</v>
      </c>
      <c r="U2" s="205" t="s">
        <v>12</v>
      </c>
      <c r="V2" s="65" t="s">
        <v>13</v>
      </c>
      <c r="W2" s="205" t="s">
        <v>14</v>
      </c>
      <c r="X2" s="65" t="s">
        <v>15</v>
      </c>
      <c r="Y2" s="66"/>
      <c r="Z2" s="10" t="s">
        <v>16</v>
      </c>
    </row>
    <row r="3" spans="1:26" ht="16.5" thickBot="1" x14ac:dyDescent="0.3">
      <c r="A3" s="60" t="s">
        <v>59</v>
      </c>
      <c r="B3" s="86"/>
      <c r="C3" s="86"/>
      <c r="D3" s="86"/>
      <c r="E3" s="86"/>
      <c r="F3" s="86"/>
      <c r="G3" s="86"/>
      <c r="H3" s="86"/>
      <c r="I3" s="86"/>
      <c r="J3" s="86"/>
      <c r="K3" s="91" t="s">
        <v>17</v>
      </c>
      <c r="L3" s="92"/>
      <c r="M3" s="106"/>
      <c r="N3" s="57"/>
      <c r="O3" s="88"/>
      <c r="P3" s="57"/>
      <c r="Q3" s="88"/>
      <c r="R3" s="57"/>
      <c r="S3" s="88"/>
      <c r="T3" s="57"/>
      <c r="U3" s="88"/>
      <c r="V3" s="57"/>
      <c r="W3" s="88"/>
      <c r="X3" s="57"/>
      <c r="Y3" s="106"/>
      <c r="Z3" s="57"/>
    </row>
    <row r="4" spans="1:26" ht="15.75" x14ac:dyDescent="0.25">
      <c r="A4" s="13" t="s">
        <v>29</v>
      </c>
      <c r="B4" s="15"/>
      <c r="C4" s="15">
        <v>20000</v>
      </c>
      <c r="D4" s="15">
        <v>15000</v>
      </c>
      <c r="E4" s="15">
        <v>5000</v>
      </c>
      <c r="F4" s="15">
        <v>25000</v>
      </c>
      <c r="G4" s="15"/>
      <c r="H4" s="15"/>
      <c r="I4" s="15"/>
      <c r="J4" s="16">
        <v>471845</v>
      </c>
      <c r="K4" s="17">
        <f t="shared" ref="K4:K8" si="0">SUM(M4:X4)</f>
        <v>91591</v>
      </c>
      <c r="L4" s="18">
        <f>C4+D4+E4+F4+G4+H4+I4+J4-K4</f>
        <v>445254</v>
      </c>
      <c r="M4" s="19"/>
      <c r="N4" s="19"/>
      <c r="O4" s="19"/>
      <c r="P4" s="19"/>
      <c r="Q4" s="19"/>
      <c r="R4" s="19"/>
      <c r="S4" s="19"/>
      <c r="T4" s="19">
        <f>91591</f>
        <v>91591</v>
      </c>
      <c r="U4" s="19"/>
      <c r="V4" s="19"/>
      <c r="W4" s="19"/>
      <c r="X4" s="19"/>
      <c r="Y4" s="31"/>
      <c r="Z4" s="31">
        <f t="shared" ref="Z4:Z23" si="1">SUM(M4:X4)</f>
        <v>91591</v>
      </c>
    </row>
    <row r="5" spans="1:26" ht="15.75" x14ac:dyDescent="0.25">
      <c r="A5" s="13" t="s">
        <v>167</v>
      </c>
      <c r="B5" s="15"/>
      <c r="C5" s="15"/>
      <c r="D5" s="15"/>
      <c r="E5" s="15"/>
      <c r="F5" s="15"/>
      <c r="G5" s="15"/>
      <c r="H5" s="15"/>
      <c r="I5" s="15"/>
      <c r="J5" s="16"/>
      <c r="K5" s="17">
        <f t="shared" si="0"/>
        <v>2220189.44</v>
      </c>
      <c r="L5" s="18">
        <f t="shared" ref="L5:L23" si="2">C5+D5+E5+F5+G5+H5+I5+J5-K5</f>
        <v>-2220189.44</v>
      </c>
      <c r="M5" s="19">
        <v>46700</v>
      </c>
      <c r="N5" s="19">
        <f>231000</f>
        <v>231000</v>
      </c>
      <c r="O5" s="19">
        <f>554600</f>
        <v>554600</v>
      </c>
      <c r="P5" s="19">
        <f>333600</f>
        <v>333600</v>
      </c>
      <c r="Q5" s="19">
        <f>385700+173300</f>
        <v>559000</v>
      </c>
      <c r="R5" s="19">
        <f>83750</f>
        <v>83750</v>
      </c>
      <c r="S5" s="19">
        <f>37500+192550</f>
        <v>230050</v>
      </c>
      <c r="T5" s="19">
        <f>106200</f>
        <v>106200</v>
      </c>
      <c r="U5" s="19">
        <f>21600+21889.44</f>
        <v>43489.440000000002</v>
      </c>
      <c r="V5" s="19">
        <v>31800</v>
      </c>
      <c r="W5" s="19"/>
      <c r="X5" s="19"/>
      <c r="Y5" s="31"/>
      <c r="Z5" s="31">
        <f t="shared" si="1"/>
        <v>2220189.44</v>
      </c>
    </row>
    <row r="6" spans="1:26" ht="15.75" x14ac:dyDescent="0.25">
      <c r="A6" s="13" t="s">
        <v>758</v>
      </c>
      <c r="B6" s="15"/>
      <c r="C6" s="15"/>
      <c r="D6" s="15"/>
      <c r="E6" s="15"/>
      <c r="F6" s="15"/>
      <c r="G6" s="15"/>
      <c r="H6" s="15"/>
      <c r="I6" s="15"/>
      <c r="J6" s="16"/>
      <c r="K6" s="17">
        <f t="shared" si="0"/>
        <v>819506.28</v>
      </c>
      <c r="L6" s="18">
        <f t="shared" si="2"/>
        <v>-819506.28</v>
      </c>
      <c r="M6" s="19"/>
      <c r="N6" s="19">
        <v>458605.43</v>
      </c>
      <c r="O6" s="19">
        <v>117293.27</v>
      </c>
      <c r="P6" s="19">
        <v>72333.56</v>
      </c>
      <c r="Q6" s="19"/>
      <c r="R6" s="19"/>
      <c r="S6" s="19"/>
      <c r="T6" s="19">
        <f>130370+40904.02</f>
        <v>171274.02</v>
      </c>
      <c r="U6" s="19"/>
      <c r="V6" s="19"/>
      <c r="W6" s="19"/>
      <c r="X6" s="19"/>
      <c r="Y6" s="31"/>
      <c r="Z6" s="31">
        <f t="shared" si="1"/>
        <v>819506.28</v>
      </c>
    </row>
    <row r="7" spans="1:26" ht="15.75" x14ac:dyDescent="0.25">
      <c r="A7" s="13" t="s">
        <v>30</v>
      </c>
      <c r="B7" s="15"/>
      <c r="C7" s="15">
        <v>10000</v>
      </c>
      <c r="D7" s="15">
        <v>10000</v>
      </c>
      <c r="E7" s="15">
        <v>10000</v>
      </c>
      <c r="F7" s="15"/>
      <c r="G7" s="15"/>
      <c r="H7" s="15">
        <v>7000</v>
      </c>
      <c r="I7" s="15">
        <v>7000</v>
      </c>
      <c r="J7" s="16"/>
      <c r="K7" s="17">
        <f t="shared" si="0"/>
        <v>8400</v>
      </c>
      <c r="L7" s="18">
        <f t="shared" si="2"/>
        <v>35600</v>
      </c>
      <c r="M7" s="19"/>
      <c r="N7" s="19"/>
      <c r="O7" s="19"/>
      <c r="P7" s="19"/>
      <c r="Q7" s="19"/>
      <c r="R7" s="19"/>
      <c r="S7" s="19">
        <f>8400</f>
        <v>8400</v>
      </c>
      <c r="T7" s="19"/>
      <c r="U7" s="19"/>
      <c r="V7" s="19"/>
      <c r="W7" s="19"/>
      <c r="X7" s="19"/>
      <c r="Y7" s="31"/>
      <c r="Z7" s="31">
        <f t="shared" si="1"/>
        <v>8400</v>
      </c>
    </row>
    <row r="8" spans="1:26" ht="15.75" x14ac:dyDescent="0.25">
      <c r="A8" s="13" t="s">
        <v>103</v>
      </c>
      <c r="B8" s="15"/>
      <c r="C8" s="15">
        <v>20000</v>
      </c>
      <c r="D8" s="15">
        <v>20000</v>
      </c>
      <c r="E8" s="15">
        <v>20000</v>
      </c>
      <c r="F8" s="15"/>
      <c r="G8" s="15"/>
      <c r="H8" s="15"/>
      <c r="I8" s="15"/>
      <c r="J8" s="16"/>
      <c r="K8" s="17">
        <f t="shared" si="0"/>
        <v>81050</v>
      </c>
      <c r="L8" s="18">
        <f t="shared" si="2"/>
        <v>-21050</v>
      </c>
      <c r="M8" s="19"/>
      <c r="N8" s="19">
        <f>2300+1150+1150+2300+1150+1150+5600+2300</f>
        <v>17100</v>
      </c>
      <c r="O8" s="19">
        <f>1000+1150</f>
        <v>2150</v>
      </c>
      <c r="P8" s="19"/>
      <c r="Q8" s="19">
        <f>3450+2300+5600</f>
        <v>11350</v>
      </c>
      <c r="R8" s="19">
        <f>1170+1170+1170+1170+1170+1170+1170</f>
        <v>8190</v>
      </c>
      <c r="S8" s="19">
        <f>11750+29660</f>
        <v>41410</v>
      </c>
      <c r="T8" s="19"/>
      <c r="U8" s="19"/>
      <c r="V8" s="19">
        <f>850</f>
        <v>850</v>
      </c>
      <c r="W8" s="19"/>
      <c r="X8" s="19"/>
      <c r="Y8" s="31"/>
      <c r="Z8" s="31">
        <f t="shared" si="1"/>
        <v>81050</v>
      </c>
    </row>
    <row r="9" spans="1:26" ht="15.75" x14ac:dyDescent="0.25">
      <c r="A9" s="20" t="s">
        <v>34</v>
      </c>
      <c r="B9" s="15"/>
      <c r="C9" s="15">
        <v>50000</v>
      </c>
      <c r="D9" s="15">
        <v>40000</v>
      </c>
      <c r="E9" s="15">
        <v>20000</v>
      </c>
      <c r="F9" s="15">
        <v>50000</v>
      </c>
      <c r="G9" s="15">
        <v>200000</v>
      </c>
      <c r="H9" s="15">
        <v>40220.32</v>
      </c>
      <c r="I9" s="15">
        <v>10000</v>
      </c>
      <c r="J9" s="16">
        <v>87355</v>
      </c>
      <c r="K9" s="17">
        <f t="shared" ref="K9:K23" si="3">SUM(M9:X9)</f>
        <v>0</v>
      </c>
      <c r="L9" s="18">
        <f t="shared" si="2"/>
        <v>497575.32</v>
      </c>
      <c r="M9" s="19"/>
      <c r="N9" s="19"/>
      <c r="O9" s="19"/>
      <c r="P9" s="19"/>
      <c r="Q9" s="19"/>
      <c r="R9" s="19"/>
      <c r="S9" s="19"/>
      <c r="T9" s="19"/>
      <c r="U9" s="19"/>
      <c r="V9" s="19"/>
      <c r="W9" s="19"/>
      <c r="X9" s="19"/>
      <c r="Y9" s="31"/>
      <c r="Z9" s="31">
        <f t="shared" si="1"/>
        <v>0</v>
      </c>
    </row>
    <row r="10" spans="1:26" ht="15.75" x14ac:dyDescent="0.25">
      <c r="A10" s="20" t="s">
        <v>1077</v>
      </c>
      <c r="B10" s="15"/>
      <c r="C10" s="15"/>
      <c r="D10" s="15">
        <v>5150</v>
      </c>
      <c r="E10" s="15"/>
      <c r="F10" s="15"/>
      <c r="G10" s="15"/>
      <c r="H10" s="15"/>
      <c r="I10" s="15"/>
      <c r="J10" s="16"/>
      <c r="K10" s="17"/>
      <c r="L10" s="18">
        <f t="shared" si="2"/>
        <v>5150</v>
      </c>
      <c r="M10" s="19"/>
      <c r="N10" s="19"/>
      <c r="O10" s="19"/>
      <c r="P10" s="19"/>
      <c r="Q10" s="19"/>
      <c r="R10" s="19"/>
      <c r="S10" s="19"/>
      <c r="T10" s="19"/>
      <c r="U10" s="19"/>
      <c r="V10" s="19"/>
      <c r="W10" s="19"/>
      <c r="X10" s="19"/>
      <c r="Y10" s="31"/>
      <c r="Z10" s="31"/>
    </row>
    <row r="11" spans="1:26" ht="15.75" x14ac:dyDescent="0.25">
      <c r="A11" s="20" t="s">
        <v>1067</v>
      </c>
      <c r="B11" s="15"/>
      <c r="C11" s="15">
        <v>29710.25</v>
      </c>
      <c r="D11" s="15"/>
      <c r="E11" s="15"/>
      <c r="F11" s="15"/>
      <c r="G11" s="15"/>
      <c r="H11" s="15"/>
      <c r="I11" s="15"/>
      <c r="J11" s="16"/>
      <c r="K11" s="17"/>
      <c r="L11" s="18">
        <f t="shared" si="2"/>
        <v>29710.25</v>
      </c>
      <c r="M11" s="19"/>
      <c r="N11" s="19"/>
      <c r="O11" s="19"/>
      <c r="P11" s="19"/>
      <c r="Q11" s="19"/>
      <c r="R11" s="19"/>
      <c r="S11" s="19"/>
      <c r="T11" s="19"/>
      <c r="U11" s="19"/>
      <c r="V11" s="19"/>
      <c r="W11" s="19"/>
      <c r="X11" s="19"/>
      <c r="Y11" s="31"/>
      <c r="Z11" s="31"/>
    </row>
    <row r="12" spans="1:26" ht="15.75" x14ac:dyDescent="0.25">
      <c r="A12" s="20" t="s">
        <v>1083</v>
      </c>
      <c r="B12" s="15"/>
      <c r="C12" s="15"/>
      <c r="D12" s="15"/>
      <c r="E12" s="15"/>
      <c r="F12" s="15"/>
      <c r="G12" s="15">
        <v>3000000</v>
      </c>
      <c r="H12" s="15"/>
      <c r="I12" s="15"/>
      <c r="J12" s="16"/>
      <c r="K12" s="17"/>
      <c r="L12" s="18">
        <f t="shared" si="2"/>
        <v>3000000</v>
      </c>
      <c r="M12" s="19"/>
      <c r="N12" s="19"/>
      <c r="O12" s="19"/>
      <c r="P12" s="19"/>
      <c r="Q12" s="19"/>
      <c r="R12" s="19"/>
      <c r="S12" s="19"/>
      <c r="T12" s="19"/>
      <c r="U12" s="19"/>
      <c r="V12" s="19"/>
      <c r="W12" s="19"/>
      <c r="X12" s="19"/>
      <c r="Y12" s="31"/>
      <c r="Z12" s="31"/>
    </row>
    <row r="13" spans="1:26" ht="15.75" x14ac:dyDescent="0.25">
      <c r="A13" s="20" t="s">
        <v>152</v>
      </c>
      <c r="B13" s="15"/>
      <c r="C13" s="15"/>
      <c r="D13" s="15"/>
      <c r="E13" s="15"/>
      <c r="F13" s="15"/>
      <c r="G13" s="15"/>
      <c r="H13" s="15"/>
      <c r="I13" s="15"/>
      <c r="J13" s="16">
        <v>86000</v>
      </c>
      <c r="K13" s="17">
        <f t="shared" si="3"/>
        <v>0</v>
      </c>
      <c r="L13" s="18">
        <f t="shared" si="2"/>
        <v>86000</v>
      </c>
      <c r="M13" s="19"/>
      <c r="N13" s="19"/>
      <c r="O13" s="19"/>
      <c r="P13" s="19"/>
      <c r="Q13" s="19"/>
      <c r="R13" s="19"/>
      <c r="S13" s="19"/>
      <c r="T13" s="19"/>
      <c r="U13" s="19"/>
      <c r="V13" s="19"/>
      <c r="W13" s="19"/>
      <c r="X13" s="19"/>
      <c r="Y13" s="31"/>
      <c r="Z13" s="31">
        <f t="shared" si="1"/>
        <v>0</v>
      </c>
    </row>
    <row r="14" spans="1:26" ht="15.75" x14ac:dyDescent="0.25">
      <c r="A14" s="20" t="s">
        <v>1066</v>
      </c>
      <c r="B14" s="15"/>
      <c r="C14" s="15">
        <v>8200</v>
      </c>
      <c r="D14" s="15">
        <v>5000</v>
      </c>
      <c r="E14" s="15"/>
      <c r="F14" s="15"/>
      <c r="G14" s="15">
        <v>5891.77</v>
      </c>
      <c r="H14" s="15"/>
      <c r="I14" s="15"/>
      <c r="J14" s="16"/>
      <c r="K14" s="17"/>
      <c r="L14" s="18">
        <f t="shared" si="2"/>
        <v>19091.77</v>
      </c>
      <c r="M14" s="19"/>
      <c r="N14" s="19"/>
      <c r="O14" s="19"/>
      <c r="P14" s="19"/>
      <c r="Q14" s="19"/>
      <c r="R14" s="19"/>
      <c r="S14" s="19"/>
      <c r="T14" s="19"/>
      <c r="U14" s="19"/>
      <c r="V14" s="19"/>
      <c r="W14" s="19"/>
      <c r="X14" s="19"/>
      <c r="Y14" s="31"/>
      <c r="Z14" s="31"/>
    </row>
    <row r="15" spans="1:26" ht="15.75" x14ac:dyDescent="0.25">
      <c r="A15" s="13" t="s">
        <v>153</v>
      </c>
      <c r="B15" s="15"/>
      <c r="C15" s="15"/>
      <c r="D15" s="15"/>
      <c r="E15" s="15"/>
      <c r="F15" s="15"/>
      <c r="G15" s="15"/>
      <c r="H15" s="15"/>
      <c r="I15" s="15"/>
      <c r="J15" s="16">
        <v>120000</v>
      </c>
      <c r="K15" s="17">
        <f t="shared" si="3"/>
        <v>0</v>
      </c>
      <c r="L15" s="18">
        <f t="shared" si="2"/>
        <v>120000</v>
      </c>
      <c r="M15" s="19"/>
      <c r="N15" s="19"/>
      <c r="O15" s="19"/>
      <c r="P15" s="19"/>
      <c r="Q15" s="19"/>
      <c r="R15" s="19"/>
      <c r="S15" s="19"/>
      <c r="T15" s="19"/>
      <c r="U15" s="19"/>
      <c r="V15" s="19"/>
      <c r="W15" s="19"/>
      <c r="X15" s="19"/>
      <c r="Y15" s="31"/>
      <c r="Z15" s="31">
        <f t="shared" si="1"/>
        <v>0</v>
      </c>
    </row>
    <row r="16" spans="1:26" ht="15.75" x14ac:dyDescent="0.25">
      <c r="A16" s="13" t="s">
        <v>804</v>
      </c>
      <c r="B16" s="15"/>
      <c r="C16" s="15"/>
      <c r="D16" s="15"/>
      <c r="E16" s="15"/>
      <c r="F16" s="15"/>
      <c r="G16" s="15"/>
      <c r="H16" s="15"/>
      <c r="I16" s="15"/>
      <c r="J16" s="16"/>
      <c r="K16" s="17">
        <f t="shared" si="3"/>
        <v>191350.05999999997</v>
      </c>
      <c r="L16" s="18">
        <f t="shared" si="2"/>
        <v>-191350.05999999997</v>
      </c>
      <c r="M16" s="19">
        <f>4779.36+5268.8</f>
        <v>10048.16</v>
      </c>
      <c r="N16" s="19">
        <f>18083.85+9711.4</f>
        <v>27795.25</v>
      </c>
      <c r="O16" s="19">
        <f>13325.9+14579.75</f>
        <v>27905.65</v>
      </c>
      <c r="P16" s="19">
        <f>7037.8+9419.45</f>
        <v>16457.25</v>
      </c>
      <c r="Q16" s="19">
        <f>9021.45+11054.45</f>
        <v>20075.900000000001</v>
      </c>
      <c r="R16" s="19">
        <f>10557.75+8032.25</f>
        <v>18590</v>
      </c>
      <c r="S16" s="19">
        <f>11935.5+10560.9</f>
        <v>22496.400000000001</v>
      </c>
      <c r="T16" s="19">
        <f>7042+10558.8</f>
        <v>17600.8</v>
      </c>
      <c r="U16" s="19">
        <f>11035.55</f>
        <v>11035.55</v>
      </c>
      <c r="V16" s="19">
        <f>9187.4+10157.7</f>
        <v>19345.099999999999</v>
      </c>
      <c r="W16" s="19"/>
      <c r="X16" s="19"/>
      <c r="Y16" s="31"/>
      <c r="Z16" s="31">
        <f t="shared" si="1"/>
        <v>191350.05999999997</v>
      </c>
    </row>
    <row r="17" spans="1:26" ht="15.75" x14ac:dyDescent="0.25">
      <c r="A17" s="20" t="s">
        <v>21</v>
      </c>
      <c r="B17" s="15"/>
      <c r="C17" s="15">
        <v>270000</v>
      </c>
      <c r="D17" s="15">
        <v>215295.35999999999</v>
      </c>
      <c r="E17" s="15">
        <v>20000</v>
      </c>
      <c r="F17" s="15">
        <v>40000</v>
      </c>
      <c r="G17" s="15"/>
      <c r="H17" s="15">
        <v>20000</v>
      </c>
      <c r="I17" s="15"/>
      <c r="J17" s="16">
        <v>760000</v>
      </c>
      <c r="K17" s="17">
        <f t="shared" si="3"/>
        <v>281379</v>
      </c>
      <c r="L17" s="18">
        <f t="shared" si="2"/>
        <v>1043916.3599999999</v>
      </c>
      <c r="M17" s="19"/>
      <c r="N17" s="19">
        <v>98000</v>
      </c>
      <c r="O17" s="19">
        <f>55965+14000+54864</f>
        <v>124829</v>
      </c>
      <c r="P17" s="19"/>
      <c r="Q17" s="19"/>
      <c r="R17" s="19"/>
      <c r="S17" s="19"/>
      <c r="T17" s="19">
        <f>6550</f>
        <v>6550</v>
      </c>
      <c r="U17" s="19">
        <f>30000</f>
        <v>30000</v>
      </c>
      <c r="V17" s="19">
        <f>22000</f>
        <v>22000</v>
      </c>
      <c r="W17" s="19"/>
      <c r="X17" s="19"/>
      <c r="Y17" s="31"/>
      <c r="Z17" s="31">
        <f t="shared" si="1"/>
        <v>281379</v>
      </c>
    </row>
    <row r="18" spans="1:26" ht="15.75" x14ac:dyDescent="0.25">
      <c r="A18" s="20" t="s">
        <v>154</v>
      </c>
      <c r="B18" s="15"/>
      <c r="C18" s="15"/>
      <c r="D18" s="15"/>
      <c r="E18" s="15"/>
      <c r="F18" s="15"/>
      <c r="G18" s="15"/>
      <c r="H18" s="15"/>
      <c r="I18" s="15"/>
      <c r="J18" s="16">
        <v>1600000</v>
      </c>
      <c r="K18" s="17">
        <f t="shared" si="3"/>
        <v>0</v>
      </c>
      <c r="L18" s="18">
        <f t="shared" si="2"/>
        <v>1600000</v>
      </c>
      <c r="M18" s="19"/>
      <c r="N18" s="19"/>
      <c r="O18" s="19"/>
      <c r="P18" s="19"/>
      <c r="Q18" s="19"/>
      <c r="R18" s="19"/>
      <c r="S18" s="19"/>
      <c r="T18" s="19"/>
      <c r="U18" s="19"/>
      <c r="V18" s="19"/>
      <c r="W18" s="19"/>
      <c r="X18" s="19"/>
      <c r="Y18" s="31"/>
      <c r="Z18" s="31">
        <f t="shared" si="1"/>
        <v>0</v>
      </c>
    </row>
    <row r="19" spans="1:26" ht="15.75" x14ac:dyDescent="0.25">
      <c r="A19" s="20" t="s">
        <v>32</v>
      </c>
      <c r="B19" s="15"/>
      <c r="C19" s="15"/>
      <c r="D19" s="15">
        <v>60000</v>
      </c>
      <c r="E19" s="15">
        <v>20000</v>
      </c>
      <c r="F19" s="15">
        <v>60000</v>
      </c>
      <c r="G19" s="15"/>
      <c r="H19" s="15"/>
      <c r="I19" s="15"/>
      <c r="J19" s="16">
        <v>1000000</v>
      </c>
      <c r="K19" s="17">
        <f t="shared" si="3"/>
        <v>597000</v>
      </c>
      <c r="L19" s="18">
        <f t="shared" si="2"/>
        <v>543000</v>
      </c>
      <c r="M19" s="19"/>
      <c r="N19" s="19"/>
      <c r="O19" s="19"/>
      <c r="P19" s="19"/>
      <c r="Q19" s="19"/>
      <c r="R19" s="19">
        <f>597000</f>
        <v>597000</v>
      </c>
      <c r="S19" s="19"/>
      <c r="T19" s="19"/>
      <c r="U19" s="19"/>
      <c r="V19" s="19"/>
      <c r="W19" s="19"/>
      <c r="X19" s="19"/>
      <c r="Y19" s="31"/>
      <c r="Z19" s="31">
        <f t="shared" si="1"/>
        <v>597000</v>
      </c>
    </row>
    <row r="20" spans="1:26" ht="15.75" x14ac:dyDescent="0.25">
      <c r="A20" s="20" t="s">
        <v>1074</v>
      </c>
      <c r="B20" s="15"/>
      <c r="C20" s="15"/>
      <c r="D20" s="15">
        <v>4000000</v>
      </c>
      <c r="E20" s="15"/>
      <c r="F20" s="15"/>
      <c r="G20" s="15"/>
      <c r="H20" s="15"/>
      <c r="I20" s="15"/>
      <c r="J20" s="16"/>
      <c r="K20" s="17"/>
      <c r="L20" s="18">
        <f t="shared" si="2"/>
        <v>4000000</v>
      </c>
      <c r="M20" s="19"/>
      <c r="N20" s="19"/>
      <c r="O20" s="19"/>
      <c r="P20" s="19"/>
      <c r="Q20" s="19"/>
      <c r="R20" s="19"/>
      <c r="S20" s="19"/>
      <c r="T20" s="19"/>
      <c r="U20" s="19"/>
      <c r="V20" s="19"/>
      <c r="W20" s="19"/>
      <c r="X20" s="19"/>
      <c r="Y20" s="31"/>
      <c r="Z20" s="31"/>
    </row>
    <row r="21" spans="1:26" ht="15.75" x14ac:dyDescent="0.25">
      <c r="A21" s="20" t="s">
        <v>1081</v>
      </c>
      <c r="B21" s="15"/>
      <c r="C21" s="15"/>
      <c r="D21" s="15"/>
      <c r="E21" s="15"/>
      <c r="F21" s="15">
        <v>166666.67000000001</v>
      </c>
      <c r="G21" s="15">
        <v>2892314.32</v>
      </c>
      <c r="H21" s="15">
        <v>1042600</v>
      </c>
      <c r="I21" s="15"/>
      <c r="J21" s="16"/>
      <c r="K21" s="17"/>
      <c r="L21" s="18">
        <f t="shared" si="2"/>
        <v>4101580.9899999998</v>
      </c>
      <c r="M21" s="19"/>
      <c r="N21" s="19"/>
      <c r="O21" s="19"/>
      <c r="P21" s="19"/>
      <c r="Q21" s="19"/>
      <c r="R21" s="19"/>
      <c r="S21" s="19"/>
      <c r="T21" s="19"/>
      <c r="U21" s="19"/>
      <c r="V21" s="19"/>
      <c r="W21" s="19"/>
      <c r="X21" s="19"/>
      <c r="Y21" s="31"/>
      <c r="Z21" s="31"/>
    </row>
    <row r="22" spans="1:26" ht="15.75" x14ac:dyDescent="0.25">
      <c r="A22" s="23" t="s">
        <v>38</v>
      </c>
      <c r="B22" s="15"/>
      <c r="C22" s="15"/>
      <c r="D22" s="15"/>
      <c r="E22" s="15"/>
      <c r="F22" s="15"/>
      <c r="G22" s="15"/>
      <c r="H22" s="15"/>
      <c r="I22" s="15"/>
      <c r="J22" s="16">
        <v>234000</v>
      </c>
      <c r="K22" s="17">
        <f t="shared" si="3"/>
        <v>0</v>
      </c>
      <c r="L22" s="18">
        <f t="shared" si="2"/>
        <v>234000</v>
      </c>
      <c r="M22" s="19"/>
      <c r="N22" s="19"/>
      <c r="O22" s="19"/>
      <c r="P22" s="19"/>
      <c r="Q22" s="19"/>
      <c r="R22" s="19"/>
      <c r="S22" s="19"/>
      <c r="T22" s="19"/>
      <c r="U22" s="19"/>
      <c r="V22" s="19"/>
      <c r="W22" s="19"/>
      <c r="X22" s="19"/>
      <c r="Y22" s="31"/>
      <c r="Z22" s="31">
        <f t="shared" si="1"/>
        <v>0</v>
      </c>
    </row>
    <row r="23" spans="1:26" ht="15.75" x14ac:dyDescent="0.25">
      <c r="A23" s="23" t="s">
        <v>58</v>
      </c>
      <c r="B23" s="15"/>
      <c r="C23" s="15"/>
      <c r="D23" s="15">
        <v>70000</v>
      </c>
      <c r="E23" s="15">
        <v>10000</v>
      </c>
      <c r="F23" s="15"/>
      <c r="G23" s="15">
        <v>200000</v>
      </c>
      <c r="H23" s="15"/>
      <c r="I23" s="15"/>
      <c r="J23" s="16">
        <v>300000</v>
      </c>
      <c r="K23" s="17">
        <f t="shared" si="3"/>
        <v>399200</v>
      </c>
      <c r="L23" s="18">
        <f t="shared" si="2"/>
        <v>180800</v>
      </c>
      <c r="M23" s="19"/>
      <c r="N23" s="19"/>
      <c r="O23" s="19"/>
      <c r="P23" s="19"/>
      <c r="Q23" s="19"/>
      <c r="R23" s="19">
        <f>399200</f>
        <v>399200</v>
      </c>
      <c r="S23" s="19"/>
      <c r="T23" s="19"/>
      <c r="U23" s="19"/>
      <c r="V23" s="19"/>
      <c r="W23" s="19"/>
      <c r="X23" s="19"/>
      <c r="Y23" s="31"/>
      <c r="Z23" s="31">
        <f t="shared" si="1"/>
        <v>399200</v>
      </c>
    </row>
    <row r="24" spans="1:26" ht="16.5" thickBot="1" x14ac:dyDescent="0.3">
      <c r="A24" s="25"/>
      <c r="B24" s="27">
        <f t="shared" ref="B24:X24" si="4">SUM(B4:B23)</f>
        <v>0</v>
      </c>
      <c r="C24" s="27">
        <f t="shared" ref="C24:I24" si="5">SUM(C4:C23)</f>
        <v>407910.25</v>
      </c>
      <c r="D24" s="27">
        <f t="shared" si="5"/>
        <v>4440445.3600000003</v>
      </c>
      <c r="E24" s="27">
        <f t="shared" si="5"/>
        <v>105000</v>
      </c>
      <c r="F24" s="27">
        <f t="shared" si="5"/>
        <v>341666.67000000004</v>
      </c>
      <c r="G24" s="27">
        <f t="shared" si="5"/>
        <v>6298206.0899999999</v>
      </c>
      <c r="H24" s="27">
        <f t="shared" si="5"/>
        <v>1109820.32</v>
      </c>
      <c r="I24" s="27">
        <f t="shared" si="5"/>
        <v>17000</v>
      </c>
      <c r="J24" s="27">
        <f t="shared" si="4"/>
        <v>4659200</v>
      </c>
      <c r="K24" s="27">
        <f t="shared" si="4"/>
        <v>4689665.7799999993</v>
      </c>
      <c r="L24" s="27">
        <f t="shared" si="4"/>
        <v>12689582.91</v>
      </c>
      <c r="M24" s="27">
        <f t="shared" si="4"/>
        <v>56748.160000000003</v>
      </c>
      <c r="N24" s="27">
        <f t="shared" si="4"/>
        <v>832500.67999999993</v>
      </c>
      <c r="O24" s="27">
        <f t="shared" si="4"/>
        <v>826777.92</v>
      </c>
      <c r="P24" s="27">
        <f t="shared" si="4"/>
        <v>422390.81</v>
      </c>
      <c r="Q24" s="27">
        <f t="shared" si="4"/>
        <v>590425.9</v>
      </c>
      <c r="R24" s="27">
        <f t="shared" si="4"/>
        <v>1106730</v>
      </c>
      <c r="S24" s="27">
        <f t="shared" si="4"/>
        <v>302356.40000000002</v>
      </c>
      <c r="T24" s="27">
        <f t="shared" si="4"/>
        <v>393215.82</v>
      </c>
      <c r="U24" s="27">
        <f t="shared" si="4"/>
        <v>84524.99</v>
      </c>
      <c r="V24" s="27">
        <f t="shared" si="4"/>
        <v>73995.100000000006</v>
      </c>
      <c r="W24" s="27">
        <f t="shared" si="4"/>
        <v>0</v>
      </c>
      <c r="X24" s="27">
        <f t="shared" si="4"/>
        <v>0</v>
      </c>
      <c r="Y24" s="27" t="s">
        <v>25</v>
      </c>
      <c r="Z24" s="28">
        <f>SUM(M24:X24)</f>
        <v>4689665.7799999993</v>
      </c>
    </row>
    <row r="26" spans="1:26" ht="15.75" thickBot="1" x14ac:dyDescent="0.3"/>
    <row r="27" spans="1:26" ht="16.5" thickBot="1" x14ac:dyDescent="0.3">
      <c r="A27" s="136" t="s">
        <v>175</v>
      </c>
      <c r="B27" s="299" t="s">
        <v>188</v>
      </c>
      <c r="C27" s="300"/>
      <c r="D27" s="300"/>
      <c r="E27" s="300"/>
      <c r="F27" s="300"/>
      <c r="G27" s="300"/>
      <c r="H27" s="300"/>
      <c r="I27" s="300"/>
      <c r="J27" s="300"/>
      <c r="K27" s="300"/>
      <c r="L27" s="299" t="s">
        <v>114</v>
      </c>
      <c r="M27" s="301"/>
      <c r="N27" s="302" t="s">
        <v>113</v>
      </c>
      <c r="O27" s="303"/>
    </row>
    <row r="28" spans="1:26" ht="48.75" customHeight="1" x14ac:dyDescent="0.25">
      <c r="A28" s="162" t="s">
        <v>176</v>
      </c>
      <c r="B28" s="414" t="s">
        <v>179</v>
      </c>
      <c r="C28" s="415"/>
      <c r="D28" s="415"/>
      <c r="E28" s="415"/>
      <c r="F28" s="415"/>
      <c r="G28" s="415"/>
      <c r="H28" s="415"/>
      <c r="I28" s="415"/>
      <c r="J28" s="415"/>
      <c r="K28" s="415"/>
      <c r="L28" s="316" t="s">
        <v>654</v>
      </c>
      <c r="M28" s="310"/>
      <c r="N28" s="389">
        <v>54864</v>
      </c>
      <c r="O28" s="390"/>
      <c r="P28" s="406"/>
      <c r="Q28" s="406"/>
    </row>
    <row r="29" spans="1:26" ht="15" customHeight="1" x14ac:dyDescent="0.25">
      <c r="A29" s="162" t="s">
        <v>176</v>
      </c>
      <c r="B29" s="263" t="s">
        <v>186</v>
      </c>
      <c r="C29" s="319"/>
      <c r="D29" s="319"/>
      <c r="E29" s="319"/>
      <c r="F29" s="319"/>
      <c r="G29" s="319"/>
      <c r="H29" s="319"/>
      <c r="I29" s="319"/>
      <c r="J29" s="319"/>
      <c r="K29" s="319"/>
      <c r="L29" s="349" t="s">
        <v>187</v>
      </c>
      <c r="M29" s="265"/>
      <c r="N29" s="371">
        <v>55965</v>
      </c>
      <c r="O29" s="372"/>
      <c r="P29" s="406"/>
      <c r="Q29" s="406"/>
    </row>
    <row r="30" spans="1:26" ht="43.5" customHeight="1" x14ac:dyDescent="0.25">
      <c r="A30" s="179" t="s">
        <v>319</v>
      </c>
      <c r="B30" s="263" t="s">
        <v>318</v>
      </c>
      <c r="C30" s="319"/>
      <c r="D30" s="319"/>
      <c r="E30" s="319"/>
      <c r="F30" s="319"/>
      <c r="G30" s="319"/>
      <c r="H30" s="319"/>
      <c r="I30" s="319"/>
      <c r="J30" s="319"/>
      <c r="K30" s="319"/>
      <c r="L30" s="349" t="s">
        <v>320</v>
      </c>
      <c r="M30" s="265"/>
      <c r="N30" s="279">
        <v>98000</v>
      </c>
      <c r="O30" s="280"/>
    </row>
    <row r="31" spans="1:26" ht="28.5" customHeight="1" x14ac:dyDescent="0.25">
      <c r="A31" s="162" t="s">
        <v>614</v>
      </c>
      <c r="B31" s="276" t="s">
        <v>615</v>
      </c>
      <c r="C31" s="277"/>
      <c r="D31" s="277"/>
      <c r="E31" s="277"/>
      <c r="F31" s="277"/>
      <c r="G31" s="277"/>
      <c r="H31" s="277"/>
      <c r="I31" s="277"/>
      <c r="J31" s="277"/>
      <c r="K31" s="277"/>
      <c r="L31" s="304" t="s">
        <v>616</v>
      </c>
      <c r="M31" s="306"/>
      <c r="N31" s="407">
        <v>399200</v>
      </c>
      <c r="O31" s="408"/>
    </row>
    <row r="32" spans="1:26" ht="28.5" customHeight="1" x14ac:dyDescent="0.25">
      <c r="A32" s="162" t="s">
        <v>638</v>
      </c>
      <c r="B32" s="263" t="s">
        <v>639</v>
      </c>
      <c r="C32" s="319"/>
      <c r="D32" s="319"/>
      <c r="E32" s="319"/>
      <c r="F32" s="319"/>
      <c r="G32" s="319"/>
      <c r="H32" s="319"/>
      <c r="I32" s="319"/>
      <c r="J32" s="319"/>
      <c r="K32" s="294"/>
      <c r="L32" s="263" t="s">
        <v>640</v>
      </c>
      <c r="M32" s="294"/>
      <c r="N32" s="311">
        <v>597000</v>
      </c>
      <c r="O32" s="312"/>
    </row>
    <row r="33" spans="1:15" ht="30.75" customHeight="1" x14ac:dyDescent="0.25">
      <c r="A33" s="162" t="s">
        <v>180</v>
      </c>
      <c r="B33" s="263" t="s">
        <v>731</v>
      </c>
      <c r="C33" s="319"/>
      <c r="D33" s="319"/>
      <c r="E33" s="319"/>
      <c r="F33" s="319"/>
      <c r="G33" s="319"/>
      <c r="H33" s="319"/>
      <c r="I33" s="319"/>
      <c r="J33" s="319"/>
      <c r="K33" s="294"/>
      <c r="L33" s="263" t="s">
        <v>728</v>
      </c>
      <c r="M33" s="294"/>
      <c r="N33" s="311">
        <v>4812.5</v>
      </c>
      <c r="O33" s="312"/>
    </row>
    <row r="34" spans="1:15" ht="33" customHeight="1" x14ac:dyDescent="0.25">
      <c r="A34" s="156" t="s">
        <v>19</v>
      </c>
      <c r="B34" s="276" t="s">
        <v>735</v>
      </c>
      <c r="C34" s="277"/>
      <c r="D34" s="277"/>
      <c r="E34" s="277"/>
      <c r="F34" s="277"/>
      <c r="G34" s="277"/>
      <c r="H34" s="277"/>
      <c r="I34" s="277"/>
      <c r="J34" s="277"/>
      <c r="K34" s="277"/>
      <c r="L34" s="288" t="s">
        <v>734</v>
      </c>
      <c r="M34" s="268"/>
      <c r="N34" s="409">
        <v>91591</v>
      </c>
      <c r="O34" s="410"/>
    </row>
    <row r="35" spans="1:15" ht="35.25" customHeight="1" x14ac:dyDescent="0.25">
      <c r="A35" s="156" t="s">
        <v>752</v>
      </c>
      <c r="B35" s="263" t="s">
        <v>753</v>
      </c>
      <c r="C35" s="319"/>
      <c r="D35" s="319"/>
      <c r="E35" s="319"/>
      <c r="F35" s="319"/>
      <c r="G35" s="319"/>
      <c r="H35" s="319"/>
      <c r="I35" s="319"/>
      <c r="J35" s="319"/>
      <c r="K35" s="294"/>
      <c r="L35" s="288" t="s">
        <v>749</v>
      </c>
      <c r="M35" s="268"/>
      <c r="N35" s="311">
        <v>6550</v>
      </c>
      <c r="O35" s="312"/>
    </row>
    <row r="36" spans="1:15" ht="33" customHeight="1" x14ac:dyDescent="0.25">
      <c r="A36" s="156" t="s">
        <v>303</v>
      </c>
      <c r="B36" s="263" t="s">
        <v>1003</v>
      </c>
      <c r="C36" s="319"/>
      <c r="D36" s="319"/>
      <c r="E36" s="319"/>
      <c r="F36" s="319"/>
      <c r="G36" s="319"/>
      <c r="H36" s="319"/>
      <c r="I36" s="319"/>
      <c r="J36" s="319"/>
      <c r="K36" s="294"/>
      <c r="L36" s="288" t="s">
        <v>1004</v>
      </c>
      <c r="M36" s="268"/>
      <c r="N36" s="311">
        <v>22000</v>
      </c>
      <c r="O36" s="312"/>
    </row>
    <row r="37" spans="1:15" ht="16.5" customHeight="1" x14ac:dyDescent="0.25">
      <c r="A37" s="156"/>
      <c r="B37" s="263"/>
      <c r="C37" s="319"/>
      <c r="D37" s="319"/>
      <c r="E37" s="319"/>
      <c r="F37" s="319"/>
      <c r="G37" s="319"/>
      <c r="H37" s="319"/>
      <c r="I37" s="319"/>
      <c r="J37" s="319"/>
      <c r="K37" s="294"/>
      <c r="L37" s="266"/>
      <c r="M37" s="268"/>
      <c r="N37" s="311"/>
      <c r="O37" s="312"/>
    </row>
    <row r="38" spans="1:15" ht="15.75" thickBot="1" x14ac:dyDescent="0.3">
      <c r="A38" s="120"/>
      <c r="B38" s="291"/>
      <c r="C38" s="292"/>
      <c r="D38" s="292"/>
      <c r="E38" s="292"/>
      <c r="F38" s="292"/>
      <c r="G38" s="292"/>
      <c r="H38" s="292"/>
      <c r="I38" s="292"/>
      <c r="J38" s="292"/>
      <c r="K38" s="292"/>
      <c r="L38" s="291"/>
      <c r="M38" s="293"/>
      <c r="N38" s="411"/>
      <c r="O38" s="412"/>
    </row>
    <row r="39" spans="1:15" ht="15.75" thickBot="1" x14ac:dyDescent="0.3">
      <c r="A39" s="85"/>
      <c r="B39" s="125"/>
      <c r="C39" s="250"/>
      <c r="D39" s="250"/>
      <c r="E39" s="250"/>
      <c r="F39" s="250"/>
      <c r="G39" s="250"/>
      <c r="H39" s="250"/>
      <c r="I39" s="250"/>
      <c r="J39" s="270"/>
      <c r="K39" s="271"/>
      <c r="L39" s="272" t="s">
        <v>116</v>
      </c>
      <c r="M39" s="391"/>
      <c r="N39" s="274">
        <f>SUM(N28:O38)</f>
        <v>1329982.5</v>
      </c>
      <c r="O39" s="275"/>
    </row>
    <row r="41" spans="1:15" ht="15.75" thickBot="1" x14ac:dyDescent="0.3"/>
    <row r="42" spans="1:15" ht="16.5" thickBot="1" x14ac:dyDescent="0.3">
      <c r="A42" s="136" t="s">
        <v>112</v>
      </c>
      <c r="B42" s="299" t="s">
        <v>306</v>
      </c>
      <c r="C42" s="300"/>
      <c r="D42" s="300"/>
      <c r="E42" s="300"/>
      <c r="F42" s="300"/>
      <c r="G42" s="300"/>
      <c r="H42" s="300"/>
      <c r="I42" s="300"/>
      <c r="J42" s="300"/>
      <c r="K42" s="300"/>
      <c r="L42" s="299" t="s">
        <v>114</v>
      </c>
      <c r="M42" s="301"/>
      <c r="N42" s="302" t="s">
        <v>113</v>
      </c>
      <c r="O42" s="303"/>
    </row>
    <row r="43" spans="1:15" ht="50.25" customHeight="1" x14ac:dyDescent="0.25">
      <c r="A43" s="162" t="s">
        <v>351</v>
      </c>
      <c r="B43" s="414" t="s">
        <v>352</v>
      </c>
      <c r="C43" s="415"/>
      <c r="D43" s="415"/>
      <c r="E43" s="415"/>
      <c r="F43" s="415"/>
      <c r="G43" s="415"/>
      <c r="H43" s="415"/>
      <c r="I43" s="415"/>
      <c r="J43" s="415"/>
      <c r="K43" s="415"/>
      <c r="L43" s="309" t="s">
        <v>353</v>
      </c>
      <c r="M43" s="310"/>
      <c r="N43" s="389">
        <v>2300</v>
      </c>
      <c r="O43" s="390"/>
    </row>
    <row r="44" spans="1:15" ht="15" customHeight="1" x14ac:dyDescent="0.25">
      <c r="A44" s="162" t="s">
        <v>354</v>
      </c>
      <c r="B44" s="263" t="s">
        <v>355</v>
      </c>
      <c r="C44" s="319"/>
      <c r="D44" s="319"/>
      <c r="E44" s="319"/>
      <c r="F44" s="319"/>
      <c r="G44" s="319"/>
      <c r="H44" s="319"/>
      <c r="I44" s="319"/>
      <c r="J44" s="319"/>
      <c r="K44" s="319"/>
      <c r="L44" s="349" t="s">
        <v>353</v>
      </c>
      <c r="M44" s="265"/>
      <c r="N44" s="371">
        <v>1150</v>
      </c>
      <c r="O44" s="372"/>
    </row>
    <row r="45" spans="1:15" ht="19.5" customHeight="1" x14ac:dyDescent="0.25">
      <c r="A45" s="179" t="s">
        <v>356</v>
      </c>
      <c r="B45" s="263" t="s">
        <v>355</v>
      </c>
      <c r="C45" s="319"/>
      <c r="D45" s="319"/>
      <c r="E45" s="319"/>
      <c r="F45" s="319"/>
      <c r="G45" s="319"/>
      <c r="H45" s="319"/>
      <c r="I45" s="319"/>
      <c r="J45" s="319"/>
      <c r="K45" s="294"/>
      <c r="L45" s="349" t="s">
        <v>353</v>
      </c>
      <c r="M45" s="265"/>
      <c r="N45" s="371">
        <v>1150</v>
      </c>
      <c r="O45" s="372"/>
    </row>
    <row r="46" spans="1:15" ht="46.5" customHeight="1" x14ac:dyDescent="0.25">
      <c r="A46" s="162" t="s">
        <v>366</v>
      </c>
      <c r="B46" s="362" t="s">
        <v>416</v>
      </c>
      <c r="C46" s="363"/>
      <c r="D46" s="363"/>
      <c r="E46" s="363"/>
      <c r="F46" s="363"/>
      <c r="G46" s="363"/>
      <c r="H46" s="363"/>
      <c r="I46" s="363"/>
      <c r="J46" s="363"/>
      <c r="K46" s="364"/>
      <c r="L46" s="263" t="s">
        <v>365</v>
      </c>
      <c r="M46" s="294"/>
      <c r="N46" s="407">
        <v>1500</v>
      </c>
      <c r="O46" s="408"/>
    </row>
    <row r="47" spans="1:15" ht="50.25" customHeight="1" x14ac:dyDescent="0.25">
      <c r="A47" s="162" t="s">
        <v>442</v>
      </c>
      <c r="B47" s="304" t="s">
        <v>352</v>
      </c>
      <c r="C47" s="305"/>
      <c r="D47" s="305"/>
      <c r="E47" s="305"/>
      <c r="F47" s="305"/>
      <c r="G47" s="305"/>
      <c r="H47" s="305"/>
      <c r="I47" s="305"/>
      <c r="J47" s="305"/>
      <c r="K47" s="305"/>
      <c r="L47" s="377" t="s">
        <v>353</v>
      </c>
      <c r="M47" s="413"/>
      <c r="N47" s="311">
        <v>2300</v>
      </c>
      <c r="O47" s="312"/>
    </row>
    <row r="48" spans="1:15" ht="15.75" customHeight="1" x14ac:dyDescent="0.25">
      <c r="A48" s="162" t="s">
        <v>351</v>
      </c>
      <c r="B48" s="263" t="s">
        <v>443</v>
      </c>
      <c r="C48" s="319"/>
      <c r="D48" s="319"/>
      <c r="E48" s="319"/>
      <c r="F48" s="319"/>
      <c r="G48" s="319"/>
      <c r="H48" s="319"/>
      <c r="I48" s="319"/>
      <c r="J48" s="319"/>
      <c r="K48" s="294"/>
      <c r="L48" s="263" t="s">
        <v>444</v>
      </c>
      <c r="M48" s="294"/>
      <c r="N48" s="311">
        <v>1150</v>
      </c>
      <c r="O48" s="312"/>
    </row>
    <row r="49" spans="1:15" ht="17.25" customHeight="1" x14ac:dyDescent="0.25">
      <c r="A49" s="190" t="s">
        <v>354</v>
      </c>
      <c r="B49" s="263" t="s">
        <v>443</v>
      </c>
      <c r="C49" s="319"/>
      <c r="D49" s="319"/>
      <c r="E49" s="319"/>
      <c r="F49" s="319"/>
      <c r="G49" s="319"/>
      <c r="H49" s="319"/>
      <c r="I49" s="319"/>
      <c r="J49" s="319"/>
      <c r="K49" s="294"/>
      <c r="L49" s="263" t="s">
        <v>444</v>
      </c>
      <c r="M49" s="294"/>
      <c r="N49" s="311">
        <v>1150</v>
      </c>
      <c r="O49" s="312"/>
    </row>
    <row r="50" spans="1:15" ht="15.75" customHeight="1" x14ac:dyDescent="0.25">
      <c r="A50" s="190" t="s">
        <v>354</v>
      </c>
      <c r="B50" s="263" t="s">
        <v>486</v>
      </c>
      <c r="C50" s="319"/>
      <c r="D50" s="319"/>
      <c r="E50" s="319"/>
      <c r="F50" s="319"/>
      <c r="G50" s="319"/>
      <c r="H50" s="319"/>
      <c r="I50" s="319"/>
      <c r="J50" s="319"/>
      <c r="K50" s="294"/>
      <c r="L50" s="263" t="s">
        <v>487</v>
      </c>
      <c r="M50" s="294"/>
      <c r="N50" s="311">
        <v>1150</v>
      </c>
      <c r="O50" s="312"/>
    </row>
    <row r="51" spans="1:15" ht="83.25" customHeight="1" x14ac:dyDescent="0.25">
      <c r="A51" s="190" t="s">
        <v>551</v>
      </c>
      <c r="B51" s="263" t="s">
        <v>552</v>
      </c>
      <c r="C51" s="319"/>
      <c r="D51" s="319"/>
      <c r="E51" s="319"/>
      <c r="F51" s="319"/>
      <c r="G51" s="319"/>
      <c r="H51" s="319"/>
      <c r="I51" s="319"/>
      <c r="J51" s="319"/>
      <c r="K51" s="294"/>
      <c r="L51" s="263" t="s">
        <v>553</v>
      </c>
      <c r="M51" s="294"/>
      <c r="N51" s="311">
        <v>3450</v>
      </c>
      <c r="O51" s="312"/>
    </row>
    <row r="52" spans="1:15" ht="45.75" customHeight="1" x14ac:dyDescent="0.25">
      <c r="A52" s="190" t="s">
        <v>442</v>
      </c>
      <c r="B52" s="362" t="s">
        <v>554</v>
      </c>
      <c r="C52" s="363"/>
      <c r="D52" s="363"/>
      <c r="E52" s="363"/>
      <c r="F52" s="363"/>
      <c r="G52" s="363"/>
      <c r="H52" s="363"/>
      <c r="I52" s="363"/>
      <c r="J52" s="363"/>
      <c r="K52" s="364"/>
      <c r="L52" s="263" t="s">
        <v>555</v>
      </c>
      <c r="M52" s="294"/>
      <c r="N52" s="311">
        <v>2300</v>
      </c>
      <c r="O52" s="312"/>
    </row>
    <row r="53" spans="1:15" ht="15.75" customHeight="1" x14ac:dyDescent="0.25">
      <c r="A53" s="190" t="s">
        <v>606</v>
      </c>
      <c r="B53" s="263" t="s">
        <v>607</v>
      </c>
      <c r="C53" s="319"/>
      <c r="D53" s="319"/>
      <c r="E53" s="319"/>
      <c r="F53" s="319"/>
      <c r="G53" s="319"/>
      <c r="H53" s="319"/>
      <c r="I53" s="319"/>
      <c r="J53" s="319"/>
      <c r="K53" s="294"/>
      <c r="L53" s="263" t="s">
        <v>608</v>
      </c>
      <c r="M53" s="294"/>
      <c r="N53" s="311">
        <v>1170</v>
      </c>
      <c r="O53" s="312"/>
    </row>
    <row r="54" spans="1:15" ht="15.75" customHeight="1" x14ac:dyDescent="0.25">
      <c r="A54" s="190" t="s">
        <v>354</v>
      </c>
      <c r="B54" s="263" t="s">
        <v>607</v>
      </c>
      <c r="C54" s="319"/>
      <c r="D54" s="319"/>
      <c r="E54" s="319"/>
      <c r="F54" s="319"/>
      <c r="G54" s="319"/>
      <c r="H54" s="319"/>
      <c r="I54" s="319"/>
      <c r="J54" s="319"/>
      <c r="K54" s="294"/>
      <c r="L54" s="263" t="s">
        <v>608</v>
      </c>
      <c r="M54" s="294"/>
      <c r="N54" s="311">
        <v>1170</v>
      </c>
      <c r="O54" s="312"/>
    </row>
    <row r="55" spans="1:15" ht="16.5" customHeight="1" x14ac:dyDescent="0.25">
      <c r="A55" s="190" t="s">
        <v>442</v>
      </c>
      <c r="B55" s="263" t="s">
        <v>607</v>
      </c>
      <c r="C55" s="319"/>
      <c r="D55" s="319"/>
      <c r="E55" s="319"/>
      <c r="F55" s="319"/>
      <c r="G55" s="319"/>
      <c r="H55" s="319"/>
      <c r="I55" s="319"/>
      <c r="J55" s="319"/>
      <c r="K55" s="294"/>
      <c r="L55" s="263" t="s">
        <v>608</v>
      </c>
      <c r="M55" s="294"/>
      <c r="N55" s="311">
        <v>1170</v>
      </c>
      <c r="O55" s="312"/>
    </row>
    <row r="56" spans="1:15" ht="16.5" customHeight="1" x14ac:dyDescent="0.25">
      <c r="A56" s="190" t="s">
        <v>369</v>
      </c>
      <c r="B56" s="263" t="s">
        <v>607</v>
      </c>
      <c r="C56" s="319"/>
      <c r="D56" s="319"/>
      <c r="E56" s="319"/>
      <c r="F56" s="319"/>
      <c r="G56" s="319"/>
      <c r="H56" s="319"/>
      <c r="I56" s="319"/>
      <c r="J56" s="319"/>
      <c r="K56" s="294"/>
      <c r="L56" s="263" t="s">
        <v>608</v>
      </c>
      <c r="M56" s="294"/>
      <c r="N56" s="311">
        <v>1170</v>
      </c>
      <c r="O56" s="312"/>
    </row>
    <row r="57" spans="1:15" ht="14.25" customHeight="1" x14ac:dyDescent="0.25">
      <c r="A57" s="190" t="s">
        <v>609</v>
      </c>
      <c r="B57" s="263" t="s">
        <v>607</v>
      </c>
      <c r="C57" s="319"/>
      <c r="D57" s="319"/>
      <c r="E57" s="319"/>
      <c r="F57" s="319"/>
      <c r="G57" s="319"/>
      <c r="H57" s="319"/>
      <c r="I57" s="319"/>
      <c r="J57" s="319"/>
      <c r="K57" s="294"/>
      <c r="L57" s="263" t="s">
        <v>608</v>
      </c>
      <c r="M57" s="294"/>
      <c r="N57" s="311">
        <v>1170</v>
      </c>
      <c r="O57" s="312"/>
    </row>
    <row r="58" spans="1:15" ht="14.25" customHeight="1" x14ac:dyDescent="0.25">
      <c r="A58" s="190" t="s">
        <v>551</v>
      </c>
      <c r="B58" s="263" t="s">
        <v>607</v>
      </c>
      <c r="C58" s="319"/>
      <c r="D58" s="319"/>
      <c r="E58" s="319"/>
      <c r="F58" s="319"/>
      <c r="G58" s="319"/>
      <c r="H58" s="319"/>
      <c r="I58" s="319"/>
      <c r="J58" s="319"/>
      <c r="K58" s="294"/>
      <c r="L58" s="263" t="s">
        <v>608</v>
      </c>
      <c r="M58" s="294"/>
      <c r="N58" s="311">
        <v>1170</v>
      </c>
      <c r="O58" s="312"/>
    </row>
    <row r="59" spans="1:15" ht="14.25" customHeight="1" x14ac:dyDescent="0.25">
      <c r="A59" s="190" t="s">
        <v>351</v>
      </c>
      <c r="B59" s="263" t="s">
        <v>607</v>
      </c>
      <c r="C59" s="319"/>
      <c r="D59" s="319"/>
      <c r="E59" s="319"/>
      <c r="F59" s="319"/>
      <c r="G59" s="319"/>
      <c r="H59" s="319"/>
      <c r="I59" s="319"/>
      <c r="J59" s="319"/>
      <c r="K59" s="294"/>
      <c r="L59" s="263" t="s">
        <v>608</v>
      </c>
      <c r="M59" s="294"/>
      <c r="N59" s="311">
        <v>1170</v>
      </c>
      <c r="O59" s="312"/>
    </row>
    <row r="60" spans="1:15" ht="15" customHeight="1" x14ac:dyDescent="0.25">
      <c r="A60" s="190" t="s">
        <v>356</v>
      </c>
      <c r="B60" s="263" t="s">
        <v>697</v>
      </c>
      <c r="C60" s="319"/>
      <c r="D60" s="319"/>
      <c r="E60" s="319"/>
      <c r="F60" s="319"/>
      <c r="G60" s="319"/>
      <c r="H60" s="319"/>
      <c r="I60" s="319"/>
      <c r="J60" s="319"/>
      <c r="K60" s="294"/>
      <c r="L60" s="263" t="s">
        <v>698</v>
      </c>
      <c r="M60" s="294"/>
      <c r="N60" s="311">
        <v>11750</v>
      </c>
      <c r="O60" s="312"/>
    </row>
    <row r="61" spans="1:15" ht="15.75" customHeight="1" x14ac:dyDescent="0.25">
      <c r="A61" s="190" t="s">
        <v>354</v>
      </c>
      <c r="B61" s="263" t="s">
        <v>961</v>
      </c>
      <c r="C61" s="319"/>
      <c r="D61" s="319"/>
      <c r="E61" s="319"/>
      <c r="F61" s="319"/>
      <c r="G61" s="319"/>
      <c r="H61" s="319"/>
      <c r="I61" s="319"/>
      <c r="J61" s="319"/>
      <c r="K61" s="294"/>
      <c r="L61" s="263" t="s">
        <v>941</v>
      </c>
      <c r="M61" s="294"/>
      <c r="N61" s="371">
        <v>850</v>
      </c>
      <c r="O61" s="372"/>
    </row>
    <row r="62" spans="1:15" ht="16.5" customHeight="1" x14ac:dyDescent="0.25">
      <c r="A62" s="190"/>
      <c r="B62" s="263"/>
      <c r="C62" s="319"/>
      <c r="D62" s="319"/>
      <c r="E62" s="319"/>
      <c r="F62" s="319"/>
      <c r="G62" s="319"/>
      <c r="H62" s="319"/>
      <c r="I62" s="319"/>
      <c r="J62" s="319"/>
      <c r="K62" s="294"/>
      <c r="L62" s="263"/>
      <c r="M62" s="294"/>
      <c r="N62" s="371"/>
      <c r="O62" s="372"/>
    </row>
    <row r="63" spans="1:15" ht="16.5" customHeight="1" x14ac:dyDescent="0.25">
      <c r="A63" s="190"/>
      <c r="B63" s="221"/>
      <c r="C63" s="319"/>
      <c r="D63" s="319"/>
      <c r="E63" s="319"/>
      <c r="F63" s="319"/>
      <c r="G63" s="319"/>
      <c r="H63" s="319"/>
      <c r="I63" s="319"/>
      <c r="J63" s="319"/>
      <c r="K63" s="294"/>
      <c r="L63" s="263"/>
      <c r="M63" s="294"/>
      <c r="N63" s="371"/>
      <c r="O63" s="372"/>
    </row>
    <row r="64" spans="1:15" ht="16.5" customHeight="1" x14ac:dyDescent="0.25">
      <c r="A64" s="190"/>
      <c r="B64" s="221"/>
      <c r="C64" s="319"/>
      <c r="D64" s="319"/>
      <c r="E64" s="319"/>
      <c r="F64" s="319"/>
      <c r="G64" s="319"/>
      <c r="H64" s="319"/>
      <c r="I64" s="319"/>
      <c r="J64" s="319"/>
      <c r="K64" s="294"/>
      <c r="L64" s="263"/>
      <c r="M64" s="294"/>
      <c r="N64" s="371"/>
      <c r="O64" s="372"/>
    </row>
    <row r="65" spans="1:15" ht="16.5" customHeight="1" x14ac:dyDescent="0.25">
      <c r="A65" s="190"/>
      <c r="B65" s="221"/>
      <c r="C65" s="319"/>
      <c r="D65" s="319"/>
      <c r="E65" s="319"/>
      <c r="F65" s="319"/>
      <c r="G65" s="319"/>
      <c r="H65" s="319"/>
      <c r="I65" s="319"/>
      <c r="J65" s="319"/>
      <c r="K65" s="294"/>
      <c r="L65" s="263"/>
      <c r="M65" s="294"/>
      <c r="N65" s="371"/>
      <c r="O65" s="372"/>
    </row>
    <row r="66" spans="1:15" ht="16.5" customHeight="1" x14ac:dyDescent="0.25">
      <c r="A66" s="190"/>
      <c r="B66" s="263"/>
      <c r="C66" s="319"/>
      <c r="D66" s="319"/>
      <c r="E66" s="319"/>
      <c r="F66" s="319"/>
      <c r="G66" s="319"/>
      <c r="H66" s="319"/>
      <c r="I66" s="319"/>
      <c r="J66" s="319"/>
      <c r="K66" s="294"/>
      <c r="L66" s="263"/>
      <c r="M66" s="294"/>
      <c r="N66" s="371"/>
      <c r="O66" s="372"/>
    </row>
    <row r="67" spans="1:15" ht="16.5" customHeight="1" x14ac:dyDescent="0.25">
      <c r="A67" s="190"/>
      <c r="B67" s="263"/>
      <c r="C67" s="319"/>
      <c r="D67" s="319"/>
      <c r="E67" s="319"/>
      <c r="F67" s="319"/>
      <c r="G67" s="319"/>
      <c r="H67" s="319"/>
      <c r="I67" s="319"/>
      <c r="J67" s="319"/>
      <c r="K67" s="294"/>
      <c r="L67" s="263"/>
      <c r="M67" s="294"/>
      <c r="N67" s="371"/>
      <c r="O67" s="372"/>
    </row>
    <row r="68" spans="1:15" x14ac:dyDescent="0.25">
      <c r="A68" s="192"/>
      <c r="B68" s="263"/>
      <c r="C68" s="319"/>
      <c r="D68" s="319"/>
      <c r="E68" s="319"/>
      <c r="F68" s="319"/>
      <c r="G68" s="319"/>
      <c r="H68" s="319"/>
      <c r="I68" s="319"/>
      <c r="J68" s="319"/>
      <c r="K68" s="319"/>
      <c r="L68" s="266"/>
      <c r="M68" s="268"/>
      <c r="N68" s="371"/>
      <c r="O68" s="372"/>
    </row>
    <row r="69" spans="1:15" ht="15.75" thickBot="1" x14ac:dyDescent="0.3">
      <c r="A69" s="193"/>
      <c r="B69" s="291"/>
      <c r="C69" s="292"/>
      <c r="D69" s="292"/>
      <c r="E69" s="292"/>
      <c r="F69" s="292"/>
      <c r="G69" s="292"/>
      <c r="H69" s="292"/>
      <c r="I69" s="292"/>
      <c r="J69" s="292"/>
      <c r="K69" s="292"/>
      <c r="L69" s="291"/>
      <c r="M69" s="293"/>
      <c r="N69" s="378"/>
      <c r="O69" s="379"/>
    </row>
    <row r="70" spans="1:15" ht="15.75" thickBot="1" x14ac:dyDescent="0.3">
      <c r="A70" s="85"/>
      <c r="B70" s="269"/>
      <c r="C70" s="270"/>
      <c r="D70" s="270"/>
      <c r="E70" s="270"/>
      <c r="F70" s="270"/>
      <c r="G70" s="270"/>
      <c r="H70" s="270"/>
      <c r="I70" s="270"/>
      <c r="J70" s="270"/>
      <c r="K70" s="271"/>
      <c r="L70" s="272" t="s">
        <v>116</v>
      </c>
      <c r="M70" s="391"/>
      <c r="N70" s="274">
        <f>SUM(N43:O69)</f>
        <v>38390</v>
      </c>
      <c r="O70" s="275"/>
    </row>
  </sheetData>
  <mergeCells count="130">
    <mergeCell ref="C1:I1"/>
    <mergeCell ref="J1:Z1"/>
    <mergeCell ref="B66:K66"/>
    <mergeCell ref="L59:M59"/>
    <mergeCell ref="L66:M66"/>
    <mergeCell ref="B62:K62"/>
    <mergeCell ref="L60:M60"/>
    <mergeCell ref="L61:M61"/>
    <mergeCell ref="L62:M62"/>
    <mergeCell ref="N60:O60"/>
    <mergeCell ref="N61:O61"/>
    <mergeCell ref="N62:O62"/>
    <mergeCell ref="L63:M63"/>
    <mergeCell ref="L64:M64"/>
    <mergeCell ref="L65:M65"/>
    <mergeCell ref="N63:O63"/>
    <mergeCell ref="N64:O64"/>
    <mergeCell ref="N65:O65"/>
    <mergeCell ref="B46:K46"/>
    <mergeCell ref="L46:M46"/>
    <mergeCell ref="N46:O46"/>
    <mergeCell ref="N50:O50"/>
    <mergeCell ref="B29:K29"/>
    <mergeCell ref="B31:K31"/>
    <mergeCell ref="L70:M70"/>
    <mergeCell ref="L57:M57"/>
    <mergeCell ref="N56:O56"/>
    <mergeCell ref="N57:O57"/>
    <mergeCell ref="N70:O70"/>
    <mergeCell ref="N55:O55"/>
    <mergeCell ref="B55:K55"/>
    <mergeCell ref="B69:K69"/>
    <mergeCell ref="L69:M69"/>
    <mergeCell ref="N69:O69"/>
    <mergeCell ref="B61:K61"/>
    <mergeCell ref="B70:K70"/>
    <mergeCell ref="N59:O59"/>
    <mergeCell ref="N66:O66"/>
    <mergeCell ref="B60:K60"/>
    <mergeCell ref="N58:O58"/>
    <mergeCell ref="B58:K58"/>
    <mergeCell ref="L58:M58"/>
    <mergeCell ref="B67:K67"/>
    <mergeCell ref="L67:M67"/>
    <mergeCell ref="C63:K63"/>
    <mergeCell ref="C64:K64"/>
    <mergeCell ref="C65:K65"/>
    <mergeCell ref="B34:K34"/>
    <mergeCell ref="N27:O27"/>
    <mergeCell ref="N28:O28"/>
    <mergeCell ref="L30:M30"/>
    <mergeCell ref="N30:O30"/>
    <mergeCell ref="L29:M29"/>
    <mergeCell ref="N29:O29"/>
    <mergeCell ref="B28:K28"/>
    <mergeCell ref="B27:K27"/>
    <mergeCell ref="B32:K32"/>
    <mergeCell ref="B33:K33"/>
    <mergeCell ref="L27:M27"/>
    <mergeCell ref="B42:K42"/>
    <mergeCell ref="L42:M42"/>
    <mergeCell ref="N42:O42"/>
    <mergeCell ref="L56:M56"/>
    <mergeCell ref="B36:K36"/>
    <mergeCell ref="B37:K37"/>
    <mergeCell ref="B38:K38"/>
    <mergeCell ref="L43:M43"/>
    <mergeCell ref="N43:O43"/>
    <mergeCell ref="B43:K43"/>
    <mergeCell ref="B52:K52"/>
    <mergeCell ref="L52:M52"/>
    <mergeCell ref="N52:O52"/>
    <mergeCell ref="B53:K53"/>
    <mergeCell ref="L44:M44"/>
    <mergeCell ref="N44:O44"/>
    <mergeCell ref="B45:K45"/>
    <mergeCell ref="L45:M45"/>
    <mergeCell ref="N45:O45"/>
    <mergeCell ref="B44:K44"/>
    <mergeCell ref="B51:K51"/>
    <mergeCell ref="L49:M49"/>
    <mergeCell ref="L50:M50"/>
    <mergeCell ref="N49:O49"/>
    <mergeCell ref="B49:K49"/>
    <mergeCell ref="B50:K50"/>
    <mergeCell ref="B68:K68"/>
    <mergeCell ref="L68:M68"/>
    <mergeCell ref="N68:O68"/>
    <mergeCell ref="B47:K47"/>
    <mergeCell ref="B48:K48"/>
    <mergeCell ref="L47:M47"/>
    <mergeCell ref="N47:O47"/>
    <mergeCell ref="N48:O48"/>
    <mergeCell ref="N51:O51"/>
    <mergeCell ref="N67:O67"/>
    <mergeCell ref="L48:M48"/>
    <mergeCell ref="L51:M51"/>
    <mergeCell ref="L53:M53"/>
    <mergeCell ref="N53:O53"/>
    <mergeCell ref="B56:K56"/>
    <mergeCell ref="B57:K57"/>
    <mergeCell ref="L55:M55"/>
    <mergeCell ref="B54:K54"/>
    <mergeCell ref="L54:M54"/>
    <mergeCell ref="N54:O54"/>
    <mergeCell ref="B59:K59"/>
    <mergeCell ref="J39:K39"/>
    <mergeCell ref="P28:Q28"/>
    <mergeCell ref="P29:Q29"/>
    <mergeCell ref="N39:O39"/>
    <mergeCell ref="L39:M39"/>
    <mergeCell ref="L31:M31"/>
    <mergeCell ref="L34:M34"/>
    <mergeCell ref="N31:O31"/>
    <mergeCell ref="N34:O34"/>
    <mergeCell ref="N38:O38"/>
    <mergeCell ref="L38:M38"/>
    <mergeCell ref="L32:M32"/>
    <mergeCell ref="L33:M33"/>
    <mergeCell ref="N32:O32"/>
    <mergeCell ref="N33:O33"/>
    <mergeCell ref="N36:O36"/>
    <mergeCell ref="N37:O37"/>
    <mergeCell ref="L35:M35"/>
    <mergeCell ref="L36:M36"/>
    <mergeCell ref="L37:M37"/>
    <mergeCell ref="N35:O35"/>
    <mergeCell ref="B35:K35"/>
    <mergeCell ref="L28:M28"/>
    <mergeCell ref="B30:K30"/>
  </mergeCells>
  <pageMargins left="0.7" right="0.7" top="0.75" bottom="0.75" header="0.3" footer="0.3"/>
  <pageSetup paperSize="256" scale="55" fitToHeight="0" orientation="landscape" horizontalDpi="4294967293"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4CFAB-59BD-437F-9CBD-1A605FE57AC3}">
  <sheetPr>
    <pageSetUpPr fitToPage="1"/>
  </sheetPr>
  <dimension ref="A1:AA90"/>
  <sheetViews>
    <sheetView tabSelected="1" zoomScale="80" zoomScaleNormal="80" workbookViewId="0">
      <selection activeCell="S25" sqref="S25"/>
    </sheetView>
  </sheetViews>
  <sheetFormatPr defaultRowHeight="15" x14ac:dyDescent="0.25"/>
  <cols>
    <col min="1" max="1" width="42" customWidth="1"/>
    <col min="2" max="2" width="18.7109375" customWidth="1"/>
    <col min="3" max="3" width="16.7109375" hidden="1" customWidth="1"/>
    <col min="4" max="10" width="16.7109375" customWidth="1"/>
    <col min="11" max="11" width="17.5703125" customWidth="1"/>
    <col min="12" max="12" width="17.7109375" customWidth="1"/>
    <col min="13" max="13" width="16.85546875" customWidth="1"/>
    <col min="14" max="14" width="13.85546875" customWidth="1"/>
    <col min="15" max="15" width="15.28515625" customWidth="1"/>
    <col min="16" max="16" width="16.42578125" customWidth="1"/>
    <col min="17" max="17" width="17.140625" customWidth="1"/>
    <col min="18" max="18" width="14.140625" customWidth="1"/>
    <col min="19" max="19" width="13" customWidth="1"/>
    <col min="20" max="20" width="14.7109375" customWidth="1"/>
    <col min="21" max="21" width="13.7109375" customWidth="1"/>
    <col min="22" max="22" width="12.28515625" customWidth="1"/>
    <col min="23" max="23" width="13.140625" customWidth="1"/>
    <col min="24" max="24" width="12.7109375" customWidth="1"/>
    <col min="25" max="26" width="12.5703125" customWidth="1"/>
    <col min="27" max="27" width="18.85546875" customWidth="1"/>
  </cols>
  <sheetData>
    <row r="1" spans="1:27" s="115" customFormat="1" ht="60" customHeight="1" thickBot="1" x14ac:dyDescent="0.3">
      <c r="D1" s="482" t="s">
        <v>1062</v>
      </c>
      <c r="E1" s="483"/>
      <c r="F1" s="483"/>
      <c r="G1" s="483"/>
      <c r="H1" s="483"/>
      <c r="I1" s="483"/>
      <c r="J1" s="484"/>
      <c r="K1" s="382"/>
      <c r="L1" s="383"/>
      <c r="M1" s="383"/>
      <c r="N1" s="383"/>
      <c r="O1" s="383"/>
      <c r="P1" s="383"/>
      <c r="Q1" s="383"/>
      <c r="R1" s="383"/>
      <c r="S1" s="383"/>
      <c r="T1" s="383"/>
      <c r="U1" s="383"/>
      <c r="V1" s="383"/>
      <c r="W1" s="383"/>
      <c r="X1" s="383"/>
      <c r="Y1" s="383"/>
      <c r="Z1" s="383"/>
      <c r="AA1" s="384"/>
    </row>
    <row r="2" spans="1:27" ht="72.75" customHeight="1" thickBot="1" x14ac:dyDescent="0.3">
      <c r="A2" s="1"/>
      <c r="B2" s="2" t="s">
        <v>0</v>
      </c>
      <c r="C2" s="3" t="s">
        <v>122</v>
      </c>
      <c r="D2" s="98" t="s">
        <v>1075</v>
      </c>
      <c r="E2" s="98" t="s">
        <v>1065</v>
      </c>
      <c r="F2" s="98" t="s">
        <v>1064</v>
      </c>
      <c r="G2" s="199" t="s">
        <v>1079</v>
      </c>
      <c r="H2" s="199" t="s">
        <v>1082</v>
      </c>
      <c r="I2" s="199" t="s">
        <v>1084</v>
      </c>
      <c r="J2" s="199" t="s">
        <v>1087</v>
      </c>
      <c r="K2" s="252" t="s">
        <v>810</v>
      </c>
      <c r="L2" s="5" t="s">
        <v>811</v>
      </c>
      <c r="M2" s="135" t="s">
        <v>815</v>
      </c>
      <c r="N2" s="204" t="s">
        <v>4</v>
      </c>
      <c r="O2" s="65" t="s">
        <v>5</v>
      </c>
      <c r="P2" s="205" t="s">
        <v>6</v>
      </c>
      <c r="Q2" s="65" t="s">
        <v>7</v>
      </c>
      <c r="R2" s="205" t="s">
        <v>8</v>
      </c>
      <c r="S2" s="65" t="s">
        <v>9</v>
      </c>
      <c r="T2" s="205" t="s">
        <v>10</v>
      </c>
      <c r="U2" s="65" t="s">
        <v>11</v>
      </c>
      <c r="V2" s="205" t="s">
        <v>12</v>
      </c>
      <c r="W2" s="65" t="s">
        <v>13</v>
      </c>
      <c r="X2" s="205" t="s">
        <v>14</v>
      </c>
      <c r="Y2" s="65" t="s">
        <v>15</v>
      </c>
      <c r="Z2" s="66"/>
      <c r="AA2" s="10" t="s">
        <v>16</v>
      </c>
    </row>
    <row r="3" spans="1:27" ht="16.5" thickBot="1" x14ac:dyDescent="0.3">
      <c r="A3" s="60" t="s">
        <v>60</v>
      </c>
      <c r="B3" s="86"/>
      <c r="C3" s="86"/>
      <c r="D3" s="60"/>
      <c r="E3" s="60"/>
      <c r="F3" s="86"/>
      <c r="G3" s="61"/>
      <c r="H3" s="61"/>
      <c r="I3" s="61"/>
      <c r="J3" s="86"/>
      <c r="K3" s="61"/>
      <c r="L3" s="91" t="s">
        <v>17</v>
      </c>
      <c r="M3" s="92"/>
      <c r="N3" s="106"/>
      <c r="O3" s="57"/>
      <c r="P3" s="88"/>
      <c r="Q3" s="57"/>
      <c r="R3" s="88"/>
      <c r="S3" s="57"/>
      <c r="T3" s="88"/>
      <c r="U3" s="57"/>
      <c r="V3" s="88"/>
      <c r="W3" s="57"/>
      <c r="X3" s="88"/>
      <c r="Y3" s="57"/>
      <c r="Z3" s="106"/>
      <c r="AA3" s="57"/>
    </row>
    <row r="4" spans="1:27" ht="15.75" x14ac:dyDescent="0.25">
      <c r="A4" s="256" t="s">
        <v>47</v>
      </c>
      <c r="B4" s="107" t="s">
        <v>49</v>
      </c>
      <c r="C4" s="58"/>
      <c r="D4" s="254">
        <v>10000</v>
      </c>
      <c r="E4" s="151">
        <v>10000</v>
      </c>
      <c r="F4" s="151">
        <v>10000</v>
      </c>
      <c r="G4" s="151"/>
      <c r="H4" s="151"/>
      <c r="I4" s="151"/>
      <c r="J4" s="58">
        <v>7000</v>
      </c>
      <c r="K4" s="111">
        <v>350000</v>
      </c>
      <c r="L4" s="89">
        <f>N4+O4+P4+Q4+R4+S4+T4+U4+V4+W4+X4+Y4</f>
        <v>22400</v>
      </c>
      <c r="M4" s="90">
        <f>D4+E4+F4+G4+H4+I4+J4+K4-L4</f>
        <v>364600</v>
      </c>
      <c r="N4" s="39"/>
      <c r="O4" s="53"/>
      <c r="P4" s="74"/>
      <c r="Q4" s="53"/>
      <c r="R4" s="74">
        <f>5000</f>
        <v>5000</v>
      </c>
      <c r="S4" s="53"/>
      <c r="T4" s="74">
        <f>8400+1500+1500</f>
        <v>11400</v>
      </c>
      <c r="U4" s="53"/>
      <c r="V4" s="74"/>
      <c r="W4" s="53">
        <f>6000</f>
        <v>6000</v>
      </c>
      <c r="X4" s="74"/>
      <c r="Y4" s="53"/>
      <c r="Z4" s="31"/>
      <c r="AA4" s="31">
        <f>SUM(N4:Y4)</f>
        <v>22400</v>
      </c>
    </row>
    <row r="5" spans="1:27" ht="15.75" x14ac:dyDescent="0.25">
      <c r="A5" s="256" t="s">
        <v>167</v>
      </c>
      <c r="B5" s="107"/>
      <c r="C5" s="58"/>
      <c r="D5" s="254"/>
      <c r="E5" s="58"/>
      <c r="F5" s="58"/>
      <c r="G5" s="58"/>
      <c r="H5" s="58"/>
      <c r="I5" s="58"/>
      <c r="J5" s="58"/>
      <c r="K5" s="111"/>
      <c r="L5" s="89">
        <f t="shared" ref="L5:L19" si="0">N5+O5+P5+Q5+R5+S5+T5+U5+V5+W5+X5+Y5</f>
        <v>3302499.8899999997</v>
      </c>
      <c r="M5" s="90">
        <f t="shared" ref="M5:M19" si="1">D5+E5+F5+G5+H5+I5+J5+K5-L5</f>
        <v>-3302499.8899999997</v>
      </c>
      <c r="N5" s="39">
        <v>294475</v>
      </c>
      <c r="O5" s="53">
        <v>255775</v>
      </c>
      <c r="P5" s="74">
        <f>763225+3600+24000+10452.45+26250+10222.44</f>
        <v>837749.8899999999</v>
      </c>
      <c r="Q5" s="53">
        <f>729175</f>
        <v>729175</v>
      </c>
      <c r="R5" s="74">
        <f>40800+555275</f>
        <v>596075</v>
      </c>
      <c r="S5" s="53">
        <f>371400</f>
        <v>371400</v>
      </c>
      <c r="T5" s="74">
        <f>35700+176450</f>
        <v>212150</v>
      </c>
      <c r="U5" s="53">
        <f>5700</f>
        <v>5700</v>
      </c>
      <c r="V5" s="74"/>
      <c r="W5" s="53"/>
      <c r="X5" s="74"/>
      <c r="Y5" s="53"/>
      <c r="Z5" s="31"/>
      <c r="AA5" s="31">
        <f t="shared" ref="AA5:AA19" si="2">SUM(N5:Y5)</f>
        <v>3302499.8899999997</v>
      </c>
    </row>
    <row r="6" spans="1:27" ht="15.75" x14ac:dyDescent="0.25">
      <c r="A6" s="256" t="s">
        <v>758</v>
      </c>
      <c r="B6" s="107"/>
      <c r="C6" s="58"/>
      <c r="D6" s="254"/>
      <c r="E6" s="58"/>
      <c r="F6" s="58"/>
      <c r="G6" s="58"/>
      <c r="H6" s="58"/>
      <c r="I6" s="58"/>
      <c r="J6" s="58"/>
      <c r="K6" s="111"/>
      <c r="L6" s="89">
        <f t="shared" si="0"/>
        <v>836821.49000000011</v>
      </c>
      <c r="M6" s="90">
        <f t="shared" si="1"/>
        <v>-836821.49000000011</v>
      </c>
      <c r="N6" s="39"/>
      <c r="O6" s="53">
        <f>358765.1</f>
        <v>358765.1</v>
      </c>
      <c r="P6" s="74">
        <v>184074.19</v>
      </c>
      <c r="Q6" s="53">
        <v>251103.56</v>
      </c>
      <c r="R6" s="74"/>
      <c r="S6" s="53"/>
      <c r="T6" s="74"/>
      <c r="U6" s="53">
        <f>30079.56+12799.08</f>
        <v>42878.64</v>
      </c>
      <c r="V6" s="74"/>
      <c r="W6" s="53"/>
      <c r="X6" s="74"/>
      <c r="Y6" s="53"/>
      <c r="Z6" s="31"/>
      <c r="AA6" s="31">
        <f t="shared" si="2"/>
        <v>836821.49000000011</v>
      </c>
    </row>
    <row r="7" spans="1:27" ht="15.75" x14ac:dyDescent="0.25">
      <c r="A7" s="256" t="s">
        <v>103</v>
      </c>
      <c r="B7" s="107"/>
      <c r="C7" s="58"/>
      <c r="D7" s="254">
        <v>20000</v>
      </c>
      <c r="E7" s="58">
        <v>20000</v>
      </c>
      <c r="F7" s="58">
        <v>20000</v>
      </c>
      <c r="G7" s="58"/>
      <c r="H7" s="58"/>
      <c r="I7" s="58"/>
      <c r="J7" s="58"/>
      <c r="K7" s="111"/>
      <c r="L7" s="89">
        <f t="shared" si="0"/>
        <v>117619</v>
      </c>
      <c r="M7" s="90">
        <f t="shared" si="1"/>
        <v>-57619</v>
      </c>
      <c r="N7" s="39"/>
      <c r="O7" s="53">
        <f>1150+1150+2300+6000+400+3700</f>
        <v>14700</v>
      </c>
      <c r="P7" s="74">
        <f>4200</f>
        <v>4200</v>
      </c>
      <c r="Q7" s="53">
        <f>1000+1950</f>
        <v>2950</v>
      </c>
      <c r="R7" s="74">
        <f>4300+25010</f>
        <v>29310</v>
      </c>
      <c r="S7" s="53">
        <f>6395+6491</f>
        <v>12886</v>
      </c>
      <c r="T7" s="74">
        <f>21560+4243+6035+6035</f>
        <v>37873</v>
      </c>
      <c r="U7" s="53">
        <f>1150</f>
        <v>1150</v>
      </c>
      <c r="V7" s="74"/>
      <c r="W7" s="53">
        <f>1850+3150+850+850+2000+3000+850+2000</f>
        <v>14550</v>
      </c>
      <c r="X7" s="74"/>
      <c r="Y7" s="53"/>
      <c r="Z7" s="31"/>
      <c r="AA7" s="31">
        <f t="shared" si="2"/>
        <v>117619</v>
      </c>
    </row>
    <row r="8" spans="1:27" ht="15.75" x14ac:dyDescent="0.25">
      <c r="A8" s="257" t="s">
        <v>29</v>
      </c>
      <c r="B8" s="14" t="s">
        <v>18</v>
      </c>
      <c r="C8" s="15"/>
      <c r="D8" s="253">
        <v>5000</v>
      </c>
      <c r="E8" s="15">
        <v>20000</v>
      </c>
      <c r="F8" s="15">
        <v>15000</v>
      </c>
      <c r="G8" s="15">
        <v>25000</v>
      </c>
      <c r="H8" s="15"/>
      <c r="I8" s="15"/>
      <c r="J8" s="15"/>
      <c r="K8" s="103">
        <v>205800</v>
      </c>
      <c r="L8" s="89">
        <f t="shared" si="0"/>
        <v>76000</v>
      </c>
      <c r="M8" s="90">
        <f t="shared" si="1"/>
        <v>194800</v>
      </c>
      <c r="N8" s="42"/>
      <c r="O8" s="19"/>
      <c r="P8" s="49"/>
      <c r="Q8" s="19"/>
      <c r="R8" s="49"/>
      <c r="S8" s="19">
        <f>76000</f>
        <v>76000</v>
      </c>
      <c r="T8" s="49"/>
      <c r="U8" s="19"/>
      <c r="V8" s="49"/>
      <c r="W8" s="19"/>
      <c r="X8" s="49"/>
      <c r="Y8" s="19"/>
      <c r="Z8" s="31"/>
      <c r="AA8" s="31">
        <f t="shared" si="2"/>
        <v>76000</v>
      </c>
    </row>
    <row r="9" spans="1:27" ht="15.75" x14ac:dyDescent="0.25">
      <c r="A9" s="257" t="s">
        <v>1066</v>
      </c>
      <c r="B9" s="14"/>
      <c r="C9" s="15"/>
      <c r="D9" s="253"/>
      <c r="E9" s="15">
        <v>8200</v>
      </c>
      <c r="F9" s="15">
        <v>5000</v>
      </c>
      <c r="G9" s="15"/>
      <c r="H9" s="15">
        <v>5891.77</v>
      </c>
      <c r="I9" s="15"/>
      <c r="J9" s="15"/>
      <c r="K9" s="103"/>
      <c r="L9" s="89"/>
      <c r="M9" s="90">
        <f t="shared" si="1"/>
        <v>19091.77</v>
      </c>
      <c r="N9" s="42"/>
      <c r="O9" s="19"/>
      <c r="P9" s="49"/>
      <c r="Q9" s="19"/>
      <c r="R9" s="49"/>
      <c r="S9" s="19"/>
      <c r="T9" s="49"/>
      <c r="U9" s="19"/>
      <c r="V9" s="49"/>
      <c r="W9" s="19"/>
      <c r="X9" s="49"/>
      <c r="Y9" s="19"/>
      <c r="Z9" s="31"/>
      <c r="AA9" s="31">
        <f t="shared" si="2"/>
        <v>0</v>
      </c>
    </row>
    <row r="10" spans="1:27" ht="15.75" x14ac:dyDescent="0.25">
      <c r="A10" s="257" t="s">
        <v>1067</v>
      </c>
      <c r="B10" s="14"/>
      <c r="C10" s="15"/>
      <c r="D10" s="253"/>
      <c r="E10" s="15">
        <v>29710.25</v>
      </c>
      <c r="F10" s="15"/>
      <c r="G10" s="15"/>
      <c r="H10" s="15"/>
      <c r="I10" s="15"/>
      <c r="J10" s="15"/>
      <c r="K10" s="103"/>
      <c r="L10" s="89"/>
      <c r="M10" s="90">
        <f t="shared" si="1"/>
        <v>29710.25</v>
      </c>
      <c r="N10" s="42"/>
      <c r="O10" s="19"/>
      <c r="P10" s="49"/>
      <c r="Q10" s="19"/>
      <c r="R10" s="49"/>
      <c r="S10" s="19"/>
      <c r="T10" s="49"/>
      <c r="U10" s="19"/>
      <c r="V10" s="49"/>
      <c r="W10" s="19"/>
      <c r="X10" s="49"/>
      <c r="Y10" s="19"/>
      <c r="Z10" s="31"/>
      <c r="AA10" s="31">
        <f t="shared" si="2"/>
        <v>0</v>
      </c>
    </row>
    <row r="11" spans="1:27" ht="15.75" x14ac:dyDescent="0.25">
      <c r="A11" s="257" t="s">
        <v>162</v>
      </c>
      <c r="B11" s="14"/>
      <c r="C11" s="15"/>
      <c r="D11" s="253"/>
      <c r="E11" s="15"/>
      <c r="F11" s="15"/>
      <c r="G11" s="15"/>
      <c r="H11" s="15"/>
      <c r="I11" s="15"/>
      <c r="J11" s="15"/>
      <c r="K11" s="103">
        <v>80000</v>
      </c>
      <c r="L11" s="89">
        <f t="shared" si="0"/>
        <v>0</v>
      </c>
      <c r="M11" s="90">
        <f t="shared" si="1"/>
        <v>80000</v>
      </c>
      <c r="N11" s="42"/>
      <c r="O11" s="19"/>
      <c r="P11" s="49"/>
      <c r="Q11" s="19"/>
      <c r="R11" s="49"/>
      <c r="S11" s="19"/>
      <c r="T11" s="49"/>
      <c r="U11" s="19"/>
      <c r="V11" s="49"/>
      <c r="W11" s="19"/>
      <c r="X11" s="49"/>
      <c r="Y11" s="19"/>
      <c r="Z11" s="31"/>
      <c r="AA11" s="31">
        <f t="shared" si="2"/>
        <v>0</v>
      </c>
    </row>
    <row r="12" spans="1:27" ht="15.75" x14ac:dyDescent="0.25">
      <c r="A12" s="258" t="s">
        <v>34</v>
      </c>
      <c r="B12" s="21" t="s">
        <v>35</v>
      </c>
      <c r="C12" s="15"/>
      <c r="D12" s="253">
        <v>20000</v>
      </c>
      <c r="E12" s="15">
        <v>50000</v>
      </c>
      <c r="F12" s="15">
        <v>40000</v>
      </c>
      <c r="G12" s="15">
        <v>50000</v>
      </c>
      <c r="H12" s="15">
        <v>200000</v>
      </c>
      <c r="I12" s="15">
        <v>40220.32</v>
      </c>
      <c r="J12" s="15">
        <v>10000</v>
      </c>
      <c r="K12" s="103">
        <v>84715.06</v>
      </c>
      <c r="L12" s="89">
        <f t="shared" si="0"/>
        <v>103388</v>
      </c>
      <c r="M12" s="90">
        <f t="shared" si="1"/>
        <v>391547.38</v>
      </c>
      <c r="N12" s="42"/>
      <c r="O12" s="19"/>
      <c r="P12" s="49"/>
      <c r="Q12" s="19"/>
      <c r="R12" s="49">
        <f>2310+900+580</f>
        <v>3790</v>
      </c>
      <c r="S12" s="19"/>
      <c r="T12" s="49"/>
      <c r="U12" s="19"/>
      <c r="V12" s="49">
        <f>99598</f>
        <v>99598</v>
      </c>
      <c r="W12" s="19"/>
      <c r="X12" s="49"/>
      <c r="Y12" s="19"/>
      <c r="Z12" s="31"/>
      <c r="AA12" s="31">
        <f t="shared" si="2"/>
        <v>103388</v>
      </c>
    </row>
    <row r="13" spans="1:27" ht="15.75" x14ac:dyDescent="0.25">
      <c r="A13" s="259" t="s">
        <v>163</v>
      </c>
      <c r="B13" s="21" t="s">
        <v>39</v>
      </c>
      <c r="C13" s="15"/>
      <c r="D13" s="253"/>
      <c r="E13" s="15"/>
      <c r="F13" s="15"/>
      <c r="G13" s="15"/>
      <c r="H13" s="15"/>
      <c r="I13" s="15"/>
      <c r="J13" s="15"/>
      <c r="K13" s="103">
        <v>783500</v>
      </c>
      <c r="L13" s="89">
        <f t="shared" si="0"/>
        <v>25646</v>
      </c>
      <c r="M13" s="90">
        <f t="shared" si="1"/>
        <v>757854</v>
      </c>
      <c r="N13" s="42"/>
      <c r="O13" s="19"/>
      <c r="P13" s="49"/>
      <c r="Q13" s="19"/>
      <c r="R13" s="49">
        <f>25646</f>
        <v>25646</v>
      </c>
      <c r="S13" s="19"/>
      <c r="T13" s="49"/>
      <c r="U13" s="19"/>
      <c r="V13" s="49"/>
      <c r="W13" s="19"/>
      <c r="X13" s="49"/>
      <c r="Y13" s="19"/>
      <c r="Z13" s="31"/>
      <c r="AA13" s="31">
        <f t="shared" si="2"/>
        <v>25646</v>
      </c>
    </row>
    <row r="14" spans="1:27" ht="15.75" x14ac:dyDescent="0.25">
      <c r="A14" s="258" t="s">
        <v>32</v>
      </c>
      <c r="B14" s="21" t="s">
        <v>33</v>
      </c>
      <c r="C14" s="15"/>
      <c r="D14" s="253">
        <v>20000</v>
      </c>
      <c r="E14" s="15"/>
      <c r="F14" s="15">
        <v>60000</v>
      </c>
      <c r="G14" s="15">
        <v>60000</v>
      </c>
      <c r="H14" s="15"/>
      <c r="I14" s="15"/>
      <c r="J14" s="15"/>
      <c r="K14" s="103">
        <v>1025000</v>
      </c>
      <c r="L14" s="89">
        <f t="shared" si="0"/>
        <v>0</v>
      </c>
      <c r="M14" s="90">
        <f t="shared" si="1"/>
        <v>1165000</v>
      </c>
      <c r="N14" s="42"/>
      <c r="O14" s="19"/>
      <c r="P14" s="49"/>
      <c r="Q14" s="19"/>
      <c r="R14" s="49"/>
      <c r="S14" s="19"/>
      <c r="T14" s="49"/>
      <c r="U14" s="19"/>
      <c r="V14" s="49"/>
      <c r="W14" s="19"/>
      <c r="X14" s="49"/>
      <c r="Y14" s="19"/>
      <c r="Z14" s="31"/>
      <c r="AA14" s="31">
        <f t="shared" si="2"/>
        <v>0</v>
      </c>
    </row>
    <row r="15" spans="1:27" ht="15.75" x14ac:dyDescent="0.25">
      <c r="A15" s="258" t="s">
        <v>666</v>
      </c>
      <c r="B15" s="21"/>
      <c r="C15" s="15"/>
      <c r="D15" s="253"/>
      <c r="E15" s="15"/>
      <c r="F15" s="15">
        <v>5150</v>
      </c>
      <c r="G15" s="15"/>
      <c r="H15" s="15"/>
      <c r="I15" s="15"/>
      <c r="J15" s="15"/>
      <c r="K15" s="103"/>
      <c r="L15" s="89">
        <f t="shared" si="0"/>
        <v>30000</v>
      </c>
      <c r="M15" s="90">
        <f t="shared" si="1"/>
        <v>-24850</v>
      </c>
      <c r="N15" s="42"/>
      <c r="O15" s="19"/>
      <c r="P15" s="49"/>
      <c r="Q15" s="19"/>
      <c r="R15" s="49"/>
      <c r="S15" s="19"/>
      <c r="T15" s="49"/>
      <c r="U15" s="19">
        <f>30000</f>
        <v>30000</v>
      </c>
      <c r="V15" s="49"/>
      <c r="W15" s="19"/>
      <c r="X15" s="49"/>
      <c r="Y15" s="19"/>
      <c r="Z15" s="31"/>
      <c r="AA15" s="31">
        <f t="shared" si="2"/>
        <v>30000</v>
      </c>
    </row>
    <row r="16" spans="1:27" ht="15.75" x14ac:dyDescent="0.25">
      <c r="A16" s="258" t="s">
        <v>21</v>
      </c>
      <c r="B16" s="21" t="s">
        <v>22</v>
      </c>
      <c r="C16" s="15"/>
      <c r="D16" s="253">
        <v>20000</v>
      </c>
      <c r="E16" s="15">
        <v>270000</v>
      </c>
      <c r="F16" s="15">
        <v>215295.35999999999</v>
      </c>
      <c r="G16" s="15">
        <v>40000</v>
      </c>
      <c r="H16" s="15"/>
      <c r="I16" s="15">
        <v>20000</v>
      </c>
      <c r="J16" s="15"/>
      <c r="K16" s="103">
        <v>1100000</v>
      </c>
      <c r="L16" s="89">
        <f t="shared" si="0"/>
        <v>309329</v>
      </c>
      <c r="M16" s="90">
        <f t="shared" si="1"/>
        <v>1355966.3599999999</v>
      </c>
      <c r="N16" s="42"/>
      <c r="O16" s="19"/>
      <c r="P16" s="49">
        <f>55965+14000+54864+4200</f>
        <v>129029</v>
      </c>
      <c r="Q16" s="19">
        <f>33000</f>
        <v>33000</v>
      </c>
      <c r="R16" s="49">
        <f>50000</f>
        <v>50000</v>
      </c>
      <c r="S16" s="19"/>
      <c r="T16" s="49"/>
      <c r="U16" s="19">
        <f>6550+36000+450</f>
        <v>43000</v>
      </c>
      <c r="V16" s="49"/>
      <c r="W16" s="19">
        <v>54300</v>
      </c>
      <c r="X16" s="49"/>
      <c r="Y16" s="19"/>
      <c r="Z16" s="31"/>
      <c r="AA16" s="31">
        <f t="shared" si="2"/>
        <v>309329</v>
      </c>
    </row>
    <row r="17" spans="1:27" ht="15.75" x14ac:dyDescent="0.25">
      <c r="A17" s="258" t="s">
        <v>61</v>
      </c>
      <c r="B17" s="21"/>
      <c r="C17" s="15"/>
      <c r="D17" s="253"/>
      <c r="E17" s="15"/>
      <c r="F17" s="15"/>
      <c r="G17" s="15"/>
      <c r="H17" s="15"/>
      <c r="I17" s="15"/>
      <c r="J17" s="15"/>
      <c r="K17" s="103">
        <v>1125000</v>
      </c>
      <c r="L17" s="89">
        <f t="shared" si="0"/>
        <v>0</v>
      </c>
      <c r="M17" s="90">
        <f t="shared" si="1"/>
        <v>1125000</v>
      </c>
      <c r="N17" s="42"/>
      <c r="O17" s="19"/>
      <c r="P17" s="49"/>
      <c r="Q17" s="19"/>
      <c r="R17" s="49"/>
      <c r="S17" s="19"/>
      <c r="T17" s="49"/>
      <c r="U17" s="19"/>
      <c r="V17" s="49"/>
      <c r="W17" s="19"/>
      <c r="X17" s="49"/>
      <c r="Y17" s="19"/>
      <c r="Z17" s="33"/>
      <c r="AA17" s="31">
        <f t="shared" si="2"/>
        <v>0</v>
      </c>
    </row>
    <row r="18" spans="1:27" ht="15.75" x14ac:dyDescent="0.25">
      <c r="A18" s="258" t="s">
        <v>164</v>
      </c>
      <c r="B18" s="21"/>
      <c r="C18" s="15"/>
      <c r="D18" s="253">
        <v>10000</v>
      </c>
      <c r="E18" s="15"/>
      <c r="F18" s="15">
        <v>70000</v>
      </c>
      <c r="G18" s="15"/>
      <c r="H18" s="15">
        <v>200000</v>
      </c>
      <c r="I18" s="15"/>
      <c r="J18" s="15"/>
      <c r="K18" s="165">
        <v>120000</v>
      </c>
      <c r="L18" s="89">
        <f t="shared" si="0"/>
        <v>268917.5</v>
      </c>
      <c r="M18" s="90">
        <f t="shared" si="1"/>
        <v>131082.5</v>
      </c>
      <c r="N18" s="42"/>
      <c r="O18" s="19"/>
      <c r="P18" s="49"/>
      <c r="Q18" s="19"/>
      <c r="R18" s="49">
        <f>268917.5</f>
        <v>268917.5</v>
      </c>
      <c r="S18" s="19"/>
      <c r="T18" s="49"/>
      <c r="U18" s="19"/>
      <c r="V18" s="49"/>
      <c r="W18" s="19"/>
      <c r="X18" s="49"/>
      <c r="Y18" s="19"/>
      <c r="Z18" s="19"/>
      <c r="AA18" s="31">
        <f t="shared" si="2"/>
        <v>268917.5</v>
      </c>
    </row>
    <row r="19" spans="1:27" ht="15.75" x14ac:dyDescent="0.25">
      <c r="A19" s="258" t="s">
        <v>804</v>
      </c>
      <c r="B19" s="21"/>
      <c r="C19" s="15"/>
      <c r="D19" s="253"/>
      <c r="E19" s="15"/>
      <c r="F19" s="15"/>
      <c r="G19" s="15"/>
      <c r="H19" s="15"/>
      <c r="I19" s="15"/>
      <c r="J19" s="15"/>
      <c r="K19" s="165">
        <v>397792</v>
      </c>
      <c r="L19" s="89">
        <f t="shared" si="0"/>
        <v>178502.83000000002</v>
      </c>
      <c r="M19" s="90">
        <f t="shared" si="1"/>
        <v>219289.16999999998</v>
      </c>
      <c r="N19" s="42">
        <f>10007.2+10988.18</f>
        <v>20995.38</v>
      </c>
      <c r="O19" s="19">
        <f>9978.1+10023.25</f>
        <v>20001.349999999999</v>
      </c>
      <c r="P19" s="49">
        <f>9983.35+11066</f>
        <v>21049.35</v>
      </c>
      <c r="Q19" s="19">
        <f>6142.6+6948.55</f>
        <v>13091.150000000001</v>
      </c>
      <c r="R19" s="49">
        <f>8409.25+9952.9</f>
        <v>18362.150000000001</v>
      </c>
      <c r="S19" s="19">
        <f>10994.6+6924.4</f>
        <v>17919</v>
      </c>
      <c r="T19" s="49">
        <f>11828.4+9680.4</f>
        <v>21508.799999999999</v>
      </c>
      <c r="U19" s="19">
        <f>6960.1+10898</f>
        <v>17858.099999999999</v>
      </c>
      <c r="V19" s="49">
        <f>10942.1</f>
        <v>10942.1</v>
      </c>
      <c r="W19" s="19">
        <f>4275+1956.35+10544.1</f>
        <v>16775.45</v>
      </c>
      <c r="X19" s="49"/>
      <c r="Y19" s="19"/>
      <c r="Z19" s="19"/>
      <c r="AA19" s="31">
        <f t="shared" si="2"/>
        <v>178502.83000000002</v>
      </c>
    </row>
    <row r="20" spans="1:27" ht="16.5" thickBot="1" x14ac:dyDescent="0.3">
      <c r="A20" s="260"/>
      <c r="B20" s="84" t="s">
        <v>24</v>
      </c>
      <c r="C20" s="70">
        <f>SUM(C4:C17)</f>
        <v>0</v>
      </c>
      <c r="D20" s="70">
        <f t="shared" ref="D20:J20" si="3">SUM(D4:D19)</f>
        <v>105000</v>
      </c>
      <c r="E20" s="70">
        <f t="shared" si="3"/>
        <v>407910.25</v>
      </c>
      <c r="F20" s="70">
        <f t="shared" si="3"/>
        <v>440445.36</v>
      </c>
      <c r="G20" s="70">
        <f t="shared" si="3"/>
        <v>175000</v>
      </c>
      <c r="H20" s="70">
        <f t="shared" si="3"/>
        <v>405891.77</v>
      </c>
      <c r="I20" s="70">
        <f t="shared" si="3"/>
        <v>60220.32</v>
      </c>
      <c r="J20" s="70">
        <f t="shared" si="3"/>
        <v>17000</v>
      </c>
      <c r="K20" s="76">
        <f>SUM(K4:K19)</f>
        <v>5271807.0600000005</v>
      </c>
      <c r="L20" s="27">
        <f>SUM(L4:L19)</f>
        <v>5271123.71</v>
      </c>
      <c r="M20" s="27">
        <f>SUM(M4:M19)</f>
        <v>1612151.0499999998</v>
      </c>
      <c r="N20" s="27">
        <f>SUM(N4:N19)</f>
        <v>315470.38</v>
      </c>
      <c r="O20" s="27">
        <f t="shared" ref="O20:Y20" si="4">SUM(O4:O19)</f>
        <v>649241.44999999995</v>
      </c>
      <c r="P20" s="27">
        <f t="shared" si="4"/>
        <v>1176102.43</v>
      </c>
      <c r="Q20" s="27">
        <f t="shared" si="4"/>
        <v>1029319.7100000001</v>
      </c>
      <c r="R20" s="27">
        <f t="shared" si="4"/>
        <v>997100.65</v>
      </c>
      <c r="S20" s="27">
        <f t="shared" si="4"/>
        <v>478205</v>
      </c>
      <c r="T20" s="27">
        <f t="shared" si="4"/>
        <v>282931.8</v>
      </c>
      <c r="U20" s="27">
        <f t="shared" si="4"/>
        <v>140586.74</v>
      </c>
      <c r="V20" s="27">
        <f t="shared" si="4"/>
        <v>110540.1</v>
      </c>
      <c r="W20" s="27">
        <f t="shared" si="4"/>
        <v>91625.45</v>
      </c>
      <c r="X20" s="27">
        <f t="shared" si="4"/>
        <v>0</v>
      </c>
      <c r="Y20" s="27">
        <f t="shared" si="4"/>
        <v>0</v>
      </c>
      <c r="Z20" s="26" t="s">
        <v>25</v>
      </c>
      <c r="AA20" s="47">
        <f>SUM(AA4:AA19)</f>
        <v>5271123.71</v>
      </c>
    </row>
    <row r="23" spans="1:27" x14ac:dyDescent="0.25">
      <c r="A23" s="114"/>
      <c r="B23" s="114"/>
      <c r="C23" s="114"/>
      <c r="D23" s="114"/>
      <c r="E23" s="114"/>
      <c r="F23" s="114"/>
      <c r="G23" s="114"/>
      <c r="H23" s="114"/>
      <c r="I23" s="114"/>
      <c r="J23" s="114"/>
      <c r="K23" s="114"/>
      <c r="L23" s="114"/>
      <c r="M23" s="114"/>
      <c r="N23" s="114"/>
      <c r="O23" s="114"/>
      <c r="P23" s="114"/>
      <c r="Q23" s="114"/>
      <c r="R23" s="114"/>
      <c r="S23" s="114"/>
      <c r="T23" s="114"/>
      <c r="U23" s="114"/>
    </row>
    <row r="24" spans="1:27" ht="15.75" thickBot="1" x14ac:dyDescent="0.3">
      <c r="A24" s="114"/>
      <c r="B24" s="114"/>
      <c r="C24" s="114"/>
      <c r="D24" s="114"/>
      <c r="E24" s="114"/>
      <c r="F24" s="114"/>
      <c r="G24" s="114"/>
      <c r="H24" s="114"/>
      <c r="I24" s="114"/>
      <c r="J24" s="114"/>
      <c r="K24" s="114"/>
      <c r="L24" s="114"/>
      <c r="M24" s="114"/>
      <c r="N24" s="114"/>
      <c r="O24" s="114"/>
      <c r="P24" s="114"/>
      <c r="Q24" s="114"/>
      <c r="R24" s="114"/>
      <c r="S24" s="114"/>
      <c r="T24" s="114"/>
      <c r="U24" s="114"/>
    </row>
    <row r="25" spans="1:27" ht="16.5" thickBot="1" x14ac:dyDescent="0.3">
      <c r="A25" s="299" t="s">
        <v>175</v>
      </c>
      <c r="B25" s="301"/>
      <c r="C25" s="299" t="s">
        <v>188</v>
      </c>
      <c r="D25" s="300"/>
      <c r="E25" s="300"/>
      <c r="F25" s="300"/>
      <c r="G25" s="300"/>
      <c r="H25" s="300"/>
      <c r="I25" s="300"/>
      <c r="J25" s="300"/>
      <c r="K25" s="300"/>
      <c r="L25" s="301"/>
      <c r="M25" s="299" t="s">
        <v>114</v>
      </c>
      <c r="N25" s="300"/>
      <c r="O25" s="302" t="s">
        <v>113</v>
      </c>
      <c r="P25" s="420"/>
      <c r="Q25" s="303"/>
      <c r="R25" s="114"/>
    </row>
    <row r="26" spans="1:27" s="115" customFormat="1" ht="41.25" customHeight="1" x14ac:dyDescent="0.25">
      <c r="A26" s="177" t="s">
        <v>176</v>
      </c>
      <c r="B26" s="448" t="s">
        <v>177</v>
      </c>
      <c r="C26" s="469"/>
      <c r="D26" s="469"/>
      <c r="E26" s="469"/>
      <c r="F26" s="469"/>
      <c r="G26" s="469"/>
      <c r="H26" s="469"/>
      <c r="I26" s="469"/>
      <c r="J26" s="469"/>
      <c r="K26" s="469"/>
      <c r="L26" s="470"/>
      <c r="M26" s="471" t="s">
        <v>654</v>
      </c>
      <c r="N26" s="472"/>
      <c r="O26" s="463">
        <v>54864</v>
      </c>
      <c r="P26" s="464"/>
      <c r="Q26" s="465"/>
      <c r="T26" s="115" t="s">
        <v>68</v>
      </c>
    </row>
    <row r="27" spans="1:27" s="115" customFormat="1" ht="36.75" customHeight="1" x14ac:dyDescent="0.25">
      <c r="A27" s="173" t="s">
        <v>180</v>
      </c>
      <c r="B27" s="450" t="s">
        <v>181</v>
      </c>
      <c r="C27" s="452"/>
      <c r="D27" s="452"/>
      <c r="E27" s="452"/>
      <c r="F27" s="452"/>
      <c r="G27" s="452"/>
      <c r="H27" s="452"/>
      <c r="I27" s="452"/>
      <c r="J27" s="452"/>
      <c r="K27" s="452"/>
      <c r="L27" s="451"/>
      <c r="M27" s="453" t="s">
        <v>655</v>
      </c>
      <c r="N27" s="454"/>
      <c r="O27" s="466">
        <v>17500</v>
      </c>
      <c r="P27" s="467"/>
      <c r="Q27" s="468"/>
    </row>
    <row r="28" spans="1:27" s="115" customFormat="1" ht="18.75" customHeight="1" x14ac:dyDescent="0.25">
      <c r="A28" s="177" t="s">
        <v>176</v>
      </c>
      <c r="B28" s="450" t="s">
        <v>186</v>
      </c>
      <c r="C28" s="452"/>
      <c r="D28" s="452"/>
      <c r="E28" s="452"/>
      <c r="F28" s="452"/>
      <c r="G28" s="452"/>
      <c r="H28" s="452"/>
      <c r="I28" s="452"/>
      <c r="J28" s="452"/>
      <c r="K28" s="452"/>
      <c r="L28" s="451"/>
      <c r="M28" s="461" t="s">
        <v>187</v>
      </c>
      <c r="N28" s="462"/>
      <c r="O28" s="473">
        <f>223860/4</f>
        <v>55965</v>
      </c>
      <c r="P28" s="474"/>
      <c r="Q28" s="475"/>
    </row>
    <row r="29" spans="1:27" s="115" customFormat="1" ht="29.25" customHeight="1" x14ac:dyDescent="0.25">
      <c r="A29" s="169" t="s">
        <v>195</v>
      </c>
      <c r="B29" s="458" t="s">
        <v>445</v>
      </c>
      <c r="C29" s="459"/>
      <c r="D29" s="459"/>
      <c r="E29" s="459"/>
      <c r="F29" s="459"/>
      <c r="G29" s="459"/>
      <c r="H29" s="459"/>
      <c r="I29" s="459"/>
      <c r="J29" s="459"/>
      <c r="K29" s="459"/>
      <c r="L29" s="460"/>
      <c r="M29" s="448" t="s">
        <v>196</v>
      </c>
      <c r="N29" s="449"/>
      <c r="O29" s="428">
        <v>268917.5</v>
      </c>
      <c r="P29" s="429"/>
      <c r="Q29" s="430"/>
    </row>
    <row r="30" spans="1:27" s="115" customFormat="1" ht="27.75" customHeight="1" x14ac:dyDescent="0.25">
      <c r="A30" s="169" t="s">
        <v>173</v>
      </c>
      <c r="B30" s="458" t="s">
        <v>209</v>
      </c>
      <c r="C30" s="459"/>
      <c r="D30" s="459"/>
      <c r="E30" s="459"/>
      <c r="F30" s="459"/>
      <c r="G30" s="459"/>
      <c r="H30" s="459"/>
      <c r="I30" s="459"/>
      <c r="J30" s="459"/>
      <c r="K30" s="459"/>
      <c r="L30" s="460"/>
      <c r="M30" s="448" t="s">
        <v>211</v>
      </c>
      <c r="N30" s="449"/>
      <c r="O30" s="428">
        <v>2310</v>
      </c>
      <c r="P30" s="429"/>
      <c r="Q30" s="430"/>
    </row>
    <row r="31" spans="1:27" s="115" customFormat="1" ht="30" customHeight="1" x14ac:dyDescent="0.25">
      <c r="A31" s="169" t="s">
        <v>173</v>
      </c>
      <c r="B31" s="450" t="s">
        <v>210</v>
      </c>
      <c r="C31" s="452"/>
      <c r="D31" s="452"/>
      <c r="E31" s="452"/>
      <c r="F31" s="452"/>
      <c r="G31" s="452"/>
      <c r="H31" s="452"/>
      <c r="I31" s="452"/>
      <c r="J31" s="452"/>
      <c r="K31" s="452"/>
      <c r="L31" s="451"/>
      <c r="M31" s="448" t="s">
        <v>213</v>
      </c>
      <c r="N31" s="449"/>
      <c r="O31" s="428">
        <v>900</v>
      </c>
      <c r="P31" s="429"/>
      <c r="Q31" s="430"/>
    </row>
    <row r="32" spans="1:27" s="115" customFormat="1" ht="30.75" customHeight="1" x14ac:dyDescent="0.25">
      <c r="A32" s="171" t="s">
        <v>173</v>
      </c>
      <c r="B32" s="450" t="s">
        <v>212</v>
      </c>
      <c r="C32" s="452"/>
      <c r="D32" s="452"/>
      <c r="E32" s="452"/>
      <c r="F32" s="452"/>
      <c r="G32" s="452"/>
      <c r="H32" s="452"/>
      <c r="I32" s="452"/>
      <c r="J32" s="452"/>
      <c r="K32" s="452"/>
      <c r="L32" s="451"/>
      <c r="M32" s="448" t="s">
        <v>214</v>
      </c>
      <c r="N32" s="449"/>
      <c r="O32" s="455">
        <v>580</v>
      </c>
      <c r="P32" s="456"/>
      <c r="Q32" s="457"/>
    </row>
    <row r="33" spans="1:17" s="115" customFormat="1" ht="30.75" customHeight="1" x14ac:dyDescent="0.25">
      <c r="A33" s="171" t="s">
        <v>256</v>
      </c>
      <c r="B33" s="450" t="s">
        <v>257</v>
      </c>
      <c r="C33" s="452"/>
      <c r="D33" s="452"/>
      <c r="E33" s="452"/>
      <c r="F33" s="452"/>
      <c r="G33" s="452"/>
      <c r="H33" s="452"/>
      <c r="I33" s="452"/>
      <c r="J33" s="452"/>
      <c r="K33" s="452"/>
      <c r="L33" s="451"/>
      <c r="M33" s="450" t="s">
        <v>258</v>
      </c>
      <c r="N33" s="451"/>
      <c r="O33" s="425">
        <v>50000</v>
      </c>
      <c r="P33" s="426"/>
      <c r="Q33" s="427"/>
    </row>
    <row r="34" spans="1:17" s="115" customFormat="1" ht="30.75" customHeight="1" x14ac:dyDescent="0.25">
      <c r="A34" s="171" t="s">
        <v>277</v>
      </c>
      <c r="B34" s="450" t="s">
        <v>278</v>
      </c>
      <c r="C34" s="452"/>
      <c r="D34" s="452"/>
      <c r="E34" s="452"/>
      <c r="F34" s="452"/>
      <c r="G34" s="452"/>
      <c r="H34" s="452"/>
      <c r="I34" s="452"/>
      <c r="J34" s="452"/>
      <c r="K34" s="452"/>
      <c r="L34" s="451"/>
      <c r="M34" s="450" t="s">
        <v>279</v>
      </c>
      <c r="N34" s="451"/>
      <c r="O34" s="425">
        <v>25646</v>
      </c>
      <c r="P34" s="426"/>
      <c r="Q34" s="427"/>
    </row>
    <row r="35" spans="1:17" s="115" customFormat="1" ht="45" customHeight="1" x14ac:dyDescent="0.25">
      <c r="A35" s="171" t="s">
        <v>303</v>
      </c>
      <c r="B35" s="450" t="s">
        <v>304</v>
      </c>
      <c r="C35" s="452"/>
      <c r="D35" s="452"/>
      <c r="E35" s="452"/>
      <c r="F35" s="452"/>
      <c r="G35" s="452"/>
      <c r="H35" s="452"/>
      <c r="I35" s="452"/>
      <c r="J35" s="452"/>
      <c r="K35" s="452"/>
      <c r="L35" s="451"/>
      <c r="M35" s="450" t="s">
        <v>305</v>
      </c>
      <c r="N35" s="451"/>
      <c r="O35" s="425">
        <v>33000</v>
      </c>
      <c r="P35" s="426"/>
      <c r="Q35" s="427"/>
    </row>
    <row r="36" spans="1:17" s="115" customFormat="1" ht="28.5" customHeight="1" x14ac:dyDescent="0.25">
      <c r="A36" s="171" t="s">
        <v>173</v>
      </c>
      <c r="B36" s="450" t="s">
        <v>566</v>
      </c>
      <c r="C36" s="452"/>
      <c r="D36" s="452"/>
      <c r="E36" s="452"/>
      <c r="F36" s="452"/>
      <c r="G36" s="452"/>
      <c r="H36" s="452"/>
      <c r="I36" s="452"/>
      <c r="J36" s="452"/>
      <c r="K36" s="452"/>
      <c r="L36" s="451"/>
      <c r="M36" s="450" t="s">
        <v>567</v>
      </c>
      <c r="N36" s="452"/>
      <c r="O36" s="428">
        <v>76000</v>
      </c>
      <c r="P36" s="429"/>
      <c r="Q36" s="430"/>
    </row>
    <row r="37" spans="1:17" s="115" customFormat="1" ht="45.75" customHeight="1" x14ac:dyDescent="0.25">
      <c r="A37" s="173" t="s">
        <v>724</v>
      </c>
      <c r="B37" s="263" t="s">
        <v>725</v>
      </c>
      <c r="C37" s="319"/>
      <c r="D37" s="319"/>
      <c r="E37" s="319"/>
      <c r="F37" s="319"/>
      <c r="G37" s="319"/>
      <c r="H37" s="319"/>
      <c r="I37" s="319"/>
      <c r="J37" s="319"/>
      <c r="K37" s="319"/>
      <c r="L37" s="294"/>
      <c r="M37" s="450" t="s">
        <v>726</v>
      </c>
      <c r="N37" s="451"/>
      <c r="O37" s="428">
        <v>450</v>
      </c>
      <c r="P37" s="429"/>
      <c r="Q37" s="430"/>
    </row>
    <row r="38" spans="1:17" s="115" customFormat="1" ht="30" customHeight="1" x14ac:dyDescent="0.25">
      <c r="A38" s="173" t="s">
        <v>180</v>
      </c>
      <c r="B38" s="263" t="s">
        <v>732</v>
      </c>
      <c r="C38" s="319"/>
      <c r="D38" s="319"/>
      <c r="E38" s="319"/>
      <c r="F38" s="319"/>
      <c r="G38" s="319"/>
      <c r="H38" s="319"/>
      <c r="I38" s="319"/>
      <c r="J38" s="319"/>
      <c r="K38" s="319"/>
      <c r="L38" s="294"/>
      <c r="M38" s="450" t="s">
        <v>728</v>
      </c>
      <c r="N38" s="451"/>
      <c r="O38" s="428">
        <v>4812.5</v>
      </c>
      <c r="P38" s="429"/>
      <c r="Q38" s="430"/>
    </row>
    <row r="39" spans="1:17" s="115" customFormat="1" ht="30.75" customHeight="1" x14ac:dyDescent="0.25">
      <c r="A39" s="173" t="s">
        <v>754</v>
      </c>
      <c r="B39" s="263" t="s">
        <v>755</v>
      </c>
      <c r="C39" s="319"/>
      <c r="D39" s="319"/>
      <c r="E39" s="319"/>
      <c r="F39" s="319"/>
      <c r="G39" s="319"/>
      <c r="H39" s="319"/>
      <c r="I39" s="319"/>
      <c r="J39" s="319"/>
      <c r="K39" s="319"/>
      <c r="L39" s="294"/>
      <c r="M39" s="450" t="s">
        <v>749</v>
      </c>
      <c r="N39" s="451"/>
      <c r="O39" s="428">
        <v>6650</v>
      </c>
      <c r="P39" s="429"/>
      <c r="Q39" s="430"/>
    </row>
    <row r="40" spans="1:17" s="115" customFormat="1" ht="44.25" customHeight="1" x14ac:dyDescent="0.25">
      <c r="A40" s="173" t="s">
        <v>228</v>
      </c>
      <c r="B40" s="263" t="s">
        <v>756</v>
      </c>
      <c r="C40" s="319"/>
      <c r="D40" s="319"/>
      <c r="E40" s="319"/>
      <c r="F40" s="319"/>
      <c r="G40" s="319"/>
      <c r="H40" s="319"/>
      <c r="I40" s="319"/>
      <c r="J40" s="319"/>
      <c r="K40" s="319"/>
      <c r="L40" s="294"/>
      <c r="M40" s="450" t="s">
        <v>757</v>
      </c>
      <c r="N40" s="451"/>
      <c r="O40" s="428">
        <v>36000</v>
      </c>
      <c r="P40" s="429"/>
      <c r="Q40" s="430"/>
    </row>
    <row r="41" spans="1:17" s="115" customFormat="1" ht="29.25" customHeight="1" x14ac:dyDescent="0.25">
      <c r="A41" s="173" t="s">
        <v>638</v>
      </c>
      <c r="B41" s="263" t="s">
        <v>774</v>
      </c>
      <c r="C41" s="319"/>
      <c r="D41" s="319"/>
      <c r="E41" s="319"/>
      <c r="F41" s="319"/>
      <c r="G41" s="319"/>
      <c r="H41" s="319"/>
      <c r="I41" s="319"/>
      <c r="J41" s="319"/>
      <c r="K41" s="319"/>
      <c r="L41" s="294"/>
      <c r="M41" s="450" t="s">
        <v>775</v>
      </c>
      <c r="N41" s="451"/>
      <c r="O41" s="428">
        <v>99598</v>
      </c>
      <c r="P41" s="429"/>
      <c r="Q41" s="430"/>
    </row>
    <row r="42" spans="1:17" s="115" customFormat="1" ht="28.5" customHeight="1" x14ac:dyDescent="0.25">
      <c r="A42" s="173" t="s">
        <v>1056</v>
      </c>
      <c r="B42" s="450" t="s">
        <v>1057</v>
      </c>
      <c r="C42" s="452"/>
      <c r="D42" s="452"/>
      <c r="E42" s="452"/>
      <c r="F42" s="452"/>
      <c r="G42" s="452"/>
      <c r="H42" s="452"/>
      <c r="I42" s="452"/>
      <c r="J42" s="452"/>
      <c r="K42" s="452"/>
      <c r="L42" s="451"/>
      <c r="M42" s="450" t="s">
        <v>1058</v>
      </c>
      <c r="N42" s="451"/>
      <c r="O42" s="428">
        <v>54300</v>
      </c>
      <c r="P42" s="429"/>
      <c r="Q42" s="430"/>
    </row>
    <row r="43" spans="1:17" s="115" customFormat="1" ht="14.25" customHeight="1" x14ac:dyDescent="0.25">
      <c r="A43" s="173"/>
      <c r="B43" s="461"/>
      <c r="C43" s="462"/>
      <c r="D43" s="462"/>
      <c r="E43" s="462"/>
      <c r="F43" s="462"/>
      <c r="G43" s="462"/>
      <c r="H43" s="462"/>
      <c r="I43" s="462"/>
      <c r="J43" s="462"/>
      <c r="K43" s="462"/>
      <c r="L43" s="495"/>
      <c r="M43" s="446"/>
      <c r="N43" s="447"/>
      <c r="O43" s="428"/>
      <c r="P43" s="429"/>
      <c r="Q43" s="430"/>
    </row>
    <row r="44" spans="1:17" s="115" customFormat="1" ht="14.25" customHeight="1" x14ac:dyDescent="0.25">
      <c r="A44" s="173"/>
      <c r="B44" s="461"/>
      <c r="C44" s="462"/>
      <c r="D44" s="462"/>
      <c r="E44" s="462"/>
      <c r="F44" s="462"/>
      <c r="G44" s="462"/>
      <c r="H44" s="462"/>
      <c r="I44" s="462"/>
      <c r="J44" s="462"/>
      <c r="K44" s="462"/>
      <c r="L44" s="495"/>
      <c r="M44" s="446"/>
      <c r="N44" s="447"/>
      <c r="O44" s="428"/>
      <c r="P44" s="429"/>
      <c r="Q44" s="430"/>
    </row>
    <row r="45" spans="1:17" s="115" customFormat="1" ht="14.25" customHeight="1" x14ac:dyDescent="0.25">
      <c r="A45" s="173"/>
      <c r="B45" s="461"/>
      <c r="C45" s="462"/>
      <c r="D45" s="462"/>
      <c r="E45" s="462"/>
      <c r="F45" s="462"/>
      <c r="G45" s="462"/>
      <c r="H45" s="462"/>
      <c r="I45" s="462"/>
      <c r="J45" s="462"/>
      <c r="K45" s="462"/>
      <c r="L45" s="495"/>
      <c r="M45" s="446"/>
      <c r="N45" s="447"/>
      <c r="O45" s="428"/>
      <c r="P45" s="429"/>
      <c r="Q45" s="430"/>
    </row>
    <row r="46" spans="1:17" s="115" customFormat="1" ht="14.25" customHeight="1" x14ac:dyDescent="0.25">
      <c r="A46" s="173"/>
      <c r="B46" s="461"/>
      <c r="C46" s="462"/>
      <c r="D46" s="462"/>
      <c r="E46" s="462"/>
      <c r="F46" s="462"/>
      <c r="G46" s="462"/>
      <c r="H46" s="462"/>
      <c r="I46" s="462"/>
      <c r="J46" s="462"/>
      <c r="K46" s="462"/>
      <c r="L46" s="495"/>
      <c r="M46" s="446"/>
      <c r="N46" s="447"/>
      <c r="O46" s="428"/>
      <c r="P46" s="429"/>
      <c r="Q46" s="430"/>
    </row>
    <row r="47" spans="1:17" s="115" customFormat="1" ht="14.25" customHeight="1" x14ac:dyDescent="0.25">
      <c r="A47" s="173"/>
      <c r="B47" s="461"/>
      <c r="C47" s="462"/>
      <c r="D47" s="462"/>
      <c r="E47" s="462"/>
      <c r="F47" s="462"/>
      <c r="G47" s="462"/>
      <c r="H47" s="462"/>
      <c r="I47" s="462"/>
      <c r="J47" s="462"/>
      <c r="K47" s="462"/>
      <c r="L47" s="495"/>
      <c r="M47" s="446"/>
      <c r="N47" s="447"/>
      <c r="O47" s="428"/>
      <c r="P47" s="429"/>
      <c r="Q47" s="430"/>
    </row>
    <row r="48" spans="1:17" s="115" customFormat="1" ht="14.25" customHeight="1" x14ac:dyDescent="0.25">
      <c r="A48" s="173"/>
      <c r="B48" s="461"/>
      <c r="C48" s="462"/>
      <c r="D48" s="462"/>
      <c r="E48" s="462"/>
      <c r="F48" s="462"/>
      <c r="G48" s="462"/>
      <c r="H48" s="462"/>
      <c r="I48" s="462"/>
      <c r="J48" s="462"/>
      <c r="K48" s="462"/>
      <c r="L48" s="495"/>
      <c r="M48" s="446"/>
      <c r="N48" s="447"/>
      <c r="O48" s="428"/>
      <c r="P48" s="429"/>
      <c r="Q48" s="430"/>
    </row>
    <row r="49" spans="1:17" s="115" customFormat="1" ht="14.25" customHeight="1" x14ac:dyDescent="0.25">
      <c r="A49" s="173"/>
      <c r="B49" s="461"/>
      <c r="C49" s="462"/>
      <c r="D49" s="462"/>
      <c r="E49" s="462"/>
      <c r="F49" s="462"/>
      <c r="G49" s="462"/>
      <c r="H49" s="462"/>
      <c r="I49" s="462"/>
      <c r="J49" s="462"/>
      <c r="K49" s="462"/>
      <c r="L49" s="495"/>
      <c r="M49" s="453"/>
      <c r="N49" s="454"/>
      <c r="O49" s="425"/>
      <c r="P49" s="426"/>
      <c r="Q49" s="427"/>
    </row>
    <row r="50" spans="1:17" s="115" customFormat="1" ht="15.75" thickBot="1" x14ac:dyDescent="0.3">
      <c r="A50" s="175"/>
      <c r="B50" s="496"/>
      <c r="C50" s="497"/>
      <c r="D50" s="497"/>
      <c r="E50" s="497"/>
      <c r="F50" s="497"/>
      <c r="G50" s="497"/>
      <c r="H50" s="497"/>
      <c r="I50" s="497"/>
      <c r="J50" s="497"/>
      <c r="K50" s="497"/>
      <c r="L50" s="498"/>
      <c r="M50" s="444"/>
      <c r="N50" s="445"/>
      <c r="O50" s="479"/>
      <c r="P50" s="480"/>
      <c r="Q50" s="481"/>
    </row>
    <row r="51" spans="1:17" ht="15.75" thickBot="1" x14ac:dyDescent="0.3">
      <c r="A51" s="85"/>
      <c r="B51" s="499"/>
      <c r="C51" s="500"/>
      <c r="D51" s="500"/>
      <c r="E51" s="500"/>
      <c r="F51" s="500"/>
      <c r="G51" s="500"/>
      <c r="H51" s="500"/>
      <c r="I51" s="500"/>
      <c r="J51" s="500"/>
      <c r="K51" s="500"/>
      <c r="L51" s="501"/>
      <c r="M51" s="272" t="s">
        <v>116</v>
      </c>
      <c r="N51" s="273"/>
      <c r="O51" s="478">
        <f>SUM(O26:Q50)</f>
        <v>787493</v>
      </c>
      <c r="P51" s="273"/>
      <c r="Q51" s="391"/>
    </row>
    <row r="53" spans="1:17" ht="15.75" thickBot="1" x14ac:dyDescent="0.3"/>
    <row r="54" spans="1:17" ht="16.5" thickBot="1" x14ac:dyDescent="0.3">
      <c r="A54" s="299" t="s">
        <v>112</v>
      </c>
      <c r="B54" s="301"/>
      <c r="C54" s="299" t="s">
        <v>306</v>
      </c>
      <c r="D54" s="300"/>
      <c r="E54" s="300"/>
      <c r="F54" s="300"/>
      <c r="G54" s="300"/>
      <c r="H54" s="300"/>
      <c r="I54" s="300"/>
      <c r="J54" s="300"/>
      <c r="K54" s="300"/>
      <c r="L54" s="301"/>
      <c r="M54" s="299" t="s">
        <v>114</v>
      </c>
      <c r="N54" s="300"/>
      <c r="O54" s="302" t="s">
        <v>113</v>
      </c>
      <c r="P54" s="420"/>
      <c r="Q54" s="303"/>
    </row>
    <row r="55" spans="1:17" ht="19.5" customHeight="1" x14ac:dyDescent="0.25">
      <c r="A55" s="188" t="s">
        <v>336</v>
      </c>
      <c r="B55" s="421" t="s">
        <v>338</v>
      </c>
      <c r="C55" s="422"/>
      <c r="D55" s="422"/>
      <c r="E55" s="422"/>
      <c r="F55" s="422"/>
      <c r="G55" s="422"/>
      <c r="H55" s="422"/>
      <c r="I55" s="422"/>
      <c r="J55" s="422"/>
      <c r="K55" s="422"/>
      <c r="L55" s="423"/>
      <c r="M55" s="485" t="s">
        <v>337</v>
      </c>
      <c r="N55" s="486"/>
      <c r="O55" s="487">
        <v>1150</v>
      </c>
      <c r="P55" s="488"/>
      <c r="Q55" s="489"/>
    </row>
    <row r="56" spans="1:17" ht="17.25" customHeight="1" x14ac:dyDescent="0.25">
      <c r="A56" s="189" t="s">
        <v>336</v>
      </c>
      <c r="B56" s="502" t="s">
        <v>405</v>
      </c>
      <c r="C56" s="503"/>
      <c r="D56" s="503"/>
      <c r="E56" s="503"/>
      <c r="F56" s="503"/>
      <c r="G56" s="503"/>
      <c r="H56" s="503"/>
      <c r="I56" s="503"/>
      <c r="J56" s="503"/>
      <c r="K56" s="503"/>
      <c r="L56" s="504"/>
      <c r="M56" s="431" t="s">
        <v>408</v>
      </c>
      <c r="N56" s="432"/>
      <c r="O56" s="433">
        <v>1150</v>
      </c>
      <c r="P56" s="434"/>
      <c r="Q56" s="435"/>
    </row>
    <row r="57" spans="1:17" ht="19.5" customHeight="1" x14ac:dyDescent="0.25">
      <c r="A57" s="188" t="s">
        <v>336</v>
      </c>
      <c r="B57" s="502" t="s">
        <v>406</v>
      </c>
      <c r="C57" s="503"/>
      <c r="D57" s="503"/>
      <c r="E57" s="503"/>
      <c r="F57" s="503"/>
      <c r="G57" s="503"/>
      <c r="H57" s="503"/>
      <c r="I57" s="503"/>
      <c r="J57" s="503"/>
      <c r="K57" s="503"/>
      <c r="L57" s="504"/>
      <c r="M57" s="436" t="s">
        <v>407</v>
      </c>
      <c r="N57" s="437"/>
      <c r="O57" s="438">
        <v>1150</v>
      </c>
      <c r="P57" s="439"/>
      <c r="Q57" s="440"/>
    </row>
    <row r="58" spans="1:17" ht="15" customHeight="1" x14ac:dyDescent="0.25">
      <c r="A58" s="163" t="s">
        <v>409</v>
      </c>
      <c r="B58" s="350" t="s">
        <v>410</v>
      </c>
      <c r="C58" s="351"/>
      <c r="D58" s="351"/>
      <c r="E58" s="351"/>
      <c r="F58" s="351"/>
      <c r="G58" s="351"/>
      <c r="H58" s="351"/>
      <c r="I58" s="351"/>
      <c r="J58" s="351"/>
      <c r="K58" s="351"/>
      <c r="L58" s="352"/>
      <c r="M58" s="276" t="s">
        <v>359</v>
      </c>
      <c r="N58" s="321"/>
      <c r="O58" s="311">
        <v>1150</v>
      </c>
      <c r="P58" s="424"/>
      <c r="Q58" s="312"/>
    </row>
    <row r="59" spans="1:17" ht="17.25" customHeight="1" x14ac:dyDescent="0.25">
      <c r="A59" s="163" t="s">
        <v>409</v>
      </c>
      <c r="B59" s="350" t="s">
        <v>411</v>
      </c>
      <c r="C59" s="351"/>
      <c r="D59" s="351"/>
      <c r="E59" s="351"/>
      <c r="F59" s="351"/>
      <c r="G59" s="351"/>
      <c r="H59" s="351"/>
      <c r="I59" s="351"/>
      <c r="J59" s="351"/>
      <c r="K59" s="351"/>
      <c r="L59" s="352"/>
      <c r="M59" s="276" t="s">
        <v>344</v>
      </c>
      <c r="N59" s="321"/>
      <c r="O59" s="311">
        <v>1150</v>
      </c>
      <c r="P59" s="424"/>
      <c r="Q59" s="312"/>
    </row>
    <row r="60" spans="1:17" ht="18" customHeight="1" x14ac:dyDescent="0.25">
      <c r="A60" s="163" t="s">
        <v>409</v>
      </c>
      <c r="B60" s="276" t="s">
        <v>412</v>
      </c>
      <c r="C60" s="277"/>
      <c r="D60" s="277"/>
      <c r="E60" s="277"/>
      <c r="F60" s="277"/>
      <c r="G60" s="277"/>
      <c r="H60" s="277"/>
      <c r="I60" s="277"/>
      <c r="J60" s="277"/>
      <c r="K60" s="277"/>
      <c r="L60" s="278"/>
      <c r="M60" s="276" t="s">
        <v>413</v>
      </c>
      <c r="N60" s="321"/>
      <c r="O60" s="311">
        <f>6000-2300</f>
        <v>3700</v>
      </c>
      <c r="P60" s="424"/>
      <c r="Q60" s="312"/>
    </row>
    <row r="61" spans="1:17" ht="18" customHeight="1" x14ac:dyDescent="0.25">
      <c r="A61" s="190" t="s">
        <v>414</v>
      </c>
      <c r="B61" s="263" t="s">
        <v>415</v>
      </c>
      <c r="C61" s="319"/>
      <c r="D61" s="319"/>
      <c r="E61" s="319"/>
      <c r="F61" s="319"/>
      <c r="G61" s="319"/>
      <c r="H61" s="319"/>
      <c r="I61" s="319"/>
      <c r="J61" s="319"/>
      <c r="K61" s="319"/>
      <c r="L61" s="294"/>
      <c r="M61" s="276" t="s">
        <v>337</v>
      </c>
      <c r="N61" s="321"/>
      <c r="O61" s="441">
        <v>400</v>
      </c>
      <c r="P61" s="442"/>
      <c r="Q61" s="443"/>
    </row>
    <row r="62" spans="1:17" ht="18" customHeight="1" x14ac:dyDescent="0.25">
      <c r="A62" s="190" t="s">
        <v>404</v>
      </c>
      <c r="B62" s="276" t="s">
        <v>412</v>
      </c>
      <c r="C62" s="277"/>
      <c r="D62" s="277"/>
      <c r="E62" s="277"/>
      <c r="F62" s="277"/>
      <c r="G62" s="277"/>
      <c r="H62" s="277"/>
      <c r="I62" s="277"/>
      <c r="J62" s="277"/>
      <c r="K62" s="277"/>
      <c r="L62" s="278"/>
      <c r="M62" s="276" t="s">
        <v>413</v>
      </c>
      <c r="N62" s="321"/>
      <c r="O62" s="311">
        <f>6000-2300</f>
        <v>3700</v>
      </c>
      <c r="P62" s="424"/>
      <c r="Q62" s="312"/>
    </row>
    <row r="63" spans="1:17" ht="15.75" customHeight="1" x14ac:dyDescent="0.25">
      <c r="A63" s="190" t="s">
        <v>467</v>
      </c>
      <c r="B63" s="263" t="s">
        <v>468</v>
      </c>
      <c r="C63" s="319"/>
      <c r="D63" s="319"/>
      <c r="E63" s="319"/>
      <c r="F63" s="319"/>
      <c r="G63" s="319"/>
      <c r="H63" s="319"/>
      <c r="I63" s="319"/>
      <c r="J63" s="319"/>
      <c r="K63" s="319"/>
      <c r="L63" s="294"/>
      <c r="M63" s="263" t="s">
        <v>434</v>
      </c>
      <c r="N63" s="294"/>
      <c r="O63" s="279">
        <v>1000</v>
      </c>
      <c r="P63" s="476"/>
      <c r="Q63" s="280"/>
    </row>
    <row r="64" spans="1:17" ht="15.75" customHeight="1" x14ac:dyDescent="0.25">
      <c r="A64" s="190" t="s">
        <v>409</v>
      </c>
      <c r="B64" s="263" t="s">
        <v>481</v>
      </c>
      <c r="C64" s="319"/>
      <c r="D64" s="319"/>
      <c r="E64" s="319"/>
      <c r="F64" s="319"/>
      <c r="G64" s="319"/>
      <c r="H64" s="319"/>
      <c r="I64" s="319"/>
      <c r="J64" s="319"/>
      <c r="K64" s="319"/>
      <c r="L64" s="294"/>
      <c r="M64" s="263" t="s">
        <v>482</v>
      </c>
      <c r="N64" s="294"/>
      <c r="O64" s="279">
        <v>1950</v>
      </c>
      <c r="P64" s="476"/>
      <c r="Q64" s="280"/>
    </row>
    <row r="65" spans="1:17" ht="15" customHeight="1" x14ac:dyDescent="0.25">
      <c r="A65" s="190" t="s">
        <v>409</v>
      </c>
      <c r="B65" s="263" t="s">
        <v>481</v>
      </c>
      <c r="C65" s="319"/>
      <c r="D65" s="319"/>
      <c r="E65" s="319"/>
      <c r="F65" s="319"/>
      <c r="G65" s="319"/>
      <c r="H65" s="319"/>
      <c r="I65" s="319"/>
      <c r="J65" s="319"/>
      <c r="K65" s="319"/>
      <c r="L65" s="294"/>
      <c r="M65" s="263" t="s">
        <v>488</v>
      </c>
      <c r="N65" s="294"/>
      <c r="O65" s="311">
        <v>2200</v>
      </c>
      <c r="P65" s="424"/>
      <c r="Q65" s="312"/>
    </row>
    <row r="66" spans="1:17" ht="51.75" customHeight="1" x14ac:dyDescent="0.25">
      <c r="A66" s="190" t="s">
        <v>520</v>
      </c>
      <c r="B66" s="263" t="s">
        <v>521</v>
      </c>
      <c r="C66" s="319"/>
      <c r="D66" s="319"/>
      <c r="E66" s="319"/>
      <c r="F66" s="319"/>
      <c r="G66" s="319"/>
      <c r="H66" s="319"/>
      <c r="I66" s="319"/>
      <c r="J66" s="319"/>
      <c r="K66" s="319"/>
      <c r="L66" s="294"/>
      <c r="M66" s="263" t="s">
        <v>522</v>
      </c>
      <c r="N66" s="294"/>
      <c r="O66" s="311">
        <v>4300</v>
      </c>
      <c r="P66" s="424"/>
      <c r="Q66" s="312"/>
    </row>
    <row r="67" spans="1:17" ht="16.5" customHeight="1" x14ac:dyDescent="0.25">
      <c r="A67" s="190" t="s">
        <v>545</v>
      </c>
      <c r="B67" s="263" t="s">
        <v>546</v>
      </c>
      <c r="C67" s="319"/>
      <c r="D67" s="319"/>
      <c r="E67" s="319"/>
      <c r="F67" s="319"/>
      <c r="G67" s="319"/>
      <c r="H67" s="319"/>
      <c r="I67" s="319"/>
      <c r="J67" s="319"/>
      <c r="K67" s="319"/>
      <c r="L67" s="294"/>
      <c r="M67" s="263" t="s">
        <v>547</v>
      </c>
      <c r="N67" s="294"/>
      <c r="O67" s="311">
        <v>30010</v>
      </c>
      <c r="P67" s="424"/>
      <c r="Q67" s="312"/>
    </row>
    <row r="68" spans="1:17" ht="16.5" customHeight="1" x14ac:dyDescent="0.25">
      <c r="A68" s="190" t="s">
        <v>489</v>
      </c>
      <c r="B68" s="263" t="s">
        <v>610</v>
      </c>
      <c r="C68" s="319"/>
      <c r="D68" s="319"/>
      <c r="E68" s="319"/>
      <c r="F68" s="319"/>
      <c r="G68" s="319"/>
      <c r="H68" s="319"/>
      <c r="I68" s="319"/>
      <c r="J68" s="319"/>
      <c r="K68" s="319"/>
      <c r="L68" s="294"/>
      <c r="M68" s="263" t="s">
        <v>611</v>
      </c>
      <c r="N68" s="294"/>
      <c r="O68" s="311">
        <v>6395</v>
      </c>
      <c r="P68" s="424"/>
      <c r="Q68" s="312"/>
    </row>
    <row r="69" spans="1:17" ht="16.5" customHeight="1" x14ac:dyDescent="0.25">
      <c r="A69" s="190" t="s">
        <v>414</v>
      </c>
      <c r="B69" s="263" t="s">
        <v>610</v>
      </c>
      <c r="C69" s="319"/>
      <c r="D69" s="319"/>
      <c r="E69" s="319"/>
      <c r="F69" s="319"/>
      <c r="G69" s="319"/>
      <c r="H69" s="319"/>
      <c r="I69" s="319"/>
      <c r="J69" s="319"/>
      <c r="K69" s="319"/>
      <c r="L69" s="294"/>
      <c r="M69" s="263" t="s">
        <v>611</v>
      </c>
      <c r="N69" s="294"/>
      <c r="O69" s="311">
        <v>6491</v>
      </c>
      <c r="P69" s="424"/>
      <c r="Q69" s="312"/>
    </row>
    <row r="70" spans="1:17" ht="20.25" customHeight="1" x14ac:dyDescent="0.25">
      <c r="A70" s="190" t="s">
        <v>384</v>
      </c>
      <c r="B70" s="263" t="s">
        <v>657</v>
      </c>
      <c r="C70" s="319"/>
      <c r="D70" s="319"/>
      <c r="E70" s="319"/>
      <c r="F70" s="319"/>
      <c r="G70" s="319"/>
      <c r="H70" s="319"/>
      <c r="I70" s="319"/>
      <c r="J70" s="319"/>
      <c r="K70" s="319"/>
      <c r="L70" s="294"/>
      <c r="M70" s="263" t="s">
        <v>658</v>
      </c>
      <c r="N70" s="294"/>
      <c r="O70" s="311">
        <v>29960</v>
      </c>
      <c r="P70" s="424"/>
      <c r="Q70" s="312"/>
    </row>
    <row r="71" spans="1:17" ht="21" customHeight="1" x14ac:dyDescent="0.25">
      <c r="A71" s="190" t="s">
        <v>678</v>
      </c>
      <c r="B71" s="263" t="s">
        <v>679</v>
      </c>
      <c r="C71" s="319"/>
      <c r="D71" s="319"/>
      <c r="E71" s="319"/>
      <c r="F71" s="319"/>
      <c r="G71" s="319"/>
      <c r="H71" s="319"/>
      <c r="I71" s="319"/>
      <c r="J71" s="319"/>
      <c r="K71" s="319"/>
      <c r="L71" s="294"/>
      <c r="M71" s="263" t="s">
        <v>680</v>
      </c>
      <c r="N71" s="294"/>
      <c r="O71" s="371">
        <v>7535</v>
      </c>
      <c r="P71" s="477"/>
      <c r="Q71" s="372"/>
    </row>
    <row r="72" spans="1:17" ht="18.75" customHeight="1" x14ac:dyDescent="0.25">
      <c r="A72" s="190" t="s">
        <v>681</v>
      </c>
      <c r="B72" s="263" t="s">
        <v>679</v>
      </c>
      <c r="C72" s="319"/>
      <c r="D72" s="319"/>
      <c r="E72" s="319"/>
      <c r="F72" s="319"/>
      <c r="G72" s="319"/>
      <c r="H72" s="319"/>
      <c r="I72" s="319"/>
      <c r="J72" s="319"/>
      <c r="K72" s="319"/>
      <c r="L72" s="294"/>
      <c r="M72" s="263" t="s">
        <v>680</v>
      </c>
      <c r="N72" s="294"/>
      <c r="O72" s="371">
        <v>7535</v>
      </c>
      <c r="P72" s="477"/>
      <c r="Q72" s="372"/>
    </row>
    <row r="73" spans="1:17" ht="15" customHeight="1" x14ac:dyDescent="0.25">
      <c r="A73" s="190" t="s">
        <v>545</v>
      </c>
      <c r="B73" s="263" t="s">
        <v>546</v>
      </c>
      <c r="C73" s="319"/>
      <c r="D73" s="319"/>
      <c r="E73" s="319"/>
      <c r="F73" s="319"/>
      <c r="G73" s="319"/>
      <c r="H73" s="319"/>
      <c r="I73" s="319"/>
      <c r="J73" s="319"/>
      <c r="K73" s="319"/>
      <c r="L73" s="294"/>
      <c r="M73" s="263" t="s">
        <v>696</v>
      </c>
      <c r="N73" s="294"/>
      <c r="O73" s="371">
        <v>4243</v>
      </c>
      <c r="P73" s="477"/>
      <c r="Q73" s="372"/>
    </row>
    <row r="74" spans="1:17" ht="20.25" customHeight="1" x14ac:dyDescent="0.25">
      <c r="A74" s="190" t="s">
        <v>404</v>
      </c>
      <c r="B74" s="263" t="s">
        <v>746</v>
      </c>
      <c r="C74" s="319"/>
      <c r="D74" s="319"/>
      <c r="E74" s="319"/>
      <c r="F74" s="319"/>
      <c r="G74" s="319"/>
      <c r="H74" s="319"/>
      <c r="I74" s="319"/>
      <c r="J74" s="319"/>
      <c r="K74" s="319"/>
      <c r="L74" s="294"/>
      <c r="M74" s="263" t="s">
        <v>715</v>
      </c>
      <c r="N74" s="294"/>
      <c r="O74" s="371">
        <v>1150</v>
      </c>
      <c r="P74" s="477"/>
      <c r="Q74" s="372"/>
    </row>
    <row r="75" spans="1:17" ht="83.25" customHeight="1" x14ac:dyDescent="0.25">
      <c r="A75" s="190" t="s">
        <v>336</v>
      </c>
      <c r="B75" s="263" t="s">
        <v>927</v>
      </c>
      <c r="C75" s="319"/>
      <c r="D75" s="319"/>
      <c r="E75" s="319"/>
      <c r="F75" s="319"/>
      <c r="G75" s="319"/>
      <c r="H75" s="319"/>
      <c r="I75" s="319"/>
      <c r="J75" s="319"/>
      <c r="K75" s="319"/>
      <c r="L75" s="294"/>
      <c r="M75" s="263" t="s">
        <v>928</v>
      </c>
      <c r="N75" s="294"/>
      <c r="O75" s="371">
        <v>3150</v>
      </c>
      <c r="P75" s="477"/>
      <c r="Q75" s="372"/>
    </row>
    <row r="76" spans="1:17" ht="15.75" customHeight="1" x14ac:dyDescent="0.25">
      <c r="A76" s="190" t="s">
        <v>942</v>
      </c>
      <c r="B76" s="263" t="s">
        <v>943</v>
      </c>
      <c r="C76" s="319"/>
      <c r="D76" s="319"/>
      <c r="E76" s="319"/>
      <c r="F76" s="319"/>
      <c r="G76" s="319"/>
      <c r="H76" s="319"/>
      <c r="I76" s="319"/>
      <c r="J76" s="319"/>
      <c r="K76" s="319"/>
      <c r="L76" s="294"/>
      <c r="M76" s="263" t="s">
        <v>941</v>
      </c>
      <c r="N76" s="294"/>
      <c r="O76" s="311">
        <v>850</v>
      </c>
      <c r="P76" s="424"/>
      <c r="Q76" s="312"/>
    </row>
    <row r="77" spans="1:17" ht="16.5" customHeight="1" x14ac:dyDescent="0.25">
      <c r="A77" s="190" t="s">
        <v>476</v>
      </c>
      <c r="B77" s="263" t="s">
        <v>943</v>
      </c>
      <c r="C77" s="319"/>
      <c r="D77" s="319"/>
      <c r="E77" s="319"/>
      <c r="F77" s="319"/>
      <c r="G77" s="319"/>
      <c r="H77" s="319"/>
      <c r="I77" s="319"/>
      <c r="J77" s="319"/>
      <c r="K77" s="319"/>
      <c r="L77" s="294"/>
      <c r="M77" s="263" t="s">
        <v>941</v>
      </c>
      <c r="N77" s="294"/>
      <c r="O77" s="311">
        <v>850</v>
      </c>
      <c r="P77" s="424"/>
      <c r="Q77" s="312"/>
    </row>
    <row r="78" spans="1:17" ht="49.5" customHeight="1" x14ac:dyDescent="0.25">
      <c r="A78" s="190" t="s">
        <v>965</v>
      </c>
      <c r="B78" s="362" t="s">
        <v>1025</v>
      </c>
      <c r="C78" s="363"/>
      <c r="D78" s="363"/>
      <c r="E78" s="363"/>
      <c r="F78" s="363"/>
      <c r="G78" s="363"/>
      <c r="H78" s="363"/>
      <c r="I78" s="363"/>
      <c r="J78" s="363"/>
      <c r="K78" s="363"/>
      <c r="L78" s="364"/>
      <c r="M78" s="263" t="s">
        <v>964</v>
      </c>
      <c r="N78" s="294"/>
      <c r="O78" s="311">
        <v>2000</v>
      </c>
      <c r="P78" s="424"/>
      <c r="Q78" s="312"/>
    </row>
    <row r="79" spans="1:17" ht="46.5" customHeight="1" x14ac:dyDescent="0.25">
      <c r="A79" s="190" t="s">
        <v>467</v>
      </c>
      <c r="B79" s="263" t="s">
        <v>966</v>
      </c>
      <c r="C79" s="319"/>
      <c r="D79" s="319"/>
      <c r="E79" s="319"/>
      <c r="F79" s="319"/>
      <c r="G79" s="319"/>
      <c r="H79" s="319"/>
      <c r="I79" s="319"/>
      <c r="J79" s="319"/>
      <c r="K79" s="319"/>
      <c r="L79" s="294"/>
      <c r="M79" s="263" t="s">
        <v>967</v>
      </c>
      <c r="N79" s="294"/>
      <c r="O79" s="311">
        <v>3000</v>
      </c>
      <c r="P79" s="424"/>
      <c r="Q79" s="312"/>
    </row>
    <row r="80" spans="1:17" ht="15.75" customHeight="1" x14ac:dyDescent="0.25">
      <c r="A80" s="190" t="s">
        <v>336</v>
      </c>
      <c r="B80" s="263" t="s">
        <v>994</v>
      </c>
      <c r="C80" s="319"/>
      <c r="D80" s="319"/>
      <c r="E80" s="319"/>
      <c r="F80" s="319"/>
      <c r="G80" s="319"/>
      <c r="H80" s="319"/>
      <c r="I80" s="319"/>
      <c r="J80" s="319"/>
      <c r="K80" s="319"/>
      <c r="L80" s="294"/>
      <c r="M80" s="263" t="s">
        <v>995</v>
      </c>
      <c r="N80" s="294"/>
      <c r="O80" s="311">
        <v>6000</v>
      </c>
      <c r="P80" s="424"/>
      <c r="Q80" s="312"/>
    </row>
    <row r="81" spans="1:17" ht="45.75" customHeight="1" x14ac:dyDescent="0.25">
      <c r="A81" s="190" t="s">
        <v>702</v>
      </c>
      <c r="B81" s="362" t="s">
        <v>1025</v>
      </c>
      <c r="C81" s="363"/>
      <c r="D81" s="363"/>
      <c r="E81" s="363"/>
      <c r="F81" s="363"/>
      <c r="G81" s="363"/>
      <c r="H81" s="363"/>
      <c r="I81" s="363"/>
      <c r="J81" s="363"/>
      <c r="K81" s="363"/>
      <c r="L81" s="364"/>
      <c r="M81" s="263" t="s">
        <v>964</v>
      </c>
      <c r="N81" s="294"/>
      <c r="O81" s="311">
        <v>2000</v>
      </c>
      <c r="P81" s="424"/>
      <c r="Q81" s="312"/>
    </row>
    <row r="82" spans="1:17" x14ac:dyDescent="0.25">
      <c r="A82" s="190"/>
      <c r="B82" s="349"/>
      <c r="C82" s="264"/>
      <c r="D82" s="264"/>
      <c r="E82" s="264"/>
      <c r="F82" s="264"/>
      <c r="G82" s="264"/>
      <c r="H82" s="264"/>
      <c r="I82" s="264"/>
      <c r="J82" s="264"/>
      <c r="K82" s="264"/>
      <c r="L82" s="265"/>
      <c r="M82" s="263"/>
      <c r="N82" s="294"/>
      <c r="O82" s="311"/>
      <c r="P82" s="424"/>
      <c r="Q82" s="312"/>
    </row>
    <row r="83" spans="1:17" x14ac:dyDescent="0.25">
      <c r="A83" s="190"/>
      <c r="B83" s="349"/>
      <c r="C83" s="264"/>
      <c r="D83" s="264"/>
      <c r="E83" s="264"/>
      <c r="F83" s="264"/>
      <c r="G83" s="264"/>
      <c r="H83" s="264"/>
      <c r="I83" s="264"/>
      <c r="J83" s="264"/>
      <c r="K83" s="264"/>
      <c r="L83" s="265"/>
      <c r="M83" s="263"/>
      <c r="N83" s="294"/>
      <c r="O83" s="311"/>
      <c r="P83" s="424"/>
      <c r="Q83" s="312"/>
    </row>
    <row r="84" spans="1:17" x14ac:dyDescent="0.25">
      <c r="A84" s="190"/>
      <c r="B84" s="349"/>
      <c r="C84" s="264"/>
      <c r="D84" s="264"/>
      <c r="E84" s="264"/>
      <c r="F84" s="264"/>
      <c r="G84" s="264"/>
      <c r="H84" s="264"/>
      <c r="I84" s="264"/>
      <c r="J84" s="264"/>
      <c r="K84" s="264"/>
      <c r="L84" s="265"/>
      <c r="M84" s="263"/>
      <c r="N84" s="294"/>
      <c r="O84" s="311"/>
      <c r="P84" s="424"/>
      <c r="Q84" s="312"/>
    </row>
    <row r="85" spans="1:17" x14ac:dyDescent="0.25">
      <c r="A85" s="190"/>
      <c r="B85" s="349"/>
      <c r="C85" s="264"/>
      <c r="D85" s="264"/>
      <c r="E85" s="264"/>
      <c r="F85" s="264"/>
      <c r="G85" s="264"/>
      <c r="H85" s="264"/>
      <c r="I85" s="264"/>
      <c r="J85" s="264"/>
      <c r="K85" s="264"/>
      <c r="L85" s="265"/>
      <c r="M85" s="263"/>
      <c r="N85" s="294"/>
      <c r="O85" s="311"/>
      <c r="P85" s="424"/>
      <c r="Q85" s="312"/>
    </row>
    <row r="86" spans="1:17" x14ac:dyDescent="0.25">
      <c r="A86" s="190"/>
      <c r="B86" s="349"/>
      <c r="C86" s="264"/>
      <c r="D86" s="264"/>
      <c r="E86" s="264"/>
      <c r="F86" s="264"/>
      <c r="G86" s="264"/>
      <c r="H86" s="264"/>
      <c r="I86" s="264"/>
      <c r="J86" s="264"/>
      <c r="K86" s="264"/>
      <c r="L86" s="265"/>
      <c r="M86" s="263"/>
      <c r="N86" s="294"/>
      <c r="O86" s="311"/>
      <c r="P86" s="424"/>
      <c r="Q86" s="312"/>
    </row>
    <row r="87" spans="1:17" x14ac:dyDescent="0.25">
      <c r="A87" s="190"/>
      <c r="B87" s="349"/>
      <c r="C87" s="264"/>
      <c r="D87" s="264"/>
      <c r="E87" s="264"/>
      <c r="F87" s="264"/>
      <c r="G87" s="264"/>
      <c r="H87" s="264"/>
      <c r="I87" s="264"/>
      <c r="J87" s="264"/>
      <c r="K87" s="264"/>
      <c r="L87" s="265"/>
      <c r="M87" s="263"/>
      <c r="N87" s="319"/>
      <c r="O87" s="371"/>
      <c r="P87" s="477"/>
      <c r="Q87" s="372"/>
    </row>
    <row r="88" spans="1:17" x14ac:dyDescent="0.25">
      <c r="A88" s="166"/>
      <c r="B88" s="349"/>
      <c r="C88" s="264"/>
      <c r="D88" s="264"/>
      <c r="E88" s="264"/>
      <c r="F88" s="264"/>
      <c r="G88" s="264"/>
      <c r="H88" s="264"/>
      <c r="I88" s="264"/>
      <c r="J88" s="264"/>
      <c r="K88" s="264"/>
      <c r="L88" s="265"/>
      <c r="M88" s="304"/>
      <c r="N88" s="305"/>
      <c r="O88" s="371"/>
      <c r="P88" s="477"/>
      <c r="Q88" s="372"/>
    </row>
    <row r="89" spans="1:17" ht="15.75" thickBot="1" x14ac:dyDescent="0.3">
      <c r="A89" s="191"/>
      <c r="B89" s="505"/>
      <c r="C89" s="506"/>
      <c r="D89" s="506"/>
      <c r="E89" s="506"/>
      <c r="F89" s="506"/>
      <c r="G89" s="506"/>
      <c r="H89" s="506"/>
      <c r="I89" s="506"/>
      <c r="J89" s="506"/>
      <c r="K89" s="506"/>
      <c r="L89" s="507"/>
      <c r="M89" s="490"/>
      <c r="N89" s="491"/>
      <c r="O89" s="492"/>
      <c r="P89" s="493"/>
      <c r="Q89" s="494"/>
    </row>
    <row r="90" spans="1:17" ht="15.75" thickBot="1" x14ac:dyDescent="0.3">
      <c r="A90" s="85"/>
      <c r="B90" s="499"/>
      <c r="C90" s="500"/>
      <c r="D90" s="500"/>
      <c r="E90" s="500"/>
      <c r="F90" s="500"/>
      <c r="G90" s="500"/>
      <c r="H90" s="500"/>
      <c r="I90" s="500"/>
      <c r="J90" s="500"/>
      <c r="K90" s="500"/>
      <c r="L90" s="501"/>
      <c r="M90" s="272" t="s">
        <v>116</v>
      </c>
      <c r="N90" s="273"/>
      <c r="O90" s="478">
        <f>SUM(O55:Q89)</f>
        <v>134169</v>
      </c>
      <c r="P90" s="273"/>
      <c r="Q90" s="391"/>
    </row>
  </sheetData>
  <mergeCells count="196">
    <mergeCell ref="B90:L90"/>
    <mergeCell ref="B84:L84"/>
    <mergeCell ref="B85:L85"/>
    <mergeCell ref="B66:L66"/>
    <mergeCell ref="B67:L67"/>
    <mergeCell ref="B68:L68"/>
    <mergeCell ref="B69:L69"/>
    <mergeCell ref="B70:L70"/>
    <mergeCell ref="B71:L71"/>
    <mergeCell ref="B72:L72"/>
    <mergeCell ref="B73:L73"/>
    <mergeCell ref="B74:L74"/>
    <mergeCell ref="B75:L75"/>
    <mergeCell ref="B76:L76"/>
    <mergeCell ref="B77:L77"/>
    <mergeCell ref="B78:L78"/>
    <mergeCell ref="B79:L79"/>
    <mergeCell ref="B80:L80"/>
    <mergeCell ref="B81:L81"/>
    <mergeCell ref="B58:L58"/>
    <mergeCell ref="B59:L59"/>
    <mergeCell ref="A54:B54"/>
    <mergeCell ref="C54:L54"/>
    <mergeCell ref="B83:L83"/>
    <mergeCell ref="B89:L89"/>
    <mergeCell ref="B88:L88"/>
    <mergeCell ref="B87:L87"/>
    <mergeCell ref="B86:L86"/>
    <mergeCell ref="B44:L44"/>
    <mergeCell ref="B45:L45"/>
    <mergeCell ref="B46:L46"/>
    <mergeCell ref="B47:L47"/>
    <mergeCell ref="B48:L48"/>
    <mergeCell ref="B49:L49"/>
    <mergeCell ref="B50:L50"/>
    <mergeCell ref="B51:L51"/>
    <mergeCell ref="B56:L56"/>
    <mergeCell ref="M90:N90"/>
    <mergeCell ref="O90:Q90"/>
    <mergeCell ref="M88:N88"/>
    <mergeCell ref="O88:Q88"/>
    <mergeCell ref="M89:N89"/>
    <mergeCell ref="O89:Q89"/>
    <mergeCell ref="M68:N68"/>
    <mergeCell ref="M69:N69"/>
    <mergeCell ref="M70:N70"/>
    <mergeCell ref="M75:N75"/>
    <mergeCell ref="O75:Q75"/>
    <mergeCell ref="M77:N77"/>
    <mergeCell ref="M71:N71"/>
    <mergeCell ref="M72:N72"/>
    <mergeCell ref="O85:Q85"/>
    <mergeCell ref="O86:Q86"/>
    <mergeCell ref="M85:N85"/>
    <mergeCell ref="M86:N86"/>
    <mergeCell ref="D1:J1"/>
    <mergeCell ref="K1:AA1"/>
    <mergeCell ref="O87:Q87"/>
    <mergeCell ref="O73:Q73"/>
    <mergeCell ref="O74:Q74"/>
    <mergeCell ref="O66:Q66"/>
    <mergeCell ref="O67:Q67"/>
    <mergeCell ref="O68:Q68"/>
    <mergeCell ref="B27:L27"/>
    <mergeCell ref="B31:L31"/>
    <mergeCell ref="B32:L32"/>
    <mergeCell ref="B33:L33"/>
    <mergeCell ref="B34:L34"/>
    <mergeCell ref="B35:L35"/>
    <mergeCell ref="B36:L36"/>
    <mergeCell ref="B37:L37"/>
    <mergeCell ref="B38:L38"/>
    <mergeCell ref="B39:L39"/>
    <mergeCell ref="B40:L40"/>
    <mergeCell ref="M55:N55"/>
    <mergeCell ref="O55:Q55"/>
    <mergeCell ref="B41:L41"/>
    <mergeCell ref="B42:L42"/>
    <mergeCell ref="B43:L43"/>
    <mergeCell ref="M38:N38"/>
    <mergeCell ref="M39:N39"/>
    <mergeCell ref="O70:Q70"/>
    <mergeCell ref="O69:Q69"/>
    <mergeCell ref="M87:N87"/>
    <mergeCell ref="M73:N73"/>
    <mergeCell ref="M74:N74"/>
    <mergeCell ref="M62:N62"/>
    <mergeCell ref="O62:Q62"/>
    <mergeCell ref="M63:N63"/>
    <mergeCell ref="O63:Q63"/>
    <mergeCell ref="O71:Q71"/>
    <mergeCell ref="O72:Q72"/>
    <mergeCell ref="M78:N78"/>
    <mergeCell ref="O77:Q77"/>
    <mergeCell ref="O78:Q78"/>
    <mergeCell ref="O51:Q51"/>
    <mergeCell ref="O50:Q50"/>
    <mergeCell ref="O44:Q44"/>
    <mergeCell ref="O45:Q45"/>
    <mergeCell ref="O46:Q46"/>
    <mergeCell ref="O47:Q47"/>
    <mergeCell ref="M76:N76"/>
    <mergeCell ref="O76:Q76"/>
    <mergeCell ref="M28:N28"/>
    <mergeCell ref="A25:B25"/>
    <mergeCell ref="O25:Q25"/>
    <mergeCell ref="O26:Q26"/>
    <mergeCell ref="M25:N25"/>
    <mergeCell ref="M27:N27"/>
    <mergeCell ref="O27:Q27"/>
    <mergeCell ref="B26:L26"/>
    <mergeCell ref="M26:N26"/>
    <mergeCell ref="B28:L28"/>
    <mergeCell ref="O28:Q28"/>
    <mergeCell ref="C25:L25"/>
    <mergeCell ref="O32:Q32"/>
    <mergeCell ref="O29:Q29"/>
    <mergeCell ref="O30:Q30"/>
    <mergeCell ref="O31:Q31"/>
    <mergeCell ref="M29:N29"/>
    <mergeCell ref="B29:L29"/>
    <mergeCell ref="M30:N30"/>
    <mergeCell ref="B30:L30"/>
    <mergeCell ref="M32:N32"/>
    <mergeCell ref="O36:Q36"/>
    <mergeCell ref="O49:Q49"/>
    <mergeCell ref="M43:N43"/>
    <mergeCell ref="M48:N48"/>
    <mergeCell ref="M31:N31"/>
    <mergeCell ref="M33:N33"/>
    <mergeCell ref="M34:N34"/>
    <mergeCell ref="M35:N35"/>
    <mergeCell ref="M44:N44"/>
    <mergeCell ref="M45:N45"/>
    <mergeCell ref="M46:N46"/>
    <mergeCell ref="M47:N47"/>
    <mergeCell ref="M36:N36"/>
    <mergeCell ref="M49:N49"/>
    <mergeCell ref="M37:N37"/>
    <mergeCell ref="M42:N42"/>
    <mergeCell ref="O37:Q37"/>
    <mergeCell ref="O42:Q42"/>
    <mergeCell ref="M40:N40"/>
    <mergeCell ref="O40:Q40"/>
    <mergeCell ref="O41:Q41"/>
    <mergeCell ref="M41:N41"/>
    <mergeCell ref="O38:Q38"/>
    <mergeCell ref="O39:Q39"/>
    <mergeCell ref="O33:Q33"/>
    <mergeCell ref="O34:Q34"/>
    <mergeCell ref="M65:N65"/>
    <mergeCell ref="O65:Q65"/>
    <mergeCell ref="M66:N66"/>
    <mergeCell ref="M67:N67"/>
    <mergeCell ref="O35:Q35"/>
    <mergeCell ref="O43:Q43"/>
    <mergeCell ref="O48:Q48"/>
    <mergeCell ref="M56:N56"/>
    <mergeCell ref="O56:Q56"/>
    <mergeCell ref="M57:N57"/>
    <mergeCell ref="O57:Q57"/>
    <mergeCell ref="M60:N60"/>
    <mergeCell ref="O60:Q60"/>
    <mergeCell ref="M61:N61"/>
    <mergeCell ref="O61:Q61"/>
    <mergeCell ref="M58:N58"/>
    <mergeCell ref="O58:Q58"/>
    <mergeCell ref="M59:N59"/>
    <mergeCell ref="O59:Q59"/>
    <mergeCell ref="M50:N50"/>
    <mergeCell ref="M51:N51"/>
    <mergeCell ref="M54:N54"/>
    <mergeCell ref="O54:Q54"/>
    <mergeCell ref="B55:L55"/>
    <mergeCell ref="O79:Q79"/>
    <mergeCell ref="M79:N79"/>
    <mergeCell ref="O80:Q80"/>
    <mergeCell ref="O81:Q81"/>
    <mergeCell ref="O82:Q82"/>
    <mergeCell ref="O83:Q83"/>
    <mergeCell ref="O84:Q84"/>
    <mergeCell ref="M80:N80"/>
    <mergeCell ref="M81:N81"/>
    <mergeCell ref="M82:N82"/>
    <mergeCell ref="M83:N83"/>
    <mergeCell ref="M84:N84"/>
    <mergeCell ref="B82:L82"/>
    <mergeCell ref="M64:N64"/>
    <mergeCell ref="O64:Q64"/>
    <mergeCell ref="B60:L60"/>
    <mergeCell ref="B61:L61"/>
    <mergeCell ref="B62:L62"/>
    <mergeCell ref="B63:L63"/>
    <mergeCell ref="B64:L64"/>
    <mergeCell ref="B65:L65"/>
    <mergeCell ref="B57:L57"/>
  </mergeCells>
  <pageMargins left="0.7" right="0.7" top="0.75" bottom="0.75" header="0.3" footer="0.3"/>
  <pageSetup paperSize="256" scale="37" fitToHeight="0" orientation="landscape" horizontalDpi="4294967293"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5E3BE-9B34-44FE-9B42-062029DCEF26}">
  <dimension ref="A1:T13"/>
  <sheetViews>
    <sheetView workbookViewId="0">
      <selection activeCell="G15" sqref="G15"/>
    </sheetView>
  </sheetViews>
  <sheetFormatPr defaultRowHeight="15" x14ac:dyDescent="0.25"/>
  <cols>
    <col min="1" max="1" width="36.5703125" customWidth="1"/>
    <col min="2" max="2" width="18.7109375" hidden="1" customWidth="1"/>
    <col min="3" max="3" width="16.7109375" hidden="1" customWidth="1"/>
    <col min="4" max="4" width="19.5703125" customWidth="1"/>
    <col min="5" max="5" width="22" customWidth="1"/>
    <col min="6" max="6" width="21.85546875" customWidth="1"/>
    <col min="7" max="7" width="12" customWidth="1"/>
    <col min="8" max="10" width="10.28515625" customWidth="1"/>
    <col min="11" max="11" width="11.28515625" customWidth="1"/>
    <col min="12" max="13" width="10.28515625" customWidth="1"/>
    <col min="14" max="16" width="10.28515625" bestFit="1" customWidth="1"/>
    <col min="17" max="17" width="12.5703125" customWidth="1"/>
    <col min="18" max="19" width="13.28515625" customWidth="1"/>
    <col min="20" max="20" width="13.140625" customWidth="1"/>
  </cols>
  <sheetData>
    <row r="1" spans="1:20" ht="72.75" customHeight="1" thickBot="1" x14ac:dyDescent="0.3">
      <c r="A1" s="1"/>
      <c r="B1" s="2" t="s">
        <v>0</v>
      </c>
      <c r="C1" s="3" t="s">
        <v>122</v>
      </c>
      <c r="D1" s="4" t="s">
        <v>810</v>
      </c>
      <c r="E1" s="5" t="s">
        <v>819</v>
      </c>
      <c r="F1" s="6" t="s">
        <v>820</v>
      </c>
      <c r="G1" s="204" t="s">
        <v>4</v>
      </c>
      <c r="H1" s="65" t="s">
        <v>5</v>
      </c>
      <c r="I1" s="205" t="s">
        <v>6</v>
      </c>
      <c r="J1" s="65" t="s">
        <v>7</v>
      </c>
      <c r="K1" s="205" t="s">
        <v>8</v>
      </c>
      <c r="L1" s="65" t="s">
        <v>9</v>
      </c>
      <c r="M1" s="205" t="s">
        <v>10</v>
      </c>
      <c r="N1" s="65" t="s">
        <v>11</v>
      </c>
      <c r="O1" s="205" t="s">
        <v>12</v>
      </c>
      <c r="P1" s="65" t="s">
        <v>13</v>
      </c>
      <c r="Q1" s="205" t="s">
        <v>14</v>
      </c>
      <c r="R1" s="65" t="s">
        <v>15</v>
      </c>
      <c r="S1" s="66"/>
      <c r="T1" s="10" t="s">
        <v>16</v>
      </c>
    </row>
    <row r="2" spans="1:20" ht="16.5" thickBot="1" x14ac:dyDescent="0.3">
      <c r="A2" s="60" t="s">
        <v>52</v>
      </c>
      <c r="B2" s="104"/>
      <c r="C2" s="86"/>
      <c r="D2" s="86"/>
      <c r="E2" s="91" t="s">
        <v>17</v>
      </c>
      <c r="F2" s="92"/>
      <c r="G2" s="106"/>
      <c r="H2" s="57"/>
      <c r="I2" s="88"/>
      <c r="J2" s="57"/>
      <c r="K2" s="88"/>
      <c r="L2" s="57"/>
      <c r="M2" s="88"/>
      <c r="N2" s="57"/>
      <c r="O2" s="88"/>
      <c r="P2" s="57"/>
      <c r="Q2" s="88"/>
      <c r="R2" s="57"/>
      <c r="S2" s="106"/>
      <c r="T2" s="57"/>
    </row>
    <row r="3" spans="1:20" ht="15.75" x14ac:dyDescent="0.25">
      <c r="A3" s="94" t="s">
        <v>53</v>
      </c>
      <c r="B3" s="107" t="s">
        <v>54</v>
      </c>
      <c r="C3" s="58"/>
      <c r="D3" s="59">
        <v>584000</v>
      </c>
      <c r="E3" s="89">
        <f>SUM(G3:R3)</f>
        <v>217270.85</v>
      </c>
      <c r="F3" s="90">
        <f>C3+D3-E3</f>
        <v>366729.15</v>
      </c>
      <c r="G3" s="53">
        <f>9098+9520+8700</f>
        <v>27318</v>
      </c>
      <c r="H3" s="53">
        <f>9520+9098</f>
        <v>18618</v>
      </c>
      <c r="I3" s="53">
        <f>9520+8700</f>
        <v>18220</v>
      </c>
      <c r="J3" s="53">
        <f>9520+9098</f>
        <v>18618</v>
      </c>
      <c r="K3" s="53">
        <f>9098+9520</f>
        <v>18618</v>
      </c>
      <c r="L3" s="53">
        <f>9520</f>
        <v>9520</v>
      </c>
      <c r="M3" s="53">
        <f>9098+15306.85</f>
        <v>24404.85</v>
      </c>
      <c r="N3" s="53">
        <f>9098+8700+9520</f>
        <v>27318</v>
      </c>
      <c r="O3" s="53">
        <f>9520+9098+8700</f>
        <v>27318</v>
      </c>
      <c r="P3" s="53">
        <f>8700+9520+9098</f>
        <v>27318</v>
      </c>
      <c r="Q3" s="53"/>
      <c r="R3" s="53"/>
      <c r="S3" s="31"/>
      <c r="T3" s="31">
        <f>SUM(G3:R3)</f>
        <v>217270.85</v>
      </c>
    </row>
    <row r="4" spans="1:20" ht="15.75" x14ac:dyDescent="0.25">
      <c r="A4" s="20" t="s">
        <v>32</v>
      </c>
      <c r="B4" s="21" t="s">
        <v>33</v>
      </c>
      <c r="C4" s="15"/>
      <c r="D4" s="16">
        <v>87000</v>
      </c>
      <c r="E4" s="89">
        <f>SUM(G4:R4)</f>
        <v>0</v>
      </c>
      <c r="F4" s="90">
        <f>C4+D4-E4</f>
        <v>87000</v>
      </c>
      <c r="G4" s="19"/>
      <c r="H4" s="19"/>
      <c r="I4" s="19"/>
      <c r="J4" s="19"/>
      <c r="K4" s="19"/>
      <c r="L4" s="19"/>
      <c r="M4" s="19"/>
      <c r="N4" s="19"/>
      <c r="O4" s="19"/>
      <c r="P4" s="19"/>
      <c r="Q4" s="19"/>
      <c r="R4" s="19"/>
      <c r="S4" s="31"/>
      <c r="T4" s="31">
        <f>SUM(G4:R4)</f>
        <v>0</v>
      </c>
    </row>
    <row r="5" spans="1:20" ht="16.5" thickBot="1" x14ac:dyDescent="0.3">
      <c r="A5" s="25"/>
      <c r="B5" s="26" t="s">
        <v>24</v>
      </c>
      <c r="C5" s="27">
        <f t="shared" ref="C5:R5" si="0">SUM(C3:C4)</f>
        <v>0</v>
      </c>
      <c r="D5" s="27">
        <f t="shared" si="0"/>
        <v>671000</v>
      </c>
      <c r="E5" s="27">
        <f t="shared" si="0"/>
        <v>217270.85</v>
      </c>
      <c r="F5" s="27">
        <f t="shared" si="0"/>
        <v>453729.15</v>
      </c>
      <c r="G5" s="27">
        <f t="shared" si="0"/>
        <v>27318</v>
      </c>
      <c r="H5" s="27">
        <f t="shared" si="0"/>
        <v>18618</v>
      </c>
      <c r="I5" s="27">
        <f t="shared" si="0"/>
        <v>18220</v>
      </c>
      <c r="J5" s="27">
        <f t="shared" si="0"/>
        <v>18618</v>
      </c>
      <c r="K5" s="27">
        <f t="shared" si="0"/>
        <v>18618</v>
      </c>
      <c r="L5" s="27">
        <f t="shared" si="0"/>
        <v>9520</v>
      </c>
      <c r="M5" s="27">
        <f t="shared" si="0"/>
        <v>24404.85</v>
      </c>
      <c r="N5" s="27">
        <f t="shared" si="0"/>
        <v>27318</v>
      </c>
      <c r="O5" s="27">
        <f t="shared" si="0"/>
        <v>27318</v>
      </c>
      <c r="P5" s="27">
        <f t="shared" si="0"/>
        <v>27318</v>
      </c>
      <c r="Q5" s="27">
        <f t="shared" si="0"/>
        <v>0</v>
      </c>
      <c r="R5" s="27">
        <f t="shared" si="0"/>
        <v>0</v>
      </c>
      <c r="S5" s="26" t="s">
        <v>25</v>
      </c>
      <c r="T5" s="67">
        <f>SUM(T3:T4)</f>
        <v>217270.85</v>
      </c>
    </row>
    <row r="9" spans="1:20" ht="37.5" x14ac:dyDescent="0.5">
      <c r="A9" s="30"/>
      <c r="B9" s="32"/>
      <c r="C9" s="32"/>
    </row>
    <row r="12" spans="1:20" ht="15.75" customHeight="1" x14ac:dyDescent="0.25">
      <c r="C12" s="30"/>
    </row>
    <row r="13" spans="1:20" ht="37.5" x14ac:dyDescent="0.5">
      <c r="B13" s="32"/>
    </row>
  </sheetData>
  <pageMargins left="0.7" right="0.7" top="0.75" bottom="0.75" header="0.3" footer="0.3"/>
  <pageSetup paperSize="9" orientation="portrait" horizontalDpi="4294967293"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E5034-5EFD-4EED-A798-EC2CAF1CA82C}">
  <dimension ref="A1:W61"/>
  <sheetViews>
    <sheetView zoomScale="90" zoomScaleNormal="90" workbookViewId="0">
      <selection activeCell="P5" sqref="P5"/>
    </sheetView>
  </sheetViews>
  <sheetFormatPr defaultRowHeight="15" x14ac:dyDescent="0.25"/>
  <cols>
    <col min="1" max="1" width="42.7109375" customWidth="1"/>
    <col min="2" max="2" width="18.7109375" hidden="1" customWidth="1"/>
    <col min="3" max="3" width="16.7109375" hidden="1" customWidth="1"/>
    <col min="4" max="4" width="19.140625" customWidth="1"/>
    <col min="5" max="5" width="32.7109375" customWidth="1"/>
    <col min="6" max="6" width="17.5703125" customWidth="1"/>
    <col min="7" max="7" width="16.5703125" customWidth="1"/>
    <col min="8" max="8" width="11.7109375" customWidth="1"/>
    <col min="9" max="9" width="20" customWidth="1"/>
    <col min="10" max="10" width="13.28515625" customWidth="1"/>
    <col min="11" max="11" width="11.28515625" customWidth="1"/>
    <col min="12" max="12" width="12.140625" customWidth="1"/>
    <col min="13" max="13" width="13.140625" customWidth="1"/>
    <col min="14" max="14" width="13.28515625" bestFit="1" customWidth="1"/>
    <col min="15" max="15" width="13.42578125" customWidth="1"/>
    <col min="16" max="16" width="11.7109375" customWidth="1"/>
    <col min="17" max="17" width="11.140625" customWidth="1"/>
    <col min="18" max="18" width="13.28515625" customWidth="1"/>
    <col min="19" max="19" width="12" customWidth="1"/>
    <col min="20" max="20" width="14.85546875" customWidth="1"/>
  </cols>
  <sheetData>
    <row r="1" spans="1:23" ht="72.75" customHeight="1" thickBot="1" x14ac:dyDescent="0.3">
      <c r="A1" s="1"/>
      <c r="B1" s="2" t="s">
        <v>0</v>
      </c>
      <c r="C1" s="3" t="s">
        <v>148</v>
      </c>
      <c r="D1" s="4" t="s">
        <v>124</v>
      </c>
      <c r="E1" s="5" t="s">
        <v>2</v>
      </c>
      <c r="F1" s="6" t="s">
        <v>3</v>
      </c>
      <c r="G1" s="204" t="s">
        <v>4</v>
      </c>
      <c r="H1" s="65" t="s">
        <v>5</v>
      </c>
      <c r="I1" s="205" t="s">
        <v>6</v>
      </c>
      <c r="J1" s="65" t="s">
        <v>7</v>
      </c>
      <c r="K1" s="205" t="s">
        <v>8</v>
      </c>
      <c r="L1" s="65" t="s">
        <v>9</v>
      </c>
      <c r="M1" s="205" t="s">
        <v>10</v>
      </c>
      <c r="N1" s="65" t="s">
        <v>11</v>
      </c>
      <c r="O1" s="205" t="s">
        <v>12</v>
      </c>
      <c r="P1" s="65" t="s">
        <v>13</v>
      </c>
      <c r="Q1" s="205" t="s">
        <v>14</v>
      </c>
      <c r="R1" s="65" t="s">
        <v>15</v>
      </c>
      <c r="S1" s="65"/>
      <c r="T1" s="10" t="s">
        <v>16</v>
      </c>
    </row>
    <row r="2" spans="1:23" ht="16.5" thickBot="1" x14ac:dyDescent="0.3">
      <c r="A2" s="60" t="s">
        <v>63</v>
      </c>
      <c r="B2" s="104"/>
      <c r="C2" s="86"/>
      <c r="D2" s="61"/>
      <c r="E2" s="91" t="s">
        <v>17</v>
      </c>
      <c r="F2" s="92"/>
      <c r="G2" s="106"/>
      <c r="H2" s="57"/>
      <c r="I2" s="88"/>
      <c r="J2" s="57"/>
      <c r="K2" s="88"/>
      <c r="L2" s="57"/>
      <c r="M2" s="88"/>
      <c r="N2" s="57"/>
      <c r="O2" s="88"/>
      <c r="P2" s="57"/>
      <c r="Q2" s="88"/>
      <c r="R2" s="57"/>
      <c r="S2" s="57"/>
      <c r="T2" s="57"/>
    </row>
    <row r="3" spans="1:23" ht="15.75" x14ac:dyDescent="0.25">
      <c r="A3" s="94" t="s">
        <v>47</v>
      </c>
      <c r="B3" s="107" t="s">
        <v>49</v>
      </c>
      <c r="C3" s="58"/>
      <c r="D3" s="59">
        <v>200000</v>
      </c>
      <c r="E3" s="89">
        <f>SUM(G3:R3)</f>
        <v>6500</v>
      </c>
      <c r="F3" s="90">
        <f>C3+D3-E3</f>
        <v>193500</v>
      </c>
      <c r="G3" s="53"/>
      <c r="H3" s="53"/>
      <c r="I3" s="53"/>
      <c r="J3" s="53"/>
      <c r="K3" s="53"/>
      <c r="L3" s="53">
        <v>6500</v>
      </c>
      <c r="M3" s="53"/>
      <c r="N3" s="53"/>
      <c r="O3" s="53"/>
      <c r="P3" s="53"/>
      <c r="Q3" s="53"/>
      <c r="R3" s="53"/>
      <c r="S3" s="31"/>
      <c r="T3" s="53">
        <f t="shared" ref="T3:T12" si="0">SUM(G3:R3)</f>
        <v>6500</v>
      </c>
    </row>
    <row r="4" spans="1:23" ht="15.75" x14ac:dyDescent="0.25">
      <c r="A4" s="94" t="s">
        <v>103</v>
      </c>
      <c r="B4" s="107"/>
      <c r="C4" s="58"/>
      <c r="D4" s="59"/>
      <c r="E4" s="89">
        <f>SUM(G4:R4)</f>
        <v>56276</v>
      </c>
      <c r="F4" s="90">
        <f>C4+D4-E4</f>
        <v>-56276</v>
      </c>
      <c r="G4" s="53"/>
      <c r="H4" s="53">
        <f>1150</f>
        <v>1150</v>
      </c>
      <c r="I4" s="53">
        <f>4000+1150+1150+1150+2300</f>
        <v>9750</v>
      </c>
      <c r="J4" s="53"/>
      <c r="K4" s="53">
        <f>1270</f>
        <v>1270</v>
      </c>
      <c r="L4" s="53">
        <f>22876+1150</f>
        <v>24026</v>
      </c>
      <c r="M4" s="53">
        <f>2150+2350</f>
        <v>4500</v>
      </c>
      <c r="N4" s="53">
        <f>-120+350+6050</f>
        <v>6280</v>
      </c>
      <c r="O4" s="53">
        <f>1000+1150</f>
        <v>2150</v>
      </c>
      <c r="P4" s="53">
        <f>3150+1000+850+1000+1150</f>
        <v>7150</v>
      </c>
      <c r="Q4" s="53"/>
      <c r="R4" s="53"/>
      <c r="S4" s="31"/>
      <c r="T4" s="53">
        <f t="shared" si="0"/>
        <v>56276</v>
      </c>
    </row>
    <row r="5" spans="1:23" ht="15.75" x14ac:dyDescent="0.25">
      <c r="A5" s="13" t="s">
        <v>45</v>
      </c>
      <c r="B5" s="14"/>
      <c r="C5" s="15"/>
      <c r="D5" s="16">
        <f>1230000</f>
        <v>1230000</v>
      </c>
      <c r="E5" s="89">
        <f t="shared" ref="E5:E12" si="1">SUM(G5:R5)</f>
        <v>0</v>
      </c>
      <c r="F5" s="90">
        <f t="shared" ref="F5:F12" si="2">C5+D5-E5</f>
        <v>1230000</v>
      </c>
      <c r="G5" s="19"/>
      <c r="H5" s="19"/>
      <c r="I5" s="19"/>
      <c r="J5" s="19"/>
      <c r="K5" s="19"/>
      <c r="L5" s="19"/>
      <c r="M5" s="19"/>
      <c r="N5" s="19"/>
      <c r="O5" s="19"/>
      <c r="P5" s="19"/>
      <c r="Q5" s="19"/>
      <c r="R5" s="19"/>
      <c r="S5" s="31"/>
      <c r="T5" s="53">
        <f t="shared" si="0"/>
        <v>0</v>
      </c>
    </row>
    <row r="6" spans="1:23" ht="16.5" thickBot="1" x14ac:dyDescent="0.3">
      <c r="A6" s="13" t="s">
        <v>155</v>
      </c>
      <c r="B6" s="14"/>
      <c r="C6" s="15"/>
      <c r="D6" s="16">
        <v>25000</v>
      </c>
      <c r="E6" s="89">
        <f t="shared" si="1"/>
        <v>0</v>
      </c>
      <c r="F6" s="90">
        <f t="shared" si="2"/>
        <v>25000</v>
      </c>
      <c r="G6" s="19"/>
      <c r="H6" s="19"/>
      <c r="I6" s="19"/>
      <c r="J6" s="19"/>
      <c r="K6" s="19"/>
      <c r="L6" s="19"/>
      <c r="M6" s="19"/>
      <c r="N6" s="19"/>
      <c r="O6" s="19"/>
      <c r="P6" s="19"/>
      <c r="Q6" s="19"/>
      <c r="R6" s="19"/>
      <c r="S6" s="31"/>
      <c r="T6" s="53">
        <f t="shared" si="0"/>
        <v>0</v>
      </c>
    </row>
    <row r="7" spans="1:23" ht="16.5" thickBot="1" x14ac:dyDescent="0.3">
      <c r="A7" s="20" t="s">
        <v>34</v>
      </c>
      <c r="B7" s="21" t="s">
        <v>35</v>
      </c>
      <c r="C7" s="15"/>
      <c r="D7" s="16">
        <v>3000</v>
      </c>
      <c r="E7" s="89">
        <f t="shared" si="1"/>
        <v>15443</v>
      </c>
      <c r="F7" s="90">
        <f t="shared" si="2"/>
        <v>-12443</v>
      </c>
      <c r="G7" s="19"/>
      <c r="H7" s="19"/>
      <c r="I7" s="19"/>
      <c r="J7" s="19"/>
      <c r="K7" s="19">
        <f>2129</f>
        <v>2129</v>
      </c>
      <c r="L7" s="19"/>
      <c r="M7" s="19"/>
      <c r="N7" s="19"/>
      <c r="O7" s="19">
        <v>13314</v>
      </c>
      <c r="P7" s="19"/>
      <c r="Q7" s="19"/>
      <c r="R7" s="19"/>
      <c r="S7" s="31"/>
      <c r="T7" s="53">
        <f t="shared" si="0"/>
        <v>15443</v>
      </c>
      <c r="W7" s="85"/>
    </row>
    <row r="8" spans="1:23" ht="15.75" x14ac:dyDescent="0.25">
      <c r="A8" s="20" t="s">
        <v>32</v>
      </c>
      <c r="B8" s="21" t="s">
        <v>33</v>
      </c>
      <c r="C8" s="15"/>
      <c r="D8" s="16">
        <f t="shared" ref="D8" si="3">C8</f>
        <v>0</v>
      </c>
      <c r="E8" s="89">
        <f t="shared" si="1"/>
        <v>0</v>
      </c>
      <c r="F8" s="90">
        <f t="shared" si="2"/>
        <v>0</v>
      </c>
      <c r="G8" s="19"/>
      <c r="H8" s="19"/>
      <c r="I8" s="19"/>
      <c r="J8" s="19"/>
      <c r="K8" s="19"/>
      <c r="L8" s="19"/>
      <c r="M8" s="19"/>
      <c r="N8" s="19"/>
      <c r="O8" s="19"/>
      <c r="P8" s="19"/>
      <c r="Q8" s="19"/>
      <c r="R8" s="19"/>
      <c r="S8" s="31"/>
      <c r="T8" s="53">
        <f t="shared" si="0"/>
        <v>0</v>
      </c>
    </row>
    <row r="9" spans="1:23" ht="15.75" x14ac:dyDescent="0.25">
      <c r="A9" s="20" t="s">
        <v>21</v>
      </c>
      <c r="B9" s="21" t="s">
        <v>22</v>
      </c>
      <c r="C9" s="15"/>
      <c r="D9" s="16">
        <v>150000</v>
      </c>
      <c r="E9" s="89">
        <f t="shared" si="1"/>
        <v>130140</v>
      </c>
      <c r="F9" s="90">
        <f t="shared" si="2"/>
        <v>19860</v>
      </c>
      <c r="G9" s="19"/>
      <c r="H9" s="19"/>
      <c r="I9" s="19">
        <v>640</v>
      </c>
      <c r="J9" s="19"/>
      <c r="K9" s="19">
        <f>2000+500</f>
        <v>2500</v>
      </c>
      <c r="L9" s="19"/>
      <c r="M9" s="19"/>
      <c r="N9" s="19">
        <f>22500</f>
        <v>22500</v>
      </c>
      <c r="O9" s="19">
        <f>27500+77000</f>
        <v>104500</v>
      </c>
      <c r="P9" s="19"/>
      <c r="Q9" s="19"/>
      <c r="R9" s="19"/>
      <c r="S9" s="31"/>
      <c r="T9" s="53">
        <f t="shared" si="0"/>
        <v>130140</v>
      </c>
    </row>
    <row r="10" spans="1:23" ht="15.75" x14ac:dyDescent="0.25">
      <c r="A10" s="20" t="s">
        <v>804</v>
      </c>
      <c r="B10" s="21"/>
      <c r="C10" s="15"/>
      <c r="D10" s="16"/>
      <c r="E10" s="89">
        <f t="shared" si="1"/>
        <v>84400.76</v>
      </c>
      <c r="F10" s="90">
        <f t="shared" si="2"/>
        <v>-84400.76</v>
      </c>
      <c r="G10" s="19">
        <f>4527.81+5030.9</f>
        <v>9558.7099999999991</v>
      </c>
      <c r="H10" s="19">
        <f>5030+4527</f>
        <v>9557</v>
      </c>
      <c r="I10" s="19">
        <f>4995.35+4495.5</f>
        <v>9490.85</v>
      </c>
      <c r="J10" s="19">
        <f>3953.65+4743.85</f>
        <v>8697.5</v>
      </c>
      <c r="K10" s="19">
        <f>3503.15+5001.65</f>
        <v>8504.7999999999993</v>
      </c>
      <c r="L10" s="19">
        <f>5439.55+4024</f>
        <v>9463.5499999999993</v>
      </c>
      <c r="M10" s="19">
        <f>6006.6+3739.95</f>
        <v>9746.5499999999993</v>
      </c>
      <c r="N10" s="19">
        <f>2968.65+2999.1</f>
        <v>5967.75</v>
      </c>
      <c r="O10" s="19">
        <f>5116.65</f>
        <v>5116.6499999999996</v>
      </c>
      <c r="P10" s="19">
        <f>3267.4+5030</f>
        <v>8297.4</v>
      </c>
      <c r="Q10" s="19"/>
      <c r="R10" s="19"/>
      <c r="S10" s="31"/>
      <c r="T10" s="53">
        <f t="shared" si="0"/>
        <v>84400.76</v>
      </c>
    </row>
    <row r="11" spans="1:23" ht="15.75" x14ac:dyDescent="0.25">
      <c r="A11" s="20" t="s">
        <v>19</v>
      </c>
      <c r="B11" s="21"/>
      <c r="C11" s="15"/>
      <c r="D11" s="16">
        <f>7000+8000+6000+3000+3000+15000+5000+5000</f>
        <v>52000</v>
      </c>
      <c r="E11" s="89">
        <f t="shared" si="1"/>
        <v>18990</v>
      </c>
      <c r="F11" s="90">
        <f t="shared" si="2"/>
        <v>33010</v>
      </c>
      <c r="G11" s="19"/>
      <c r="H11" s="19"/>
      <c r="I11" s="19"/>
      <c r="J11" s="19"/>
      <c r="K11" s="19">
        <f>5780+13210</f>
        <v>18990</v>
      </c>
      <c r="L11" s="19"/>
      <c r="M11" s="19"/>
      <c r="N11" s="19"/>
      <c r="O11" s="19"/>
      <c r="P11" s="19"/>
      <c r="Q11" s="19"/>
      <c r="R11" s="19"/>
      <c r="S11" s="31"/>
      <c r="T11" s="53">
        <f t="shared" si="0"/>
        <v>18990</v>
      </c>
    </row>
    <row r="12" spans="1:23" ht="15.75" x14ac:dyDescent="0.25">
      <c r="A12" s="23" t="s">
        <v>38</v>
      </c>
      <c r="B12" s="21" t="s">
        <v>39</v>
      </c>
      <c r="C12" s="15"/>
      <c r="D12" s="16">
        <v>10000</v>
      </c>
      <c r="E12" s="89">
        <f t="shared" si="1"/>
        <v>0</v>
      </c>
      <c r="F12" s="90">
        <f t="shared" si="2"/>
        <v>10000</v>
      </c>
      <c r="G12" s="19"/>
      <c r="H12" s="19"/>
      <c r="I12" s="19"/>
      <c r="J12" s="19"/>
      <c r="K12" s="19"/>
      <c r="L12" s="19"/>
      <c r="M12" s="19"/>
      <c r="N12" s="19"/>
      <c r="O12" s="19"/>
      <c r="P12" s="19"/>
      <c r="Q12" s="19"/>
      <c r="R12" s="19"/>
      <c r="S12" s="31"/>
      <c r="T12" s="53">
        <f t="shared" si="0"/>
        <v>0</v>
      </c>
    </row>
    <row r="13" spans="1:23" ht="16.5" thickBot="1" x14ac:dyDescent="0.3">
      <c r="A13" s="25"/>
      <c r="B13" s="26" t="s">
        <v>24</v>
      </c>
      <c r="C13" s="27">
        <f>SUM(C3:C12)</f>
        <v>0</v>
      </c>
      <c r="D13" s="27">
        <f>SUM(D3:D12)</f>
        <v>1670000</v>
      </c>
      <c r="E13" s="27">
        <f t="shared" ref="E13:R13" si="4">SUM(E3:E12)</f>
        <v>311749.76000000001</v>
      </c>
      <c r="F13" s="27">
        <f t="shared" si="4"/>
        <v>1358250.24</v>
      </c>
      <c r="G13" s="27">
        <f t="shared" si="4"/>
        <v>9558.7099999999991</v>
      </c>
      <c r="H13" s="27">
        <f t="shared" si="4"/>
        <v>10707</v>
      </c>
      <c r="I13" s="27">
        <f t="shared" si="4"/>
        <v>19880.849999999999</v>
      </c>
      <c r="J13" s="27">
        <f t="shared" si="4"/>
        <v>8697.5</v>
      </c>
      <c r="K13" s="27">
        <f t="shared" si="4"/>
        <v>33393.800000000003</v>
      </c>
      <c r="L13" s="27">
        <f t="shared" si="4"/>
        <v>39989.550000000003</v>
      </c>
      <c r="M13" s="27">
        <f t="shared" si="4"/>
        <v>14246.55</v>
      </c>
      <c r="N13" s="27">
        <f t="shared" si="4"/>
        <v>34747.75</v>
      </c>
      <c r="O13" s="27">
        <f t="shared" si="4"/>
        <v>125080.65</v>
      </c>
      <c r="P13" s="27">
        <f t="shared" si="4"/>
        <v>15447.4</v>
      </c>
      <c r="Q13" s="27">
        <f t="shared" si="4"/>
        <v>0</v>
      </c>
      <c r="R13" s="27">
        <f t="shared" si="4"/>
        <v>0</v>
      </c>
      <c r="S13" s="26" t="s">
        <v>25</v>
      </c>
      <c r="T13" s="67">
        <f>SUM(G13:R13)</f>
        <v>311749.76000000001</v>
      </c>
    </row>
    <row r="15" spans="1:23" ht="38.25" thickBot="1" x14ac:dyDescent="0.55000000000000004">
      <c r="A15" s="30"/>
      <c r="B15" s="32"/>
      <c r="C15" s="32"/>
      <c r="N15" s="141"/>
      <c r="O15" s="141"/>
    </row>
    <row r="16" spans="1:23" ht="16.5" thickBot="1" x14ac:dyDescent="0.3">
      <c r="A16" s="136" t="s">
        <v>175</v>
      </c>
      <c r="B16" s="299" t="s">
        <v>188</v>
      </c>
      <c r="C16" s="300"/>
      <c r="D16" s="300"/>
      <c r="E16" s="301"/>
      <c r="F16" s="299" t="s">
        <v>114</v>
      </c>
      <c r="G16" s="301"/>
      <c r="H16" s="302" t="s">
        <v>113</v>
      </c>
      <c r="I16" s="303"/>
      <c r="O16" s="141"/>
    </row>
    <row r="17" spans="1:15" ht="33" customHeight="1" x14ac:dyDescent="0.25">
      <c r="A17" s="168" t="s">
        <v>228</v>
      </c>
      <c r="B17" s="316" t="s">
        <v>229</v>
      </c>
      <c r="C17" s="317"/>
      <c r="D17" s="317"/>
      <c r="E17" s="318"/>
      <c r="F17" s="316" t="s">
        <v>230</v>
      </c>
      <c r="G17" s="310"/>
      <c r="H17" s="307">
        <v>2000</v>
      </c>
      <c r="I17" s="308"/>
      <c r="O17" s="141"/>
    </row>
    <row r="18" spans="1:15" ht="57.75" customHeight="1" x14ac:dyDescent="0.25">
      <c r="A18" s="163" t="s">
        <v>19</v>
      </c>
      <c r="B18" s="276" t="s">
        <v>231</v>
      </c>
      <c r="C18" s="277"/>
      <c r="D18" s="277"/>
      <c r="E18" s="278"/>
      <c r="F18" s="276" t="s">
        <v>232</v>
      </c>
      <c r="G18" s="278"/>
      <c r="H18" s="279">
        <v>5780</v>
      </c>
      <c r="I18" s="280"/>
      <c r="O18" s="141"/>
    </row>
    <row r="19" spans="1:15" ht="45" customHeight="1" x14ac:dyDescent="0.25">
      <c r="A19" s="156" t="s">
        <v>19</v>
      </c>
      <c r="B19" s="281" t="s">
        <v>234</v>
      </c>
      <c r="C19" s="323"/>
      <c r="D19" s="323"/>
      <c r="E19" s="324"/>
      <c r="F19" s="276" t="s">
        <v>233</v>
      </c>
      <c r="G19" s="278"/>
      <c r="H19" s="286">
        <v>13210</v>
      </c>
      <c r="I19" s="287"/>
      <c r="O19" s="141"/>
    </row>
    <row r="20" spans="1:15" ht="30" customHeight="1" x14ac:dyDescent="0.25">
      <c r="A20" s="156" t="s">
        <v>180</v>
      </c>
      <c r="B20" s="288" t="s">
        <v>736</v>
      </c>
      <c r="C20" s="289"/>
      <c r="D20" s="289"/>
      <c r="E20" s="290"/>
      <c r="F20" s="288" t="s">
        <v>737</v>
      </c>
      <c r="G20" s="268"/>
      <c r="H20" s="261">
        <v>22500</v>
      </c>
      <c r="I20" s="262"/>
      <c r="O20" s="141"/>
    </row>
    <row r="21" spans="1:15" ht="30.75" customHeight="1" x14ac:dyDescent="0.25">
      <c r="A21" s="156" t="s">
        <v>173</v>
      </c>
      <c r="B21" s="266" t="s">
        <v>879</v>
      </c>
      <c r="C21" s="267"/>
      <c r="D21" s="267"/>
      <c r="E21" s="268"/>
      <c r="F21" s="288" t="s">
        <v>776</v>
      </c>
      <c r="G21" s="268"/>
      <c r="H21" s="261">
        <v>13314</v>
      </c>
      <c r="I21" s="262"/>
      <c r="O21" s="141"/>
    </row>
    <row r="22" spans="1:15" s="115" customFormat="1" ht="61.5" customHeight="1" x14ac:dyDescent="0.25">
      <c r="A22" s="162" t="s">
        <v>798</v>
      </c>
      <c r="B22" s="207"/>
      <c r="C22" s="319" t="s">
        <v>799</v>
      </c>
      <c r="D22" s="319"/>
      <c r="E22" s="294"/>
      <c r="F22" s="263" t="s">
        <v>800</v>
      </c>
      <c r="G22" s="265"/>
      <c r="H22" s="311">
        <v>27500</v>
      </c>
      <c r="I22" s="312"/>
      <c r="O22" s="209"/>
    </row>
    <row r="23" spans="1:15" ht="63" customHeight="1" x14ac:dyDescent="0.25">
      <c r="A23" s="156" t="s">
        <v>859</v>
      </c>
      <c r="B23" s="198"/>
      <c r="C23" s="289" t="s">
        <v>860</v>
      </c>
      <c r="D23" s="289"/>
      <c r="E23" s="290"/>
      <c r="F23" s="288" t="s">
        <v>861</v>
      </c>
      <c r="G23" s="268"/>
      <c r="H23" s="261">
        <v>77000</v>
      </c>
      <c r="I23" s="262"/>
      <c r="O23" s="155"/>
    </row>
    <row r="24" spans="1:15" x14ac:dyDescent="0.25">
      <c r="A24" s="156"/>
      <c r="B24" s="198"/>
      <c r="C24" s="369"/>
      <c r="D24" s="369"/>
      <c r="E24" s="354"/>
      <c r="F24" s="353"/>
      <c r="G24" s="354"/>
      <c r="H24" s="261"/>
      <c r="I24" s="262"/>
      <c r="O24" s="155"/>
    </row>
    <row r="25" spans="1:15" x14ac:dyDescent="0.25">
      <c r="A25" s="156"/>
      <c r="B25" s="198"/>
      <c r="C25" s="369"/>
      <c r="D25" s="369"/>
      <c r="E25" s="354"/>
      <c r="F25" s="353"/>
      <c r="G25" s="354"/>
      <c r="H25" s="261"/>
      <c r="I25" s="262"/>
      <c r="O25" s="155"/>
    </row>
    <row r="26" spans="1:15" x14ac:dyDescent="0.25">
      <c r="A26" s="156"/>
      <c r="B26" s="198"/>
      <c r="C26" s="267"/>
      <c r="D26" s="267"/>
      <c r="E26" s="268"/>
      <c r="F26" s="266"/>
      <c r="G26" s="268"/>
      <c r="H26" s="261"/>
      <c r="I26" s="262"/>
      <c r="O26" s="141"/>
    </row>
    <row r="27" spans="1:15" ht="15.75" thickBot="1" x14ac:dyDescent="0.3">
      <c r="A27" s="120"/>
      <c r="B27" s="206"/>
      <c r="C27" s="339"/>
      <c r="D27" s="339"/>
      <c r="E27" s="355"/>
      <c r="F27" s="338"/>
      <c r="G27" s="355"/>
      <c r="H27" s="508"/>
      <c r="I27" s="509"/>
      <c r="O27" s="141"/>
    </row>
    <row r="28" spans="1:15" ht="15.75" thickBot="1" x14ac:dyDescent="0.3">
      <c r="A28" s="85"/>
      <c r="B28" s="269"/>
      <c r="C28" s="270"/>
      <c r="D28" s="270"/>
      <c r="E28" s="271"/>
      <c r="F28" s="272" t="s">
        <v>116</v>
      </c>
      <c r="G28" s="273"/>
      <c r="H28" s="274">
        <f>SUM(H17:I27)</f>
        <v>161304</v>
      </c>
      <c r="I28" s="275"/>
      <c r="O28" s="141"/>
    </row>
    <row r="29" spans="1:15" x14ac:dyDescent="0.25">
      <c r="O29" s="141"/>
    </row>
    <row r="30" spans="1:15" ht="15.75" thickBot="1" x14ac:dyDescent="0.3">
      <c r="O30" s="141"/>
    </row>
    <row r="31" spans="1:15" ht="16.5" thickBot="1" x14ac:dyDescent="0.3">
      <c r="A31" s="136" t="s">
        <v>112</v>
      </c>
      <c r="B31" s="299" t="s">
        <v>477</v>
      </c>
      <c r="C31" s="300"/>
      <c r="D31" s="300"/>
      <c r="E31" s="301"/>
      <c r="F31" s="299" t="s">
        <v>114</v>
      </c>
      <c r="G31" s="301"/>
      <c r="H31" s="302" t="s">
        <v>113</v>
      </c>
      <c r="I31" s="303"/>
      <c r="O31" s="97"/>
    </row>
    <row r="32" spans="1:15" ht="30" customHeight="1" x14ac:dyDescent="0.25">
      <c r="A32" s="168" t="s">
        <v>367</v>
      </c>
      <c r="B32" s="316" t="s">
        <v>431</v>
      </c>
      <c r="C32" s="317"/>
      <c r="D32" s="317"/>
      <c r="E32" s="318"/>
      <c r="F32" s="316" t="s">
        <v>403</v>
      </c>
      <c r="G32" s="310"/>
      <c r="H32" s="307">
        <v>1150</v>
      </c>
      <c r="I32" s="308"/>
    </row>
    <row r="33" spans="1:9" ht="30" customHeight="1" x14ac:dyDescent="0.25">
      <c r="A33" s="163" t="s">
        <v>427</v>
      </c>
      <c r="B33" s="350" t="s">
        <v>431</v>
      </c>
      <c r="C33" s="351"/>
      <c r="D33" s="351"/>
      <c r="E33" s="352"/>
      <c r="F33" s="276" t="s">
        <v>428</v>
      </c>
      <c r="G33" s="278"/>
      <c r="H33" s="279">
        <v>1150</v>
      </c>
      <c r="I33" s="280"/>
    </row>
    <row r="34" spans="1:9" ht="30" customHeight="1" x14ac:dyDescent="0.25">
      <c r="A34" s="156" t="s">
        <v>309</v>
      </c>
      <c r="B34" s="350" t="s">
        <v>431</v>
      </c>
      <c r="C34" s="351"/>
      <c r="D34" s="351"/>
      <c r="E34" s="352"/>
      <c r="F34" s="276" t="s">
        <v>428</v>
      </c>
      <c r="G34" s="278"/>
      <c r="H34" s="279">
        <v>1150</v>
      </c>
      <c r="I34" s="280"/>
    </row>
    <row r="35" spans="1:9" ht="30" customHeight="1" x14ac:dyDescent="0.25">
      <c r="A35" s="156" t="s">
        <v>430</v>
      </c>
      <c r="B35" s="350" t="s">
        <v>431</v>
      </c>
      <c r="C35" s="351"/>
      <c r="D35" s="351"/>
      <c r="E35" s="352"/>
      <c r="F35" s="276" t="s">
        <v>428</v>
      </c>
      <c r="G35" s="278"/>
      <c r="H35" s="279">
        <v>1150</v>
      </c>
      <c r="I35" s="280"/>
    </row>
    <row r="36" spans="1:9" ht="30" customHeight="1" x14ac:dyDescent="0.25">
      <c r="A36" s="156" t="s">
        <v>388</v>
      </c>
      <c r="B36" s="350" t="s">
        <v>431</v>
      </c>
      <c r="C36" s="351"/>
      <c r="D36" s="351"/>
      <c r="E36" s="352"/>
      <c r="F36" s="266" t="s">
        <v>435</v>
      </c>
      <c r="G36" s="268"/>
      <c r="H36" s="261">
        <v>4000</v>
      </c>
      <c r="I36" s="262"/>
    </row>
    <row r="37" spans="1:9" ht="30" customHeight="1" x14ac:dyDescent="0.25">
      <c r="A37" s="156" t="s">
        <v>476</v>
      </c>
      <c r="B37" s="140"/>
      <c r="C37" s="289" t="s">
        <v>431</v>
      </c>
      <c r="D37" s="289"/>
      <c r="E37" s="290"/>
      <c r="F37" s="266" t="s">
        <v>478</v>
      </c>
      <c r="G37" s="268"/>
      <c r="H37" s="261">
        <v>2300</v>
      </c>
      <c r="I37" s="262"/>
    </row>
    <row r="38" spans="1:9" ht="28.5" customHeight="1" x14ac:dyDescent="0.25">
      <c r="A38" s="156" t="s">
        <v>388</v>
      </c>
      <c r="B38" s="140"/>
      <c r="C38" s="289" t="s">
        <v>479</v>
      </c>
      <c r="D38" s="289"/>
      <c r="E38" s="290"/>
      <c r="F38" s="266" t="s">
        <v>480</v>
      </c>
      <c r="G38" s="268"/>
      <c r="H38" s="261">
        <v>1270</v>
      </c>
      <c r="I38" s="262"/>
    </row>
    <row r="39" spans="1:9" ht="29.25" customHeight="1" x14ac:dyDescent="0.25">
      <c r="A39" s="156" t="s">
        <v>388</v>
      </c>
      <c r="B39" s="140"/>
      <c r="C39" s="289" t="s">
        <v>556</v>
      </c>
      <c r="D39" s="289"/>
      <c r="E39" s="290"/>
      <c r="F39" s="266" t="s">
        <v>557</v>
      </c>
      <c r="G39" s="268"/>
      <c r="H39" s="261">
        <v>29376</v>
      </c>
      <c r="I39" s="262"/>
    </row>
    <row r="40" spans="1:9" ht="29.25" customHeight="1" x14ac:dyDescent="0.25">
      <c r="A40" s="156" t="s">
        <v>336</v>
      </c>
      <c r="B40" s="140"/>
      <c r="C40" s="289" t="s">
        <v>585</v>
      </c>
      <c r="D40" s="289"/>
      <c r="E40" s="290"/>
      <c r="F40" s="266" t="s">
        <v>586</v>
      </c>
      <c r="G40" s="268"/>
      <c r="H40" s="261">
        <v>1150</v>
      </c>
      <c r="I40" s="262"/>
    </row>
    <row r="41" spans="1:9" ht="22.5" customHeight="1" x14ac:dyDescent="0.25">
      <c r="A41" s="156" t="s">
        <v>409</v>
      </c>
      <c r="B41" s="140"/>
      <c r="C41" s="267" t="s">
        <v>659</v>
      </c>
      <c r="D41" s="267"/>
      <c r="E41" s="268"/>
      <c r="F41" s="266" t="s">
        <v>660</v>
      </c>
      <c r="G41" s="268"/>
      <c r="H41" s="261">
        <v>2150</v>
      </c>
      <c r="I41" s="262"/>
    </row>
    <row r="42" spans="1:9" ht="45" customHeight="1" x14ac:dyDescent="0.25">
      <c r="A42" s="156" t="s">
        <v>343</v>
      </c>
      <c r="B42" s="140"/>
      <c r="C42" s="289" t="s">
        <v>686</v>
      </c>
      <c r="D42" s="289"/>
      <c r="E42" s="290"/>
      <c r="F42" s="266" t="s">
        <v>660</v>
      </c>
      <c r="G42" s="268"/>
      <c r="H42" s="261">
        <v>2350</v>
      </c>
      <c r="I42" s="262"/>
    </row>
    <row r="43" spans="1:9" ht="34.5" customHeight="1" x14ac:dyDescent="0.25">
      <c r="A43" s="156" t="s">
        <v>362</v>
      </c>
      <c r="B43" s="140"/>
      <c r="C43" s="289" t="s">
        <v>718</v>
      </c>
      <c r="D43" s="289"/>
      <c r="E43" s="290"/>
      <c r="F43" s="266" t="s">
        <v>719</v>
      </c>
      <c r="G43" s="268"/>
      <c r="H43" s="261">
        <v>350</v>
      </c>
      <c r="I43" s="262"/>
    </row>
    <row r="44" spans="1:9" s="115" customFormat="1" ht="164.25" customHeight="1" x14ac:dyDescent="0.25">
      <c r="A44" s="162" t="s">
        <v>388</v>
      </c>
      <c r="B44" s="200"/>
      <c r="C44" s="319" t="s">
        <v>720</v>
      </c>
      <c r="D44" s="319"/>
      <c r="E44" s="294"/>
      <c r="F44" s="263" t="s">
        <v>721</v>
      </c>
      <c r="G44" s="294"/>
      <c r="H44" s="311">
        <v>6050</v>
      </c>
      <c r="I44" s="312"/>
    </row>
    <row r="45" spans="1:9" s="115" customFormat="1" ht="29.25" customHeight="1" x14ac:dyDescent="0.25">
      <c r="A45" s="162" t="s">
        <v>787</v>
      </c>
      <c r="B45" s="200"/>
      <c r="C45" s="319" t="s">
        <v>788</v>
      </c>
      <c r="D45" s="319"/>
      <c r="E45" s="294"/>
      <c r="F45" s="349" t="s">
        <v>789</v>
      </c>
      <c r="G45" s="265"/>
      <c r="H45" s="311">
        <v>1000</v>
      </c>
      <c r="I45" s="312"/>
    </row>
    <row r="46" spans="1:9" ht="30" customHeight="1" x14ac:dyDescent="0.25">
      <c r="A46" s="156" t="s">
        <v>309</v>
      </c>
      <c r="B46" s="140"/>
      <c r="C46" s="319" t="s">
        <v>788</v>
      </c>
      <c r="D46" s="319"/>
      <c r="E46" s="294"/>
      <c r="F46" s="349" t="s">
        <v>789</v>
      </c>
      <c r="G46" s="265"/>
      <c r="H46" s="261">
        <v>1150</v>
      </c>
      <c r="I46" s="262"/>
    </row>
    <row r="47" spans="1:9" ht="31.5" customHeight="1" x14ac:dyDescent="0.25">
      <c r="A47" s="156" t="s">
        <v>388</v>
      </c>
      <c r="B47" s="140"/>
      <c r="C47" s="319" t="s">
        <v>788</v>
      </c>
      <c r="D47" s="319"/>
      <c r="E47" s="294"/>
      <c r="F47" s="266" t="s">
        <v>933</v>
      </c>
      <c r="G47" s="268"/>
      <c r="H47" s="261">
        <v>3150</v>
      </c>
      <c r="I47" s="262"/>
    </row>
    <row r="48" spans="1:9" ht="30.75" customHeight="1" x14ac:dyDescent="0.25">
      <c r="A48" s="156" t="s">
        <v>937</v>
      </c>
      <c r="B48" s="140"/>
      <c r="C48" s="222"/>
      <c r="D48" s="289" t="s">
        <v>938</v>
      </c>
      <c r="E48" s="290"/>
      <c r="F48" s="266" t="s">
        <v>939</v>
      </c>
      <c r="G48" s="268"/>
      <c r="H48" s="261">
        <v>1000</v>
      </c>
      <c r="I48" s="262"/>
    </row>
    <row r="49" spans="1:9" ht="29.25" customHeight="1" x14ac:dyDescent="0.25">
      <c r="A49" s="156" t="s">
        <v>476</v>
      </c>
      <c r="B49" s="140"/>
      <c r="C49" s="222"/>
      <c r="D49" s="289" t="s">
        <v>788</v>
      </c>
      <c r="E49" s="290"/>
      <c r="F49" s="266" t="s">
        <v>797</v>
      </c>
      <c r="G49" s="268"/>
      <c r="H49" s="261">
        <v>1150</v>
      </c>
      <c r="I49" s="262"/>
    </row>
    <row r="50" spans="1:9" ht="45" customHeight="1" x14ac:dyDescent="0.25">
      <c r="A50" s="156" t="s">
        <v>388</v>
      </c>
      <c r="B50" s="140"/>
      <c r="C50" s="289" t="s">
        <v>971</v>
      </c>
      <c r="D50" s="289"/>
      <c r="E50" s="290"/>
      <c r="F50" s="266" t="s">
        <v>939</v>
      </c>
      <c r="G50" s="268"/>
      <c r="H50" s="261">
        <v>1000</v>
      </c>
      <c r="I50" s="262"/>
    </row>
    <row r="51" spans="1:9" x14ac:dyDescent="0.25">
      <c r="A51" s="156"/>
      <c r="B51" s="140"/>
      <c r="C51" s="222"/>
      <c r="D51" s="289"/>
      <c r="E51" s="290"/>
      <c r="F51" s="266"/>
      <c r="G51" s="268"/>
      <c r="H51" s="261"/>
      <c r="I51" s="262"/>
    </row>
    <row r="52" spans="1:9" x14ac:dyDescent="0.25">
      <c r="A52" s="156"/>
      <c r="B52" s="140"/>
      <c r="C52" s="222"/>
      <c r="D52" s="512"/>
      <c r="E52" s="513"/>
      <c r="F52" s="353"/>
      <c r="G52" s="354"/>
      <c r="H52" s="261"/>
      <c r="I52" s="262"/>
    </row>
    <row r="53" spans="1:9" x14ac:dyDescent="0.25">
      <c r="A53" s="156"/>
      <c r="B53" s="140"/>
      <c r="C53" s="222"/>
      <c r="D53" s="512"/>
      <c r="E53" s="513"/>
      <c r="F53" s="353"/>
      <c r="G53" s="354"/>
      <c r="H53" s="261"/>
      <c r="I53" s="262"/>
    </row>
    <row r="54" spans="1:9" x14ac:dyDescent="0.25">
      <c r="A54" s="156"/>
      <c r="B54" s="140"/>
      <c r="C54" s="222"/>
      <c r="D54" s="512"/>
      <c r="E54" s="513"/>
      <c r="F54" s="353"/>
      <c r="G54" s="354"/>
      <c r="H54" s="261"/>
      <c r="I54" s="262"/>
    </row>
    <row r="55" spans="1:9" x14ac:dyDescent="0.25">
      <c r="A55" s="156"/>
      <c r="B55" s="140"/>
      <c r="C55" s="222"/>
      <c r="D55" s="512"/>
      <c r="E55" s="513"/>
      <c r="F55" s="353"/>
      <c r="G55" s="354"/>
      <c r="H55" s="261"/>
      <c r="I55" s="262"/>
    </row>
    <row r="56" spans="1:9" x14ac:dyDescent="0.25">
      <c r="A56" s="156"/>
      <c r="B56" s="140"/>
      <c r="C56" s="222"/>
      <c r="D56" s="512"/>
      <c r="E56" s="513"/>
      <c r="F56" s="353"/>
      <c r="G56" s="354"/>
      <c r="H56" s="261"/>
      <c r="I56" s="262"/>
    </row>
    <row r="57" spans="1:9" x14ac:dyDescent="0.25">
      <c r="A57" s="156"/>
      <c r="B57" s="140"/>
      <c r="C57" s="222"/>
      <c r="D57" s="512"/>
      <c r="E57" s="513"/>
      <c r="F57" s="353"/>
      <c r="G57" s="354"/>
      <c r="H57" s="261"/>
      <c r="I57" s="262"/>
    </row>
    <row r="58" spans="1:9" x14ac:dyDescent="0.25">
      <c r="A58" s="156"/>
      <c r="B58" s="140"/>
      <c r="C58" s="222"/>
      <c r="D58" s="289"/>
      <c r="E58" s="290"/>
      <c r="F58" s="266"/>
      <c r="G58" s="268"/>
      <c r="H58" s="261"/>
      <c r="I58" s="262"/>
    </row>
    <row r="59" spans="1:9" x14ac:dyDescent="0.25">
      <c r="A59" s="156"/>
      <c r="B59" s="140"/>
      <c r="C59" s="289"/>
      <c r="D59" s="289"/>
      <c r="E59" s="290"/>
      <c r="F59" s="266"/>
      <c r="G59" s="268"/>
      <c r="H59" s="261"/>
      <c r="I59" s="262"/>
    </row>
    <row r="60" spans="1:9" ht="15.75" thickBot="1" x14ac:dyDescent="0.3">
      <c r="A60" s="120"/>
      <c r="B60" s="117"/>
      <c r="C60" s="510"/>
      <c r="D60" s="510"/>
      <c r="E60" s="511"/>
      <c r="F60" s="338"/>
      <c r="G60" s="355"/>
      <c r="H60" s="508"/>
      <c r="I60" s="509"/>
    </row>
    <row r="61" spans="1:9" ht="15.75" thickBot="1" x14ac:dyDescent="0.3">
      <c r="A61" s="85"/>
      <c r="B61" s="269"/>
      <c r="C61" s="270"/>
      <c r="D61" s="270"/>
      <c r="E61" s="271"/>
      <c r="F61" s="272" t="s">
        <v>116</v>
      </c>
      <c r="G61" s="273"/>
      <c r="H61" s="274">
        <f>SUM(H32:I60)</f>
        <v>62046</v>
      </c>
      <c r="I61" s="275"/>
    </row>
  </sheetData>
  <mergeCells count="132">
    <mergeCell ref="F52:G52"/>
    <mergeCell ref="F53:G53"/>
    <mergeCell ref="F54:G54"/>
    <mergeCell ref="F55:G55"/>
    <mergeCell ref="F56:G56"/>
    <mergeCell ref="F57:G57"/>
    <mergeCell ref="H52:I52"/>
    <mergeCell ref="H53:I53"/>
    <mergeCell ref="H54:I54"/>
    <mergeCell ref="H55:I55"/>
    <mergeCell ref="H56:I56"/>
    <mergeCell ref="H57:I57"/>
    <mergeCell ref="D51:E51"/>
    <mergeCell ref="D58:E58"/>
    <mergeCell ref="F51:G51"/>
    <mergeCell ref="F58:G58"/>
    <mergeCell ref="H51:I51"/>
    <mergeCell ref="H58:I58"/>
    <mergeCell ref="H43:I43"/>
    <mergeCell ref="H44:I44"/>
    <mergeCell ref="H45:I45"/>
    <mergeCell ref="H50:I50"/>
    <mergeCell ref="D48:E48"/>
    <mergeCell ref="D49:E49"/>
    <mergeCell ref="F48:G48"/>
    <mergeCell ref="F49:G49"/>
    <mergeCell ref="H48:I48"/>
    <mergeCell ref="H49:I49"/>
    <mergeCell ref="H46:I46"/>
    <mergeCell ref="H47:I47"/>
    <mergeCell ref="D52:E52"/>
    <mergeCell ref="D53:E53"/>
    <mergeCell ref="D54:E54"/>
    <mergeCell ref="D55:E55"/>
    <mergeCell ref="D56:E56"/>
    <mergeCell ref="D57:E57"/>
    <mergeCell ref="B61:E61"/>
    <mergeCell ref="F61:G61"/>
    <mergeCell ref="H61:I61"/>
    <mergeCell ref="C59:E59"/>
    <mergeCell ref="F59:G59"/>
    <mergeCell ref="H59:I59"/>
    <mergeCell ref="C60:E60"/>
    <mergeCell ref="F60:G60"/>
    <mergeCell ref="H60:I60"/>
    <mergeCell ref="B20:E20"/>
    <mergeCell ref="B21:E21"/>
    <mergeCell ref="B28:E28"/>
    <mergeCell ref="F28:G28"/>
    <mergeCell ref="H28:I28"/>
    <mergeCell ref="F20:G20"/>
    <mergeCell ref="F21:G21"/>
    <mergeCell ref="F22:G22"/>
    <mergeCell ref="H20:I20"/>
    <mergeCell ref="H21:I21"/>
    <mergeCell ref="H22:I22"/>
    <mergeCell ref="H23:I23"/>
    <mergeCell ref="C23:E23"/>
    <mergeCell ref="C22:E22"/>
    <mergeCell ref="F23:G23"/>
    <mergeCell ref="H26:I26"/>
    <mergeCell ref="H27:I27"/>
    <mergeCell ref="F26:G26"/>
    <mergeCell ref="F27:G27"/>
    <mergeCell ref="C26:E26"/>
    <mergeCell ref="C27:E27"/>
    <mergeCell ref="C24:E24"/>
    <mergeCell ref="C25:E25"/>
    <mergeCell ref="F24:G24"/>
    <mergeCell ref="B18:E18"/>
    <mergeCell ref="F18:G18"/>
    <mergeCell ref="H18:I18"/>
    <mergeCell ref="F17:G17"/>
    <mergeCell ref="B19:E19"/>
    <mergeCell ref="F19:G19"/>
    <mergeCell ref="H19:I19"/>
    <mergeCell ref="B16:E16"/>
    <mergeCell ref="F16:G16"/>
    <mergeCell ref="H16:I16"/>
    <mergeCell ref="B17:E17"/>
    <mergeCell ref="H17:I17"/>
    <mergeCell ref="F25:G25"/>
    <mergeCell ref="H24:I24"/>
    <mergeCell ref="H25:I25"/>
    <mergeCell ref="B31:E31"/>
    <mergeCell ref="F31:G31"/>
    <mergeCell ref="H31:I31"/>
    <mergeCell ref="B32:E32"/>
    <mergeCell ref="F32:G32"/>
    <mergeCell ref="H32:I32"/>
    <mergeCell ref="B33:E33"/>
    <mergeCell ref="F33:G33"/>
    <mergeCell ref="H33:I33"/>
    <mergeCell ref="B34:E34"/>
    <mergeCell ref="F34:G34"/>
    <mergeCell ref="H34:I34"/>
    <mergeCell ref="B35:E35"/>
    <mergeCell ref="F35:G35"/>
    <mergeCell ref="H35:I35"/>
    <mergeCell ref="B36:E36"/>
    <mergeCell ref="F36:G36"/>
    <mergeCell ref="H36:I36"/>
    <mergeCell ref="C37:E37"/>
    <mergeCell ref="F37:G37"/>
    <mergeCell ref="H37:I37"/>
    <mergeCell ref="C38:E38"/>
    <mergeCell ref="F38:G38"/>
    <mergeCell ref="H38:I38"/>
    <mergeCell ref="C39:E39"/>
    <mergeCell ref="F39:G39"/>
    <mergeCell ref="H39:I39"/>
    <mergeCell ref="H40:I40"/>
    <mergeCell ref="C43:E43"/>
    <mergeCell ref="C44:E44"/>
    <mergeCell ref="C50:E50"/>
    <mergeCell ref="C45:E45"/>
    <mergeCell ref="C46:E46"/>
    <mergeCell ref="C47:E47"/>
    <mergeCell ref="F41:G41"/>
    <mergeCell ref="F42:G42"/>
    <mergeCell ref="F43:G43"/>
    <mergeCell ref="F44:G44"/>
    <mergeCell ref="F45:G45"/>
    <mergeCell ref="F46:G46"/>
    <mergeCell ref="F47:G47"/>
    <mergeCell ref="F40:G40"/>
    <mergeCell ref="C40:E40"/>
    <mergeCell ref="C41:E41"/>
    <mergeCell ref="C42:E42"/>
    <mergeCell ref="F50:G50"/>
    <mergeCell ref="H41:I41"/>
    <mergeCell ref="H42:I4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B4114-D383-4EE2-8BD0-736FC1461FE6}">
  <dimension ref="A1:T38"/>
  <sheetViews>
    <sheetView zoomScale="90" zoomScaleNormal="90" workbookViewId="0">
      <selection activeCell="P7" sqref="P7"/>
    </sheetView>
  </sheetViews>
  <sheetFormatPr defaultRowHeight="15" x14ac:dyDescent="0.25"/>
  <cols>
    <col min="1" max="1" width="36.7109375" customWidth="1"/>
    <col min="2" max="2" width="18.7109375" hidden="1" customWidth="1"/>
    <col min="3" max="3" width="16.7109375" hidden="1" customWidth="1"/>
    <col min="4" max="4" width="21.7109375" customWidth="1"/>
    <col min="5" max="5" width="20" customWidth="1"/>
    <col min="6" max="6" width="15.140625" customWidth="1"/>
    <col min="7" max="7" width="13.85546875" customWidth="1"/>
    <col min="8" max="8" width="10.28515625" bestFit="1" customWidth="1"/>
    <col min="9" max="9" width="13" customWidth="1"/>
    <col min="10" max="10" width="10.28515625" bestFit="1" customWidth="1"/>
    <col min="11" max="11" width="11.28515625" bestFit="1" customWidth="1"/>
    <col min="12" max="13" width="10.28515625" bestFit="1" customWidth="1"/>
    <col min="14" max="14" width="9.28515625" bestFit="1" customWidth="1"/>
    <col min="15" max="15" width="11.5703125" customWidth="1"/>
    <col min="16" max="16" width="10.42578125" customWidth="1"/>
    <col min="17" max="17" width="10.7109375" customWidth="1"/>
    <col min="18" max="19" width="10.5703125" customWidth="1"/>
    <col min="20" max="20" width="12" customWidth="1"/>
  </cols>
  <sheetData>
    <row r="1" spans="1:20" ht="72.75" customHeight="1" thickBot="1" x14ac:dyDescent="0.3">
      <c r="A1" s="1"/>
      <c r="B1" s="2" t="s">
        <v>0</v>
      </c>
      <c r="C1" s="3" t="s">
        <v>127</v>
      </c>
      <c r="D1" s="4" t="s">
        <v>124</v>
      </c>
      <c r="E1" s="5" t="s">
        <v>2</v>
      </c>
      <c r="F1" s="6" t="s">
        <v>3</v>
      </c>
      <c r="G1" s="204" t="s">
        <v>4</v>
      </c>
      <c r="H1" s="65" t="s">
        <v>5</v>
      </c>
      <c r="I1" s="205" t="s">
        <v>6</v>
      </c>
      <c r="J1" s="65" t="s">
        <v>7</v>
      </c>
      <c r="K1" s="205" t="s">
        <v>8</v>
      </c>
      <c r="L1" s="65" t="s">
        <v>9</v>
      </c>
      <c r="M1" s="205" t="s">
        <v>10</v>
      </c>
      <c r="N1" s="65" t="s">
        <v>11</v>
      </c>
      <c r="O1" s="205" t="s">
        <v>12</v>
      </c>
      <c r="P1" s="65" t="s">
        <v>13</v>
      </c>
      <c r="Q1" s="205" t="s">
        <v>14</v>
      </c>
      <c r="R1" s="65" t="s">
        <v>15</v>
      </c>
      <c r="S1" s="66"/>
      <c r="T1" s="10" t="s">
        <v>16</v>
      </c>
    </row>
    <row r="2" spans="1:20" ht="16.5" thickBot="1" x14ac:dyDescent="0.3">
      <c r="A2" s="60" t="s">
        <v>62</v>
      </c>
      <c r="B2" s="104"/>
      <c r="C2" s="86"/>
      <c r="D2" s="61"/>
      <c r="E2" s="91" t="s">
        <v>17</v>
      </c>
      <c r="F2" s="92"/>
      <c r="G2" s="106"/>
      <c r="H2" s="57"/>
      <c r="I2" s="88"/>
      <c r="J2" s="57"/>
      <c r="K2" s="88"/>
      <c r="L2" s="57"/>
      <c r="M2" s="88"/>
      <c r="N2" s="57"/>
      <c r="O2" s="88"/>
      <c r="P2" s="57"/>
      <c r="Q2" s="88"/>
      <c r="R2" s="57"/>
      <c r="S2" s="57"/>
      <c r="T2" s="12"/>
    </row>
    <row r="3" spans="1:20" ht="15.75" x14ac:dyDescent="0.25">
      <c r="A3" s="94" t="s">
        <v>29</v>
      </c>
      <c r="B3" s="107" t="s">
        <v>18</v>
      </c>
      <c r="C3" s="58"/>
      <c r="D3" s="59">
        <v>50500</v>
      </c>
      <c r="E3" s="89">
        <f>SUM(G3:R3)</f>
        <v>18175</v>
      </c>
      <c r="F3" s="90">
        <f>C3+D3-E3</f>
        <v>32325</v>
      </c>
      <c r="G3" s="53"/>
      <c r="H3" s="53"/>
      <c r="I3" s="53"/>
      <c r="J3" s="53"/>
      <c r="K3" s="53">
        <f>4050+290+13835</f>
        <v>18175</v>
      </c>
      <c r="L3" s="53"/>
      <c r="M3" s="53"/>
      <c r="N3" s="53"/>
      <c r="O3" s="53"/>
      <c r="P3" s="53"/>
      <c r="Q3" s="53"/>
      <c r="R3" s="53"/>
      <c r="S3" s="53"/>
      <c r="T3" s="31">
        <f>SUM(G3:R3)</f>
        <v>18175</v>
      </c>
    </row>
    <row r="4" spans="1:20" ht="15.75" x14ac:dyDescent="0.25">
      <c r="A4" s="94" t="s">
        <v>665</v>
      </c>
      <c r="B4" s="107"/>
      <c r="C4" s="58"/>
      <c r="D4" s="59"/>
      <c r="E4" s="89">
        <f t="shared" ref="E4:E5" si="0">SUM(G4:R4)</f>
        <v>28560</v>
      </c>
      <c r="F4" s="90">
        <f t="shared" ref="F4:F5" si="1">C4+D4-E4</f>
        <v>-28560</v>
      </c>
      <c r="G4" s="53"/>
      <c r="H4" s="53"/>
      <c r="I4" s="53"/>
      <c r="J4" s="53"/>
      <c r="K4" s="53"/>
      <c r="L4" s="53"/>
      <c r="M4" s="53">
        <f>28560</f>
        <v>28560</v>
      </c>
      <c r="N4" s="53"/>
      <c r="O4" s="53"/>
      <c r="P4" s="53"/>
      <c r="Q4" s="53"/>
      <c r="R4" s="53"/>
      <c r="S4" s="53"/>
      <c r="T4" s="31">
        <f t="shared" ref="T4:T5" si="2">SUM(G4:R4)</f>
        <v>28560</v>
      </c>
    </row>
    <row r="5" spans="1:20" ht="15.75" x14ac:dyDescent="0.25">
      <c r="A5" s="94" t="s">
        <v>30</v>
      </c>
      <c r="B5" s="107"/>
      <c r="C5" s="58"/>
      <c r="D5" s="59"/>
      <c r="E5" s="89">
        <f t="shared" si="0"/>
        <v>8400</v>
      </c>
      <c r="F5" s="90">
        <f t="shared" si="1"/>
        <v>-8400</v>
      </c>
      <c r="G5" s="53"/>
      <c r="H5" s="53"/>
      <c r="I5" s="53"/>
      <c r="J5" s="53"/>
      <c r="K5" s="53"/>
      <c r="L5" s="53"/>
      <c r="M5" s="53">
        <f>8400</f>
        <v>8400</v>
      </c>
      <c r="N5" s="53"/>
      <c r="O5" s="53"/>
      <c r="P5" s="53"/>
      <c r="Q5" s="53"/>
      <c r="R5" s="53"/>
      <c r="S5" s="53"/>
      <c r="T5" s="31">
        <f t="shared" si="2"/>
        <v>8400</v>
      </c>
    </row>
    <row r="6" spans="1:20" ht="15.75" x14ac:dyDescent="0.25">
      <c r="A6" s="20" t="s">
        <v>34</v>
      </c>
      <c r="B6" s="21" t="s">
        <v>35</v>
      </c>
      <c r="C6" s="15"/>
      <c r="D6" s="16">
        <v>400</v>
      </c>
      <c r="E6" s="89">
        <f t="shared" ref="E6:E9" si="3">SUM(G6:R6)</f>
        <v>29400</v>
      </c>
      <c r="F6" s="90">
        <f t="shared" ref="F6:F9" si="4">C6+D6-E6</f>
        <v>-29000</v>
      </c>
      <c r="G6" s="19"/>
      <c r="H6" s="19"/>
      <c r="I6" s="19"/>
      <c r="J6" s="19"/>
      <c r="K6" s="19">
        <f>610</f>
        <v>610</v>
      </c>
      <c r="L6" s="19"/>
      <c r="M6" s="19"/>
      <c r="N6" s="19"/>
      <c r="O6" s="19"/>
      <c r="P6" s="19">
        <v>28790</v>
      </c>
      <c r="Q6" s="19"/>
      <c r="R6" s="19"/>
      <c r="S6" s="53"/>
      <c r="T6" s="31">
        <f t="shared" ref="T6:T9" si="5">SUM(G6:R6)</f>
        <v>29400</v>
      </c>
    </row>
    <row r="7" spans="1:20" ht="15.75" x14ac:dyDescent="0.25">
      <c r="A7" s="20" t="s">
        <v>172</v>
      </c>
      <c r="B7" s="21" t="s">
        <v>33</v>
      </c>
      <c r="C7" s="15"/>
      <c r="D7" s="16">
        <f>49100+20000</f>
        <v>69100</v>
      </c>
      <c r="E7" s="89">
        <f t="shared" si="3"/>
        <v>10138</v>
      </c>
      <c r="F7" s="90">
        <f t="shared" si="4"/>
        <v>58962</v>
      </c>
      <c r="G7" s="19"/>
      <c r="H7" s="19"/>
      <c r="I7" s="19"/>
      <c r="J7" s="19"/>
      <c r="K7" s="19">
        <f>10138</f>
        <v>10138</v>
      </c>
      <c r="L7" s="19"/>
      <c r="M7" s="19"/>
      <c r="N7" s="19"/>
      <c r="O7" s="19"/>
      <c r="P7" s="19"/>
      <c r="Q7" s="19"/>
      <c r="R7" s="19"/>
      <c r="S7" s="53"/>
      <c r="T7" s="31">
        <f t="shared" si="5"/>
        <v>10138</v>
      </c>
    </row>
    <row r="8" spans="1:20" ht="15.75" x14ac:dyDescent="0.25">
      <c r="A8" s="20" t="s">
        <v>804</v>
      </c>
      <c r="B8" s="21"/>
      <c r="C8" s="15"/>
      <c r="D8" s="16"/>
      <c r="E8" s="89">
        <f t="shared" si="3"/>
        <v>89585.04</v>
      </c>
      <c r="F8" s="90">
        <f t="shared" si="4"/>
        <v>-89585.04</v>
      </c>
      <c r="G8" s="19">
        <f>4710.65+5341.84</f>
        <v>10052.49</v>
      </c>
      <c r="H8" s="19">
        <f>4759.1+4764.35</f>
        <v>9523.4500000000007</v>
      </c>
      <c r="I8" s="19">
        <f>4898.75+5424.85</f>
        <v>10323.6</v>
      </c>
      <c r="J8" s="19">
        <f>3419.15+4624.15</f>
        <v>8043.2999999999993</v>
      </c>
      <c r="K8" s="19">
        <f>4336.95+5267.35</f>
        <v>9604.2999999999993</v>
      </c>
      <c r="L8" s="19">
        <f>4172.6+3440.15</f>
        <v>7612.75</v>
      </c>
      <c r="M8" s="19">
        <f>5800.8+4817.9</f>
        <v>10618.7</v>
      </c>
      <c r="N8" s="19">
        <f>3417.05+5332.45</f>
        <v>8749.5</v>
      </c>
      <c r="O8" s="19">
        <f>5395.45</f>
        <v>5395.45</v>
      </c>
      <c r="P8" s="19">
        <f>4633.6+5027.9</f>
        <v>9661.5</v>
      </c>
      <c r="Q8" s="19"/>
      <c r="R8" s="19"/>
      <c r="S8" s="53"/>
      <c r="T8" s="31">
        <f t="shared" si="5"/>
        <v>89585.04</v>
      </c>
    </row>
    <row r="9" spans="1:20" ht="15.75" x14ac:dyDescent="0.25">
      <c r="A9" s="23" t="s">
        <v>38</v>
      </c>
      <c r="B9" s="21" t="s">
        <v>39</v>
      </c>
      <c r="C9" s="15"/>
      <c r="D9" s="16">
        <v>30000</v>
      </c>
      <c r="E9" s="89">
        <f t="shared" si="3"/>
        <v>0</v>
      </c>
      <c r="F9" s="90">
        <f t="shared" si="4"/>
        <v>30000</v>
      </c>
      <c r="G9" s="19"/>
      <c r="H9" s="19"/>
      <c r="I9" s="19"/>
      <c r="J9" s="19"/>
      <c r="K9" s="19"/>
      <c r="L9" s="19"/>
      <c r="M9" s="19"/>
      <c r="N9" s="19"/>
      <c r="O9" s="19"/>
      <c r="P9" s="19"/>
      <c r="Q9" s="19"/>
      <c r="R9" s="19"/>
      <c r="S9" s="53"/>
      <c r="T9" s="31">
        <f t="shared" si="5"/>
        <v>0</v>
      </c>
    </row>
    <row r="10" spans="1:20" ht="16.5" thickBot="1" x14ac:dyDescent="0.3">
      <c r="A10" s="25"/>
      <c r="B10" s="26" t="s">
        <v>24</v>
      </c>
      <c r="C10" s="27">
        <f>SUM(C3:C9)</f>
        <v>0</v>
      </c>
      <c r="D10" s="27">
        <f>SUM(D3:D9)</f>
        <v>150000</v>
      </c>
      <c r="E10" s="27">
        <f t="shared" ref="E10:R10" si="6">SUM(E3:E9)</f>
        <v>184258.03999999998</v>
      </c>
      <c r="F10" s="27">
        <f t="shared" si="6"/>
        <v>-34258.039999999994</v>
      </c>
      <c r="G10" s="27">
        <f t="shared" si="6"/>
        <v>10052.49</v>
      </c>
      <c r="H10" s="27">
        <f t="shared" si="6"/>
        <v>9523.4500000000007</v>
      </c>
      <c r="I10" s="27">
        <f t="shared" si="6"/>
        <v>10323.6</v>
      </c>
      <c r="J10" s="27">
        <f t="shared" si="6"/>
        <v>8043.2999999999993</v>
      </c>
      <c r="K10" s="27">
        <f t="shared" si="6"/>
        <v>38527.300000000003</v>
      </c>
      <c r="L10" s="27">
        <f t="shared" si="6"/>
        <v>7612.75</v>
      </c>
      <c r="M10" s="27">
        <f t="shared" si="6"/>
        <v>47578.7</v>
      </c>
      <c r="N10" s="27">
        <f t="shared" si="6"/>
        <v>8749.5</v>
      </c>
      <c r="O10" s="27">
        <f t="shared" si="6"/>
        <v>5395.45</v>
      </c>
      <c r="P10" s="27">
        <f t="shared" si="6"/>
        <v>38451.5</v>
      </c>
      <c r="Q10" s="27">
        <f t="shared" si="6"/>
        <v>0</v>
      </c>
      <c r="R10" s="27">
        <f t="shared" si="6"/>
        <v>0</v>
      </c>
      <c r="S10" s="84" t="s">
        <v>25</v>
      </c>
      <c r="T10" s="83">
        <f>SUM(G10:R10)</f>
        <v>184258.04</v>
      </c>
    </row>
    <row r="12" spans="1:20" ht="38.25" thickBot="1" x14ac:dyDescent="0.55000000000000004">
      <c r="A12" s="30"/>
      <c r="B12" s="32"/>
      <c r="C12" s="32"/>
    </row>
    <row r="13" spans="1:20" ht="16.5" thickBot="1" x14ac:dyDescent="0.3">
      <c r="A13" s="299" t="s">
        <v>175</v>
      </c>
      <c r="B13" s="301"/>
      <c r="C13" s="299" t="s">
        <v>188</v>
      </c>
      <c r="D13" s="300"/>
      <c r="E13" s="301"/>
      <c r="F13" s="299" t="s">
        <v>114</v>
      </c>
      <c r="G13" s="300"/>
      <c r="H13" s="302" t="s">
        <v>113</v>
      </c>
      <c r="I13" s="420"/>
      <c r="J13" s="303"/>
    </row>
    <row r="14" spans="1:20" ht="30.75" customHeight="1" x14ac:dyDescent="0.25">
      <c r="A14" s="177" t="s">
        <v>19</v>
      </c>
      <c r="B14" s="448" t="s">
        <v>203</v>
      </c>
      <c r="C14" s="469"/>
      <c r="D14" s="469"/>
      <c r="E14" s="470"/>
      <c r="F14" s="471" t="s">
        <v>204</v>
      </c>
      <c r="G14" s="472"/>
      <c r="H14" s="524">
        <v>4050</v>
      </c>
      <c r="I14" s="525"/>
      <c r="J14" s="526"/>
    </row>
    <row r="15" spans="1:20" ht="31.5" customHeight="1" x14ac:dyDescent="0.25">
      <c r="A15" s="173" t="s">
        <v>205</v>
      </c>
      <c r="B15" s="174"/>
      <c r="C15" s="453" t="s">
        <v>206</v>
      </c>
      <c r="D15" s="454"/>
      <c r="E15" s="454"/>
      <c r="F15" s="453" t="s">
        <v>207</v>
      </c>
      <c r="G15" s="454"/>
      <c r="H15" s="521">
        <v>900</v>
      </c>
      <c r="I15" s="522"/>
      <c r="J15" s="523"/>
    </row>
    <row r="16" spans="1:20" ht="65.25" customHeight="1" x14ac:dyDescent="0.25">
      <c r="A16" s="177" t="s">
        <v>253</v>
      </c>
      <c r="B16" s="450" t="s">
        <v>254</v>
      </c>
      <c r="C16" s="452"/>
      <c r="D16" s="452"/>
      <c r="E16" s="451"/>
      <c r="F16" s="453" t="s">
        <v>255</v>
      </c>
      <c r="G16" s="454"/>
      <c r="H16" s="428">
        <v>10138</v>
      </c>
      <c r="I16" s="429"/>
      <c r="J16" s="430"/>
    </row>
    <row r="17" spans="1:11" ht="39" customHeight="1" x14ac:dyDescent="0.25">
      <c r="A17" s="169" t="s">
        <v>19</v>
      </c>
      <c r="B17" s="458" t="s">
        <v>288</v>
      </c>
      <c r="C17" s="459"/>
      <c r="D17" s="459"/>
      <c r="E17" s="460"/>
      <c r="F17" s="448" t="s">
        <v>289</v>
      </c>
      <c r="G17" s="449"/>
      <c r="H17" s="428">
        <v>13835</v>
      </c>
      <c r="I17" s="429"/>
      <c r="J17" s="430"/>
    </row>
    <row r="18" spans="1:11" ht="30" customHeight="1" x14ac:dyDescent="0.25">
      <c r="A18" s="169" t="s">
        <v>990</v>
      </c>
      <c r="B18" s="458" t="s">
        <v>991</v>
      </c>
      <c r="C18" s="459"/>
      <c r="D18" s="459"/>
      <c r="E18" s="460"/>
      <c r="F18" s="448" t="s">
        <v>992</v>
      </c>
      <c r="G18" s="449"/>
      <c r="H18" s="428">
        <v>28790</v>
      </c>
      <c r="I18" s="429"/>
      <c r="J18" s="430"/>
    </row>
    <row r="19" spans="1:11" x14ac:dyDescent="0.25">
      <c r="A19" s="169"/>
      <c r="B19" s="170"/>
      <c r="C19" s="469"/>
      <c r="D19" s="469"/>
      <c r="E19" s="470"/>
      <c r="F19" s="520"/>
      <c r="G19" s="449"/>
      <c r="H19" s="428"/>
      <c r="I19" s="429"/>
      <c r="J19" s="430"/>
    </row>
    <row r="20" spans="1:11" x14ac:dyDescent="0.25">
      <c r="A20" s="171"/>
      <c r="B20" s="172"/>
      <c r="C20" s="450"/>
      <c r="D20" s="452"/>
      <c r="E20" s="452"/>
      <c r="F20" s="450"/>
      <c r="G20" s="452"/>
      <c r="H20" s="455"/>
      <c r="I20" s="456"/>
      <c r="J20" s="457"/>
    </row>
    <row r="21" spans="1:11" x14ac:dyDescent="0.25">
      <c r="A21" s="171"/>
      <c r="B21" s="172"/>
      <c r="C21" s="450"/>
      <c r="D21" s="452"/>
      <c r="E21" s="452"/>
      <c r="F21" s="450"/>
      <c r="G21" s="452"/>
      <c r="H21" s="425"/>
      <c r="I21" s="426"/>
      <c r="J21" s="427"/>
    </row>
    <row r="22" spans="1:11" x14ac:dyDescent="0.25">
      <c r="A22" s="173"/>
      <c r="B22" s="174"/>
      <c r="C22" s="453"/>
      <c r="D22" s="454"/>
      <c r="E22" s="454"/>
      <c r="F22" s="453"/>
      <c r="G22" s="454"/>
      <c r="H22" s="425"/>
      <c r="I22" s="426"/>
      <c r="J22" s="427"/>
    </row>
    <row r="23" spans="1:11" ht="15.75" thickBot="1" x14ac:dyDescent="0.3">
      <c r="A23" s="175"/>
      <c r="B23" s="176"/>
      <c r="C23" s="514"/>
      <c r="D23" s="515"/>
      <c r="E23" s="516"/>
      <c r="F23" s="514"/>
      <c r="G23" s="515"/>
      <c r="H23" s="517"/>
      <c r="I23" s="518"/>
      <c r="J23" s="519"/>
    </row>
    <row r="24" spans="1:11" ht="15.75" thickBot="1" x14ac:dyDescent="0.3">
      <c r="A24" s="85"/>
      <c r="B24" s="123"/>
      <c r="C24" s="117"/>
      <c r="D24" s="132"/>
      <c r="E24" s="132"/>
      <c r="F24" s="272" t="s">
        <v>116</v>
      </c>
      <c r="G24" s="273"/>
      <c r="H24" s="478">
        <f>SUM(H14:J23)</f>
        <v>57713</v>
      </c>
      <c r="I24" s="273"/>
      <c r="J24" s="391"/>
    </row>
    <row r="26" spans="1:11" ht="15.75" thickBot="1" x14ac:dyDescent="0.3"/>
    <row r="27" spans="1:11" ht="16.5" thickBot="1" x14ac:dyDescent="0.3">
      <c r="A27" s="136" t="s">
        <v>112</v>
      </c>
      <c r="B27" s="299" t="s">
        <v>306</v>
      </c>
      <c r="C27" s="300"/>
      <c r="D27" s="300"/>
      <c r="E27" s="300"/>
      <c r="F27" s="301"/>
      <c r="G27" s="299" t="s">
        <v>114</v>
      </c>
      <c r="H27" s="300"/>
      <c r="I27" s="300"/>
      <c r="J27" s="302" t="s">
        <v>113</v>
      </c>
      <c r="K27" s="303"/>
    </row>
    <row r="28" spans="1:11" ht="61.5" customHeight="1" x14ac:dyDescent="0.25">
      <c r="A28" s="162" t="s">
        <v>483</v>
      </c>
      <c r="B28" s="276" t="s">
        <v>670</v>
      </c>
      <c r="C28" s="277"/>
      <c r="D28" s="277"/>
      <c r="E28" s="277"/>
      <c r="F28" s="278"/>
      <c r="G28" s="284" t="s">
        <v>658</v>
      </c>
      <c r="H28" s="321"/>
      <c r="I28" s="321"/>
      <c r="J28" s="331">
        <v>36960</v>
      </c>
      <c r="K28" s="332"/>
    </row>
    <row r="29" spans="1:11" ht="61.5" customHeight="1" x14ac:dyDescent="0.25">
      <c r="A29" s="166" t="s">
        <v>674</v>
      </c>
      <c r="B29" s="276" t="s">
        <v>670</v>
      </c>
      <c r="C29" s="277"/>
      <c r="D29" s="277"/>
      <c r="E29" s="277"/>
      <c r="F29" s="278"/>
      <c r="G29" s="284" t="s">
        <v>658</v>
      </c>
      <c r="H29" s="321"/>
      <c r="I29" s="321"/>
      <c r="J29" s="331">
        <v>38060</v>
      </c>
      <c r="K29" s="332"/>
    </row>
    <row r="30" spans="1:11" x14ac:dyDescent="0.25">
      <c r="A30" s="162"/>
      <c r="B30" s="350"/>
      <c r="C30" s="351"/>
      <c r="D30" s="351"/>
      <c r="E30" s="351"/>
      <c r="F30" s="352"/>
      <c r="G30" s="377"/>
      <c r="H30" s="370"/>
      <c r="I30" s="370"/>
      <c r="J30" s="373"/>
      <c r="K30" s="374"/>
    </row>
    <row r="31" spans="1:11" x14ac:dyDescent="0.25">
      <c r="A31" s="162"/>
      <c r="B31" s="263"/>
      <c r="C31" s="319"/>
      <c r="D31" s="319"/>
      <c r="E31" s="319"/>
      <c r="F31" s="294"/>
      <c r="G31" s="349"/>
      <c r="H31" s="264"/>
      <c r="I31" s="265"/>
      <c r="J31" s="331"/>
      <c r="K31" s="332"/>
    </row>
    <row r="32" spans="1:11" x14ac:dyDescent="0.25">
      <c r="A32" s="162"/>
      <c r="B32" s="263"/>
      <c r="C32" s="319"/>
      <c r="D32" s="319"/>
      <c r="E32" s="319"/>
      <c r="F32" s="294"/>
      <c r="G32" s="263"/>
      <c r="H32" s="264"/>
      <c r="I32" s="265"/>
      <c r="J32" s="331"/>
      <c r="K32" s="332"/>
    </row>
    <row r="33" spans="1:11" x14ac:dyDescent="0.25">
      <c r="A33" s="156"/>
      <c r="B33" s="266"/>
      <c r="C33" s="267"/>
      <c r="D33" s="267"/>
      <c r="E33" s="267"/>
      <c r="F33" s="268"/>
      <c r="G33" s="263"/>
      <c r="H33" s="264"/>
      <c r="I33" s="264"/>
      <c r="J33" s="329"/>
      <c r="K33" s="330"/>
    </row>
    <row r="34" spans="1:11" x14ac:dyDescent="0.25">
      <c r="A34" s="127"/>
      <c r="B34" s="266"/>
      <c r="C34" s="267"/>
      <c r="D34" s="267"/>
      <c r="E34" s="267"/>
      <c r="F34" s="268"/>
      <c r="G34" s="349"/>
      <c r="H34" s="264"/>
      <c r="I34" s="265"/>
      <c r="J34" s="329"/>
      <c r="K34" s="330"/>
    </row>
    <row r="35" spans="1:11" x14ac:dyDescent="0.25">
      <c r="A35" s="127"/>
      <c r="B35" s="266"/>
      <c r="C35" s="267"/>
      <c r="D35" s="267"/>
      <c r="E35" s="267"/>
      <c r="F35" s="268"/>
      <c r="G35" s="349"/>
      <c r="H35" s="264"/>
      <c r="I35" s="265"/>
      <c r="J35" s="329"/>
      <c r="K35" s="330"/>
    </row>
    <row r="36" spans="1:11" x14ac:dyDescent="0.25">
      <c r="A36" s="127"/>
      <c r="B36" s="266"/>
      <c r="C36" s="267"/>
      <c r="D36" s="267"/>
      <c r="E36" s="267"/>
      <c r="F36" s="268"/>
      <c r="G36" s="349"/>
      <c r="H36" s="264"/>
      <c r="I36" s="265"/>
      <c r="J36" s="329"/>
      <c r="K36" s="330"/>
    </row>
    <row r="37" spans="1:11" ht="15.75" thickBot="1" x14ac:dyDescent="0.3">
      <c r="A37" s="119"/>
      <c r="B37" s="291"/>
      <c r="C37" s="292"/>
      <c r="D37" s="292"/>
      <c r="E37" s="292"/>
      <c r="F37" s="293"/>
      <c r="G37" s="291"/>
      <c r="H37" s="292"/>
      <c r="I37" s="293"/>
      <c r="J37" s="378"/>
      <c r="K37" s="379"/>
    </row>
    <row r="38" spans="1:11" ht="15.75" thickBot="1" x14ac:dyDescent="0.3">
      <c r="A38" s="85"/>
      <c r="B38" s="269"/>
      <c r="C38" s="270"/>
      <c r="D38" s="270"/>
      <c r="E38" s="270"/>
      <c r="F38" s="271"/>
      <c r="G38" s="272" t="s">
        <v>116</v>
      </c>
      <c r="H38" s="273"/>
      <c r="I38" s="273"/>
      <c r="J38" s="274">
        <f>SUM(J28:L37)</f>
        <v>75020</v>
      </c>
      <c r="K38" s="275"/>
    </row>
  </sheetData>
  <mergeCells count="72">
    <mergeCell ref="A13:B13"/>
    <mergeCell ref="C13:E13"/>
    <mergeCell ref="F13:G13"/>
    <mergeCell ref="H13:J13"/>
    <mergeCell ref="B14:E14"/>
    <mergeCell ref="F14:G14"/>
    <mergeCell ref="H14:J14"/>
    <mergeCell ref="C15:E15"/>
    <mergeCell ref="F15:G15"/>
    <mergeCell ref="H15:J15"/>
    <mergeCell ref="B16:E16"/>
    <mergeCell ref="F16:G16"/>
    <mergeCell ref="H16:J16"/>
    <mergeCell ref="B17:E17"/>
    <mergeCell ref="F17:G17"/>
    <mergeCell ref="H17:J17"/>
    <mergeCell ref="B18:E18"/>
    <mergeCell ref="F18:G18"/>
    <mergeCell ref="H18:J18"/>
    <mergeCell ref="C19:E19"/>
    <mergeCell ref="F19:G19"/>
    <mergeCell ref="H19:J19"/>
    <mergeCell ref="C20:E20"/>
    <mergeCell ref="F20:G20"/>
    <mergeCell ref="H20:J20"/>
    <mergeCell ref="C21:E21"/>
    <mergeCell ref="F21:G21"/>
    <mergeCell ref="H21:J21"/>
    <mergeCell ref="C22:E22"/>
    <mergeCell ref="F22:G22"/>
    <mergeCell ref="H22:J22"/>
    <mergeCell ref="C23:E23"/>
    <mergeCell ref="F23:G23"/>
    <mergeCell ref="H23:J23"/>
    <mergeCell ref="F24:G24"/>
    <mergeCell ref="H24:J24"/>
    <mergeCell ref="B27:F27"/>
    <mergeCell ref="G27:I27"/>
    <mergeCell ref="J27:K27"/>
    <mergeCell ref="B28:F28"/>
    <mergeCell ref="G28:I28"/>
    <mergeCell ref="J28:K28"/>
    <mergeCell ref="B29:F29"/>
    <mergeCell ref="G29:I29"/>
    <mergeCell ref="J29:K29"/>
    <mergeCell ref="B30:F30"/>
    <mergeCell ref="G30:I30"/>
    <mergeCell ref="J30:K30"/>
    <mergeCell ref="B31:F31"/>
    <mergeCell ref="G31:I31"/>
    <mergeCell ref="J31:K31"/>
    <mergeCell ref="B32:F32"/>
    <mergeCell ref="G32:I32"/>
    <mergeCell ref="J32:K32"/>
    <mergeCell ref="B33:F33"/>
    <mergeCell ref="G33:I33"/>
    <mergeCell ref="J33:K33"/>
    <mergeCell ref="B34:F34"/>
    <mergeCell ref="G34:I34"/>
    <mergeCell ref="J34:K34"/>
    <mergeCell ref="B35:F35"/>
    <mergeCell ref="G35:I35"/>
    <mergeCell ref="J35:K35"/>
    <mergeCell ref="B36:F36"/>
    <mergeCell ref="G36:I36"/>
    <mergeCell ref="J36:K36"/>
    <mergeCell ref="B37:F37"/>
    <mergeCell ref="G37:I37"/>
    <mergeCell ref="J37:K37"/>
    <mergeCell ref="B38:F38"/>
    <mergeCell ref="G38:I38"/>
    <mergeCell ref="J38:K3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867E2-F7CD-4C37-8F85-332C2444730A}">
  <dimension ref="A1:T51"/>
  <sheetViews>
    <sheetView workbookViewId="0">
      <selection activeCell="P4" sqref="P4"/>
    </sheetView>
  </sheetViews>
  <sheetFormatPr defaultRowHeight="15" x14ac:dyDescent="0.25"/>
  <cols>
    <col min="1" max="1" width="35.42578125" customWidth="1"/>
    <col min="2" max="2" width="18.7109375" hidden="1" customWidth="1"/>
    <col min="3" max="3" width="16.7109375" hidden="1" customWidth="1"/>
    <col min="4" max="4" width="23.42578125" customWidth="1"/>
    <col min="5" max="5" width="29.5703125" customWidth="1"/>
    <col min="6" max="6" width="16" customWidth="1"/>
    <col min="7" max="7" width="10.85546875" customWidth="1"/>
    <col min="8" max="9" width="10.28515625" bestFit="1" customWidth="1"/>
    <col min="10" max="10" width="14.140625" customWidth="1"/>
    <col min="11" max="11" width="11.28515625" bestFit="1" customWidth="1"/>
    <col min="12" max="15" width="10.28515625" bestFit="1" customWidth="1"/>
    <col min="16" max="16" width="10.28515625" customWidth="1"/>
    <col min="17" max="17" width="10.7109375" customWidth="1"/>
    <col min="18" max="18" width="11.5703125" customWidth="1"/>
    <col min="19" max="19" width="11.140625" customWidth="1"/>
    <col min="20" max="20" width="13.140625" customWidth="1"/>
  </cols>
  <sheetData>
    <row r="1" spans="1:20" ht="72.75" customHeight="1" thickBot="1" x14ac:dyDescent="0.3">
      <c r="A1" s="1"/>
      <c r="B1" s="2" t="s">
        <v>0</v>
      </c>
      <c r="C1" s="3" t="s">
        <v>127</v>
      </c>
      <c r="D1" s="4" t="s">
        <v>124</v>
      </c>
      <c r="E1" s="5" t="s">
        <v>814</v>
      </c>
      <c r="F1" s="6" t="s">
        <v>3</v>
      </c>
      <c r="G1" s="204" t="s">
        <v>4</v>
      </c>
      <c r="H1" s="65" t="s">
        <v>5</v>
      </c>
      <c r="I1" s="205" t="s">
        <v>6</v>
      </c>
      <c r="J1" s="65" t="s">
        <v>7</v>
      </c>
      <c r="K1" s="205" t="s">
        <v>8</v>
      </c>
      <c r="L1" s="65" t="s">
        <v>9</v>
      </c>
      <c r="M1" s="205" t="s">
        <v>10</v>
      </c>
      <c r="N1" s="65" t="s">
        <v>11</v>
      </c>
      <c r="O1" s="205" t="s">
        <v>12</v>
      </c>
      <c r="P1" s="65" t="s">
        <v>13</v>
      </c>
      <c r="Q1" s="205" t="s">
        <v>14</v>
      </c>
      <c r="R1" s="65" t="s">
        <v>15</v>
      </c>
      <c r="S1" s="65"/>
      <c r="T1" s="10" t="s">
        <v>16</v>
      </c>
    </row>
    <row r="2" spans="1:20" ht="16.5" thickBot="1" x14ac:dyDescent="0.3">
      <c r="A2" s="60" t="s">
        <v>111</v>
      </c>
      <c r="B2" s="104"/>
      <c r="C2" s="86"/>
      <c r="D2" s="61"/>
      <c r="E2" s="91" t="s">
        <v>17</v>
      </c>
      <c r="F2" s="92"/>
      <c r="G2" s="106"/>
      <c r="H2" s="57"/>
      <c r="I2" s="88"/>
      <c r="J2" s="57"/>
      <c r="K2" s="88"/>
      <c r="L2" s="57"/>
      <c r="M2" s="88"/>
      <c r="N2" s="57"/>
      <c r="O2" s="88"/>
      <c r="P2" s="57"/>
      <c r="Q2" s="88"/>
      <c r="R2" s="57"/>
      <c r="S2" s="57"/>
      <c r="T2" s="57"/>
    </row>
    <row r="3" spans="1:20" ht="15.75" x14ac:dyDescent="0.25">
      <c r="A3" s="94" t="s">
        <v>29</v>
      </c>
      <c r="B3" s="107" t="s">
        <v>18</v>
      </c>
      <c r="C3" s="58"/>
      <c r="D3" s="59">
        <v>94280</v>
      </c>
      <c r="E3" s="89">
        <f>SUM(G3:R3)</f>
        <v>44625</v>
      </c>
      <c r="F3" s="90">
        <f>C3+D3-E3</f>
        <v>49655</v>
      </c>
      <c r="G3" s="53"/>
      <c r="H3" s="53"/>
      <c r="I3" s="53"/>
      <c r="J3" s="53"/>
      <c r="K3" s="53"/>
      <c r="L3" s="53">
        <f>36755+7870</f>
        <v>44625</v>
      </c>
      <c r="M3" s="53"/>
      <c r="N3" s="53"/>
      <c r="O3" s="53"/>
      <c r="P3" s="53"/>
      <c r="Q3" s="53"/>
      <c r="R3" s="53"/>
      <c r="S3" s="31"/>
      <c r="T3" s="31">
        <f>SUM(G3:R3)</f>
        <v>44625</v>
      </c>
    </row>
    <row r="4" spans="1:20" ht="15.75" x14ac:dyDescent="0.25">
      <c r="A4" s="13" t="s">
        <v>103</v>
      </c>
      <c r="B4" s="14"/>
      <c r="C4" s="15"/>
      <c r="D4" s="16">
        <v>35000</v>
      </c>
      <c r="E4" s="89">
        <f t="shared" ref="E4:E13" si="0">SUM(G4:R4)</f>
        <v>50290</v>
      </c>
      <c r="F4" s="90">
        <f t="shared" ref="F4:F13" si="1">C4+D4-E4</f>
        <v>-15290</v>
      </c>
      <c r="G4" s="19"/>
      <c r="H4" s="19">
        <f>1150+2100+2100+1000</f>
        <v>6350</v>
      </c>
      <c r="I4" s="19">
        <f>1000</f>
        <v>1000</v>
      </c>
      <c r="J4" s="19"/>
      <c r="K4" s="19">
        <f>1150+30140+950</f>
        <v>32240</v>
      </c>
      <c r="L4" s="19">
        <f>1450</f>
        <v>1450</v>
      </c>
      <c r="M4" s="19">
        <f>2450</f>
        <v>2450</v>
      </c>
      <c r="N4" s="19">
        <f>750+450</f>
        <v>1200</v>
      </c>
      <c r="O4" s="19">
        <f>1000+3400</f>
        <v>4400</v>
      </c>
      <c r="P4" s="19">
        <f>1200</f>
        <v>1200</v>
      </c>
      <c r="Q4" s="19"/>
      <c r="R4" s="19"/>
      <c r="S4" s="31"/>
      <c r="T4" s="31">
        <f t="shared" ref="T4:T13" si="2">SUM(G4:R4)</f>
        <v>50290</v>
      </c>
    </row>
    <row r="5" spans="1:20" ht="15.75" x14ac:dyDescent="0.25">
      <c r="A5" s="13" t="s">
        <v>110</v>
      </c>
      <c r="B5" s="14"/>
      <c r="C5" s="15"/>
      <c r="D5" s="16">
        <v>15000</v>
      </c>
      <c r="E5" s="89">
        <f t="shared" si="0"/>
        <v>20000</v>
      </c>
      <c r="F5" s="90">
        <f t="shared" si="1"/>
        <v>-5000</v>
      </c>
      <c r="G5" s="19"/>
      <c r="H5" s="19"/>
      <c r="I5" s="19"/>
      <c r="J5" s="19"/>
      <c r="K5" s="19">
        <f>20000</f>
        <v>20000</v>
      </c>
      <c r="L5" s="19"/>
      <c r="M5" s="19"/>
      <c r="N5" s="19"/>
      <c r="O5" s="19"/>
      <c r="P5" s="19"/>
      <c r="Q5" s="19"/>
      <c r="R5" s="19"/>
      <c r="S5" s="31"/>
      <c r="T5" s="31">
        <f t="shared" si="2"/>
        <v>20000</v>
      </c>
    </row>
    <row r="6" spans="1:20" ht="15.75" x14ac:dyDescent="0.25">
      <c r="A6" s="13" t="s">
        <v>64</v>
      </c>
      <c r="B6" s="14"/>
      <c r="C6" s="15"/>
      <c r="D6" s="16">
        <v>450000</v>
      </c>
      <c r="E6" s="89">
        <f t="shared" si="0"/>
        <v>0</v>
      </c>
      <c r="F6" s="90">
        <f t="shared" si="1"/>
        <v>450000</v>
      </c>
      <c r="G6" s="19"/>
      <c r="H6" s="19"/>
      <c r="I6" s="19"/>
      <c r="J6" s="19"/>
      <c r="K6" s="19"/>
      <c r="L6" s="19"/>
      <c r="M6" s="19"/>
      <c r="N6" s="19"/>
      <c r="O6" s="19"/>
      <c r="P6" s="19"/>
      <c r="Q6" s="19"/>
      <c r="R6" s="19"/>
      <c r="S6" s="31"/>
      <c r="T6" s="31">
        <f t="shared" si="2"/>
        <v>0</v>
      </c>
    </row>
    <row r="7" spans="1:20" ht="31.5" x14ac:dyDescent="0.25">
      <c r="A7" s="143" t="s">
        <v>129</v>
      </c>
      <c r="B7" s="14"/>
      <c r="C7" s="15"/>
      <c r="D7" s="16">
        <v>20000</v>
      </c>
      <c r="E7" s="89">
        <f t="shared" si="0"/>
        <v>0</v>
      </c>
      <c r="F7" s="90">
        <f t="shared" si="1"/>
        <v>20000</v>
      </c>
      <c r="G7" s="19"/>
      <c r="H7" s="19"/>
      <c r="I7" s="19"/>
      <c r="J7" s="19"/>
      <c r="K7" s="19"/>
      <c r="L7" s="19"/>
      <c r="M7" s="19"/>
      <c r="N7" s="19"/>
      <c r="O7" s="19"/>
      <c r="P7" s="19"/>
      <c r="Q7" s="19"/>
      <c r="R7" s="19"/>
      <c r="S7" s="31"/>
      <c r="T7" s="31">
        <f t="shared" si="2"/>
        <v>0</v>
      </c>
    </row>
    <row r="8" spans="1:20" ht="15.75" x14ac:dyDescent="0.25">
      <c r="A8" s="143" t="s">
        <v>804</v>
      </c>
      <c r="B8" s="14"/>
      <c r="C8" s="15"/>
      <c r="D8" s="16">
        <v>300000</v>
      </c>
      <c r="E8" s="89">
        <f t="shared" si="0"/>
        <v>172960.45</v>
      </c>
      <c r="F8" s="90">
        <f t="shared" si="1"/>
        <v>127039.54999999999</v>
      </c>
      <c r="G8" s="19">
        <f>14176.96+12753.34</f>
        <v>26930.3</v>
      </c>
      <c r="H8" s="19">
        <f>2965.5+9388.5</f>
        <v>12354</v>
      </c>
      <c r="I8" s="19">
        <f>9470.4+9532.9</f>
        <v>19003.3</v>
      </c>
      <c r="J8" s="19">
        <f>7363.35+8171.95</f>
        <v>15535.3</v>
      </c>
      <c r="K8" s="19">
        <f>6860.35+8609.85</f>
        <v>15470.2</v>
      </c>
      <c r="L8" s="19">
        <f>9795.4+7807.55</f>
        <v>17602.95</v>
      </c>
      <c r="M8" s="19">
        <f>10671.2+10169.25</f>
        <v>20840.45</v>
      </c>
      <c r="N8" s="19">
        <f>6826.75+9879.95</f>
        <v>16706.7</v>
      </c>
      <c r="O8" s="19">
        <f>10306.8</f>
        <v>10306.799999999999</v>
      </c>
      <c r="P8" s="19">
        <f>8788.35+9422.1</f>
        <v>18210.45</v>
      </c>
      <c r="Q8" s="19"/>
      <c r="R8" s="19"/>
      <c r="S8" s="31"/>
      <c r="T8" s="31">
        <f t="shared" si="2"/>
        <v>172960.45</v>
      </c>
    </row>
    <row r="9" spans="1:20" ht="15.75" x14ac:dyDescent="0.25">
      <c r="A9" s="20" t="s">
        <v>32</v>
      </c>
      <c r="B9" s="21" t="s">
        <v>33</v>
      </c>
      <c r="C9" s="15"/>
      <c r="D9" s="16">
        <v>65000</v>
      </c>
      <c r="E9" s="89">
        <f t="shared" si="0"/>
        <v>0</v>
      </c>
      <c r="F9" s="90">
        <f t="shared" si="1"/>
        <v>65000</v>
      </c>
      <c r="G9" s="19"/>
      <c r="H9" s="19"/>
      <c r="I9" s="19"/>
      <c r="J9" s="19"/>
      <c r="K9" s="19"/>
      <c r="L9" s="19"/>
      <c r="M9" s="19"/>
      <c r="N9" s="19"/>
      <c r="O9" s="19"/>
      <c r="P9" s="19"/>
      <c r="Q9" s="19"/>
      <c r="R9" s="19"/>
      <c r="S9" s="31"/>
      <c r="T9" s="31">
        <f t="shared" si="2"/>
        <v>0</v>
      </c>
    </row>
    <row r="10" spans="1:20" ht="15.75" x14ac:dyDescent="0.25">
      <c r="A10" s="20" t="s">
        <v>34</v>
      </c>
      <c r="B10" s="21" t="s">
        <v>35</v>
      </c>
      <c r="C10" s="15"/>
      <c r="D10" s="16">
        <v>28900</v>
      </c>
      <c r="E10" s="89">
        <f t="shared" si="0"/>
        <v>0</v>
      </c>
      <c r="F10" s="90">
        <f t="shared" si="1"/>
        <v>28900</v>
      </c>
      <c r="G10" s="19"/>
      <c r="H10" s="19"/>
      <c r="I10" s="19"/>
      <c r="J10" s="19"/>
      <c r="K10" s="19"/>
      <c r="L10" s="19"/>
      <c r="M10" s="19"/>
      <c r="N10" s="19"/>
      <c r="O10" s="19"/>
      <c r="P10" s="19"/>
      <c r="Q10" s="19"/>
      <c r="R10" s="19"/>
      <c r="S10" s="31"/>
      <c r="T10" s="31">
        <f t="shared" si="2"/>
        <v>0</v>
      </c>
    </row>
    <row r="11" spans="1:20" ht="15.75" x14ac:dyDescent="0.25">
      <c r="A11" s="20" t="s">
        <v>128</v>
      </c>
      <c r="B11" s="21"/>
      <c r="C11" s="15"/>
      <c r="D11" s="16">
        <v>10900</v>
      </c>
      <c r="E11" s="89">
        <f t="shared" si="0"/>
        <v>0</v>
      </c>
      <c r="F11" s="90">
        <f t="shared" si="1"/>
        <v>10900</v>
      </c>
      <c r="G11" s="19"/>
      <c r="H11" s="19"/>
      <c r="I11" s="19"/>
      <c r="J11" s="19"/>
      <c r="K11" s="19"/>
      <c r="L11" s="19"/>
      <c r="M11" s="19"/>
      <c r="N11" s="19"/>
      <c r="O11" s="19"/>
      <c r="P11" s="19"/>
      <c r="Q11" s="19"/>
      <c r="R11" s="19"/>
      <c r="S11" s="31"/>
      <c r="T11" s="31">
        <f t="shared" si="2"/>
        <v>0</v>
      </c>
    </row>
    <row r="12" spans="1:20" ht="15.75" x14ac:dyDescent="0.25">
      <c r="A12" s="20" t="s">
        <v>131</v>
      </c>
      <c r="B12" s="21"/>
      <c r="C12" s="15"/>
      <c r="D12" s="16">
        <v>45000</v>
      </c>
      <c r="E12" s="89">
        <f t="shared" si="0"/>
        <v>0</v>
      </c>
      <c r="F12" s="90">
        <f t="shared" si="1"/>
        <v>45000</v>
      </c>
      <c r="G12" s="19"/>
      <c r="H12" s="19"/>
      <c r="I12" s="19"/>
      <c r="J12" s="19"/>
      <c r="K12" s="19"/>
      <c r="L12" s="19"/>
      <c r="M12" s="19"/>
      <c r="N12" s="19"/>
      <c r="O12" s="19"/>
      <c r="P12" s="19"/>
      <c r="Q12" s="19"/>
      <c r="R12" s="19"/>
      <c r="S12" s="31"/>
      <c r="T12" s="31">
        <f t="shared" si="2"/>
        <v>0</v>
      </c>
    </row>
    <row r="13" spans="1:20" ht="15.75" x14ac:dyDescent="0.25">
      <c r="A13" s="20" t="s">
        <v>21</v>
      </c>
      <c r="B13" s="21"/>
      <c r="C13" s="15"/>
      <c r="D13" s="16">
        <v>35000</v>
      </c>
      <c r="E13" s="89">
        <f t="shared" si="0"/>
        <v>0</v>
      </c>
      <c r="F13" s="90">
        <f t="shared" si="1"/>
        <v>35000</v>
      </c>
      <c r="G13" s="19"/>
      <c r="H13" s="19"/>
      <c r="I13" s="19"/>
      <c r="J13" s="19"/>
      <c r="K13" s="19"/>
      <c r="L13" s="19"/>
      <c r="M13" s="19"/>
      <c r="N13" s="19"/>
      <c r="O13" s="19"/>
      <c r="P13" s="19"/>
      <c r="Q13" s="19"/>
      <c r="R13" s="19"/>
      <c r="S13" s="31"/>
      <c r="T13" s="31">
        <f t="shared" si="2"/>
        <v>0</v>
      </c>
    </row>
    <row r="14" spans="1:20" ht="16.5" thickBot="1" x14ac:dyDescent="0.3">
      <c r="A14" s="25"/>
      <c r="B14" s="26" t="s">
        <v>24</v>
      </c>
      <c r="C14" s="27">
        <f t="shared" ref="C14:R14" si="3">SUM(C3:C13)</f>
        <v>0</v>
      </c>
      <c r="D14" s="27">
        <f t="shared" si="3"/>
        <v>1099080</v>
      </c>
      <c r="E14" s="27">
        <f t="shared" si="3"/>
        <v>287875.45</v>
      </c>
      <c r="F14" s="27">
        <f t="shared" si="3"/>
        <v>811204.55</v>
      </c>
      <c r="G14" s="27">
        <f t="shared" si="3"/>
        <v>26930.3</v>
      </c>
      <c r="H14" s="27">
        <f t="shared" si="3"/>
        <v>18704</v>
      </c>
      <c r="I14" s="27">
        <f t="shared" si="3"/>
        <v>20003.3</v>
      </c>
      <c r="J14" s="27">
        <f t="shared" si="3"/>
        <v>15535.3</v>
      </c>
      <c r="K14" s="27">
        <f t="shared" si="3"/>
        <v>67710.2</v>
      </c>
      <c r="L14" s="27">
        <f t="shared" si="3"/>
        <v>63677.95</v>
      </c>
      <c r="M14" s="27">
        <f t="shared" si="3"/>
        <v>23290.45</v>
      </c>
      <c r="N14" s="27">
        <f t="shared" si="3"/>
        <v>17906.7</v>
      </c>
      <c r="O14" s="27">
        <f t="shared" si="3"/>
        <v>14706.8</v>
      </c>
      <c r="P14" s="27">
        <f t="shared" si="3"/>
        <v>19410.45</v>
      </c>
      <c r="Q14" s="27">
        <f t="shared" si="3"/>
        <v>0</v>
      </c>
      <c r="R14" s="27">
        <f t="shared" si="3"/>
        <v>0</v>
      </c>
      <c r="S14" s="26" t="s">
        <v>25</v>
      </c>
      <c r="T14" s="67">
        <f>SUM(G14:R14)</f>
        <v>287875.45</v>
      </c>
    </row>
    <row r="16" spans="1:20" ht="15.75" thickBot="1" x14ac:dyDescent="0.3"/>
    <row r="17" spans="1:11" ht="16.5" thickBot="1" x14ac:dyDescent="0.3">
      <c r="A17" s="136" t="s">
        <v>175</v>
      </c>
      <c r="B17" s="299" t="s">
        <v>188</v>
      </c>
      <c r="C17" s="300"/>
      <c r="D17" s="300"/>
      <c r="E17" s="301"/>
      <c r="F17" s="299" t="s">
        <v>114</v>
      </c>
      <c r="G17" s="300"/>
      <c r="H17" s="301"/>
      <c r="I17" s="387" t="s">
        <v>113</v>
      </c>
      <c r="J17" s="539"/>
      <c r="K17" s="388"/>
    </row>
    <row r="18" spans="1:11" ht="30" customHeight="1" x14ac:dyDescent="0.25">
      <c r="A18" s="163" t="s">
        <v>19</v>
      </c>
      <c r="B18" s="350" t="s">
        <v>189</v>
      </c>
      <c r="C18" s="351"/>
      <c r="D18" s="351"/>
      <c r="E18" s="352"/>
      <c r="F18" s="350" t="s">
        <v>562</v>
      </c>
      <c r="G18" s="370"/>
      <c r="H18" s="413"/>
      <c r="I18" s="540">
        <v>36755</v>
      </c>
      <c r="J18" s="540"/>
      <c r="K18" s="408"/>
    </row>
    <row r="19" spans="1:11" ht="29.25" customHeight="1" x14ac:dyDescent="0.25">
      <c r="A19" s="156" t="s">
        <v>19</v>
      </c>
      <c r="B19" s="140"/>
      <c r="C19" s="267" t="s">
        <v>582</v>
      </c>
      <c r="D19" s="267"/>
      <c r="E19" s="268"/>
      <c r="F19" s="350" t="s">
        <v>583</v>
      </c>
      <c r="G19" s="370"/>
      <c r="H19" s="413"/>
      <c r="I19" s="261">
        <v>7870</v>
      </c>
      <c r="J19" s="381"/>
      <c r="K19" s="262"/>
    </row>
    <row r="20" spans="1:11" x14ac:dyDescent="0.25">
      <c r="A20" s="156"/>
      <c r="B20" s="140"/>
      <c r="C20" s="369"/>
      <c r="D20" s="369"/>
      <c r="E20" s="354"/>
      <c r="F20" s="353"/>
      <c r="G20" s="369"/>
      <c r="H20" s="354"/>
      <c r="I20" s="261"/>
      <c r="J20" s="381"/>
      <c r="K20" s="262"/>
    </row>
    <row r="21" spans="1:11" x14ac:dyDescent="0.25">
      <c r="A21" s="156"/>
      <c r="B21" s="140"/>
      <c r="C21" s="369"/>
      <c r="D21" s="369"/>
      <c r="E21" s="354"/>
      <c r="F21" s="353"/>
      <c r="G21" s="369"/>
      <c r="H21" s="354"/>
      <c r="I21" s="353"/>
      <c r="J21" s="369"/>
      <c r="K21" s="354"/>
    </row>
    <row r="22" spans="1:11" x14ac:dyDescent="0.25">
      <c r="A22" s="156"/>
      <c r="B22" s="140"/>
      <c r="C22" s="369"/>
      <c r="D22" s="369"/>
      <c r="E22" s="354"/>
      <c r="F22" s="353"/>
      <c r="G22" s="369"/>
      <c r="H22" s="354"/>
      <c r="I22" s="353"/>
      <c r="J22" s="369"/>
      <c r="K22" s="354"/>
    </row>
    <row r="23" spans="1:11" ht="15.75" thickBot="1" x14ac:dyDescent="0.3">
      <c r="A23" s="119"/>
      <c r="B23" s="116"/>
      <c r="C23" s="541"/>
      <c r="D23" s="541"/>
      <c r="E23" s="412"/>
      <c r="F23" s="411"/>
      <c r="G23" s="541"/>
      <c r="H23" s="412"/>
      <c r="I23" s="411"/>
      <c r="J23" s="541"/>
      <c r="K23" s="412"/>
    </row>
    <row r="24" spans="1:11" ht="15.75" thickBot="1" x14ac:dyDescent="0.3">
      <c r="A24" s="85"/>
      <c r="B24" s="122"/>
      <c r="C24" s="123"/>
      <c r="D24" s="123"/>
      <c r="E24" s="124"/>
      <c r="F24" s="272" t="s">
        <v>116</v>
      </c>
      <c r="G24" s="273"/>
      <c r="H24" s="391"/>
      <c r="I24" s="478">
        <f>SUM(I18:K23)</f>
        <v>44625</v>
      </c>
      <c r="J24" s="273"/>
      <c r="K24" s="391"/>
    </row>
    <row r="27" spans="1:11" ht="38.25" thickBot="1" x14ac:dyDescent="0.55000000000000004">
      <c r="A27" s="30"/>
      <c r="B27" s="32"/>
      <c r="C27" s="32"/>
    </row>
    <row r="28" spans="1:11" ht="16.5" thickBot="1" x14ac:dyDescent="0.3">
      <c r="A28" s="136" t="s">
        <v>112</v>
      </c>
      <c r="B28" s="299" t="s">
        <v>306</v>
      </c>
      <c r="C28" s="300"/>
      <c r="D28" s="300"/>
      <c r="E28" s="301"/>
      <c r="F28" s="299" t="s">
        <v>114</v>
      </c>
      <c r="G28" s="300"/>
      <c r="H28" s="301"/>
      <c r="I28" s="527" t="s">
        <v>113</v>
      </c>
      <c r="J28" s="528"/>
    </row>
    <row r="29" spans="1:11" ht="74.25" customHeight="1" x14ac:dyDescent="0.25">
      <c r="A29" s="168" t="s">
        <v>326</v>
      </c>
      <c r="B29" s="533" t="s">
        <v>327</v>
      </c>
      <c r="C29" s="534"/>
      <c r="D29" s="534"/>
      <c r="E29" s="535"/>
      <c r="F29" s="536" t="s">
        <v>328</v>
      </c>
      <c r="G29" s="537"/>
      <c r="H29" s="538"/>
      <c r="I29" s="529">
        <v>2650</v>
      </c>
      <c r="J29" s="530"/>
    </row>
    <row r="30" spans="1:11" ht="49.5" customHeight="1" x14ac:dyDescent="0.25">
      <c r="A30" s="162" t="s">
        <v>377</v>
      </c>
      <c r="B30" s="276" t="s">
        <v>378</v>
      </c>
      <c r="C30" s="277"/>
      <c r="D30" s="277"/>
      <c r="E30" s="278"/>
      <c r="F30" s="284" t="s">
        <v>379</v>
      </c>
      <c r="G30" s="321"/>
      <c r="H30" s="285"/>
      <c r="I30" s="311">
        <v>1150</v>
      </c>
      <c r="J30" s="312"/>
    </row>
    <row r="31" spans="1:11" ht="60.75" customHeight="1" x14ac:dyDescent="0.25">
      <c r="A31" s="162" t="s">
        <v>389</v>
      </c>
      <c r="B31" s="134"/>
      <c r="C31" s="277" t="s">
        <v>390</v>
      </c>
      <c r="D31" s="277"/>
      <c r="E31" s="278"/>
      <c r="F31" s="284" t="s">
        <v>391</v>
      </c>
      <c r="G31" s="321"/>
      <c r="H31" s="285"/>
      <c r="I31" s="311">
        <v>1000</v>
      </c>
      <c r="J31" s="312"/>
    </row>
    <row r="32" spans="1:11" ht="42.75" customHeight="1" x14ac:dyDescent="0.25">
      <c r="A32" s="184" t="s">
        <v>438</v>
      </c>
      <c r="B32" s="304" t="s">
        <v>393</v>
      </c>
      <c r="C32" s="305"/>
      <c r="D32" s="305"/>
      <c r="E32" s="306"/>
      <c r="F32" s="349" t="s">
        <v>394</v>
      </c>
      <c r="G32" s="264"/>
      <c r="H32" s="265"/>
      <c r="I32" s="311">
        <f>2100*3</f>
        <v>6300</v>
      </c>
      <c r="J32" s="312"/>
    </row>
    <row r="33" spans="1:10" ht="28.5" customHeight="1" x14ac:dyDescent="0.25">
      <c r="A33" s="166" t="s">
        <v>326</v>
      </c>
      <c r="B33" s="180"/>
      <c r="C33" s="319" t="s">
        <v>440</v>
      </c>
      <c r="D33" s="319"/>
      <c r="E33" s="294"/>
      <c r="F33" s="349" t="s">
        <v>441</v>
      </c>
      <c r="G33" s="264"/>
      <c r="H33" s="265"/>
      <c r="I33" s="311">
        <v>1000</v>
      </c>
      <c r="J33" s="312"/>
    </row>
    <row r="34" spans="1:10" ht="42.75" customHeight="1" x14ac:dyDescent="0.25">
      <c r="A34" s="166" t="s">
        <v>326</v>
      </c>
      <c r="B34" s="180"/>
      <c r="C34" s="319" t="s">
        <v>499</v>
      </c>
      <c r="D34" s="319"/>
      <c r="E34" s="294"/>
      <c r="F34" s="349" t="s">
        <v>527</v>
      </c>
      <c r="G34" s="264"/>
      <c r="H34" s="265"/>
      <c r="I34" s="311">
        <v>1000</v>
      </c>
      <c r="J34" s="312"/>
    </row>
    <row r="35" spans="1:10" ht="42" customHeight="1" x14ac:dyDescent="0.25">
      <c r="A35" s="166" t="s">
        <v>326</v>
      </c>
      <c r="B35" s="180"/>
      <c r="C35" s="319" t="s">
        <v>528</v>
      </c>
      <c r="D35" s="319"/>
      <c r="E35" s="294"/>
      <c r="F35" s="349" t="s">
        <v>509</v>
      </c>
      <c r="G35" s="264"/>
      <c r="H35" s="265"/>
      <c r="I35" s="311">
        <v>1150</v>
      </c>
      <c r="J35" s="312"/>
    </row>
    <row r="36" spans="1:10" ht="57" customHeight="1" x14ac:dyDescent="0.25">
      <c r="A36" s="166" t="s">
        <v>535</v>
      </c>
      <c r="B36" s="180"/>
      <c r="C36" s="319" t="s">
        <v>536</v>
      </c>
      <c r="D36" s="319"/>
      <c r="E36" s="294"/>
      <c r="F36" s="349" t="s">
        <v>534</v>
      </c>
      <c r="G36" s="264"/>
      <c r="H36" s="265"/>
      <c r="I36" s="311">
        <v>50140</v>
      </c>
      <c r="J36" s="312"/>
    </row>
    <row r="37" spans="1:10" ht="14.25" customHeight="1" x14ac:dyDescent="0.25">
      <c r="A37" s="166" t="s">
        <v>326</v>
      </c>
      <c r="B37" s="180"/>
      <c r="C37" s="319" t="s">
        <v>537</v>
      </c>
      <c r="D37" s="319"/>
      <c r="E37" s="294"/>
      <c r="F37" s="349" t="s">
        <v>538</v>
      </c>
      <c r="G37" s="264"/>
      <c r="H37" s="265"/>
      <c r="I37" s="311">
        <v>950</v>
      </c>
      <c r="J37" s="312"/>
    </row>
    <row r="38" spans="1:10" ht="37.5" customHeight="1" x14ac:dyDescent="0.25">
      <c r="A38" s="166" t="s">
        <v>631</v>
      </c>
      <c r="B38" s="180"/>
      <c r="C38" s="319" t="s">
        <v>632</v>
      </c>
      <c r="D38" s="319"/>
      <c r="E38" s="294"/>
      <c r="F38" s="349" t="s">
        <v>633</v>
      </c>
      <c r="G38" s="264"/>
      <c r="H38" s="265"/>
      <c r="I38" s="311">
        <v>1450</v>
      </c>
      <c r="J38" s="312"/>
    </row>
    <row r="39" spans="1:10" ht="72" customHeight="1" x14ac:dyDescent="0.25">
      <c r="A39" s="166" t="s">
        <v>389</v>
      </c>
      <c r="B39" s="180"/>
      <c r="C39" s="319" t="s">
        <v>694</v>
      </c>
      <c r="D39" s="319"/>
      <c r="E39" s="294"/>
      <c r="F39" s="263" t="s">
        <v>695</v>
      </c>
      <c r="G39" s="319"/>
      <c r="H39" s="294"/>
      <c r="I39" s="311">
        <v>2450</v>
      </c>
      <c r="J39" s="312"/>
    </row>
    <row r="40" spans="1:10" ht="48" customHeight="1" x14ac:dyDescent="0.25">
      <c r="A40" s="166" t="s">
        <v>471</v>
      </c>
      <c r="B40" s="180"/>
      <c r="C40" s="319" t="s">
        <v>706</v>
      </c>
      <c r="D40" s="319"/>
      <c r="E40" s="294"/>
      <c r="F40" s="349" t="s">
        <v>707</v>
      </c>
      <c r="G40" s="264"/>
      <c r="H40" s="265"/>
      <c r="I40" s="311">
        <v>750</v>
      </c>
      <c r="J40" s="312"/>
    </row>
    <row r="41" spans="1:10" ht="28.5" customHeight="1" x14ac:dyDescent="0.25">
      <c r="A41" s="166" t="s">
        <v>631</v>
      </c>
      <c r="B41" s="180"/>
      <c r="C41" s="319" t="s">
        <v>712</v>
      </c>
      <c r="D41" s="319"/>
      <c r="E41" s="294"/>
      <c r="F41" s="349" t="s">
        <v>707</v>
      </c>
      <c r="G41" s="264"/>
      <c r="H41" s="265"/>
      <c r="I41" s="311">
        <v>450</v>
      </c>
      <c r="J41" s="312"/>
    </row>
    <row r="42" spans="1:10" ht="28.5" customHeight="1" x14ac:dyDescent="0.25">
      <c r="A42" s="166" t="s">
        <v>389</v>
      </c>
      <c r="B42" s="180"/>
      <c r="C42" s="319" t="s">
        <v>790</v>
      </c>
      <c r="D42" s="319"/>
      <c r="E42" s="294"/>
      <c r="F42" s="349" t="s">
        <v>791</v>
      </c>
      <c r="G42" s="264"/>
      <c r="H42" s="265"/>
      <c r="I42" s="311">
        <v>1000</v>
      </c>
      <c r="J42" s="312"/>
    </row>
    <row r="43" spans="1:10" ht="56.25" customHeight="1" x14ac:dyDescent="0.25">
      <c r="A43" s="166" t="s">
        <v>864</v>
      </c>
      <c r="B43" s="180"/>
      <c r="C43" s="319" t="s">
        <v>865</v>
      </c>
      <c r="D43" s="319"/>
      <c r="E43" s="294"/>
      <c r="F43" s="263" t="s">
        <v>866</v>
      </c>
      <c r="G43" s="319"/>
      <c r="H43" s="294"/>
      <c r="I43" s="311">
        <v>3400</v>
      </c>
      <c r="J43" s="312"/>
    </row>
    <row r="44" spans="1:10" ht="27.75" customHeight="1" x14ac:dyDescent="0.25">
      <c r="A44" s="166" t="s">
        <v>389</v>
      </c>
      <c r="B44" s="180"/>
      <c r="C44" s="319" t="s">
        <v>1010</v>
      </c>
      <c r="D44" s="319"/>
      <c r="E44" s="294"/>
      <c r="F44" s="349" t="s">
        <v>1011</v>
      </c>
      <c r="G44" s="264"/>
      <c r="H44" s="265"/>
      <c r="I44" s="311">
        <v>1200</v>
      </c>
      <c r="J44" s="312"/>
    </row>
    <row r="45" spans="1:10" ht="14.25" customHeight="1" x14ac:dyDescent="0.25">
      <c r="A45" s="166"/>
      <c r="B45" s="180"/>
      <c r="C45" s="319"/>
      <c r="D45" s="319"/>
      <c r="E45" s="294"/>
      <c r="F45" s="349"/>
      <c r="G45" s="264"/>
      <c r="H45" s="265"/>
      <c r="I45" s="311"/>
      <c r="J45" s="312"/>
    </row>
    <row r="46" spans="1:10" ht="14.25" customHeight="1" x14ac:dyDescent="0.25">
      <c r="A46" s="166"/>
      <c r="B46" s="180"/>
      <c r="C46" s="319"/>
      <c r="D46" s="319"/>
      <c r="E46" s="294"/>
      <c r="F46" s="349"/>
      <c r="G46" s="264"/>
      <c r="H46" s="265"/>
      <c r="I46" s="311"/>
      <c r="J46" s="312"/>
    </row>
    <row r="47" spans="1:10" ht="15.75" customHeight="1" x14ac:dyDescent="0.25">
      <c r="A47" s="190"/>
      <c r="B47" s="349"/>
      <c r="C47" s="264"/>
      <c r="D47" s="264"/>
      <c r="E47" s="265"/>
      <c r="F47" s="263"/>
      <c r="G47" s="319"/>
      <c r="H47" s="294"/>
      <c r="I47" s="531"/>
      <c r="J47" s="532"/>
    </row>
    <row r="48" spans="1:10" ht="15.75" customHeight="1" thickBot="1" x14ac:dyDescent="0.3">
      <c r="A48" s="192"/>
      <c r="B48" s="288"/>
      <c r="C48" s="289"/>
      <c r="D48" s="289"/>
      <c r="E48" s="290"/>
      <c r="F48" s="349"/>
      <c r="G48" s="264"/>
      <c r="H48" s="265"/>
      <c r="I48" s="371"/>
      <c r="J48" s="372"/>
    </row>
    <row r="49" spans="1:10" ht="15.75" thickBot="1" x14ac:dyDescent="0.3">
      <c r="A49" s="85"/>
      <c r="B49" s="122"/>
      <c r="C49" s="500"/>
      <c r="D49" s="500"/>
      <c r="E49" s="501"/>
      <c r="F49" s="272" t="s">
        <v>116</v>
      </c>
      <c r="G49" s="273"/>
      <c r="H49" s="391"/>
      <c r="I49" s="478">
        <f>SUM(I29:J48)</f>
        <v>76040</v>
      </c>
      <c r="J49" s="391"/>
    </row>
    <row r="51" spans="1:10" x14ac:dyDescent="0.25">
      <c r="D51" s="182"/>
      <c r="E51" s="182"/>
      <c r="F51" s="182"/>
      <c r="G51" s="182"/>
    </row>
  </sheetData>
  <mergeCells count="89">
    <mergeCell ref="F23:H23"/>
    <mergeCell ref="I23:K23"/>
    <mergeCell ref="F24:H24"/>
    <mergeCell ref="I24:K24"/>
    <mergeCell ref="C20:E20"/>
    <mergeCell ref="C21:E21"/>
    <mergeCell ref="F20:H20"/>
    <mergeCell ref="F21:H21"/>
    <mergeCell ref="I20:K20"/>
    <mergeCell ref="I21:K21"/>
    <mergeCell ref="I39:J39"/>
    <mergeCell ref="I41:J41"/>
    <mergeCell ref="I40:J40"/>
    <mergeCell ref="B17:E17"/>
    <mergeCell ref="F17:H17"/>
    <mergeCell ref="I17:K17"/>
    <mergeCell ref="B18:E18"/>
    <mergeCell ref="F18:H18"/>
    <mergeCell ref="I18:K18"/>
    <mergeCell ref="C19:E19"/>
    <mergeCell ref="F19:H19"/>
    <mergeCell ref="I19:K19"/>
    <mergeCell ref="C22:E22"/>
    <mergeCell ref="F22:H22"/>
    <mergeCell ref="I22:K22"/>
    <mergeCell ref="C23:E23"/>
    <mergeCell ref="C39:E39"/>
    <mergeCell ref="C40:E40"/>
    <mergeCell ref="C41:E41"/>
    <mergeCell ref="F39:H39"/>
    <mergeCell ref="F40:H40"/>
    <mergeCell ref="F41:H41"/>
    <mergeCell ref="C49:E49"/>
    <mergeCell ref="F49:H49"/>
    <mergeCell ref="I28:J28"/>
    <mergeCell ref="I29:J29"/>
    <mergeCell ref="I47:J47"/>
    <mergeCell ref="I49:J49"/>
    <mergeCell ref="B47:E47"/>
    <mergeCell ref="F47:H47"/>
    <mergeCell ref="B48:E48"/>
    <mergeCell ref="B28:E28"/>
    <mergeCell ref="F28:H28"/>
    <mergeCell ref="B29:E29"/>
    <mergeCell ref="F29:H29"/>
    <mergeCell ref="C31:E31"/>
    <mergeCell ref="B30:E30"/>
    <mergeCell ref="F48:H48"/>
    <mergeCell ref="I48:J48"/>
    <mergeCell ref="F31:H31"/>
    <mergeCell ref="I31:J31"/>
    <mergeCell ref="C33:E33"/>
    <mergeCell ref="C34:E34"/>
    <mergeCell ref="C35:E35"/>
    <mergeCell ref="C42:E42"/>
    <mergeCell ref="F33:H33"/>
    <mergeCell ref="F34:H34"/>
    <mergeCell ref="I35:J35"/>
    <mergeCell ref="I42:J42"/>
    <mergeCell ref="F35:H35"/>
    <mergeCell ref="F42:H42"/>
    <mergeCell ref="I33:J33"/>
    <mergeCell ref="I34:J34"/>
    <mergeCell ref="C37:E37"/>
    <mergeCell ref="F30:H30"/>
    <mergeCell ref="I30:J30"/>
    <mergeCell ref="C36:E36"/>
    <mergeCell ref="F32:H32"/>
    <mergeCell ref="I32:J32"/>
    <mergeCell ref="B32:E32"/>
    <mergeCell ref="F36:H36"/>
    <mergeCell ref="I36:J36"/>
    <mergeCell ref="I37:J37"/>
    <mergeCell ref="I38:J38"/>
    <mergeCell ref="F37:H37"/>
    <mergeCell ref="F38:H38"/>
    <mergeCell ref="C38:E38"/>
    <mergeCell ref="I43:J43"/>
    <mergeCell ref="I44:J44"/>
    <mergeCell ref="I45:J45"/>
    <mergeCell ref="I46:J46"/>
    <mergeCell ref="C43:E43"/>
    <mergeCell ref="C44:E44"/>
    <mergeCell ref="C45:E45"/>
    <mergeCell ref="C46:E46"/>
    <mergeCell ref="F43:H43"/>
    <mergeCell ref="F44:H44"/>
    <mergeCell ref="F45:H45"/>
    <mergeCell ref="F46:H4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F7A7B-D123-4C7F-BA9F-5036B874E9BA}">
  <sheetPr>
    <pageSetUpPr fitToPage="1"/>
  </sheetPr>
  <dimension ref="A1:S82"/>
  <sheetViews>
    <sheetView zoomScale="90" zoomScaleNormal="90" workbookViewId="0">
      <selection activeCell="P18" sqref="P18"/>
    </sheetView>
  </sheetViews>
  <sheetFormatPr defaultRowHeight="15" x14ac:dyDescent="0.25"/>
  <cols>
    <col min="1" max="1" width="38.7109375" customWidth="1"/>
    <col min="2" max="2" width="15.7109375" customWidth="1"/>
    <col min="3" max="3" width="17.42578125" customWidth="1"/>
    <col min="4" max="4" width="15.7109375" customWidth="1"/>
    <col min="5" max="5" width="18.140625" customWidth="1"/>
    <col min="6" max="9" width="10.28515625" customWidth="1"/>
    <col min="10" max="10" width="11.28515625" customWidth="1"/>
    <col min="11" max="11" width="10.28515625" customWidth="1"/>
    <col min="12" max="12" width="11.28515625" bestFit="1" customWidth="1"/>
    <col min="13" max="13" width="11.85546875" customWidth="1"/>
    <col min="14" max="14" width="11.28515625" bestFit="1" customWidth="1"/>
    <col min="15" max="15" width="11.5703125" bestFit="1" customWidth="1"/>
    <col min="16" max="16" width="10.85546875" customWidth="1"/>
    <col min="17" max="17" width="12.42578125" customWidth="1"/>
    <col min="18" max="18" width="12" customWidth="1"/>
    <col min="19" max="19" width="14.28515625" customWidth="1"/>
  </cols>
  <sheetData>
    <row r="1" spans="1:19" ht="72.75" customHeight="1" thickBot="1" x14ac:dyDescent="0.3">
      <c r="A1" s="1"/>
      <c r="B1" s="98" t="s">
        <v>122</v>
      </c>
      <c r="C1" s="252" t="s">
        <v>124</v>
      </c>
      <c r="D1" s="5" t="s">
        <v>2</v>
      </c>
      <c r="E1" s="135" t="s">
        <v>3</v>
      </c>
      <c r="F1" s="204" t="s">
        <v>4</v>
      </c>
      <c r="G1" s="65" t="s">
        <v>5</v>
      </c>
      <c r="H1" s="205" t="s">
        <v>6</v>
      </c>
      <c r="I1" s="65" t="s">
        <v>7</v>
      </c>
      <c r="J1" s="205" t="s">
        <v>8</v>
      </c>
      <c r="K1" s="65" t="s">
        <v>9</v>
      </c>
      <c r="L1" s="205" t="s">
        <v>10</v>
      </c>
      <c r="M1" s="65" t="s">
        <v>11</v>
      </c>
      <c r="N1" s="205" t="s">
        <v>12</v>
      </c>
      <c r="O1" s="65" t="s">
        <v>13</v>
      </c>
      <c r="P1" s="205" t="s">
        <v>14</v>
      </c>
      <c r="Q1" s="65" t="s">
        <v>15</v>
      </c>
      <c r="R1" s="66"/>
      <c r="S1" s="10" t="s">
        <v>16</v>
      </c>
    </row>
    <row r="2" spans="1:19" ht="16.5" thickBot="1" x14ac:dyDescent="0.3">
      <c r="A2" s="60" t="s">
        <v>43</v>
      </c>
      <c r="B2" s="86"/>
      <c r="C2" s="61"/>
      <c r="D2" s="91" t="s">
        <v>17</v>
      </c>
      <c r="E2" s="92"/>
      <c r="F2" s="106"/>
      <c r="G2" s="57"/>
      <c r="H2" s="88"/>
      <c r="I2" s="57"/>
      <c r="J2" s="87"/>
      <c r="K2" s="62"/>
      <c r="L2" s="108"/>
      <c r="M2" s="57"/>
      <c r="N2" s="88"/>
      <c r="O2" s="57"/>
      <c r="P2" s="88"/>
      <c r="Q2" s="57"/>
      <c r="R2" s="57"/>
      <c r="S2" s="57"/>
    </row>
    <row r="3" spans="1:19" ht="15.75" x14ac:dyDescent="0.25">
      <c r="A3" s="94" t="s">
        <v>19</v>
      </c>
      <c r="B3" s="58"/>
      <c r="C3" s="59">
        <v>49900</v>
      </c>
      <c r="D3" s="89">
        <f>SUM(F3:Q3)</f>
        <v>34329</v>
      </c>
      <c r="E3" s="90">
        <f>B3+C3-D3</f>
        <v>15571</v>
      </c>
      <c r="F3" s="53"/>
      <c r="G3" s="53"/>
      <c r="H3" s="53"/>
      <c r="I3" s="53"/>
      <c r="J3" s="53"/>
      <c r="K3" s="53"/>
      <c r="L3" s="53"/>
      <c r="M3" s="53">
        <f>881</f>
        <v>881</v>
      </c>
      <c r="N3" s="53">
        <f>12442+21006</f>
        <v>33448</v>
      </c>
      <c r="O3" s="53"/>
      <c r="P3" s="53"/>
      <c r="Q3" s="53"/>
      <c r="R3" s="31"/>
      <c r="S3" s="31">
        <f>SUM(F3:Q3)</f>
        <v>34329</v>
      </c>
    </row>
    <row r="4" spans="1:19" ht="15.75" x14ac:dyDescent="0.25">
      <c r="A4" s="94" t="s">
        <v>173</v>
      </c>
      <c r="B4" s="58"/>
      <c r="C4" s="59"/>
      <c r="D4" s="89"/>
      <c r="E4" s="90"/>
      <c r="F4" s="53"/>
      <c r="G4" s="53"/>
      <c r="H4" s="53"/>
      <c r="I4" s="53"/>
      <c r="J4" s="53"/>
      <c r="K4" s="53"/>
      <c r="L4" s="53"/>
      <c r="M4" s="53">
        <v>2170.6</v>
      </c>
      <c r="N4" s="53">
        <f>85+840</f>
        <v>925</v>
      </c>
      <c r="O4" s="53">
        <f>44395+28790+2884+2810</f>
        <v>78879</v>
      </c>
      <c r="P4" s="53"/>
      <c r="Q4" s="53"/>
      <c r="R4" s="31"/>
      <c r="S4" s="31">
        <f>SUM(F4:Q4)</f>
        <v>81974.600000000006</v>
      </c>
    </row>
    <row r="5" spans="1:19" ht="15.75" x14ac:dyDescent="0.25">
      <c r="A5" s="94" t="s">
        <v>169</v>
      </c>
      <c r="B5" s="58"/>
      <c r="C5" s="59"/>
      <c r="D5" s="89"/>
      <c r="E5" s="90"/>
      <c r="F5" s="53"/>
      <c r="G5" s="53">
        <v>34608.699999999997</v>
      </c>
      <c r="H5" s="53"/>
      <c r="I5" s="53"/>
      <c r="J5" s="53"/>
      <c r="K5" s="53"/>
      <c r="L5" s="53"/>
      <c r="M5" s="53"/>
      <c r="N5" s="53"/>
      <c r="O5" s="53"/>
      <c r="P5" s="53"/>
      <c r="Q5" s="53"/>
      <c r="R5" s="31"/>
      <c r="S5" s="31">
        <f t="shared" ref="S5:S9" si="0">SUM(F5:Q5)</f>
        <v>34608.699999999997</v>
      </c>
    </row>
    <row r="6" spans="1:19" ht="15.75" x14ac:dyDescent="0.25">
      <c r="A6" s="94" t="s">
        <v>30</v>
      </c>
      <c r="B6" s="58"/>
      <c r="C6" s="59"/>
      <c r="D6" s="89"/>
      <c r="E6" s="90"/>
      <c r="F6" s="53"/>
      <c r="G6" s="53"/>
      <c r="H6" s="53"/>
      <c r="I6" s="53"/>
      <c r="J6" s="53"/>
      <c r="K6" s="53"/>
      <c r="L6" s="53">
        <f>8400+8400+8400+8400</f>
        <v>33600</v>
      </c>
      <c r="M6" s="53"/>
      <c r="N6" s="53">
        <f>7200+4000</f>
        <v>11200</v>
      </c>
      <c r="O6" s="53">
        <f>6000+6800</f>
        <v>12800</v>
      </c>
      <c r="P6" s="53"/>
      <c r="Q6" s="53"/>
      <c r="R6" s="31"/>
      <c r="S6" s="31">
        <f t="shared" si="0"/>
        <v>57600</v>
      </c>
    </row>
    <row r="7" spans="1:19" ht="15.75" x14ac:dyDescent="0.25">
      <c r="A7" s="94" t="s">
        <v>168</v>
      </c>
      <c r="B7" s="58"/>
      <c r="C7" s="59"/>
      <c r="D7" s="89"/>
      <c r="E7" s="90"/>
      <c r="F7" s="53"/>
      <c r="G7" s="53">
        <f>3100+2350+2350+2350+11795+2350+2350+2350+2350+2350</f>
        <v>33695</v>
      </c>
      <c r="H7" s="53">
        <f>2350+2350+2350</f>
        <v>7050</v>
      </c>
      <c r="I7" s="53">
        <f>2350+2350</f>
        <v>4700</v>
      </c>
      <c r="J7" s="53">
        <f>2650+1150+2000+1150+750</f>
        <v>7700</v>
      </c>
      <c r="K7" s="53">
        <f>1150+1150+1150+1150</f>
        <v>4600</v>
      </c>
      <c r="L7" s="53">
        <f>25955+25955+25955+25955</f>
        <v>103820</v>
      </c>
      <c r="M7" s="53">
        <f>1150+1150</f>
        <v>2300</v>
      </c>
      <c r="N7" s="53">
        <f>5350+1000+3100</f>
        <v>9450</v>
      </c>
      <c r="O7" s="53">
        <f>1150+1150+850+1150+17678+1000+1000</f>
        <v>23978</v>
      </c>
      <c r="P7" s="53"/>
      <c r="Q7" s="53"/>
      <c r="R7" s="31"/>
      <c r="S7" s="31">
        <f t="shared" si="0"/>
        <v>197293</v>
      </c>
    </row>
    <row r="8" spans="1:19" ht="15.75" x14ac:dyDescent="0.25">
      <c r="A8" s="94" t="s">
        <v>804</v>
      </c>
      <c r="B8" s="58"/>
      <c r="C8" s="59"/>
      <c r="D8" s="89"/>
      <c r="E8" s="90"/>
      <c r="F8" s="53">
        <f>4768.86+5416.39</f>
        <v>10185.25</v>
      </c>
      <c r="G8" s="53">
        <f>4731.25+4673.5</f>
        <v>9404.75</v>
      </c>
      <c r="H8" s="53">
        <f>4384.2+4227.2</f>
        <v>8611.4</v>
      </c>
      <c r="I8" s="53">
        <f>3003.3+4753.3</f>
        <v>7756.6</v>
      </c>
      <c r="J8" s="53">
        <f>3995.65+5026.85</f>
        <v>9022.5</v>
      </c>
      <c r="K8" s="53">
        <f>5520.4+3259</f>
        <v>8779.4</v>
      </c>
      <c r="L8" s="53">
        <f>4516</f>
        <v>4516</v>
      </c>
      <c r="M8" s="53">
        <f>11046.05</f>
        <v>11046.05</v>
      </c>
      <c r="N8" s="53">
        <f>10561.95</f>
        <v>10561.95</v>
      </c>
      <c r="O8" s="53">
        <f>9526.55</f>
        <v>9526.5499999999993</v>
      </c>
      <c r="P8" s="53"/>
      <c r="Q8" s="53"/>
      <c r="R8" s="31"/>
      <c r="S8" s="31">
        <f t="shared" si="0"/>
        <v>89410.45</v>
      </c>
    </row>
    <row r="9" spans="1:19" ht="15.75" x14ac:dyDescent="0.25">
      <c r="A9" s="94" t="s">
        <v>174</v>
      </c>
      <c r="B9" s="58"/>
      <c r="C9" s="59"/>
      <c r="D9" s="89"/>
      <c r="E9" s="90"/>
      <c r="F9" s="53"/>
      <c r="G9" s="53"/>
      <c r="H9" s="53"/>
      <c r="I9" s="53"/>
      <c r="J9" s="53">
        <v>1000</v>
      </c>
      <c r="K9" s="53"/>
      <c r="L9" s="53"/>
      <c r="M9" s="53"/>
      <c r="N9" s="53"/>
      <c r="O9" s="53"/>
      <c r="P9" s="53"/>
      <c r="Q9" s="53"/>
      <c r="R9" s="31"/>
      <c r="S9" s="31">
        <f t="shared" si="0"/>
        <v>1000</v>
      </c>
    </row>
    <row r="10" spans="1:19" ht="15.75" x14ac:dyDescent="0.25">
      <c r="A10" s="23" t="s">
        <v>42</v>
      </c>
      <c r="B10" s="15"/>
      <c r="C10" s="16">
        <v>1282000</v>
      </c>
      <c r="D10" s="89">
        <f t="shared" ref="D10:D11" si="1">SUM(F10:Q10)</f>
        <v>228038.85</v>
      </c>
      <c r="E10" s="90">
        <f t="shared" ref="E10:E11" si="2">B10+C10-D10</f>
        <v>1053961.1499999999</v>
      </c>
      <c r="F10" s="19"/>
      <c r="G10" s="19"/>
      <c r="H10" s="19"/>
      <c r="I10" s="19"/>
      <c r="J10" s="19">
        <f>82500</f>
        <v>82500</v>
      </c>
      <c r="K10" s="19">
        <f>45000</f>
        <v>45000</v>
      </c>
      <c r="L10" s="19"/>
      <c r="M10" s="19">
        <f>7038.85</f>
        <v>7038.85</v>
      </c>
      <c r="N10" s="19"/>
      <c r="O10" s="19">
        <f>93500</f>
        <v>93500</v>
      </c>
      <c r="P10" s="19"/>
      <c r="Q10" s="19"/>
      <c r="R10" s="31"/>
      <c r="S10" s="31">
        <f t="shared" ref="S10:S11" si="3">SUM(F10:Q10)</f>
        <v>228038.85</v>
      </c>
    </row>
    <row r="11" spans="1:19" ht="15.75" x14ac:dyDescent="0.25">
      <c r="A11" s="13" t="s">
        <v>23</v>
      </c>
      <c r="B11" s="15"/>
      <c r="C11" s="16">
        <v>180000</v>
      </c>
      <c r="D11" s="89">
        <f t="shared" si="1"/>
        <v>0</v>
      </c>
      <c r="E11" s="90">
        <f t="shared" si="2"/>
        <v>180000</v>
      </c>
      <c r="F11" s="19"/>
      <c r="G11" s="19"/>
      <c r="H11" s="19"/>
      <c r="I11" s="19"/>
      <c r="J11" s="19"/>
      <c r="K11" s="19"/>
      <c r="L11" s="19"/>
      <c r="M11" s="19"/>
      <c r="N11" s="19"/>
      <c r="O11" s="19"/>
      <c r="P11" s="19"/>
      <c r="Q11" s="19"/>
      <c r="R11" s="31"/>
      <c r="S11" s="33">
        <f t="shared" si="3"/>
        <v>0</v>
      </c>
    </row>
    <row r="12" spans="1:19" ht="16.5" thickBot="1" x14ac:dyDescent="0.3">
      <c r="A12" s="25"/>
      <c r="B12" s="27">
        <f t="shared" ref="B12:Q12" si="4">SUM(B3:B11)</f>
        <v>0</v>
      </c>
      <c r="C12" s="27">
        <f t="shared" si="4"/>
        <v>1511900</v>
      </c>
      <c r="D12" s="27">
        <f t="shared" si="4"/>
        <v>262367.84999999998</v>
      </c>
      <c r="E12" s="27">
        <f t="shared" si="4"/>
        <v>1249532.1499999999</v>
      </c>
      <c r="F12" s="27">
        <f t="shared" si="4"/>
        <v>10185.25</v>
      </c>
      <c r="G12" s="27">
        <f t="shared" si="4"/>
        <v>77708.45</v>
      </c>
      <c r="H12" s="27">
        <f t="shared" si="4"/>
        <v>15661.4</v>
      </c>
      <c r="I12" s="27">
        <f t="shared" si="4"/>
        <v>12456.6</v>
      </c>
      <c r="J12" s="27">
        <f t="shared" si="4"/>
        <v>100222.5</v>
      </c>
      <c r="K12" s="27">
        <f t="shared" si="4"/>
        <v>58379.4</v>
      </c>
      <c r="L12" s="27">
        <f t="shared" si="4"/>
        <v>141936</v>
      </c>
      <c r="M12" s="27">
        <f t="shared" si="4"/>
        <v>23436.5</v>
      </c>
      <c r="N12" s="27">
        <f t="shared" si="4"/>
        <v>65584.95</v>
      </c>
      <c r="O12" s="27">
        <f t="shared" si="4"/>
        <v>218683.55</v>
      </c>
      <c r="P12" s="27">
        <f t="shared" si="4"/>
        <v>0</v>
      </c>
      <c r="Q12" s="27">
        <f t="shared" si="4"/>
        <v>0</v>
      </c>
      <c r="R12" s="26" t="s">
        <v>25</v>
      </c>
      <c r="S12" s="67">
        <f>SUM(F12:Q12)</f>
        <v>724254.60000000009</v>
      </c>
    </row>
    <row r="13" spans="1:19" ht="20.25" customHeight="1" x14ac:dyDescent="0.25"/>
    <row r="14" spans="1:19" ht="38.25" thickBot="1" x14ac:dyDescent="0.55000000000000004">
      <c r="A14" s="30"/>
      <c r="B14" s="32"/>
    </row>
    <row r="15" spans="1:19" ht="16.5" thickBot="1" x14ac:dyDescent="0.3">
      <c r="A15" s="299" t="s">
        <v>175</v>
      </c>
      <c r="B15" s="301"/>
      <c r="C15" s="300" t="s">
        <v>188</v>
      </c>
      <c r="D15" s="300"/>
      <c r="E15" s="300"/>
      <c r="F15" s="300"/>
      <c r="G15" s="301"/>
      <c r="H15" s="299" t="s">
        <v>114</v>
      </c>
      <c r="I15" s="300"/>
      <c r="J15" s="301"/>
      <c r="K15" s="555" t="s">
        <v>113</v>
      </c>
      <c r="L15" s="556"/>
      <c r="M15" s="557"/>
    </row>
    <row r="16" spans="1:19" ht="15" customHeight="1" x14ac:dyDescent="0.25">
      <c r="A16" s="542" t="s">
        <v>180</v>
      </c>
      <c r="B16" s="543"/>
      <c r="C16" s="559" t="s">
        <v>218</v>
      </c>
      <c r="D16" s="559"/>
      <c r="E16" s="559"/>
      <c r="F16" s="559"/>
      <c r="G16" s="560"/>
      <c r="H16" s="558" t="s">
        <v>219</v>
      </c>
      <c r="I16" s="559"/>
      <c r="J16" s="560"/>
      <c r="K16" s="564">
        <v>82500</v>
      </c>
      <c r="L16" s="565"/>
      <c r="M16" s="566"/>
    </row>
    <row r="17" spans="1:17" ht="15.75" customHeight="1" x14ac:dyDescent="0.25">
      <c r="A17" s="377"/>
      <c r="B17" s="413"/>
      <c r="C17" s="562"/>
      <c r="D17" s="562"/>
      <c r="E17" s="562"/>
      <c r="F17" s="562"/>
      <c r="G17" s="563"/>
      <c r="H17" s="561"/>
      <c r="I17" s="562"/>
      <c r="J17" s="563"/>
      <c r="K17" s="407"/>
      <c r="L17" s="540"/>
      <c r="M17" s="408"/>
    </row>
    <row r="18" spans="1:17" ht="31.5" customHeight="1" x14ac:dyDescent="0.25">
      <c r="A18" s="284" t="s">
        <v>563</v>
      </c>
      <c r="B18" s="285"/>
      <c r="C18" s="570" t="s">
        <v>564</v>
      </c>
      <c r="D18" s="571"/>
      <c r="E18" s="571"/>
      <c r="F18" s="571"/>
      <c r="G18" s="572"/>
      <c r="H18" s="570" t="s">
        <v>565</v>
      </c>
      <c r="I18" s="571"/>
      <c r="J18" s="572"/>
      <c r="K18" s="409">
        <v>45000</v>
      </c>
      <c r="L18" s="573"/>
      <c r="M18" s="410"/>
    </row>
    <row r="19" spans="1:17" s="115" customFormat="1" ht="29.25" customHeight="1" x14ac:dyDescent="0.25">
      <c r="A19" s="377" t="s">
        <v>19</v>
      </c>
      <c r="B19" s="413"/>
      <c r="C19" s="351" t="s">
        <v>792</v>
      </c>
      <c r="D19" s="351"/>
      <c r="E19" s="351"/>
      <c r="F19" s="351"/>
      <c r="G19" s="352"/>
      <c r="H19" s="350" t="s">
        <v>793</v>
      </c>
      <c r="I19" s="370"/>
      <c r="J19" s="413"/>
      <c r="K19" s="407">
        <v>12527</v>
      </c>
      <c r="L19" s="540"/>
      <c r="M19" s="408"/>
      <c r="Q19" s="115" t="s">
        <v>119</v>
      </c>
    </row>
    <row r="20" spans="1:17" ht="30" customHeight="1" x14ac:dyDescent="0.25">
      <c r="A20" s="322" t="s">
        <v>19</v>
      </c>
      <c r="B20" s="324"/>
      <c r="C20" s="282" t="s">
        <v>794</v>
      </c>
      <c r="D20" s="282"/>
      <c r="E20" s="282"/>
      <c r="F20" s="282"/>
      <c r="G20" s="283"/>
      <c r="H20" s="281" t="s">
        <v>795</v>
      </c>
      <c r="I20" s="323"/>
      <c r="J20" s="324"/>
      <c r="K20" s="567">
        <v>21846</v>
      </c>
      <c r="L20" s="568"/>
      <c r="M20" s="569"/>
    </row>
    <row r="21" spans="1:17" ht="31.5" customHeight="1" x14ac:dyDescent="0.25">
      <c r="A21" s="266" t="s">
        <v>1026</v>
      </c>
      <c r="B21" s="268"/>
      <c r="C21" s="288" t="s">
        <v>1027</v>
      </c>
      <c r="D21" s="289"/>
      <c r="E21" s="289"/>
      <c r="F21" s="289"/>
      <c r="G21" s="290"/>
      <c r="H21" s="288" t="s">
        <v>1028</v>
      </c>
      <c r="I21" s="267"/>
      <c r="J21" s="268"/>
      <c r="K21" s="261">
        <v>44395</v>
      </c>
      <c r="L21" s="381"/>
      <c r="M21" s="262"/>
    </row>
    <row r="22" spans="1:17" ht="30.75" customHeight="1" x14ac:dyDescent="0.25">
      <c r="A22" s="266" t="s">
        <v>990</v>
      </c>
      <c r="B22" s="268"/>
      <c r="C22" s="288" t="s">
        <v>1041</v>
      </c>
      <c r="D22" s="289"/>
      <c r="E22" s="289"/>
      <c r="F22" s="289"/>
      <c r="G22" s="290"/>
      <c r="H22" s="288" t="s">
        <v>1042</v>
      </c>
      <c r="I22" s="267"/>
      <c r="J22" s="268"/>
      <c r="K22" s="261">
        <v>28790</v>
      </c>
      <c r="L22" s="381"/>
      <c r="M22" s="262"/>
    </row>
    <row r="23" spans="1:17" ht="30" customHeight="1" x14ac:dyDescent="0.25">
      <c r="A23" s="266" t="s">
        <v>222</v>
      </c>
      <c r="B23" s="268"/>
      <c r="C23" s="288" t="s">
        <v>1049</v>
      </c>
      <c r="D23" s="289"/>
      <c r="E23" s="289"/>
      <c r="F23" s="289"/>
      <c r="G23" s="290"/>
      <c r="H23" s="288" t="s">
        <v>1050</v>
      </c>
      <c r="I23" s="267"/>
      <c r="J23" s="268"/>
      <c r="K23" s="261">
        <v>2884</v>
      </c>
      <c r="L23" s="381"/>
      <c r="M23" s="262"/>
    </row>
    <row r="24" spans="1:17" ht="30.75" customHeight="1" x14ac:dyDescent="0.25">
      <c r="A24" s="266" t="s">
        <v>222</v>
      </c>
      <c r="B24" s="268"/>
      <c r="C24" s="288" t="s">
        <v>1051</v>
      </c>
      <c r="D24" s="289"/>
      <c r="E24" s="289"/>
      <c r="F24" s="289"/>
      <c r="G24" s="290"/>
      <c r="H24" s="288" t="s">
        <v>1052</v>
      </c>
      <c r="I24" s="267"/>
      <c r="J24" s="268"/>
      <c r="K24" s="261">
        <v>2810</v>
      </c>
      <c r="L24" s="381"/>
      <c r="M24" s="262"/>
    </row>
    <row r="25" spans="1:17" ht="30" customHeight="1" x14ac:dyDescent="0.25">
      <c r="A25" s="266" t="s">
        <v>1059</v>
      </c>
      <c r="B25" s="268"/>
      <c r="C25" s="288" t="s">
        <v>1060</v>
      </c>
      <c r="D25" s="289"/>
      <c r="E25" s="289"/>
      <c r="F25" s="289"/>
      <c r="G25" s="290"/>
      <c r="H25" s="288" t="s">
        <v>1061</v>
      </c>
      <c r="I25" s="267"/>
      <c r="J25" s="268"/>
      <c r="K25" s="261">
        <v>93500</v>
      </c>
      <c r="L25" s="381"/>
      <c r="M25" s="262"/>
    </row>
    <row r="26" spans="1:17" x14ac:dyDescent="0.25">
      <c r="A26" s="266"/>
      <c r="B26" s="268"/>
      <c r="C26" s="288"/>
      <c r="D26" s="289"/>
      <c r="E26" s="289"/>
      <c r="F26" s="289"/>
      <c r="G26" s="290"/>
      <c r="H26" s="266"/>
      <c r="I26" s="267"/>
      <c r="J26" s="268"/>
      <c r="K26" s="261"/>
      <c r="L26" s="381"/>
      <c r="M26" s="262"/>
    </row>
    <row r="27" spans="1:17" x14ac:dyDescent="0.25">
      <c r="A27" s="266"/>
      <c r="B27" s="268"/>
      <c r="C27" s="288"/>
      <c r="D27" s="289"/>
      <c r="E27" s="289"/>
      <c r="F27" s="289"/>
      <c r="G27" s="290"/>
      <c r="H27" s="266"/>
      <c r="I27" s="267"/>
      <c r="J27" s="268"/>
      <c r="K27" s="261"/>
      <c r="L27" s="381"/>
      <c r="M27" s="262"/>
    </row>
    <row r="28" spans="1:17" ht="15.75" thickBot="1" x14ac:dyDescent="0.3">
      <c r="A28" s="291"/>
      <c r="B28" s="293"/>
      <c r="C28" s="291"/>
      <c r="D28" s="292"/>
      <c r="E28" s="292"/>
      <c r="F28" s="292"/>
      <c r="G28" s="293"/>
      <c r="H28" s="291"/>
      <c r="I28" s="292"/>
      <c r="J28" s="293"/>
      <c r="K28" s="411"/>
      <c r="L28" s="541"/>
      <c r="M28" s="412"/>
    </row>
    <row r="29" spans="1:17" s="113" customFormat="1" ht="16.5" thickBot="1" x14ac:dyDescent="0.3">
      <c r="A29" s="547"/>
      <c r="B29" s="548"/>
      <c r="C29" s="552"/>
      <c r="D29" s="553"/>
      <c r="E29" s="553"/>
      <c r="F29" s="553"/>
      <c r="G29" s="554"/>
      <c r="H29" s="549" t="s">
        <v>116</v>
      </c>
      <c r="I29" s="550"/>
      <c r="J29" s="551"/>
      <c r="K29" s="544">
        <f>SUM(K16:M28)</f>
        <v>334252</v>
      </c>
      <c r="L29" s="545"/>
      <c r="M29" s="546"/>
    </row>
    <row r="31" spans="1:17" ht="15.75" thickBot="1" x14ac:dyDescent="0.3"/>
    <row r="32" spans="1:17" ht="16.5" thickBot="1" x14ac:dyDescent="0.3">
      <c r="A32" s="299" t="s">
        <v>112</v>
      </c>
      <c r="B32" s="301"/>
      <c r="C32" s="300" t="s">
        <v>306</v>
      </c>
      <c r="D32" s="300"/>
      <c r="E32" s="300"/>
      <c r="F32" s="300"/>
      <c r="G32" s="301"/>
      <c r="H32" s="299" t="s">
        <v>114</v>
      </c>
      <c r="I32" s="300"/>
      <c r="J32" s="301"/>
      <c r="K32" s="555" t="s">
        <v>113</v>
      </c>
      <c r="L32" s="556"/>
      <c r="M32" s="557"/>
    </row>
    <row r="33" spans="1:13" ht="45" customHeight="1" x14ac:dyDescent="0.25">
      <c r="A33" s="542" t="s">
        <v>371</v>
      </c>
      <c r="B33" s="543"/>
      <c r="C33" s="574" t="s">
        <v>373</v>
      </c>
      <c r="D33" s="575"/>
      <c r="E33" s="575"/>
      <c r="F33" s="575"/>
      <c r="G33" s="576"/>
      <c r="H33" s="577" t="s">
        <v>372</v>
      </c>
      <c r="I33" s="578"/>
      <c r="J33" s="579"/>
      <c r="K33" s="564">
        <v>2350</v>
      </c>
      <c r="L33" s="565"/>
      <c r="M33" s="566"/>
    </row>
    <row r="34" spans="1:13" ht="45" customHeight="1" x14ac:dyDescent="0.25">
      <c r="A34" s="284" t="s">
        <v>343</v>
      </c>
      <c r="B34" s="285"/>
      <c r="C34" s="570" t="s">
        <v>373</v>
      </c>
      <c r="D34" s="571"/>
      <c r="E34" s="571"/>
      <c r="F34" s="571"/>
      <c r="G34" s="572"/>
      <c r="H34" s="570" t="s">
        <v>372</v>
      </c>
      <c r="I34" s="571"/>
      <c r="J34" s="572"/>
      <c r="K34" s="409">
        <v>2350</v>
      </c>
      <c r="L34" s="573"/>
      <c r="M34" s="410"/>
    </row>
    <row r="35" spans="1:13" ht="30" customHeight="1" x14ac:dyDescent="0.25">
      <c r="A35" s="377" t="s">
        <v>384</v>
      </c>
      <c r="B35" s="413"/>
      <c r="C35" s="351" t="s">
        <v>385</v>
      </c>
      <c r="D35" s="351"/>
      <c r="E35" s="351"/>
      <c r="F35" s="351"/>
      <c r="G35" s="352"/>
      <c r="H35" s="377" t="s">
        <v>512</v>
      </c>
      <c r="I35" s="370"/>
      <c r="J35" s="413"/>
      <c r="K35" s="407">
        <v>11795</v>
      </c>
      <c r="L35" s="540"/>
      <c r="M35" s="408"/>
    </row>
    <row r="36" spans="1:13" x14ac:dyDescent="0.25">
      <c r="A36" s="349" t="s">
        <v>386</v>
      </c>
      <c r="B36" s="265"/>
      <c r="C36" s="570" t="s">
        <v>373</v>
      </c>
      <c r="D36" s="571"/>
      <c r="E36" s="571"/>
      <c r="F36" s="571"/>
      <c r="G36" s="572"/>
      <c r="H36" s="570" t="s">
        <v>372</v>
      </c>
      <c r="I36" s="571"/>
      <c r="J36" s="572"/>
      <c r="K36" s="409">
        <v>2350</v>
      </c>
      <c r="L36" s="573"/>
      <c r="M36" s="410"/>
    </row>
    <row r="37" spans="1:13" ht="45" customHeight="1" x14ac:dyDescent="0.25">
      <c r="A37" s="349" t="s">
        <v>388</v>
      </c>
      <c r="B37" s="265"/>
      <c r="C37" s="570" t="s">
        <v>373</v>
      </c>
      <c r="D37" s="571"/>
      <c r="E37" s="571"/>
      <c r="F37" s="571"/>
      <c r="G37" s="572"/>
      <c r="H37" s="276" t="s">
        <v>372</v>
      </c>
      <c r="I37" s="277"/>
      <c r="J37" s="278"/>
      <c r="K37" s="409">
        <v>2350</v>
      </c>
      <c r="L37" s="573"/>
      <c r="M37" s="410"/>
    </row>
    <row r="38" spans="1:13" x14ac:dyDescent="0.25">
      <c r="A38" s="349" t="s">
        <v>384</v>
      </c>
      <c r="B38" s="265"/>
      <c r="C38" s="263" t="s">
        <v>395</v>
      </c>
      <c r="D38" s="319"/>
      <c r="E38" s="319"/>
      <c r="F38" s="319"/>
      <c r="G38" s="294"/>
      <c r="H38" s="349" t="s">
        <v>396</v>
      </c>
      <c r="I38" s="264"/>
      <c r="J38" s="265"/>
      <c r="K38" s="311">
        <v>34608.699999999997</v>
      </c>
      <c r="L38" s="424"/>
      <c r="M38" s="312"/>
    </row>
    <row r="39" spans="1:13" ht="45" customHeight="1" x14ac:dyDescent="0.25">
      <c r="A39" s="349" t="s">
        <v>397</v>
      </c>
      <c r="B39" s="265"/>
      <c r="C39" s="570" t="s">
        <v>373</v>
      </c>
      <c r="D39" s="571"/>
      <c r="E39" s="571"/>
      <c r="F39" s="571"/>
      <c r="G39" s="572"/>
      <c r="H39" s="263" t="s">
        <v>372</v>
      </c>
      <c r="I39" s="319"/>
      <c r="J39" s="294"/>
      <c r="K39" s="409">
        <v>2350</v>
      </c>
      <c r="L39" s="573"/>
      <c r="M39" s="410"/>
    </row>
    <row r="40" spans="1:13" ht="44.25" customHeight="1" x14ac:dyDescent="0.25">
      <c r="A40" s="263" t="s">
        <v>404</v>
      </c>
      <c r="B40" s="294"/>
      <c r="C40" s="570" t="s">
        <v>373</v>
      </c>
      <c r="D40" s="571"/>
      <c r="E40" s="571"/>
      <c r="F40" s="571"/>
      <c r="G40" s="572"/>
      <c r="H40" s="263" t="s">
        <v>372</v>
      </c>
      <c r="I40" s="319"/>
      <c r="J40" s="294"/>
      <c r="K40" s="409">
        <v>2350</v>
      </c>
      <c r="L40" s="573"/>
      <c r="M40" s="410"/>
    </row>
    <row r="41" spans="1:13" ht="45" customHeight="1" x14ac:dyDescent="0.25">
      <c r="A41" s="349" t="s">
        <v>423</v>
      </c>
      <c r="B41" s="265"/>
      <c r="C41" s="570" t="s">
        <v>373</v>
      </c>
      <c r="D41" s="571"/>
      <c r="E41" s="571"/>
      <c r="F41" s="571"/>
      <c r="G41" s="572"/>
      <c r="H41" s="263" t="s">
        <v>372</v>
      </c>
      <c r="I41" s="319"/>
      <c r="J41" s="294"/>
      <c r="K41" s="409">
        <v>2350</v>
      </c>
      <c r="L41" s="573"/>
      <c r="M41" s="410"/>
    </row>
    <row r="42" spans="1:13" ht="45" customHeight="1" x14ac:dyDescent="0.25">
      <c r="A42" s="349" t="s">
        <v>424</v>
      </c>
      <c r="B42" s="265"/>
      <c r="C42" s="570" t="s">
        <v>373</v>
      </c>
      <c r="D42" s="571"/>
      <c r="E42" s="571"/>
      <c r="F42" s="571"/>
      <c r="G42" s="572"/>
      <c r="H42" s="263" t="s">
        <v>372</v>
      </c>
      <c r="I42" s="319"/>
      <c r="J42" s="294"/>
      <c r="K42" s="409">
        <v>2350</v>
      </c>
      <c r="L42" s="573"/>
      <c r="M42" s="410"/>
    </row>
    <row r="43" spans="1:13" ht="45" customHeight="1" x14ac:dyDescent="0.25">
      <c r="A43" s="349" t="s">
        <v>429</v>
      </c>
      <c r="B43" s="265"/>
      <c r="C43" s="570" t="s">
        <v>373</v>
      </c>
      <c r="D43" s="571"/>
      <c r="E43" s="571"/>
      <c r="F43" s="571"/>
      <c r="G43" s="572"/>
      <c r="H43" s="263" t="s">
        <v>372</v>
      </c>
      <c r="I43" s="319"/>
      <c r="J43" s="294"/>
      <c r="K43" s="409">
        <v>2350</v>
      </c>
      <c r="L43" s="573"/>
      <c r="M43" s="410"/>
    </row>
    <row r="44" spans="1:13" x14ac:dyDescent="0.25">
      <c r="A44" s="349" t="s">
        <v>424</v>
      </c>
      <c r="B44" s="265"/>
      <c r="C44" s="263" t="s">
        <v>474</v>
      </c>
      <c r="D44" s="319"/>
      <c r="E44" s="319"/>
      <c r="F44" s="319"/>
      <c r="G44" s="294"/>
      <c r="H44" s="349" t="s">
        <v>475</v>
      </c>
      <c r="I44" s="264"/>
      <c r="J44" s="265"/>
      <c r="K44" s="311">
        <v>2350</v>
      </c>
      <c r="L44" s="424"/>
      <c r="M44" s="312"/>
    </row>
    <row r="45" spans="1:13" x14ac:dyDescent="0.25">
      <c r="A45" s="349" t="s">
        <v>489</v>
      </c>
      <c r="B45" s="265"/>
      <c r="C45" s="263" t="s">
        <v>490</v>
      </c>
      <c r="D45" s="319"/>
      <c r="E45" s="319"/>
      <c r="F45" s="319"/>
      <c r="G45" s="294"/>
      <c r="H45" s="349" t="s">
        <v>491</v>
      </c>
      <c r="I45" s="264"/>
      <c r="J45" s="265"/>
      <c r="K45" s="311">
        <v>2350</v>
      </c>
      <c r="L45" s="424"/>
      <c r="M45" s="312"/>
    </row>
    <row r="46" spans="1:13" x14ac:dyDescent="0.25">
      <c r="A46" s="349" t="s">
        <v>498</v>
      </c>
      <c r="B46" s="265"/>
      <c r="C46" s="263" t="s">
        <v>490</v>
      </c>
      <c r="D46" s="319"/>
      <c r="E46" s="319"/>
      <c r="F46" s="319"/>
      <c r="G46" s="294"/>
      <c r="H46" s="349" t="s">
        <v>491</v>
      </c>
      <c r="I46" s="264"/>
      <c r="J46" s="265"/>
      <c r="K46" s="311">
        <v>2350</v>
      </c>
      <c r="L46" s="424"/>
      <c r="M46" s="312"/>
    </row>
    <row r="47" spans="1:13" x14ac:dyDescent="0.25">
      <c r="A47" s="349" t="s">
        <v>371</v>
      </c>
      <c r="B47" s="265"/>
      <c r="C47" s="263" t="s">
        <v>490</v>
      </c>
      <c r="D47" s="319"/>
      <c r="E47" s="319"/>
      <c r="F47" s="319"/>
      <c r="G47" s="294"/>
      <c r="H47" s="349" t="s">
        <v>491</v>
      </c>
      <c r="I47" s="264"/>
      <c r="J47" s="265"/>
      <c r="K47" s="311">
        <v>2350</v>
      </c>
      <c r="L47" s="424"/>
      <c r="M47" s="312"/>
    </row>
    <row r="48" spans="1:13" x14ac:dyDescent="0.25">
      <c r="A48" s="349" t="s">
        <v>511</v>
      </c>
      <c r="B48" s="265"/>
      <c r="C48" s="263" t="s">
        <v>513</v>
      </c>
      <c r="D48" s="319"/>
      <c r="E48" s="319"/>
      <c r="F48" s="319"/>
      <c r="G48" s="294"/>
      <c r="H48" s="349" t="s">
        <v>514</v>
      </c>
      <c r="I48" s="264"/>
      <c r="J48" s="265"/>
      <c r="K48" s="311">
        <v>2650</v>
      </c>
      <c r="L48" s="424"/>
      <c r="M48" s="312"/>
    </row>
    <row r="49" spans="1:13" x14ac:dyDescent="0.25">
      <c r="A49" s="349" t="s">
        <v>388</v>
      </c>
      <c r="B49" s="265"/>
      <c r="C49" s="263" t="s">
        <v>513</v>
      </c>
      <c r="D49" s="319"/>
      <c r="E49" s="319"/>
      <c r="F49" s="319"/>
      <c r="G49" s="294"/>
      <c r="H49" s="349" t="s">
        <v>515</v>
      </c>
      <c r="I49" s="264"/>
      <c r="J49" s="265"/>
      <c r="K49" s="311">
        <v>1150</v>
      </c>
      <c r="L49" s="424"/>
      <c r="M49" s="312"/>
    </row>
    <row r="50" spans="1:13" x14ac:dyDescent="0.25">
      <c r="A50" s="349" t="s">
        <v>423</v>
      </c>
      <c r="B50" s="265"/>
      <c r="C50" s="263" t="s">
        <v>490</v>
      </c>
      <c r="D50" s="319"/>
      <c r="E50" s="319"/>
      <c r="F50" s="319"/>
      <c r="G50" s="294"/>
      <c r="H50" s="349" t="s">
        <v>491</v>
      </c>
      <c r="I50" s="264"/>
      <c r="J50" s="265"/>
      <c r="K50" s="311">
        <v>2000</v>
      </c>
      <c r="L50" s="424"/>
      <c r="M50" s="312"/>
    </row>
    <row r="51" spans="1:13" x14ac:dyDescent="0.25">
      <c r="A51" s="349" t="s">
        <v>489</v>
      </c>
      <c r="B51" s="265"/>
      <c r="C51" s="263" t="s">
        <v>541</v>
      </c>
      <c r="D51" s="319"/>
      <c r="E51" s="319"/>
      <c r="F51" s="319"/>
      <c r="G51" s="294"/>
      <c r="H51" s="349" t="s">
        <v>542</v>
      </c>
      <c r="I51" s="264"/>
      <c r="J51" s="265"/>
      <c r="K51" s="311">
        <v>1150</v>
      </c>
      <c r="L51" s="424"/>
      <c r="M51" s="312"/>
    </row>
    <row r="52" spans="1:13" x14ac:dyDescent="0.25">
      <c r="A52" s="349" t="s">
        <v>397</v>
      </c>
      <c r="B52" s="265"/>
      <c r="C52" s="263" t="s">
        <v>543</v>
      </c>
      <c r="D52" s="319"/>
      <c r="E52" s="319"/>
      <c r="F52" s="319"/>
      <c r="G52" s="294"/>
      <c r="H52" s="349" t="s">
        <v>544</v>
      </c>
      <c r="I52" s="264"/>
      <c r="J52" s="265"/>
      <c r="K52" s="311">
        <v>1750</v>
      </c>
      <c r="L52" s="424"/>
      <c r="M52" s="312"/>
    </row>
    <row r="53" spans="1:13" ht="15" customHeight="1" x14ac:dyDescent="0.25">
      <c r="A53" s="349" t="s">
        <v>336</v>
      </c>
      <c r="B53" s="265"/>
      <c r="C53" s="263" t="s">
        <v>543</v>
      </c>
      <c r="D53" s="319"/>
      <c r="E53" s="319"/>
      <c r="F53" s="319"/>
      <c r="G53" s="294"/>
      <c r="H53" s="349" t="s">
        <v>544</v>
      </c>
      <c r="I53" s="264"/>
      <c r="J53" s="265"/>
      <c r="K53" s="311">
        <v>1150</v>
      </c>
      <c r="L53" s="424"/>
      <c r="M53" s="312"/>
    </row>
    <row r="54" spans="1:13" x14ac:dyDescent="0.25">
      <c r="A54" s="349" t="s">
        <v>489</v>
      </c>
      <c r="B54" s="265"/>
      <c r="C54" s="263" t="s">
        <v>543</v>
      </c>
      <c r="D54" s="319"/>
      <c r="E54" s="319"/>
      <c r="F54" s="319"/>
      <c r="G54" s="294"/>
      <c r="H54" s="349" t="s">
        <v>544</v>
      </c>
      <c r="I54" s="264"/>
      <c r="J54" s="265"/>
      <c r="K54" s="311">
        <v>1150</v>
      </c>
      <c r="L54" s="424"/>
      <c r="M54" s="312"/>
    </row>
    <row r="55" spans="1:13" x14ac:dyDescent="0.25">
      <c r="A55" s="349" t="s">
        <v>624</v>
      </c>
      <c r="B55" s="265"/>
      <c r="C55" s="263" t="s">
        <v>543</v>
      </c>
      <c r="D55" s="319"/>
      <c r="E55" s="319"/>
      <c r="F55" s="319"/>
      <c r="G55" s="294"/>
      <c r="H55" s="349" t="s">
        <v>544</v>
      </c>
      <c r="I55" s="264"/>
      <c r="J55" s="265"/>
      <c r="K55" s="311">
        <v>1150</v>
      </c>
      <c r="L55" s="424"/>
      <c r="M55" s="312"/>
    </row>
    <row r="56" spans="1:13" x14ac:dyDescent="0.25">
      <c r="A56" s="349" t="s">
        <v>625</v>
      </c>
      <c r="B56" s="265"/>
      <c r="C56" s="263" t="s">
        <v>543</v>
      </c>
      <c r="D56" s="319"/>
      <c r="E56" s="319"/>
      <c r="F56" s="319"/>
      <c r="G56" s="294"/>
      <c r="H56" s="349" t="s">
        <v>544</v>
      </c>
      <c r="I56" s="264"/>
      <c r="J56" s="265"/>
      <c r="K56" s="311">
        <v>1150</v>
      </c>
      <c r="L56" s="424"/>
      <c r="M56" s="312"/>
    </row>
    <row r="57" spans="1:13" ht="46.5" customHeight="1" x14ac:dyDescent="0.25">
      <c r="A57" s="349" t="s">
        <v>397</v>
      </c>
      <c r="B57" s="265"/>
      <c r="C57" s="263" t="s">
        <v>667</v>
      </c>
      <c r="D57" s="319"/>
      <c r="E57" s="319"/>
      <c r="F57" s="319"/>
      <c r="G57" s="294"/>
      <c r="H57" s="349" t="s">
        <v>668</v>
      </c>
      <c r="I57" s="264"/>
      <c r="J57" s="265"/>
      <c r="K57" s="311">
        <v>34355</v>
      </c>
      <c r="L57" s="424"/>
      <c r="M57" s="312"/>
    </row>
    <row r="58" spans="1:13" ht="45.75" customHeight="1" x14ac:dyDescent="0.25">
      <c r="A58" s="349" t="s">
        <v>498</v>
      </c>
      <c r="B58" s="265"/>
      <c r="C58" s="263" t="s">
        <v>667</v>
      </c>
      <c r="D58" s="319"/>
      <c r="E58" s="319"/>
      <c r="F58" s="319"/>
      <c r="G58" s="294"/>
      <c r="H58" s="349" t="s">
        <v>668</v>
      </c>
      <c r="I58" s="264"/>
      <c r="J58" s="265"/>
      <c r="K58" s="311">
        <v>34355</v>
      </c>
      <c r="L58" s="424"/>
      <c r="M58" s="312"/>
    </row>
    <row r="59" spans="1:13" ht="45.75" customHeight="1" x14ac:dyDescent="0.25">
      <c r="A59" s="349" t="s">
        <v>669</v>
      </c>
      <c r="B59" s="265"/>
      <c r="C59" s="263" t="s">
        <v>667</v>
      </c>
      <c r="D59" s="319"/>
      <c r="E59" s="319"/>
      <c r="F59" s="319"/>
      <c r="G59" s="294"/>
      <c r="H59" s="349" t="s">
        <v>668</v>
      </c>
      <c r="I59" s="264"/>
      <c r="J59" s="265"/>
      <c r="K59" s="311">
        <v>34355</v>
      </c>
      <c r="L59" s="424"/>
      <c r="M59" s="312"/>
    </row>
    <row r="60" spans="1:13" ht="30.75" customHeight="1" x14ac:dyDescent="0.25">
      <c r="A60" s="349" t="s">
        <v>709</v>
      </c>
      <c r="B60" s="265"/>
      <c r="C60" s="263" t="s">
        <v>710</v>
      </c>
      <c r="D60" s="319"/>
      <c r="E60" s="319"/>
      <c r="F60" s="319"/>
      <c r="G60" s="294"/>
      <c r="H60" s="349" t="s">
        <v>711</v>
      </c>
      <c r="I60" s="264"/>
      <c r="J60" s="265"/>
      <c r="K60" s="311">
        <v>1150</v>
      </c>
      <c r="L60" s="424"/>
      <c r="M60" s="312"/>
    </row>
    <row r="61" spans="1:13" ht="30" customHeight="1" x14ac:dyDescent="0.25">
      <c r="A61" s="349" t="s">
        <v>489</v>
      </c>
      <c r="B61" s="265"/>
      <c r="C61" s="263" t="s">
        <v>710</v>
      </c>
      <c r="D61" s="319"/>
      <c r="E61" s="319"/>
      <c r="F61" s="319"/>
      <c r="G61" s="294"/>
      <c r="H61" s="349" t="s">
        <v>711</v>
      </c>
      <c r="I61" s="264"/>
      <c r="J61" s="265"/>
      <c r="K61" s="311">
        <v>1150</v>
      </c>
      <c r="L61" s="424"/>
      <c r="M61" s="312"/>
    </row>
    <row r="62" spans="1:13" ht="30" customHeight="1" x14ac:dyDescent="0.25">
      <c r="A62" s="349" t="s">
        <v>397</v>
      </c>
      <c r="B62" s="265"/>
      <c r="C62" s="263" t="s">
        <v>771</v>
      </c>
      <c r="D62" s="319"/>
      <c r="E62" s="319"/>
      <c r="F62" s="319"/>
      <c r="G62" s="294"/>
      <c r="H62" s="349" t="s">
        <v>772</v>
      </c>
      <c r="I62" s="264"/>
      <c r="J62" s="265"/>
      <c r="K62" s="311">
        <v>12550</v>
      </c>
      <c r="L62" s="424"/>
      <c r="M62" s="312"/>
    </row>
    <row r="63" spans="1:13" ht="30" customHeight="1" x14ac:dyDescent="0.25">
      <c r="A63" s="349" t="s">
        <v>489</v>
      </c>
      <c r="B63" s="265"/>
      <c r="C63" s="263" t="s">
        <v>824</v>
      </c>
      <c r="D63" s="319"/>
      <c r="E63" s="319"/>
      <c r="F63" s="319"/>
      <c r="G63" s="294"/>
      <c r="H63" s="349" t="s">
        <v>789</v>
      </c>
      <c r="I63" s="264"/>
      <c r="J63" s="265"/>
      <c r="K63" s="311">
        <v>1000</v>
      </c>
      <c r="L63" s="424"/>
      <c r="M63" s="312"/>
    </row>
    <row r="64" spans="1:13" ht="18" customHeight="1" x14ac:dyDescent="0.25">
      <c r="A64" s="349" t="s">
        <v>709</v>
      </c>
      <c r="B64" s="265"/>
      <c r="C64" s="263" t="s">
        <v>903</v>
      </c>
      <c r="D64" s="319"/>
      <c r="E64" s="319"/>
      <c r="F64" s="319"/>
      <c r="G64" s="294"/>
      <c r="H64" s="349" t="s">
        <v>904</v>
      </c>
      <c r="I64" s="264"/>
      <c r="J64" s="265"/>
      <c r="K64" s="311">
        <v>7100</v>
      </c>
      <c r="L64" s="424"/>
      <c r="M64" s="312"/>
    </row>
    <row r="65" spans="1:13" ht="97.5" customHeight="1" x14ac:dyDescent="0.25">
      <c r="A65" s="349" t="s">
        <v>397</v>
      </c>
      <c r="B65" s="265"/>
      <c r="C65" s="263" t="s">
        <v>907</v>
      </c>
      <c r="D65" s="319"/>
      <c r="E65" s="319"/>
      <c r="F65" s="319"/>
      <c r="G65" s="294"/>
      <c r="H65" s="349" t="s">
        <v>908</v>
      </c>
      <c r="I65" s="264"/>
      <c r="J65" s="265"/>
      <c r="K65" s="311">
        <v>3000</v>
      </c>
      <c r="L65" s="424"/>
      <c r="M65" s="312"/>
    </row>
    <row r="66" spans="1:13" ht="31.5" customHeight="1" x14ac:dyDescent="0.25">
      <c r="A66" s="349" t="s">
        <v>386</v>
      </c>
      <c r="B66" s="265"/>
      <c r="C66" s="263" t="s">
        <v>934</v>
      </c>
      <c r="D66" s="319"/>
      <c r="E66" s="319"/>
      <c r="F66" s="319"/>
      <c r="G66" s="294"/>
      <c r="H66" s="349" t="s">
        <v>789</v>
      </c>
      <c r="I66" s="264"/>
      <c r="J66" s="265"/>
      <c r="K66" s="311">
        <v>1150</v>
      </c>
      <c r="L66" s="424"/>
      <c r="M66" s="312"/>
    </row>
    <row r="67" spans="1:13" ht="28.5" customHeight="1" x14ac:dyDescent="0.25">
      <c r="A67" s="349" t="s">
        <v>942</v>
      </c>
      <c r="B67" s="265"/>
      <c r="C67" s="263" t="s">
        <v>934</v>
      </c>
      <c r="D67" s="319"/>
      <c r="E67" s="319"/>
      <c r="F67" s="319"/>
      <c r="G67" s="294"/>
      <c r="H67" s="349" t="s">
        <v>789</v>
      </c>
      <c r="I67" s="264"/>
      <c r="J67" s="265"/>
      <c r="K67" s="311">
        <v>1000</v>
      </c>
      <c r="L67" s="424"/>
      <c r="M67" s="312"/>
    </row>
    <row r="68" spans="1:13" ht="45.75" customHeight="1" x14ac:dyDescent="0.25">
      <c r="A68" s="349" t="s">
        <v>1012</v>
      </c>
      <c r="B68" s="265"/>
      <c r="C68" s="304" t="s">
        <v>1013</v>
      </c>
      <c r="D68" s="305"/>
      <c r="E68" s="305"/>
      <c r="F68" s="305"/>
      <c r="G68" s="306"/>
      <c r="H68" s="349" t="s">
        <v>1014</v>
      </c>
      <c r="I68" s="264"/>
      <c r="J68" s="265"/>
      <c r="K68" s="311">
        <v>24478</v>
      </c>
      <c r="L68" s="424"/>
      <c r="M68" s="312"/>
    </row>
    <row r="69" spans="1:13" ht="44.25" customHeight="1" x14ac:dyDescent="0.25">
      <c r="A69" s="349" t="s">
        <v>336</v>
      </c>
      <c r="B69" s="265"/>
      <c r="C69" s="263" t="s">
        <v>1015</v>
      </c>
      <c r="D69" s="319"/>
      <c r="E69" s="319"/>
      <c r="F69" s="319"/>
      <c r="G69" s="294"/>
      <c r="H69" s="349" t="s">
        <v>995</v>
      </c>
      <c r="I69" s="264"/>
      <c r="J69" s="265"/>
      <c r="K69" s="311">
        <v>6000</v>
      </c>
      <c r="L69" s="424"/>
      <c r="M69" s="312"/>
    </row>
    <row r="70" spans="1:13" x14ac:dyDescent="0.25">
      <c r="A70" s="349"/>
      <c r="B70" s="265"/>
      <c r="C70" s="263"/>
      <c r="D70" s="319"/>
      <c r="E70" s="319"/>
      <c r="F70" s="319"/>
      <c r="G70" s="294"/>
      <c r="H70" s="349"/>
      <c r="I70" s="264"/>
      <c r="J70" s="265"/>
      <c r="K70" s="311"/>
      <c r="L70" s="424"/>
      <c r="M70" s="312"/>
    </row>
    <row r="71" spans="1:13" x14ac:dyDescent="0.25">
      <c r="A71" s="349"/>
      <c r="B71" s="265"/>
      <c r="C71" s="263"/>
      <c r="D71" s="319"/>
      <c r="E71" s="319"/>
      <c r="F71" s="319"/>
      <c r="G71" s="294"/>
      <c r="H71" s="349"/>
      <c r="I71" s="264"/>
      <c r="J71" s="265"/>
      <c r="K71" s="311"/>
      <c r="L71" s="424"/>
      <c r="M71" s="312"/>
    </row>
    <row r="72" spans="1:13" x14ac:dyDescent="0.25">
      <c r="A72" s="349"/>
      <c r="B72" s="265"/>
      <c r="C72" s="263"/>
      <c r="D72" s="319"/>
      <c r="E72" s="319"/>
      <c r="F72" s="319"/>
      <c r="G72" s="294"/>
      <c r="H72" s="349"/>
      <c r="I72" s="264"/>
      <c r="J72" s="265"/>
      <c r="K72" s="311"/>
      <c r="L72" s="424"/>
      <c r="M72" s="312"/>
    </row>
    <row r="73" spans="1:13" x14ac:dyDescent="0.25">
      <c r="A73" s="266"/>
      <c r="B73" s="268"/>
      <c r="C73" s="289"/>
      <c r="D73" s="289"/>
      <c r="E73" s="289"/>
      <c r="F73" s="289"/>
      <c r="G73" s="290"/>
      <c r="H73" s="266"/>
      <c r="I73" s="267"/>
      <c r="J73" s="268"/>
      <c r="K73" s="567"/>
      <c r="L73" s="568"/>
      <c r="M73" s="569"/>
    </row>
    <row r="74" spans="1:13" ht="15.75" thickBot="1" x14ac:dyDescent="0.3">
      <c r="A74" s="291"/>
      <c r="B74" s="293"/>
      <c r="C74" s="291"/>
      <c r="D74" s="292"/>
      <c r="E74" s="292"/>
      <c r="F74" s="292"/>
      <c r="G74" s="293"/>
      <c r="H74" s="291"/>
      <c r="I74" s="292"/>
      <c r="J74" s="293"/>
      <c r="K74" s="297"/>
      <c r="L74" s="580"/>
      <c r="M74" s="298"/>
    </row>
    <row r="75" spans="1:13" ht="16.5" thickBot="1" x14ac:dyDescent="0.3">
      <c r="A75" s="547"/>
      <c r="B75" s="548"/>
      <c r="C75" s="552"/>
      <c r="D75" s="553"/>
      <c r="E75" s="553"/>
      <c r="F75" s="553"/>
      <c r="G75" s="554"/>
      <c r="H75" s="549" t="s">
        <v>116</v>
      </c>
      <c r="I75" s="550"/>
      <c r="J75" s="551"/>
      <c r="K75" s="544">
        <f>SUM(K33:M74)</f>
        <v>251896.7</v>
      </c>
      <c r="L75" s="545"/>
      <c r="M75" s="546"/>
    </row>
    <row r="78" spans="1:13" x14ac:dyDescent="0.25">
      <c r="D78" s="185"/>
      <c r="E78" s="185"/>
      <c r="F78" s="185"/>
      <c r="G78" s="185"/>
      <c r="H78" s="185"/>
    </row>
    <row r="82" spans="5:5" x14ac:dyDescent="0.25">
      <c r="E82" t="s">
        <v>20</v>
      </c>
    </row>
  </sheetData>
  <mergeCells count="232">
    <mergeCell ref="A24:B24"/>
    <mergeCell ref="A25:B25"/>
    <mergeCell ref="A26:B26"/>
    <mergeCell ref="A27:B27"/>
    <mergeCell ref="C24:G24"/>
    <mergeCell ref="C25:G25"/>
    <mergeCell ref="C26:G26"/>
    <mergeCell ref="C27:G27"/>
    <mergeCell ref="H24:J24"/>
    <mergeCell ref="H25:J25"/>
    <mergeCell ref="H26:J26"/>
    <mergeCell ref="H27:J27"/>
    <mergeCell ref="A68:B68"/>
    <mergeCell ref="C63:G63"/>
    <mergeCell ref="H63:J63"/>
    <mergeCell ref="K63:M63"/>
    <mergeCell ref="K57:M57"/>
    <mergeCell ref="K58:M58"/>
    <mergeCell ref="K59:M59"/>
    <mergeCell ref="K60:M60"/>
    <mergeCell ref="K61:M61"/>
    <mergeCell ref="K62:M62"/>
    <mergeCell ref="A57:B57"/>
    <mergeCell ref="A58:B58"/>
    <mergeCell ref="A59:B59"/>
    <mergeCell ref="A60:B60"/>
    <mergeCell ref="A61:B61"/>
    <mergeCell ref="C58:G58"/>
    <mergeCell ref="C59:G59"/>
    <mergeCell ref="C60:G60"/>
    <mergeCell ref="C61:G61"/>
    <mergeCell ref="C64:G64"/>
    <mergeCell ref="C65:G65"/>
    <mergeCell ref="C66:G66"/>
    <mergeCell ref="C67:G67"/>
    <mergeCell ref="C68:G68"/>
    <mergeCell ref="A54:B54"/>
    <mergeCell ref="A55:B55"/>
    <mergeCell ref="A56:B56"/>
    <mergeCell ref="A72:B72"/>
    <mergeCell ref="C54:G54"/>
    <mergeCell ref="C55:G55"/>
    <mergeCell ref="C56:G56"/>
    <mergeCell ref="C72:G72"/>
    <mergeCell ref="H54:J54"/>
    <mergeCell ref="H55:J55"/>
    <mergeCell ref="H56:J56"/>
    <mergeCell ref="H72:J72"/>
    <mergeCell ref="C62:G62"/>
    <mergeCell ref="H61:J61"/>
    <mergeCell ref="H62:J62"/>
    <mergeCell ref="H57:J57"/>
    <mergeCell ref="H58:J58"/>
    <mergeCell ref="H59:J59"/>
    <mergeCell ref="H60:J60"/>
    <mergeCell ref="A63:B63"/>
    <mergeCell ref="A64:B64"/>
    <mergeCell ref="A65:B65"/>
    <mergeCell ref="A66:B66"/>
    <mergeCell ref="A67:B67"/>
    <mergeCell ref="K54:M54"/>
    <mergeCell ref="K55:M55"/>
    <mergeCell ref="K56:M56"/>
    <mergeCell ref="K72:M72"/>
    <mergeCell ref="A62:B62"/>
    <mergeCell ref="C57:G57"/>
    <mergeCell ref="A21:B21"/>
    <mergeCell ref="A22:B22"/>
    <mergeCell ref="A23:B23"/>
    <mergeCell ref="C21:G21"/>
    <mergeCell ref="C22:G22"/>
    <mergeCell ref="C23:G23"/>
    <mergeCell ref="H21:J21"/>
    <mergeCell ref="H22:J22"/>
    <mergeCell ref="H23:J23"/>
    <mergeCell ref="H46:J46"/>
    <mergeCell ref="H48:J48"/>
    <mergeCell ref="H47:J47"/>
    <mergeCell ref="H49:J49"/>
    <mergeCell ref="H50:J50"/>
    <mergeCell ref="K46:M46"/>
    <mergeCell ref="K47:M47"/>
    <mergeCell ref="K48:M48"/>
    <mergeCell ref="K49:M49"/>
    <mergeCell ref="K50:M50"/>
    <mergeCell ref="A43:B43"/>
    <mergeCell ref="A52:B52"/>
    <mergeCell ref="C42:G42"/>
    <mergeCell ref="C43:G43"/>
    <mergeCell ref="C52:G52"/>
    <mergeCell ref="H42:J42"/>
    <mergeCell ref="H43:J43"/>
    <mergeCell ref="H52:J52"/>
    <mergeCell ref="A44:B44"/>
    <mergeCell ref="C44:G44"/>
    <mergeCell ref="H44:J44"/>
    <mergeCell ref="H45:J45"/>
    <mergeCell ref="A45:B45"/>
    <mergeCell ref="A51:B51"/>
    <mergeCell ref="A46:B46"/>
    <mergeCell ref="A47:B47"/>
    <mergeCell ref="A48:B48"/>
    <mergeCell ref="A49:B49"/>
    <mergeCell ref="A50:B50"/>
    <mergeCell ref="C46:G46"/>
    <mergeCell ref="C48:G48"/>
    <mergeCell ref="C47:G47"/>
    <mergeCell ref="C49:G49"/>
    <mergeCell ref="C50:G50"/>
    <mergeCell ref="A38:B38"/>
    <mergeCell ref="A53:B53"/>
    <mergeCell ref="C38:G38"/>
    <mergeCell ref="C53:G53"/>
    <mergeCell ref="H38:J38"/>
    <mergeCell ref="H53:J53"/>
    <mergeCell ref="K38:M38"/>
    <mergeCell ref="K53:M53"/>
    <mergeCell ref="A39:B39"/>
    <mergeCell ref="A40:B40"/>
    <mergeCell ref="A41:B41"/>
    <mergeCell ref="C39:G39"/>
    <mergeCell ref="C40:G40"/>
    <mergeCell ref="C41:G41"/>
    <mergeCell ref="H39:J39"/>
    <mergeCell ref="H40:J40"/>
    <mergeCell ref="H41:J41"/>
    <mergeCell ref="K39:M39"/>
    <mergeCell ref="K40:M40"/>
    <mergeCell ref="K41:M41"/>
    <mergeCell ref="K42:M42"/>
    <mergeCell ref="K43:M43"/>
    <mergeCell ref="K52:M52"/>
    <mergeCell ref="A42:B42"/>
    <mergeCell ref="A35:B35"/>
    <mergeCell ref="C35:G35"/>
    <mergeCell ref="H35:J35"/>
    <mergeCell ref="K35:M35"/>
    <mergeCell ref="A75:B75"/>
    <mergeCell ref="C75:G75"/>
    <mergeCell ref="H75:J75"/>
    <mergeCell ref="K75:M75"/>
    <mergeCell ref="A73:B73"/>
    <mergeCell ref="C73:G73"/>
    <mergeCell ref="H73:J73"/>
    <mergeCell ref="K73:M73"/>
    <mergeCell ref="A74:B74"/>
    <mergeCell ref="C74:G74"/>
    <mergeCell ref="H74:J74"/>
    <mergeCell ref="K74:M74"/>
    <mergeCell ref="A36:B36"/>
    <mergeCell ref="A37:B37"/>
    <mergeCell ref="C36:G36"/>
    <mergeCell ref="C37:G37"/>
    <mergeCell ref="H36:J36"/>
    <mergeCell ref="H37:J37"/>
    <mergeCell ref="K36:M36"/>
    <mergeCell ref="K37:M37"/>
    <mergeCell ref="A32:B32"/>
    <mergeCell ref="C32:G32"/>
    <mergeCell ref="H32:J32"/>
    <mergeCell ref="K32:M32"/>
    <mergeCell ref="A33:B33"/>
    <mergeCell ref="C33:G33"/>
    <mergeCell ref="H33:J33"/>
    <mergeCell ref="K33:M33"/>
    <mergeCell ref="A34:B34"/>
    <mergeCell ref="C34:G34"/>
    <mergeCell ref="H34:J34"/>
    <mergeCell ref="K34:M34"/>
    <mergeCell ref="K19:M19"/>
    <mergeCell ref="C29:G29"/>
    <mergeCell ref="K15:M15"/>
    <mergeCell ref="H16:J17"/>
    <mergeCell ref="K16:M17"/>
    <mergeCell ref="C16:G17"/>
    <mergeCell ref="K20:M20"/>
    <mergeCell ref="C18:G18"/>
    <mergeCell ref="H18:J18"/>
    <mergeCell ref="K18:M18"/>
    <mergeCell ref="K21:M21"/>
    <mergeCell ref="K22:M22"/>
    <mergeCell ref="K23:M23"/>
    <mergeCell ref="K24:M24"/>
    <mergeCell ref="K25:M25"/>
    <mergeCell ref="K26:M26"/>
    <mergeCell ref="K27:M27"/>
    <mergeCell ref="K44:M44"/>
    <mergeCell ref="K45:M45"/>
    <mergeCell ref="K51:M51"/>
    <mergeCell ref="H51:J51"/>
    <mergeCell ref="C45:G45"/>
    <mergeCell ref="C51:G51"/>
    <mergeCell ref="A15:B15"/>
    <mergeCell ref="C15:G15"/>
    <mergeCell ref="A16:B17"/>
    <mergeCell ref="H15:J15"/>
    <mergeCell ref="H28:J28"/>
    <mergeCell ref="A18:B18"/>
    <mergeCell ref="A28:B28"/>
    <mergeCell ref="C19:G19"/>
    <mergeCell ref="A19:B19"/>
    <mergeCell ref="A20:B20"/>
    <mergeCell ref="K29:M29"/>
    <mergeCell ref="A29:B29"/>
    <mergeCell ref="H19:J19"/>
    <mergeCell ref="C28:G28"/>
    <mergeCell ref="K28:M28"/>
    <mergeCell ref="H29:J29"/>
    <mergeCell ref="C20:G20"/>
    <mergeCell ref="H20:J20"/>
    <mergeCell ref="K69:M69"/>
    <mergeCell ref="K70:M70"/>
    <mergeCell ref="K71:M71"/>
    <mergeCell ref="H64:J64"/>
    <mergeCell ref="H65:J65"/>
    <mergeCell ref="H66:J66"/>
    <mergeCell ref="H67:J67"/>
    <mergeCell ref="H68:J68"/>
    <mergeCell ref="K64:M64"/>
    <mergeCell ref="K65:M65"/>
    <mergeCell ref="K66:M66"/>
    <mergeCell ref="K67:M67"/>
    <mergeCell ref="K68:M68"/>
    <mergeCell ref="A69:B69"/>
    <mergeCell ref="A70:B70"/>
    <mergeCell ref="A71:B71"/>
    <mergeCell ref="C69:G69"/>
    <mergeCell ref="C70:G70"/>
    <mergeCell ref="C71:G71"/>
    <mergeCell ref="H69:J69"/>
    <mergeCell ref="H70:J70"/>
    <mergeCell ref="H71:J71"/>
  </mergeCells>
  <pageMargins left="0.25" right="0.25" top="0.75" bottom="0.87" header="0.3" footer="0.69"/>
  <pageSetup paperSize="256" scale="53" fitToWidth="0" orientation="landscape" horizontalDpi="4294967293"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4E34E-FF40-4F1F-82F7-7133587339AD}">
  <dimension ref="A1:ES51"/>
  <sheetViews>
    <sheetView workbookViewId="0">
      <selection activeCell="P20" sqref="P20"/>
    </sheetView>
  </sheetViews>
  <sheetFormatPr defaultRowHeight="15" x14ac:dyDescent="0.25"/>
  <cols>
    <col min="1" max="1" width="39.28515625" customWidth="1"/>
    <col min="2" max="2" width="18.7109375" hidden="1" customWidth="1"/>
    <col min="3" max="3" width="16.7109375" customWidth="1"/>
    <col min="4" max="4" width="17.42578125" customWidth="1"/>
    <col min="5" max="5" width="17.85546875" customWidth="1"/>
    <col min="6" max="6" width="15.28515625" customWidth="1"/>
    <col min="7" max="7" width="10.28515625" customWidth="1"/>
    <col min="8" max="8" width="10.28515625" bestFit="1" customWidth="1"/>
    <col min="9" max="9" width="11.28515625" bestFit="1" customWidth="1"/>
    <col min="10" max="10" width="10.28515625" bestFit="1" customWidth="1"/>
    <col min="11" max="11" width="11.28515625" bestFit="1" customWidth="1"/>
    <col min="12" max="13" width="10.28515625" bestFit="1" customWidth="1"/>
    <col min="14" max="14" width="9.28515625" bestFit="1" customWidth="1"/>
    <col min="15" max="15" width="11.28515625" customWidth="1"/>
    <col min="16" max="16" width="12.5703125" customWidth="1"/>
    <col min="17" max="17" width="10.85546875" customWidth="1"/>
    <col min="18" max="19" width="11.28515625" customWidth="1"/>
    <col min="20" max="20" width="15.140625" customWidth="1"/>
  </cols>
  <sheetData>
    <row r="1" spans="1:149" ht="72.75" customHeight="1" thickBot="1" x14ac:dyDescent="0.3">
      <c r="A1" s="1"/>
      <c r="B1" s="2" t="s">
        <v>0</v>
      </c>
      <c r="C1" s="3" t="s">
        <v>122</v>
      </c>
      <c r="D1" s="4" t="s">
        <v>124</v>
      </c>
      <c r="E1" s="5" t="s">
        <v>2</v>
      </c>
      <c r="F1" s="6" t="s">
        <v>3</v>
      </c>
      <c r="G1" s="7" t="s">
        <v>4</v>
      </c>
      <c r="H1" s="8" t="s">
        <v>5</v>
      </c>
      <c r="I1" s="8" t="s">
        <v>6</v>
      </c>
      <c r="J1" s="8" t="s">
        <v>7</v>
      </c>
      <c r="K1" s="8" t="s">
        <v>8</v>
      </c>
      <c r="L1" s="8" t="s">
        <v>9</v>
      </c>
      <c r="M1" s="8" t="s">
        <v>10</v>
      </c>
      <c r="N1" s="8" t="s">
        <v>11</v>
      </c>
      <c r="O1" s="8" t="s">
        <v>12</v>
      </c>
      <c r="P1" s="8" t="s">
        <v>13</v>
      </c>
      <c r="Q1" s="8" t="s">
        <v>14</v>
      </c>
      <c r="R1" s="9" t="s">
        <v>15</v>
      </c>
      <c r="S1" s="66"/>
      <c r="T1" s="10" t="s">
        <v>16</v>
      </c>
    </row>
    <row r="2" spans="1:149" ht="16.5" thickBot="1" x14ac:dyDescent="0.3">
      <c r="A2" s="60" t="s">
        <v>91</v>
      </c>
      <c r="B2" s="104"/>
      <c r="C2" s="86"/>
      <c r="D2" s="61"/>
      <c r="E2" s="91" t="s">
        <v>17</v>
      </c>
      <c r="F2" s="92"/>
      <c r="G2" s="106"/>
      <c r="H2" s="57"/>
      <c r="I2" s="88"/>
      <c r="J2" s="57"/>
      <c r="K2" s="88"/>
      <c r="L2" s="57"/>
      <c r="M2" s="88"/>
      <c r="N2" s="57"/>
      <c r="O2" s="88"/>
      <c r="P2" s="57"/>
      <c r="Q2" s="88"/>
      <c r="R2" s="57"/>
      <c r="S2" s="57"/>
      <c r="T2" s="12"/>
    </row>
    <row r="3" spans="1:149" ht="15.75" x14ac:dyDescent="0.25">
      <c r="A3" s="94" t="s">
        <v>29</v>
      </c>
      <c r="B3" s="107" t="s">
        <v>18</v>
      </c>
      <c r="C3" s="58"/>
      <c r="D3" s="59">
        <v>19463</v>
      </c>
      <c r="E3" s="89">
        <f>SUM(G3:R3)</f>
        <v>31816</v>
      </c>
      <c r="F3" s="90">
        <f>C3+D3-E3</f>
        <v>-12353</v>
      </c>
      <c r="G3" s="53"/>
      <c r="H3" s="53"/>
      <c r="I3" s="53"/>
      <c r="J3" s="53"/>
      <c r="K3" s="53"/>
      <c r="L3" s="53"/>
      <c r="M3" s="53">
        <f>7770+12148+11898</f>
        <v>31816</v>
      </c>
      <c r="N3" s="53"/>
      <c r="O3" s="53"/>
      <c r="P3" s="53"/>
      <c r="Q3" s="53"/>
      <c r="R3" s="53"/>
      <c r="S3" s="74"/>
      <c r="T3" s="81">
        <f>SUM(G3:R3)</f>
        <v>31816</v>
      </c>
    </row>
    <row r="4" spans="1:149" ht="15.75" x14ac:dyDescent="0.25">
      <c r="A4" s="94" t="s">
        <v>34</v>
      </c>
      <c r="B4" s="107"/>
      <c r="C4" s="159"/>
      <c r="D4" s="59"/>
      <c r="E4" s="89"/>
      <c r="F4" s="90"/>
      <c r="G4" s="53"/>
      <c r="H4" s="53"/>
      <c r="I4" s="53">
        <f>916</f>
        <v>916</v>
      </c>
      <c r="J4" s="53"/>
      <c r="K4" s="53"/>
      <c r="L4" s="53">
        <f>14500+9998</f>
        <v>24498</v>
      </c>
      <c r="M4" s="53"/>
      <c r="N4" s="53"/>
      <c r="O4" s="53"/>
      <c r="P4" s="53">
        <f>164+1172</f>
        <v>1336</v>
      </c>
      <c r="Q4" s="53"/>
      <c r="R4" s="146"/>
      <c r="S4" s="42"/>
      <c r="T4" s="53">
        <f>SUM(G4:R4)</f>
        <v>26750</v>
      </c>
    </row>
    <row r="5" spans="1:149" ht="15.75" x14ac:dyDescent="0.25">
      <c r="A5" s="13" t="s">
        <v>102</v>
      </c>
      <c r="B5" s="21"/>
      <c r="C5" s="68"/>
      <c r="D5" s="16">
        <v>124218</v>
      </c>
      <c r="E5" s="89">
        <f t="shared" ref="E5:E13" si="0">SUM(G5:R5)</f>
        <v>166746.75</v>
      </c>
      <c r="F5" s="90">
        <f t="shared" ref="F5:F13" si="1">C5+D5-E5</f>
        <v>-42528.75</v>
      </c>
      <c r="G5" s="19"/>
      <c r="H5" s="19"/>
      <c r="I5" s="19"/>
      <c r="J5" s="19"/>
      <c r="K5" s="19">
        <f>4150</f>
        <v>4150</v>
      </c>
      <c r="L5" s="19"/>
      <c r="M5" s="19"/>
      <c r="N5" s="19"/>
      <c r="O5" s="19"/>
      <c r="P5" s="19">
        <f>13000+149596.75</f>
        <v>162596.75</v>
      </c>
      <c r="Q5" s="19"/>
      <c r="R5" s="48"/>
      <c r="S5" s="42"/>
      <c r="T5" s="19">
        <f t="shared" ref="T5:T13" si="2">SUM(G5:R5)</f>
        <v>166746.75</v>
      </c>
    </row>
    <row r="6" spans="1:149" ht="15.75" x14ac:dyDescent="0.25">
      <c r="A6" s="34" t="s">
        <v>103</v>
      </c>
      <c r="B6" s="35"/>
      <c r="C6" s="68"/>
      <c r="D6" s="16"/>
      <c r="E6" s="89"/>
      <c r="F6" s="90"/>
      <c r="G6" s="37">
        <f>4150</f>
        <v>4150</v>
      </c>
      <c r="H6" s="37">
        <f>3450+4150+4150+3450+4150+4150</f>
        <v>23500</v>
      </c>
      <c r="I6" s="37">
        <f>4150+4150</f>
        <v>8300</v>
      </c>
      <c r="J6" s="37">
        <f>4150</f>
        <v>4150</v>
      </c>
      <c r="K6" s="37"/>
      <c r="L6" s="37">
        <f>4150+8300</f>
        <v>12450</v>
      </c>
      <c r="M6" s="37"/>
      <c r="N6" s="37"/>
      <c r="O6" s="37"/>
      <c r="P6" s="37"/>
      <c r="Q6" s="37"/>
      <c r="R6" s="48"/>
      <c r="S6" s="82"/>
      <c r="T6" s="19">
        <f t="shared" si="2"/>
        <v>52550</v>
      </c>
    </row>
    <row r="7" spans="1:149" ht="15.75" x14ac:dyDescent="0.25">
      <c r="A7" s="43" t="s">
        <v>157</v>
      </c>
      <c r="B7" s="35"/>
      <c r="C7" s="15"/>
      <c r="D7" s="16">
        <v>25126</v>
      </c>
      <c r="E7" s="89">
        <f t="shared" si="0"/>
        <v>0</v>
      </c>
      <c r="F7" s="90">
        <f t="shared" si="1"/>
        <v>25126</v>
      </c>
      <c r="G7" s="37"/>
      <c r="H7" s="37"/>
      <c r="I7" s="37"/>
      <c r="J7" s="37"/>
      <c r="K7" s="37"/>
      <c r="L7" s="37"/>
      <c r="M7" s="37"/>
      <c r="N7" s="37"/>
      <c r="O7" s="37"/>
      <c r="P7" s="37"/>
      <c r="Q7" s="37"/>
      <c r="R7" s="19"/>
      <c r="S7" s="51"/>
      <c r="T7" s="19">
        <f t="shared" si="2"/>
        <v>0</v>
      </c>
    </row>
    <row r="8" spans="1:149" ht="15.75" x14ac:dyDescent="0.25">
      <c r="A8" s="73" t="s">
        <v>158</v>
      </c>
      <c r="B8" s="35"/>
      <c r="C8" s="15"/>
      <c r="D8" s="16">
        <v>5560</v>
      </c>
      <c r="E8" s="89">
        <f t="shared" si="0"/>
        <v>0</v>
      </c>
      <c r="F8" s="90">
        <f t="shared" si="1"/>
        <v>5560</v>
      </c>
      <c r="G8" s="51"/>
      <c r="H8" s="19"/>
      <c r="I8" s="19"/>
      <c r="J8" s="19"/>
      <c r="K8" s="19"/>
      <c r="L8" s="42"/>
      <c r="M8" s="19"/>
      <c r="N8" s="19"/>
      <c r="O8" s="19"/>
      <c r="P8" s="19"/>
      <c r="Q8" s="51"/>
      <c r="R8" s="19"/>
      <c r="S8" s="51"/>
      <c r="T8" s="53">
        <f t="shared" si="2"/>
        <v>0</v>
      </c>
    </row>
    <row r="9" spans="1:149" s="44" customFormat="1" ht="15.75" x14ac:dyDescent="0.25">
      <c r="A9" s="45" t="s">
        <v>32</v>
      </c>
      <c r="B9" s="21"/>
      <c r="C9" s="15"/>
      <c r="D9" s="16">
        <v>15000</v>
      </c>
      <c r="E9" s="89">
        <f t="shared" si="0"/>
        <v>0</v>
      </c>
      <c r="F9" s="90">
        <f t="shared" si="1"/>
        <v>15000</v>
      </c>
      <c r="G9" s="49"/>
      <c r="H9" s="53"/>
      <c r="I9" s="74"/>
      <c r="J9" s="53"/>
      <c r="K9" s="74"/>
      <c r="L9" s="53"/>
      <c r="M9" s="74"/>
      <c r="N9" s="53"/>
      <c r="O9" s="74"/>
      <c r="P9" s="53"/>
      <c r="Q9" s="49"/>
      <c r="R9" s="19"/>
      <c r="S9" s="49"/>
      <c r="T9" s="53">
        <f t="shared" si="2"/>
        <v>0</v>
      </c>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s="46"/>
    </row>
    <row r="10" spans="1:149" s="44" customFormat="1" ht="15.75" x14ac:dyDescent="0.25">
      <c r="A10" s="45" t="s">
        <v>159</v>
      </c>
      <c r="B10" s="21"/>
      <c r="C10" s="15"/>
      <c r="D10" s="16">
        <v>30000</v>
      </c>
      <c r="E10" s="89">
        <f t="shared" si="0"/>
        <v>0</v>
      </c>
      <c r="F10" s="90">
        <f t="shared" si="1"/>
        <v>30000</v>
      </c>
      <c r="G10" s="49"/>
      <c r="H10" s="19"/>
      <c r="I10" s="49"/>
      <c r="J10" s="19"/>
      <c r="K10" s="49"/>
      <c r="L10" s="19"/>
      <c r="M10" s="49"/>
      <c r="N10" s="19"/>
      <c r="O10" s="49"/>
      <c r="P10" s="19"/>
      <c r="Q10" s="49"/>
      <c r="R10" s="19"/>
      <c r="S10" s="49"/>
      <c r="T10" s="53">
        <f t="shared" si="2"/>
        <v>0</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s="46"/>
    </row>
    <row r="11" spans="1:149" s="44" customFormat="1" ht="15.75" x14ac:dyDescent="0.25">
      <c r="A11" s="45" t="s">
        <v>160</v>
      </c>
      <c r="B11" s="21"/>
      <c r="C11" s="15"/>
      <c r="D11" s="16">
        <v>35000</v>
      </c>
      <c r="E11" s="89">
        <f t="shared" si="0"/>
        <v>0</v>
      </c>
      <c r="F11" s="90">
        <f t="shared" si="1"/>
        <v>35000</v>
      </c>
      <c r="G11" s="51"/>
      <c r="H11" s="19"/>
      <c r="I11" s="51"/>
      <c r="J11" s="19"/>
      <c r="K11" s="51"/>
      <c r="L11" s="19"/>
      <c r="M11" s="51"/>
      <c r="N11" s="19"/>
      <c r="O11" s="51"/>
      <c r="P11" s="19"/>
      <c r="Q11" s="51"/>
      <c r="R11" s="19"/>
      <c r="S11" s="51"/>
      <c r="T11" s="53">
        <f t="shared" si="2"/>
        <v>0</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s="46"/>
    </row>
    <row r="12" spans="1:149" ht="15.75" x14ac:dyDescent="0.25">
      <c r="A12" s="71" t="s">
        <v>21</v>
      </c>
      <c r="B12" s="40"/>
      <c r="C12" s="15"/>
      <c r="D12" s="72">
        <v>64000</v>
      </c>
      <c r="E12" s="89">
        <f t="shared" si="0"/>
        <v>3000</v>
      </c>
      <c r="F12" s="90">
        <f t="shared" si="1"/>
        <v>61000</v>
      </c>
      <c r="G12" s="19"/>
      <c r="H12" s="42"/>
      <c r="I12" s="19">
        <f>3000</f>
        <v>3000</v>
      </c>
      <c r="J12" s="42"/>
      <c r="K12" s="19"/>
      <c r="L12" s="42"/>
      <c r="M12" s="19"/>
      <c r="N12" s="42"/>
      <c r="O12" s="19"/>
      <c r="P12" s="42"/>
      <c r="Q12" s="19"/>
      <c r="R12" s="42"/>
      <c r="S12" s="42"/>
      <c r="T12" s="19">
        <f t="shared" si="2"/>
        <v>3000</v>
      </c>
    </row>
    <row r="13" spans="1:149" ht="15.75" x14ac:dyDescent="0.25">
      <c r="A13" s="71" t="s">
        <v>804</v>
      </c>
      <c r="B13" s="40"/>
      <c r="C13" s="15"/>
      <c r="D13" s="72">
        <v>150000</v>
      </c>
      <c r="E13" s="89">
        <f t="shared" si="0"/>
        <v>83704.740000000005</v>
      </c>
      <c r="F13" s="90">
        <f t="shared" si="1"/>
        <v>66295.259999999995</v>
      </c>
      <c r="G13" s="42">
        <f>4993.1+5494.09</f>
        <v>10487.19</v>
      </c>
      <c r="H13" s="42">
        <f>5017.4+4953.35</f>
        <v>9970.75</v>
      </c>
      <c r="I13" s="42">
        <f>4964.9+5480.5</f>
        <v>10445.4</v>
      </c>
      <c r="J13" s="42">
        <f>3990.4+4730.2</f>
        <v>8720.6</v>
      </c>
      <c r="K13" s="42">
        <f>4472.4+2471.95</f>
        <v>6944.3499999999995</v>
      </c>
      <c r="L13" s="42">
        <f>5519.35+2958.15</f>
        <v>8477.5</v>
      </c>
      <c r="M13" s="42">
        <f>5998.2+4982.75</f>
        <v>10980.95</v>
      </c>
      <c r="N13" s="42">
        <f>3477.95+5481.55</f>
        <v>8959.5</v>
      </c>
      <c r="O13" s="42">
        <f>5480.5</f>
        <v>5480.5</v>
      </c>
      <c r="P13" s="42">
        <v>3238</v>
      </c>
      <c r="Q13" s="42"/>
      <c r="R13" s="42"/>
      <c r="S13" s="42"/>
      <c r="T13" s="19">
        <f t="shared" si="2"/>
        <v>83704.740000000005</v>
      </c>
    </row>
    <row r="14" spans="1:149" ht="16.5" thickBot="1" x14ac:dyDescent="0.3">
      <c r="A14" s="25"/>
      <c r="B14" s="26" t="s">
        <v>24</v>
      </c>
      <c r="C14" s="70">
        <f>SUM(C3:C11)</f>
        <v>0</v>
      </c>
      <c r="D14" s="27">
        <f>SUM(D3:D13)</f>
        <v>468367</v>
      </c>
      <c r="E14" s="27">
        <f t="shared" ref="E14:F14" si="3">SUM(E3:E13)</f>
        <v>285267.49</v>
      </c>
      <c r="F14" s="27">
        <f t="shared" si="3"/>
        <v>183099.51</v>
      </c>
      <c r="G14" s="27">
        <f>SUM(G3:G13)</f>
        <v>14637.19</v>
      </c>
      <c r="H14" s="27">
        <f t="shared" ref="H14:R14" si="4">SUM(H3:H13)</f>
        <v>33470.75</v>
      </c>
      <c r="I14" s="27">
        <f t="shared" si="4"/>
        <v>22661.4</v>
      </c>
      <c r="J14" s="27">
        <f t="shared" si="4"/>
        <v>12870.6</v>
      </c>
      <c r="K14" s="27">
        <f t="shared" si="4"/>
        <v>11094.349999999999</v>
      </c>
      <c r="L14" s="27">
        <f t="shared" si="4"/>
        <v>45425.5</v>
      </c>
      <c r="M14" s="27">
        <f t="shared" si="4"/>
        <v>42796.95</v>
      </c>
      <c r="N14" s="27">
        <f t="shared" si="4"/>
        <v>8959.5</v>
      </c>
      <c r="O14" s="27">
        <f t="shared" si="4"/>
        <v>5480.5</v>
      </c>
      <c r="P14" s="27">
        <f t="shared" si="4"/>
        <v>167170.75</v>
      </c>
      <c r="Q14" s="27">
        <f t="shared" si="4"/>
        <v>0</v>
      </c>
      <c r="R14" s="27">
        <f t="shared" si="4"/>
        <v>0</v>
      </c>
      <c r="S14" s="26" t="s">
        <v>25</v>
      </c>
      <c r="T14" s="47">
        <f>SUM(G14:R14)</f>
        <v>364567.49</v>
      </c>
    </row>
    <row r="16" spans="1:149" ht="15.75" thickBot="1" x14ac:dyDescent="0.3"/>
    <row r="17" spans="1:9" ht="16.5" thickBot="1" x14ac:dyDescent="0.3">
      <c r="A17" s="136" t="s">
        <v>175</v>
      </c>
      <c r="B17" s="299" t="s">
        <v>188</v>
      </c>
      <c r="C17" s="300"/>
      <c r="D17" s="300"/>
      <c r="E17" s="301"/>
      <c r="F17" s="299" t="s">
        <v>114</v>
      </c>
      <c r="G17" s="301"/>
      <c r="H17" s="302" t="s">
        <v>113</v>
      </c>
      <c r="I17" s="303"/>
    </row>
    <row r="18" spans="1:9" ht="28.5" customHeight="1" x14ac:dyDescent="0.25">
      <c r="A18" s="168" t="s">
        <v>578</v>
      </c>
      <c r="B18" s="316" t="s">
        <v>579</v>
      </c>
      <c r="C18" s="317"/>
      <c r="D18" s="317"/>
      <c r="E18" s="318"/>
      <c r="F18" s="316" t="s">
        <v>580</v>
      </c>
      <c r="G18" s="310"/>
      <c r="H18" s="307">
        <v>14500</v>
      </c>
      <c r="I18" s="308"/>
    </row>
    <row r="19" spans="1:9" ht="31.5" customHeight="1" x14ac:dyDescent="0.25">
      <c r="A19" s="162" t="s">
        <v>636</v>
      </c>
      <c r="B19" s="350" t="s">
        <v>636</v>
      </c>
      <c r="C19" s="351"/>
      <c r="D19" s="351"/>
      <c r="E19" s="352"/>
      <c r="F19" s="350" t="s">
        <v>637</v>
      </c>
      <c r="G19" s="413"/>
      <c r="H19" s="441">
        <v>9998</v>
      </c>
      <c r="I19" s="443"/>
    </row>
    <row r="20" spans="1:9" ht="31.5" customHeight="1" x14ac:dyDescent="0.25">
      <c r="A20" s="156" t="s">
        <v>173</v>
      </c>
      <c r="B20" s="322" t="s">
        <v>1000</v>
      </c>
      <c r="C20" s="323"/>
      <c r="D20" s="323"/>
      <c r="E20" s="324"/>
      <c r="F20" s="276" t="s">
        <v>1001</v>
      </c>
      <c r="G20" s="285"/>
      <c r="H20" s="286">
        <v>164</v>
      </c>
      <c r="I20" s="287"/>
    </row>
    <row r="21" spans="1:9" ht="30.75" customHeight="1" x14ac:dyDescent="0.25">
      <c r="A21" s="156" t="s">
        <v>173</v>
      </c>
      <c r="B21" s="266" t="s">
        <v>975</v>
      </c>
      <c r="C21" s="267"/>
      <c r="D21" s="267"/>
      <c r="E21" s="268"/>
      <c r="F21" s="281" t="s">
        <v>1002</v>
      </c>
      <c r="G21" s="324"/>
      <c r="H21" s="261">
        <v>1172</v>
      </c>
      <c r="I21" s="262"/>
    </row>
    <row r="22" spans="1:9" ht="30" customHeight="1" x14ac:dyDescent="0.25">
      <c r="A22" s="156" t="s">
        <v>1007</v>
      </c>
      <c r="B22" s="198"/>
      <c r="C22" s="267" t="s">
        <v>1008</v>
      </c>
      <c r="D22" s="267"/>
      <c r="E22" s="268"/>
      <c r="F22" s="281" t="s">
        <v>1009</v>
      </c>
      <c r="G22" s="324"/>
      <c r="H22" s="261">
        <v>13000</v>
      </c>
      <c r="I22" s="262"/>
    </row>
    <row r="23" spans="1:9" ht="30" customHeight="1" x14ac:dyDescent="0.25">
      <c r="A23" s="156" t="s">
        <v>1043</v>
      </c>
      <c r="B23" s="198"/>
      <c r="C23" s="267" t="s">
        <v>1044</v>
      </c>
      <c r="D23" s="267"/>
      <c r="E23" s="268"/>
      <c r="F23" s="281" t="s">
        <v>1045</v>
      </c>
      <c r="G23" s="324"/>
      <c r="H23" s="261">
        <v>149596.75</v>
      </c>
      <c r="I23" s="262"/>
    </row>
    <row r="24" spans="1:9" x14ac:dyDescent="0.25">
      <c r="A24" s="156"/>
      <c r="B24" s="198"/>
      <c r="C24" s="267"/>
      <c r="D24" s="267"/>
      <c r="E24" s="268"/>
      <c r="F24" s="322"/>
      <c r="G24" s="324"/>
      <c r="H24" s="261"/>
      <c r="I24" s="262"/>
    </row>
    <row r="25" spans="1:9" x14ac:dyDescent="0.25">
      <c r="A25" s="156"/>
      <c r="B25" s="198"/>
      <c r="C25" s="267"/>
      <c r="D25" s="267"/>
      <c r="E25" s="268"/>
      <c r="F25" s="322"/>
      <c r="G25" s="324"/>
      <c r="H25" s="261"/>
      <c r="I25" s="262"/>
    </row>
    <row r="26" spans="1:9" ht="15.75" thickBot="1" x14ac:dyDescent="0.3">
      <c r="A26" s="156"/>
      <c r="B26" s="266"/>
      <c r="C26" s="267"/>
      <c r="D26" s="267"/>
      <c r="E26" s="268"/>
      <c r="F26" s="322"/>
      <c r="G26" s="324"/>
      <c r="H26" s="261"/>
      <c r="I26" s="262"/>
    </row>
    <row r="27" spans="1:9" ht="15.75" thickBot="1" x14ac:dyDescent="0.3">
      <c r="A27" s="85"/>
      <c r="B27" s="269"/>
      <c r="C27" s="270"/>
      <c r="D27" s="270"/>
      <c r="E27" s="271"/>
      <c r="F27" s="272" t="s">
        <v>116</v>
      </c>
      <c r="G27" s="273"/>
      <c r="H27" s="274">
        <f>SUM(H18:I26)</f>
        <v>188430.75</v>
      </c>
      <c r="I27" s="275"/>
    </row>
    <row r="29" spans="1:9" ht="15.75" thickBot="1" x14ac:dyDescent="0.3"/>
    <row r="30" spans="1:9" ht="16.5" thickBot="1" x14ac:dyDescent="0.3">
      <c r="A30" s="136" t="s">
        <v>112</v>
      </c>
      <c r="B30" s="299" t="s">
        <v>308</v>
      </c>
      <c r="C30" s="300"/>
      <c r="D30" s="300"/>
      <c r="E30" s="301"/>
      <c r="F30" s="299" t="s">
        <v>114</v>
      </c>
      <c r="G30" s="301"/>
      <c r="H30" s="302" t="s">
        <v>113</v>
      </c>
      <c r="I30" s="303"/>
    </row>
    <row r="31" spans="1:9" x14ac:dyDescent="0.25">
      <c r="A31" s="168" t="s">
        <v>312</v>
      </c>
      <c r="B31" s="316" t="s">
        <v>313</v>
      </c>
      <c r="C31" s="317"/>
      <c r="D31" s="317"/>
      <c r="E31" s="318"/>
      <c r="F31" s="309" t="s">
        <v>314</v>
      </c>
      <c r="G31" s="310"/>
      <c r="H31" s="307">
        <v>4150</v>
      </c>
      <c r="I31" s="308"/>
    </row>
    <row r="32" spans="1:9" ht="60" customHeight="1" x14ac:dyDescent="0.25">
      <c r="A32" s="162" t="s">
        <v>357</v>
      </c>
      <c r="B32" s="350" t="s">
        <v>358</v>
      </c>
      <c r="C32" s="351"/>
      <c r="D32" s="351"/>
      <c r="E32" s="352"/>
      <c r="F32" s="377" t="s">
        <v>359</v>
      </c>
      <c r="G32" s="413"/>
      <c r="H32" s="441">
        <v>1150</v>
      </c>
      <c r="I32" s="443"/>
    </row>
    <row r="33" spans="1:9" ht="15.75" customHeight="1" x14ac:dyDescent="0.25">
      <c r="A33" s="156" t="s">
        <v>357</v>
      </c>
      <c r="B33" s="322" t="s">
        <v>360</v>
      </c>
      <c r="C33" s="323"/>
      <c r="D33" s="323"/>
      <c r="E33" s="324"/>
      <c r="F33" s="284" t="s">
        <v>311</v>
      </c>
      <c r="G33" s="285"/>
      <c r="H33" s="286">
        <v>1150</v>
      </c>
      <c r="I33" s="287"/>
    </row>
    <row r="34" spans="1:9" ht="62.25" customHeight="1" x14ac:dyDescent="0.25">
      <c r="A34" s="156" t="s">
        <v>357</v>
      </c>
      <c r="B34" s="140"/>
      <c r="C34" s="289" t="s">
        <v>361</v>
      </c>
      <c r="D34" s="289"/>
      <c r="E34" s="290"/>
      <c r="F34" s="349" t="s">
        <v>340</v>
      </c>
      <c r="G34" s="265"/>
      <c r="H34" s="329">
        <v>1150</v>
      </c>
      <c r="I34" s="330"/>
    </row>
    <row r="35" spans="1:9" ht="15.75" customHeight="1" x14ac:dyDescent="0.25">
      <c r="A35" s="156" t="s">
        <v>374</v>
      </c>
      <c r="B35" s="140"/>
      <c r="C35" s="267" t="s">
        <v>375</v>
      </c>
      <c r="D35" s="267"/>
      <c r="E35" s="268"/>
      <c r="F35" s="349" t="s">
        <v>376</v>
      </c>
      <c r="G35" s="265"/>
      <c r="H35" s="311">
        <v>4150</v>
      </c>
      <c r="I35" s="312"/>
    </row>
    <row r="36" spans="1:9" ht="15.75" customHeight="1" x14ac:dyDescent="0.25">
      <c r="A36" s="156" t="s">
        <v>312</v>
      </c>
      <c r="B36" s="140"/>
      <c r="C36" s="267" t="s">
        <v>375</v>
      </c>
      <c r="D36" s="267"/>
      <c r="E36" s="268"/>
      <c r="F36" s="349" t="s">
        <v>376</v>
      </c>
      <c r="G36" s="265"/>
      <c r="H36" s="311">
        <v>4150</v>
      </c>
      <c r="I36" s="312"/>
    </row>
    <row r="37" spans="1:9" ht="15.75" customHeight="1" x14ac:dyDescent="0.25">
      <c r="A37" s="156" t="s">
        <v>312</v>
      </c>
      <c r="B37" s="140"/>
      <c r="C37" s="267" t="s">
        <v>375</v>
      </c>
      <c r="D37" s="267"/>
      <c r="E37" s="268"/>
      <c r="F37" s="349" t="s">
        <v>432</v>
      </c>
      <c r="G37" s="265"/>
      <c r="H37" s="329">
        <v>4150</v>
      </c>
      <c r="I37" s="330"/>
    </row>
    <row r="38" spans="1:9" ht="15.75" customHeight="1" x14ac:dyDescent="0.25">
      <c r="A38" s="156" t="s">
        <v>374</v>
      </c>
      <c r="B38" s="140"/>
      <c r="C38" s="267" t="s">
        <v>375</v>
      </c>
      <c r="D38" s="267"/>
      <c r="E38" s="268"/>
      <c r="F38" s="349" t="s">
        <v>432</v>
      </c>
      <c r="G38" s="265"/>
      <c r="H38" s="329">
        <v>4150</v>
      </c>
      <c r="I38" s="330"/>
    </row>
    <row r="39" spans="1:9" ht="15.75" customHeight="1" x14ac:dyDescent="0.25">
      <c r="A39" s="156" t="s">
        <v>374</v>
      </c>
      <c r="B39" s="140"/>
      <c r="C39" s="267" t="s">
        <v>375</v>
      </c>
      <c r="D39" s="267"/>
      <c r="E39" s="268"/>
      <c r="F39" s="349" t="s">
        <v>457</v>
      </c>
      <c r="G39" s="265"/>
      <c r="H39" s="329">
        <v>4150</v>
      </c>
      <c r="I39" s="330"/>
    </row>
    <row r="40" spans="1:9" ht="15.75" customHeight="1" x14ac:dyDescent="0.25">
      <c r="A40" s="156" t="s">
        <v>312</v>
      </c>
      <c r="B40" s="140"/>
      <c r="C40" s="267" t="s">
        <v>375</v>
      </c>
      <c r="D40" s="267"/>
      <c r="E40" s="268"/>
      <c r="F40" s="349" t="s">
        <v>457</v>
      </c>
      <c r="G40" s="265"/>
      <c r="H40" s="329">
        <v>4150</v>
      </c>
      <c r="I40" s="330"/>
    </row>
    <row r="41" spans="1:9" ht="15.75" customHeight="1" x14ac:dyDescent="0.25">
      <c r="A41" s="156" t="s">
        <v>374</v>
      </c>
      <c r="B41" s="140"/>
      <c r="C41" s="267" t="s">
        <v>375</v>
      </c>
      <c r="D41" s="267"/>
      <c r="E41" s="268"/>
      <c r="F41" s="349" t="s">
        <v>510</v>
      </c>
      <c r="G41" s="265"/>
      <c r="H41" s="329">
        <v>4150</v>
      </c>
      <c r="I41" s="330"/>
    </row>
    <row r="42" spans="1:9" ht="15.75" customHeight="1" x14ac:dyDescent="0.25">
      <c r="A42" s="156" t="s">
        <v>374</v>
      </c>
      <c r="B42" s="198"/>
      <c r="C42" s="267" t="s">
        <v>375</v>
      </c>
      <c r="D42" s="267"/>
      <c r="E42" s="268"/>
      <c r="F42" s="349" t="s">
        <v>600</v>
      </c>
      <c r="G42" s="265"/>
      <c r="H42" s="329">
        <v>4150</v>
      </c>
      <c r="I42" s="330"/>
    </row>
    <row r="43" spans="1:9" ht="31.5" customHeight="1" x14ac:dyDescent="0.25">
      <c r="A43" s="156" t="s">
        <v>312</v>
      </c>
      <c r="B43" s="198"/>
      <c r="C43" s="267" t="s">
        <v>375</v>
      </c>
      <c r="D43" s="267"/>
      <c r="E43" s="268"/>
      <c r="F43" s="263" t="s">
        <v>601</v>
      </c>
      <c r="G43" s="294"/>
      <c r="H43" s="329">
        <v>8300</v>
      </c>
      <c r="I43" s="330"/>
    </row>
    <row r="44" spans="1:9" ht="15.75" customHeight="1" x14ac:dyDescent="0.25">
      <c r="A44" s="156"/>
      <c r="B44" s="198"/>
      <c r="C44" s="267"/>
      <c r="D44" s="267"/>
      <c r="E44" s="268"/>
      <c r="F44" s="581"/>
      <c r="G44" s="582"/>
      <c r="H44" s="583"/>
      <c r="I44" s="584"/>
    </row>
    <row r="45" spans="1:9" ht="15.75" customHeight="1" x14ac:dyDescent="0.25">
      <c r="A45" s="156"/>
      <c r="B45" s="198"/>
      <c r="C45" s="369"/>
      <c r="D45" s="369"/>
      <c r="E45" s="354"/>
      <c r="F45" s="581"/>
      <c r="G45" s="582"/>
      <c r="H45" s="583"/>
      <c r="I45" s="584"/>
    </row>
    <row r="46" spans="1:9" ht="15.75" customHeight="1" x14ac:dyDescent="0.25">
      <c r="A46" s="156"/>
      <c r="B46" s="198"/>
      <c r="C46" s="369"/>
      <c r="D46" s="369"/>
      <c r="E46" s="354"/>
      <c r="F46" s="581"/>
      <c r="G46" s="582"/>
      <c r="H46" s="583"/>
      <c r="I46" s="584"/>
    </row>
    <row r="47" spans="1:9" ht="15.75" customHeight="1" x14ac:dyDescent="0.25">
      <c r="A47" s="156"/>
      <c r="B47" s="198"/>
      <c r="C47" s="369"/>
      <c r="D47" s="369"/>
      <c r="E47" s="354"/>
      <c r="F47" s="581"/>
      <c r="G47" s="582"/>
      <c r="H47" s="583"/>
      <c r="I47" s="584"/>
    </row>
    <row r="48" spans="1:9" ht="15.75" customHeight="1" x14ac:dyDescent="0.25">
      <c r="A48" s="156"/>
      <c r="B48" s="198"/>
      <c r="C48" s="369"/>
      <c r="D48" s="369"/>
      <c r="E48" s="354"/>
      <c r="F48" s="581"/>
      <c r="G48" s="582"/>
      <c r="H48" s="583"/>
      <c r="I48" s="584"/>
    </row>
    <row r="49" spans="1:9" x14ac:dyDescent="0.25">
      <c r="A49" s="156"/>
      <c r="B49" s="266"/>
      <c r="C49" s="267"/>
      <c r="D49" s="267"/>
      <c r="E49" s="268"/>
      <c r="F49" s="266"/>
      <c r="G49" s="268"/>
      <c r="H49" s="585"/>
      <c r="I49" s="586"/>
    </row>
    <row r="50" spans="1:9" ht="15.75" thickBot="1" x14ac:dyDescent="0.3">
      <c r="A50" s="156"/>
      <c r="B50" s="266"/>
      <c r="C50" s="267"/>
      <c r="D50" s="267"/>
      <c r="E50" s="268"/>
      <c r="F50" s="266"/>
      <c r="G50" s="268"/>
      <c r="H50" s="585"/>
      <c r="I50" s="586"/>
    </row>
    <row r="51" spans="1:9" ht="15.75" thickBot="1" x14ac:dyDescent="0.3">
      <c r="A51" s="85"/>
      <c r="B51" s="269"/>
      <c r="C51" s="270"/>
      <c r="D51" s="270"/>
      <c r="E51" s="271"/>
      <c r="F51" s="272" t="s">
        <v>116</v>
      </c>
      <c r="G51" s="273"/>
      <c r="H51" s="274">
        <f>SUM(H31:I50)</f>
        <v>49100</v>
      </c>
      <c r="I51" s="275"/>
    </row>
  </sheetData>
  <mergeCells count="99">
    <mergeCell ref="H45:I45"/>
    <mergeCell ref="H46:I46"/>
    <mergeCell ref="H47:I47"/>
    <mergeCell ref="H48:I48"/>
    <mergeCell ref="C45:E45"/>
    <mergeCell ref="C46:E46"/>
    <mergeCell ref="C47:E47"/>
    <mergeCell ref="C48:E48"/>
    <mergeCell ref="F45:G45"/>
    <mergeCell ref="F46:G46"/>
    <mergeCell ref="F47:G47"/>
    <mergeCell ref="F48:G48"/>
    <mergeCell ref="C38:E38"/>
    <mergeCell ref="C42:E42"/>
    <mergeCell ref="F38:G38"/>
    <mergeCell ref="F42:G42"/>
    <mergeCell ref="H38:I38"/>
    <mergeCell ref="H42:I42"/>
    <mergeCell ref="C39:E39"/>
    <mergeCell ref="C40:E40"/>
    <mergeCell ref="F39:G39"/>
    <mergeCell ref="H39:I39"/>
    <mergeCell ref="H40:I40"/>
    <mergeCell ref="H41:I41"/>
    <mergeCell ref="F40:G40"/>
    <mergeCell ref="F41:G41"/>
    <mergeCell ref="C41:E41"/>
    <mergeCell ref="B51:E51"/>
    <mergeCell ref="F51:G51"/>
    <mergeCell ref="H51:I51"/>
    <mergeCell ref="B49:E49"/>
    <mergeCell ref="F49:G49"/>
    <mergeCell ref="H49:I49"/>
    <mergeCell ref="B50:E50"/>
    <mergeCell ref="F50:G50"/>
    <mergeCell ref="H50:I50"/>
    <mergeCell ref="B32:E32"/>
    <mergeCell ref="F32:G32"/>
    <mergeCell ref="H32:I32"/>
    <mergeCell ref="B33:E33"/>
    <mergeCell ref="F33:G33"/>
    <mergeCell ref="H33:I33"/>
    <mergeCell ref="B30:E30"/>
    <mergeCell ref="F30:G30"/>
    <mergeCell ref="H30:I30"/>
    <mergeCell ref="B31:E31"/>
    <mergeCell ref="F31:G31"/>
    <mergeCell ref="H31:I31"/>
    <mergeCell ref="B21:E21"/>
    <mergeCell ref="B26:E26"/>
    <mergeCell ref="B27:E27"/>
    <mergeCell ref="F27:G27"/>
    <mergeCell ref="H27:I27"/>
    <mergeCell ref="F21:G21"/>
    <mergeCell ref="H21:I21"/>
    <mergeCell ref="F26:G26"/>
    <mergeCell ref="H26:I26"/>
    <mergeCell ref="C22:E22"/>
    <mergeCell ref="F22:G22"/>
    <mergeCell ref="H22:I22"/>
    <mergeCell ref="H23:I23"/>
    <mergeCell ref="H24:I24"/>
    <mergeCell ref="H25:I25"/>
    <mergeCell ref="F23:G23"/>
    <mergeCell ref="B19:E19"/>
    <mergeCell ref="F19:G19"/>
    <mergeCell ref="H19:I19"/>
    <mergeCell ref="B20:E20"/>
    <mergeCell ref="F20:G20"/>
    <mergeCell ref="H20:I20"/>
    <mergeCell ref="B17:E17"/>
    <mergeCell ref="F17:G17"/>
    <mergeCell ref="H17:I17"/>
    <mergeCell ref="B18:E18"/>
    <mergeCell ref="F18:G18"/>
    <mergeCell ref="H18:I18"/>
    <mergeCell ref="C34:E34"/>
    <mergeCell ref="C35:E35"/>
    <mergeCell ref="F34:G34"/>
    <mergeCell ref="H34:I34"/>
    <mergeCell ref="H35:I35"/>
    <mergeCell ref="C36:E36"/>
    <mergeCell ref="C37:E37"/>
    <mergeCell ref="H36:I36"/>
    <mergeCell ref="H37:I37"/>
    <mergeCell ref="F35:G35"/>
    <mergeCell ref="F36:G36"/>
    <mergeCell ref="F37:G37"/>
    <mergeCell ref="C43:E43"/>
    <mergeCell ref="C44:E44"/>
    <mergeCell ref="F43:G43"/>
    <mergeCell ref="F44:G44"/>
    <mergeCell ref="H43:I43"/>
    <mergeCell ref="H44:I44"/>
    <mergeCell ref="F24:G24"/>
    <mergeCell ref="F25:G25"/>
    <mergeCell ref="C23:E23"/>
    <mergeCell ref="C24:E24"/>
    <mergeCell ref="C25:E2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41986-86C2-4AB0-AE9F-9460317577E0}">
  <dimension ref="A1:S43"/>
  <sheetViews>
    <sheetView zoomScale="99" zoomScaleNormal="99" workbookViewId="0">
      <selection activeCell="F18" sqref="F18:H18"/>
    </sheetView>
  </sheetViews>
  <sheetFormatPr defaultRowHeight="15" x14ac:dyDescent="0.25"/>
  <cols>
    <col min="1" max="1" width="41.85546875" customWidth="1"/>
    <col min="2" max="2" width="16.7109375" hidden="1" customWidth="1"/>
    <col min="3" max="3" width="18.42578125" customWidth="1"/>
    <col min="4" max="4" width="16.140625" customWidth="1"/>
    <col min="5" max="5" width="15.42578125" customWidth="1"/>
    <col min="6" max="6" width="14.5703125" customWidth="1"/>
    <col min="7" max="7" width="11.28515625" customWidth="1"/>
    <col min="8" max="8" width="13.140625" customWidth="1"/>
    <col min="9" max="9" width="14" customWidth="1"/>
    <col min="10" max="10" width="11.28515625" customWidth="1"/>
    <col min="11" max="12" width="12" customWidth="1"/>
    <col min="13" max="13" width="12.28515625" customWidth="1"/>
    <col min="14" max="14" width="11.5703125" customWidth="1"/>
    <col min="15" max="15" width="10.140625" customWidth="1"/>
    <col min="16" max="16" width="10.5703125" customWidth="1"/>
    <col min="17" max="18" width="11.5703125" customWidth="1"/>
    <col min="19" max="19" width="12.28515625" customWidth="1"/>
  </cols>
  <sheetData>
    <row r="1" spans="1:19" ht="72.75" customHeight="1" thickBot="1" x14ac:dyDescent="0.3">
      <c r="A1" s="1"/>
      <c r="B1" s="3" t="s">
        <v>122</v>
      </c>
      <c r="C1" s="4" t="s">
        <v>124</v>
      </c>
      <c r="D1" s="5" t="s">
        <v>2</v>
      </c>
      <c r="E1" s="6" t="s">
        <v>3</v>
      </c>
      <c r="F1" s="204" t="s">
        <v>4</v>
      </c>
      <c r="G1" s="65" t="s">
        <v>5</v>
      </c>
      <c r="H1" s="205" t="s">
        <v>6</v>
      </c>
      <c r="I1" s="65" t="s">
        <v>7</v>
      </c>
      <c r="J1" s="205" t="s">
        <v>8</v>
      </c>
      <c r="K1" s="65" t="s">
        <v>9</v>
      </c>
      <c r="L1" s="205" t="s">
        <v>10</v>
      </c>
      <c r="M1" s="65" t="s">
        <v>11</v>
      </c>
      <c r="N1" s="205" t="s">
        <v>12</v>
      </c>
      <c r="O1" s="65" t="s">
        <v>13</v>
      </c>
      <c r="P1" s="205" t="s">
        <v>14</v>
      </c>
      <c r="Q1" s="65" t="s">
        <v>15</v>
      </c>
      <c r="R1" s="66"/>
      <c r="S1" s="10" t="s">
        <v>16</v>
      </c>
    </row>
    <row r="2" spans="1:19" ht="16.5" thickBot="1" x14ac:dyDescent="0.3">
      <c r="A2" s="60" t="s">
        <v>65</v>
      </c>
      <c r="B2" s="86"/>
      <c r="C2" s="86"/>
      <c r="D2" s="91" t="s">
        <v>17</v>
      </c>
      <c r="E2" s="92"/>
      <c r="F2" s="106"/>
      <c r="G2" s="57"/>
      <c r="H2" s="88"/>
      <c r="I2" s="57"/>
      <c r="J2" s="88"/>
      <c r="K2" s="57"/>
      <c r="L2" s="88"/>
      <c r="M2" s="57"/>
      <c r="N2" s="12"/>
      <c r="O2" s="88"/>
      <c r="P2" s="57"/>
      <c r="Q2" s="12"/>
      <c r="R2" s="106"/>
      <c r="S2" s="57"/>
    </row>
    <row r="3" spans="1:19" ht="15.75" x14ac:dyDescent="0.25">
      <c r="A3" s="94" t="s">
        <v>29</v>
      </c>
      <c r="B3" s="58"/>
      <c r="C3" s="59">
        <v>98200</v>
      </c>
      <c r="D3" s="89">
        <f>SUM(F3:Q3)</f>
        <v>0</v>
      </c>
      <c r="E3" s="90">
        <f>B3+C3-D3</f>
        <v>98200</v>
      </c>
      <c r="F3" s="53"/>
      <c r="G3" s="53"/>
      <c r="H3" s="53"/>
      <c r="I3" s="53"/>
      <c r="J3" s="53"/>
      <c r="K3" s="53"/>
      <c r="L3" s="53"/>
      <c r="M3" s="53"/>
      <c r="N3" s="53"/>
      <c r="O3" s="53"/>
      <c r="P3" s="53"/>
      <c r="Q3" s="53"/>
      <c r="R3" s="74"/>
      <c r="S3" s="53">
        <f>SUM(F3:Q3)</f>
        <v>0</v>
      </c>
    </row>
    <row r="4" spans="1:19" ht="15.75" x14ac:dyDescent="0.25">
      <c r="A4" s="20" t="s">
        <v>34</v>
      </c>
      <c r="B4" s="15"/>
      <c r="C4" s="16">
        <v>7400</v>
      </c>
      <c r="D4" s="89">
        <f t="shared" ref="D4:D11" si="0">SUM(F4:Q4)</f>
        <v>31529</v>
      </c>
      <c r="E4" s="90">
        <f t="shared" ref="E4:E11" si="1">B4+C4-D4</f>
        <v>-24129</v>
      </c>
      <c r="F4" s="19"/>
      <c r="G4" s="19"/>
      <c r="H4" s="19"/>
      <c r="I4" s="19"/>
      <c r="J4" s="19"/>
      <c r="K4" s="19"/>
      <c r="L4" s="19"/>
      <c r="M4" s="19"/>
      <c r="N4" s="19">
        <f>7500+20000</f>
        <v>27500</v>
      </c>
      <c r="O4" s="19">
        <f>1224+2805</f>
        <v>4029</v>
      </c>
      <c r="P4" s="19"/>
      <c r="Q4" s="19"/>
      <c r="R4" s="74"/>
      <c r="S4" s="53">
        <f t="shared" ref="S4:S11" si="2">SUM(F4:Q4)</f>
        <v>31529</v>
      </c>
    </row>
    <row r="5" spans="1:19" ht="15.75" x14ac:dyDescent="0.25">
      <c r="A5" s="20" t="s">
        <v>103</v>
      </c>
      <c r="B5" s="15"/>
      <c r="C5" s="16"/>
      <c r="D5" s="89"/>
      <c r="E5" s="90"/>
      <c r="F5" s="19"/>
      <c r="G5" s="19">
        <v>2100</v>
      </c>
      <c r="H5" s="19"/>
      <c r="I5" s="19"/>
      <c r="J5" s="19">
        <f>30140</f>
        <v>30140</v>
      </c>
      <c r="K5" s="19">
        <f>1150+1150</f>
        <v>2300</v>
      </c>
      <c r="L5" s="19"/>
      <c r="M5" s="19"/>
      <c r="N5" s="19">
        <f>1150</f>
        <v>1150</v>
      </c>
      <c r="O5" s="19">
        <f>1150+2600+1150</f>
        <v>4900</v>
      </c>
      <c r="P5" s="19"/>
      <c r="Q5" s="19"/>
      <c r="R5" s="74"/>
      <c r="S5" s="53">
        <f t="shared" si="2"/>
        <v>40590</v>
      </c>
    </row>
    <row r="6" spans="1:19" ht="16.5" customHeight="1" x14ac:dyDescent="0.25">
      <c r="A6" s="20" t="s">
        <v>108</v>
      </c>
      <c r="B6" s="15"/>
      <c r="C6" s="16"/>
      <c r="D6" s="89"/>
      <c r="E6" s="90"/>
      <c r="F6" s="19"/>
      <c r="G6" s="19"/>
      <c r="H6" s="19"/>
      <c r="I6" s="19"/>
      <c r="J6" s="19">
        <v>20000</v>
      </c>
      <c r="K6" s="19"/>
      <c r="L6" s="19"/>
      <c r="M6" s="19"/>
      <c r="N6" s="19"/>
      <c r="O6" s="19"/>
      <c r="P6" s="19"/>
      <c r="Q6" s="19"/>
      <c r="R6" s="74"/>
      <c r="S6" s="53">
        <f t="shared" si="2"/>
        <v>20000</v>
      </c>
    </row>
    <row r="7" spans="1:19" ht="15.75" x14ac:dyDescent="0.25">
      <c r="A7" s="20" t="s">
        <v>804</v>
      </c>
      <c r="B7" s="15"/>
      <c r="C7" s="16"/>
      <c r="D7" s="89"/>
      <c r="E7" s="90"/>
      <c r="F7" s="19">
        <f>12717.5+15812.69</f>
        <v>28530.190000000002</v>
      </c>
      <c r="G7" s="19">
        <f>3018+12726.75</f>
        <v>15744.75</v>
      </c>
      <c r="H7" s="19">
        <f>14084.55+14970.3</f>
        <v>29054.85</v>
      </c>
      <c r="I7" s="19">
        <f>11030.3+10298.9</f>
        <v>21329.199999999997</v>
      </c>
      <c r="J7" s="19">
        <f>9791.7+18199.95</f>
        <v>27991.65</v>
      </c>
      <c r="K7" s="19">
        <f>15035.4+11048.15</f>
        <v>26083.55</v>
      </c>
      <c r="L7" s="19">
        <f>16458.3+15558.35</f>
        <v>32016.65</v>
      </c>
      <c r="M7" s="19">
        <f>10505.25+16316</f>
        <v>26821.25</v>
      </c>
      <c r="N7" s="19">
        <f>16060.3</f>
        <v>16060.3</v>
      </c>
      <c r="O7" s="19">
        <f>12534.05+15572</f>
        <v>28106.05</v>
      </c>
      <c r="P7" s="19"/>
      <c r="Q7" s="19"/>
      <c r="R7" s="74"/>
      <c r="S7" s="53">
        <f t="shared" si="2"/>
        <v>251738.43999999997</v>
      </c>
    </row>
    <row r="8" spans="1:19" ht="15.75" x14ac:dyDescent="0.25">
      <c r="A8" s="20" t="s">
        <v>32</v>
      </c>
      <c r="B8" s="15"/>
      <c r="C8" s="16">
        <v>70000</v>
      </c>
      <c r="D8" s="89">
        <f t="shared" si="0"/>
        <v>0</v>
      </c>
      <c r="E8" s="90">
        <f t="shared" si="1"/>
        <v>70000</v>
      </c>
      <c r="F8" s="19"/>
      <c r="G8" s="19"/>
      <c r="H8" s="19"/>
      <c r="I8" s="19"/>
      <c r="J8" s="19"/>
      <c r="K8" s="19"/>
      <c r="L8" s="19"/>
      <c r="M8" s="19"/>
      <c r="N8" s="19"/>
      <c r="O8" s="19"/>
      <c r="P8" s="19"/>
      <c r="Q8" s="19"/>
      <c r="R8" s="74"/>
      <c r="S8" s="53">
        <f t="shared" si="2"/>
        <v>0</v>
      </c>
    </row>
    <row r="9" spans="1:19" ht="15.75" x14ac:dyDescent="0.25">
      <c r="A9" s="20" t="s">
        <v>156</v>
      </c>
      <c r="B9" s="15"/>
      <c r="C9" s="16">
        <v>10000</v>
      </c>
      <c r="D9" s="89">
        <f t="shared" si="0"/>
        <v>0</v>
      </c>
      <c r="E9" s="90">
        <f t="shared" si="1"/>
        <v>10000</v>
      </c>
      <c r="F9" s="19"/>
      <c r="G9" s="19"/>
      <c r="H9" s="19"/>
      <c r="I9" s="19"/>
      <c r="J9" s="19"/>
      <c r="K9" s="19"/>
      <c r="L9" s="19"/>
      <c r="M9" s="19"/>
      <c r="N9" s="19"/>
      <c r="O9" s="19"/>
      <c r="P9" s="19"/>
      <c r="Q9" s="19"/>
      <c r="R9" s="74"/>
      <c r="S9" s="53">
        <f t="shared" si="2"/>
        <v>0</v>
      </c>
    </row>
    <row r="10" spans="1:19" ht="15.75" x14ac:dyDescent="0.25">
      <c r="A10" s="20" t="s">
        <v>66</v>
      </c>
      <c r="B10" s="15"/>
      <c r="C10" s="16">
        <v>10800</v>
      </c>
      <c r="D10" s="89">
        <f t="shared" si="0"/>
        <v>0</v>
      </c>
      <c r="E10" s="90">
        <f t="shared" si="1"/>
        <v>10800</v>
      </c>
      <c r="F10" s="19"/>
      <c r="G10" s="19"/>
      <c r="H10" s="19"/>
      <c r="I10" s="19"/>
      <c r="J10" s="19"/>
      <c r="K10" s="19"/>
      <c r="L10" s="19"/>
      <c r="M10" s="19"/>
      <c r="N10" s="19"/>
      <c r="O10" s="19"/>
      <c r="P10" s="19"/>
      <c r="Q10" s="19"/>
      <c r="R10" s="74"/>
      <c r="S10" s="53">
        <f t="shared" si="2"/>
        <v>0</v>
      </c>
    </row>
    <row r="11" spans="1:19" ht="15.75" x14ac:dyDescent="0.25">
      <c r="A11" s="23" t="s">
        <v>67</v>
      </c>
      <c r="B11" s="15"/>
      <c r="C11" s="16">
        <v>3600</v>
      </c>
      <c r="D11" s="89">
        <f t="shared" si="0"/>
        <v>0</v>
      </c>
      <c r="E11" s="90">
        <f t="shared" si="1"/>
        <v>3600</v>
      </c>
      <c r="F11" s="19"/>
      <c r="G11" s="19"/>
      <c r="H11" s="19"/>
      <c r="I11" s="19"/>
      <c r="J11" s="19"/>
      <c r="K11" s="19"/>
      <c r="L11" s="19"/>
      <c r="M11" s="19"/>
      <c r="N11" s="19"/>
      <c r="O11" s="19"/>
      <c r="P11" s="19"/>
      <c r="Q11" s="19"/>
      <c r="R11" s="74"/>
      <c r="S11" s="53">
        <f t="shared" si="2"/>
        <v>0</v>
      </c>
    </row>
    <row r="12" spans="1:19" ht="16.5" thickBot="1" x14ac:dyDescent="0.3">
      <c r="A12" s="25"/>
      <c r="B12" s="27">
        <f t="shared" ref="B12:Q12" si="3">SUM(B3:B11)</f>
        <v>0</v>
      </c>
      <c r="C12" s="27">
        <f t="shared" si="3"/>
        <v>200000</v>
      </c>
      <c r="D12" s="27">
        <f t="shared" si="3"/>
        <v>31529</v>
      </c>
      <c r="E12" s="27">
        <f t="shared" si="3"/>
        <v>168471</v>
      </c>
      <c r="F12" s="27">
        <f t="shared" si="3"/>
        <v>28530.190000000002</v>
      </c>
      <c r="G12" s="27">
        <f t="shared" si="3"/>
        <v>17844.75</v>
      </c>
      <c r="H12" s="27">
        <f t="shared" si="3"/>
        <v>29054.85</v>
      </c>
      <c r="I12" s="27">
        <f t="shared" si="3"/>
        <v>21329.199999999997</v>
      </c>
      <c r="J12" s="27">
        <f t="shared" si="3"/>
        <v>78131.649999999994</v>
      </c>
      <c r="K12" s="27">
        <f t="shared" si="3"/>
        <v>28383.55</v>
      </c>
      <c r="L12" s="27">
        <f t="shared" si="3"/>
        <v>32016.65</v>
      </c>
      <c r="M12" s="27">
        <f t="shared" si="3"/>
        <v>26821.25</v>
      </c>
      <c r="N12" s="27">
        <f t="shared" si="3"/>
        <v>44710.3</v>
      </c>
      <c r="O12" s="27">
        <f t="shared" si="3"/>
        <v>37035.050000000003</v>
      </c>
      <c r="P12" s="27">
        <f t="shared" si="3"/>
        <v>0</v>
      </c>
      <c r="Q12" s="27">
        <f t="shared" si="3"/>
        <v>0</v>
      </c>
      <c r="R12" s="26" t="s">
        <v>25</v>
      </c>
      <c r="S12" s="47">
        <f>SUM(S3:S11)</f>
        <v>343857.43999999994</v>
      </c>
    </row>
    <row r="14" spans="1:19" ht="15.75" thickBot="1" x14ac:dyDescent="0.3"/>
    <row r="15" spans="1:19" ht="16.5" thickBot="1" x14ac:dyDescent="0.3">
      <c r="A15" s="136" t="s">
        <v>175</v>
      </c>
      <c r="B15" s="299" t="s">
        <v>188</v>
      </c>
      <c r="C15" s="300"/>
      <c r="D15" s="300"/>
      <c r="E15" s="301"/>
      <c r="F15" s="300" t="s">
        <v>114</v>
      </c>
      <c r="G15" s="300"/>
      <c r="H15" s="300"/>
      <c r="I15" s="527" t="s">
        <v>113</v>
      </c>
      <c r="J15" s="528"/>
    </row>
    <row r="16" spans="1:19" ht="36.75" customHeight="1" x14ac:dyDescent="0.25">
      <c r="A16" s="163" t="s">
        <v>825</v>
      </c>
      <c r="B16" s="350" t="s">
        <v>826</v>
      </c>
      <c r="C16" s="351"/>
      <c r="D16" s="351"/>
      <c r="E16" s="352"/>
      <c r="F16" s="351" t="s">
        <v>827</v>
      </c>
      <c r="G16" s="370"/>
      <c r="H16" s="370"/>
      <c r="I16" s="588">
        <v>7500</v>
      </c>
      <c r="J16" s="589"/>
    </row>
    <row r="17" spans="1:10" ht="35.25" customHeight="1" x14ac:dyDescent="0.25">
      <c r="A17" s="163" t="s">
        <v>838</v>
      </c>
      <c r="B17" s="350" t="s">
        <v>839</v>
      </c>
      <c r="C17" s="351"/>
      <c r="D17" s="351"/>
      <c r="E17" s="352"/>
      <c r="F17" s="351" t="s">
        <v>840</v>
      </c>
      <c r="G17" s="370"/>
      <c r="H17" s="370"/>
      <c r="I17" s="588">
        <v>20000</v>
      </c>
      <c r="J17" s="589"/>
    </row>
    <row r="18" spans="1:10" ht="32.25" customHeight="1" x14ac:dyDescent="0.25">
      <c r="A18" s="163" t="s">
        <v>173</v>
      </c>
      <c r="B18" s="276" t="s">
        <v>975</v>
      </c>
      <c r="C18" s="277"/>
      <c r="D18" s="277"/>
      <c r="E18" s="278"/>
      <c r="F18" s="277" t="s">
        <v>989</v>
      </c>
      <c r="G18" s="321"/>
      <c r="H18" s="321"/>
      <c r="I18" s="311">
        <v>1224</v>
      </c>
      <c r="J18" s="312"/>
    </row>
    <row r="19" spans="1:10" x14ac:dyDescent="0.25">
      <c r="A19" s="163" t="s">
        <v>173</v>
      </c>
      <c r="B19" s="350" t="s">
        <v>975</v>
      </c>
      <c r="C19" s="351"/>
      <c r="D19" s="351"/>
      <c r="E19" s="352"/>
      <c r="F19" s="351" t="s">
        <v>996</v>
      </c>
      <c r="G19" s="370"/>
      <c r="H19" s="370"/>
      <c r="I19" s="588">
        <v>2805</v>
      </c>
      <c r="J19" s="589"/>
    </row>
    <row r="20" spans="1:10" ht="15.75" customHeight="1" thickBot="1" x14ac:dyDescent="0.3">
      <c r="A20" s="163"/>
      <c r="B20" s="276"/>
      <c r="C20" s="277"/>
      <c r="D20" s="277"/>
      <c r="E20" s="278"/>
      <c r="F20" s="277"/>
      <c r="G20" s="277"/>
      <c r="H20" s="277"/>
      <c r="I20" s="531"/>
      <c r="J20" s="532"/>
    </row>
    <row r="21" spans="1:10" ht="15.75" thickBot="1" x14ac:dyDescent="0.3">
      <c r="A21" s="85"/>
      <c r="B21" s="122"/>
      <c r="C21" s="500"/>
      <c r="D21" s="500"/>
      <c r="E21" s="501"/>
      <c r="F21" s="273" t="s">
        <v>116</v>
      </c>
      <c r="G21" s="273"/>
      <c r="H21" s="273"/>
      <c r="I21" s="478">
        <f>SUM(I16:J20)</f>
        <v>31529</v>
      </c>
      <c r="J21" s="391"/>
    </row>
    <row r="22" spans="1:10" x14ac:dyDescent="0.25">
      <c r="B22" s="587"/>
      <c r="C22" s="587"/>
      <c r="D22" s="587"/>
      <c r="E22" s="587"/>
      <c r="F22" s="587"/>
      <c r="G22" s="587"/>
      <c r="H22" s="587"/>
      <c r="I22" s="587"/>
      <c r="J22" s="587"/>
    </row>
    <row r="23" spans="1:10" ht="15.75" thickBot="1" x14ac:dyDescent="0.3">
      <c r="B23" s="368"/>
      <c r="C23" s="368"/>
      <c r="D23" s="368"/>
      <c r="E23" s="368"/>
      <c r="F23" s="368"/>
      <c r="G23" s="368"/>
      <c r="H23" s="368"/>
      <c r="I23" s="368"/>
      <c r="J23" s="368"/>
    </row>
    <row r="24" spans="1:10" ht="16.5" thickBot="1" x14ac:dyDescent="0.3">
      <c r="A24" s="136" t="s">
        <v>112</v>
      </c>
      <c r="B24" s="299" t="s">
        <v>315</v>
      </c>
      <c r="C24" s="300"/>
      <c r="D24" s="300"/>
      <c r="E24" s="301"/>
      <c r="F24" s="300" t="s">
        <v>114</v>
      </c>
      <c r="G24" s="300"/>
      <c r="H24" s="300"/>
      <c r="I24" s="527" t="s">
        <v>113</v>
      </c>
      <c r="J24" s="528"/>
    </row>
    <row r="25" spans="1:10" ht="47.25" customHeight="1" x14ac:dyDescent="0.25">
      <c r="A25" s="163" t="s">
        <v>439</v>
      </c>
      <c r="B25" s="304" t="s">
        <v>393</v>
      </c>
      <c r="C25" s="305"/>
      <c r="D25" s="305"/>
      <c r="E25" s="306"/>
      <c r="F25" s="370" t="s">
        <v>394</v>
      </c>
      <c r="G25" s="370"/>
      <c r="H25" s="370"/>
      <c r="I25" s="588">
        <v>4200</v>
      </c>
      <c r="J25" s="589"/>
    </row>
    <row r="26" spans="1:10" ht="53.25" customHeight="1" x14ac:dyDescent="0.25">
      <c r="A26" s="163" t="s">
        <v>439</v>
      </c>
      <c r="B26" s="350" t="s">
        <v>536</v>
      </c>
      <c r="C26" s="351"/>
      <c r="D26" s="351"/>
      <c r="E26" s="352"/>
      <c r="F26" s="370" t="s">
        <v>534</v>
      </c>
      <c r="G26" s="370"/>
      <c r="H26" s="370"/>
      <c r="I26" s="588">
        <v>50140</v>
      </c>
      <c r="J26" s="589"/>
    </row>
    <row r="27" spans="1:10" ht="47.25" customHeight="1" x14ac:dyDescent="0.25">
      <c r="A27" s="163" t="s">
        <v>602</v>
      </c>
      <c r="B27" s="276" t="s">
        <v>603</v>
      </c>
      <c r="C27" s="277"/>
      <c r="D27" s="277"/>
      <c r="E27" s="278"/>
      <c r="F27" s="321" t="s">
        <v>587</v>
      </c>
      <c r="G27" s="321"/>
      <c r="H27" s="321"/>
      <c r="I27" s="311">
        <v>1150</v>
      </c>
      <c r="J27" s="312"/>
    </row>
    <row r="28" spans="1:10" ht="50.25" customHeight="1" x14ac:dyDescent="0.25">
      <c r="A28" s="163" t="s">
        <v>644</v>
      </c>
      <c r="B28" s="350" t="s">
        <v>645</v>
      </c>
      <c r="C28" s="351"/>
      <c r="D28" s="351"/>
      <c r="E28" s="352"/>
      <c r="F28" s="370" t="s">
        <v>509</v>
      </c>
      <c r="G28" s="370"/>
      <c r="H28" s="370"/>
      <c r="I28" s="588">
        <v>1150</v>
      </c>
      <c r="J28" s="589"/>
    </row>
    <row r="29" spans="1:10" ht="55.5" customHeight="1" x14ac:dyDescent="0.25">
      <c r="A29" s="163" t="s">
        <v>806</v>
      </c>
      <c r="B29" s="263" t="s">
        <v>807</v>
      </c>
      <c r="C29" s="319"/>
      <c r="D29" s="319"/>
      <c r="E29" s="294"/>
      <c r="F29" s="349" t="s">
        <v>808</v>
      </c>
      <c r="G29" s="264"/>
      <c r="H29" s="265"/>
      <c r="I29" s="311">
        <v>1150</v>
      </c>
      <c r="J29" s="312"/>
    </row>
    <row r="30" spans="1:10" ht="45" customHeight="1" x14ac:dyDescent="0.25">
      <c r="A30" s="163" t="s">
        <v>602</v>
      </c>
      <c r="B30" s="180"/>
      <c r="C30" s="319" t="s">
        <v>807</v>
      </c>
      <c r="D30" s="319"/>
      <c r="E30" s="294"/>
      <c r="F30" s="349" t="s">
        <v>808</v>
      </c>
      <c r="G30" s="264"/>
      <c r="H30" s="265"/>
      <c r="I30" s="371">
        <v>1150</v>
      </c>
      <c r="J30" s="372"/>
    </row>
    <row r="31" spans="1:10" ht="124.5" customHeight="1" x14ac:dyDescent="0.25">
      <c r="A31" s="163" t="s">
        <v>644</v>
      </c>
      <c r="B31" s="180"/>
      <c r="C31" s="319" t="s">
        <v>944</v>
      </c>
      <c r="D31" s="319"/>
      <c r="E31" s="294"/>
      <c r="F31" s="349" t="s">
        <v>945</v>
      </c>
      <c r="G31" s="264"/>
      <c r="H31" s="265"/>
      <c r="I31" s="371">
        <v>2600</v>
      </c>
      <c r="J31" s="372"/>
    </row>
    <row r="32" spans="1:10" x14ac:dyDescent="0.25">
      <c r="A32" s="163" t="s">
        <v>946</v>
      </c>
      <c r="B32" s="180"/>
      <c r="C32" s="319" t="s">
        <v>807</v>
      </c>
      <c r="D32" s="319"/>
      <c r="E32" s="294"/>
      <c r="F32" s="349" t="s">
        <v>808</v>
      </c>
      <c r="G32" s="264"/>
      <c r="H32" s="265"/>
      <c r="I32" s="371">
        <v>1150</v>
      </c>
      <c r="J32" s="372"/>
    </row>
    <row r="33" spans="1:10" x14ac:dyDescent="0.25">
      <c r="A33" s="163"/>
      <c r="B33" s="180"/>
      <c r="C33" s="385"/>
      <c r="D33" s="385"/>
      <c r="E33" s="386"/>
      <c r="F33" s="581"/>
      <c r="G33" s="590"/>
      <c r="H33" s="582"/>
      <c r="I33" s="311"/>
      <c r="J33" s="312"/>
    </row>
    <row r="34" spans="1:10" x14ac:dyDescent="0.25">
      <c r="A34" s="163"/>
      <c r="B34" s="180"/>
      <c r="C34" s="385"/>
      <c r="D34" s="385"/>
      <c r="E34" s="386"/>
      <c r="F34" s="581"/>
      <c r="G34" s="590"/>
      <c r="H34" s="582"/>
      <c r="I34" s="311"/>
      <c r="J34" s="312"/>
    </row>
    <row r="35" spans="1:10" x14ac:dyDescent="0.25">
      <c r="A35" s="163"/>
      <c r="B35" s="180"/>
      <c r="C35" s="385"/>
      <c r="D35" s="385"/>
      <c r="E35" s="386"/>
      <c r="F35" s="581"/>
      <c r="G35" s="590"/>
      <c r="H35" s="582"/>
      <c r="I35" s="311"/>
      <c r="J35" s="312"/>
    </row>
    <row r="36" spans="1:10" x14ac:dyDescent="0.25">
      <c r="A36" s="163"/>
      <c r="B36" s="180"/>
      <c r="C36" s="237"/>
      <c r="D36" s="237"/>
      <c r="E36" s="238"/>
      <c r="F36" s="353"/>
      <c r="G36" s="369"/>
      <c r="H36" s="354"/>
      <c r="I36" s="228"/>
      <c r="J36" s="229"/>
    </row>
    <row r="37" spans="1:10" x14ac:dyDescent="0.25">
      <c r="A37" s="163"/>
      <c r="B37" s="180"/>
      <c r="C37" s="237"/>
      <c r="D37" s="237"/>
      <c r="E37" s="238"/>
      <c r="F37" s="234"/>
      <c r="G37" s="235"/>
      <c r="H37" s="236"/>
      <c r="I37" s="228"/>
      <c r="J37" s="229"/>
    </row>
    <row r="38" spans="1:10" x14ac:dyDescent="0.25">
      <c r="A38" s="163"/>
      <c r="B38" s="180"/>
      <c r="C38" s="237"/>
      <c r="D38" s="237"/>
      <c r="E38" s="238"/>
      <c r="F38" s="234"/>
      <c r="G38" s="235"/>
      <c r="H38" s="236"/>
      <c r="I38" s="228"/>
      <c r="J38" s="229"/>
    </row>
    <row r="39" spans="1:10" x14ac:dyDescent="0.25">
      <c r="A39" s="163"/>
      <c r="B39" s="180"/>
      <c r="C39" s="237"/>
      <c r="D39" s="237"/>
      <c r="E39" s="238"/>
      <c r="F39" s="234"/>
      <c r="G39" s="235"/>
      <c r="H39" s="236"/>
      <c r="I39" s="228"/>
      <c r="J39" s="229"/>
    </row>
    <row r="40" spans="1:10" x14ac:dyDescent="0.25">
      <c r="A40" s="163"/>
      <c r="B40" s="180"/>
      <c r="C40" s="319"/>
      <c r="D40" s="319"/>
      <c r="E40" s="294"/>
      <c r="F40" s="349"/>
      <c r="G40" s="264"/>
      <c r="H40" s="265"/>
      <c r="I40" s="371"/>
      <c r="J40" s="372"/>
    </row>
    <row r="41" spans="1:10" x14ac:dyDescent="0.25">
      <c r="A41" s="163"/>
      <c r="B41" s="180"/>
      <c r="C41" s="319"/>
      <c r="D41" s="319"/>
      <c r="E41" s="294"/>
      <c r="F41" s="349"/>
      <c r="G41" s="264"/>
      <c r="H41" s="265"/>
      <c r="I41" s="371"/>
      <c r="J41" s="372"/>
    </row>
    <row r="42" spans="1:10" ht="15" customHeight="1" thickBot="1" x14ac:dyDescent="0.3">
      <c r="A42" s="163"/>
      <c r="B42" s="263"/>
      <c r="C42" s="319"/>
      <c r="D42" s="319"/>
      <c r="E42" s="294"/>
      <c r="F42" s="319"/>
      <c r="G42" s="319"/>
      <c r="H42" s="319"/>
      <c r="I42" s="397"/>
      <c r="J42" s="398"/>
    </row>
    <row r="43" spans="1:10" ht="15.75" thickBot="1" x14ac:dyDescent="0.3">
      <c r="A43" s="85"/>
      <c r="B43" s="122"/>
      <c r="C43" s="500"/>
      <c r="D43" s="500"/>
      <c r="E43" s="501"/>
      <c r="F43" s="273" t="s">
        <v>116</v>
      </c>
      <c r="G43" s="273"/>
      <c r="H43" s="273"/>
      <c r="I43" s="478">
        <f>SUM(I25:J42)</f>
        <v>62690</v>
      </c>
      <c r="J43" s="391"/>
    </row>
  </sheetData>
  <mergeCells count="76">
    <mergeCell ref="F34:H34"/>
    <mergeCell ref="F35:H35"/>
    <mergeCell ref="F36:H36"/>
    <mergeCell ref="I34:J34"/>
    <mergeCell ref="I35:J35"/>
    <mergeCell ref="I30:J30"/>
    <mergeCell ref="I31:J31"/>
    <mergeCell ref="I40:J40"/>
    <mergeCell ref="I41:J41"/>
    <mergeCell ref="C43:E43"/>
    <mergeCell ref="F43:H43"/>
    <mergeCell ref="I43:J43"/>
    <mergeCell ref="F33:H33"/>
    <mergeCell ref="C34:E34"/>
    <mergeCell ref="C35:E35"/>
    <mergeCell ref="C40:E40"/>
    <mergeCell ref="C41:E41"/>
    <mergeCell ref="C32:E32"/>
    <mergeCell ref="C33:E33"/>
    <mergeCell ref="F40:H40"/>
    <mergeCell ref="F41:H41"/>
    <mergeCell ref="B28:E28"/>
    <mergeCell ref="F28:H28"/>
    <mergeCell ref="I28:J28"/>
    <mergeCell ref="B42:E42"/>
    <mergeCell ref="F42:H42"/>
    <mergeCell ref="I42:J42"/>
    <mergeCell ref="B29:E29"/>
    <mergeCell ref="F29:H29"/>
    <mergeCell ref="I29:J29"/>
    <mergeCell ref="C30:E30"/>
    <mergeCell ref="C31:E31"/>
    <mergeCell ref="F30:H30"/>
    <mergeCell ref="F31:H31"/>
    <mergeCell ref="I32:J32"/>
    <mergeCell ref="I33:J33"/>
    <mergeCell ref="F32:H32"/>
    <mergeCell ref="B26:E26"/>
    <mergeCell ref="F26:H26"/>
    <mergeCell ref="I26:J26"/>
    <mergeCell ref="B27:E27"/>
    <mergeCell ref="F27:H27"/>
    <mergeCell ref="I27:J27"/>
    <mergeCell ref="B24:E24"/>
    <mergeCell ref="F24:H24"/>
    <mergeCell ref="I24:J24"/>
    <mergeCell ref="B25:E25"/>
    <mergeCell ref="F25:H25"/>
    <mergeCell ref="I25:J25"/>
    <mergeCell ref="F18:H18"/>
    <mergeCell ref="I18:J18"/>
    <mergeCell ref="B17:E17"/>
    <mergeCell ref="F17:H17"/>
    <mergeCell ref="I17:J17"/>
    <mergeCell ref="B15:E15"/>
    <mergeCell ref="F15:H15"/>
    <mergeCell ref="I15:J15"/>
    <mergeCell ref="C21:E21"/>
    <mergeCell ref="F21:H21"/>
    <mergeCell ref="I21:J21"/>
    <mergeCell ref="B20:E20"/>
    <mergeCell ref="F20:H20"/>
    <mergeCell ref="I20:J20"/>
    <mergeCell ref="B19:E19"/>
    <mergeCell ref="F19:H19"/>
    <mergeCell ref="I19:J19"/>
    <mergeCell ref="B16:E16"/>
    <mergeCell ref="F16:H16"/>
    <mergeCell ref="I16:J16"/>
    <mergeCell ref="B18:E18"/>
    <mergeCell ref="B22:E22"/>
    <mergeCell ref="F22:H22"/>
    <mergeCell ref="I22:J22"/>
    <mergeCell ref="B23:E23"/>
    <mergeCell ref="F23:H23"/>
    <mergeCell ref="I23:J2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A0B7D-CC9D-43A4-BE02-B00B52285D60}">
  <dimension ref="A1:T43"/>
  <sheetViews>
    <sheetView zoomScale="90" zoomScaleNormal="90" workbookViewId="0">
      <selection activeCell="P7" sqref="P7"/>
    </sheetView>
  </sheetViews>
  <sheetFormatPr defaultRowHeight="15" x14ac:dyDescent="0.25"/>
  <cols>
    <col min="1" max="1" width="34" customWidth="1"/>
    <col min="2" max="2" width="18.7109375" hidden="1" customWidth="1"/>
    <col min="3" max="3" width="14.5703125" customWidth="1"/>
    <col min="4" max="4" width="19" customWidth="1"/>
    <col min="5" max="5" width="23.7109375" customWidth="1"/>
    <col min="6" max="6" width="17.7109375" customWidth="1"/>
    <col min="7" max="7" width="10.85546875" customWidth="1"/>
    <col min="8" max="8" width="11.7109375" customWidth="1"/>
    <col min="9" max="9" width="11.28515625" bestFit="1" customWidth="1"/>
    <col min="10" max="10" width="10.28515625" bestFit="1" customWidth="1"/>
    <col min="11" max="12" width="11.28515625" bestFit="1" customWidth="1"/>
    <col min="13" max="13" width="10.28515625" bestFit="1" customWidth="1"/>
    <col min="14" max="14" width="9.28515625" bestFit="1" customWidth="1"/>
    <col min="15" max="15" width="11.140625" customWidth="1"/>
    <col min="16" max="16" width="11.28515625" customWidth="1"/>
    <col min="17" max="17" width="10.28515625" customWidth="1"/>
    <col min="18" max="18" width="10.5703125" customWidth="1"/>
    <col min="19" max="19" width="11.28515625" customWidth="1"/>
    <col min="20" max="20" width="12.5703125" customWidth="1"/>
  </cols>
  <sheetData>
    <row r="1" spans="1:20" ht="72.75" customHeight="1" thickBot="1" x14ac:dyDescent="0.3">
      <c r="A1" s="1"/>
      <c r="B1" s="2" t="s">
        <v>0</v>
      </c>
      <c r="C1" s="3" t="s">
        <v>122</v>
      </c>
      <c r="D1" s="4" t="s">
        <v>124</v>
      </c>
      <c r="E1" s="5" t="s">
        <v>2</v>
      </c>
      <c r="F1" s="6" t="s">
        <v>3</v>
      </c>
      <c r="G1" s="204" t="s">
        <v>4</v>
      </c>
      <c r="H1" s="65" t="s">
        <v>5</v>
      </c>
      <c r="I1" s="205" t="s">
        <v>6</v>
      </c>
      <c r="J1" s="65" t="s">
        <v>7</v>
      </c>
      <c r="K1" s="205" t="s">
        <v>8</v>
      </c>
      <c r="L1" s="65" t="s">
        <v>9</v>
      </c>
      <c r="M1" s="205" t="s">
        <v>10</v>
      </c>
      <c r="N1" s="65" t="s">
        <v>11</v>
      </c>
      <c r="O1" s="205" t="s">
        <v>12</v>
      </c>
      <c r="P1" s="65" t="s">
        <v>13</v>
      </c>
      <c r="Q1" s="205" t="s">
        <v>14</v>
      </c>
      <c r="R1" s="65" t="s">
        <v>15</v>
      </c>
      <c r="S1" s="66"/>
      <c r="T1" s="10" t="s">
        <v>16</v>
      </c>
    </row>
    <row r="2" spans="1:20" ht="16.5" thickBot="1" x14ac:dyDescent="0.3">
      <c r="A2" s="60" t="s">
        <v>69</v>
      </c>
      <c r="B2" s="104"/>
      <c r="C2" s="86"/>
      <c r="D2" s="86"/>
      <c r="E2" s="91" t="s">
        <v>17</v>
      </c>
      <c r="F2" s="92"/>
      <c r="G2" s="106"/>
      <c r="H2" s="57"/>
      <c r="I2" s="88"/>
      <c r="J2" s="57"/>
      <c r="K2" s="88"/>
      <c r="L2" s="57"/>
      <c r="M2" s="57"/>
      <c r="N2" s="88"/>
      <c r="O2" s="57"/>
      <c r="P2" s="88"/>
      <c r="Q2" s="57"/>
      <c r="R2" s="12"/>
      <c r="S2" s="57"/>
      <c r="T2" s="57"/>
    </row>
    <row r="3" spans="1:20" ht="20.25" customHeight="1" x14ac:dyDescent="0.25">
      <c r="A3" s="94" t="s">
        <v>29</v>
      </c>
      <c r="B3" s="107" t="s">
        <v>18</v>
      </c>
      <c r="C3" s="58"/>
      <c r="D3" s="59">
        <v>94711</v>
      </c>
      <c r="E3" s="89">
        <f>SUM(G3:R3)</f>
        <v>48398</v>
      </c>
      <c r="F3" s="90">
        <f>C3+D3-E3</f>
        <v>46313</v>
      </c>
      <c r="G3" s="53"/>
      <c r="H3" s="53"/>
      <c r="I3" s="53"/>
      <c r="J3" s="53"/>
      <c r="K3" s="53"/>
      <c r="L3" s="53">
        <f>16402+4143</f>
        <v>20545</v>
      </c>
      <c r="M3" s="53"/>
      <c r="N3" s="53"/>
      <c r="O3" s="53">
        <f>2736+17130</f>
        <v>19866</v>
      </c>
      <c r="P3" s="53">
        <f>4497+3490</f>
        <v>7987</v>
      </c>
      <c r="Q3" s="53"/>
      <c r="R3" s="53"/>
      <c r="S3" s="31"/>
      <c r="T3" s="31">
        <f>SUM(G3:R3)</f>
        <v>48398</v>
      </c>
    </row>
    <row r="4" spans="1:20" ht="15.75" x14ac:dyDescent="0.25">
      <c r="A4" s="94" t="s">
        <v>109</v>
      </c>
      <c r="B4" s="107"/>
      <c r="C4" s="58"/>
      <c r="D4" s="59">
        <v>50000</v>
      </c>
      <c r="E4" s="89">
        <f t="shared" ref="E4:E9" si="0">SUM(G4:R4)</f>
        <v>17900</v>
      </c>
      <c r="F4" s="90">
        <f t="shared" ref="F4:F9" si="1">C4+D4-E4</f>
        <v>32100</v>
      </c>
      <c r="G4" s="53"/>
      <c r="H4" s="53">
        <v>6300</v>
      </c>
      <c r="I4" s="53"/>
      <c r="J4" s="53">
        <f>1850</f>
        <v>1850</v>
      </c>
      <c r="K4" s="53">
        <f>1150+1000</f>
        <v>2150</v>
      </c>
      <c r="L4" s="53"/>
      <c r="M4" s="53">
        <f>4150</f>
        <v>4150</v>
      </c>
      <c r="N4" s="53"/>
      <c r="O4" s="53"/>
      <c r="P4" s="53">
        <f>2300+1150</f>
        <v>3450</v>
      </c>
      <c r="Q4" s="53"/>
      <c r="R4" s="53"/>
      <c r="S4" s="31"/>
      <c r="T4" s="31">
        <f t="shared" ref="T4:T8" si="2">SUM(G4:R4)</f>
        <v>17900</v>
      </c>
    </row>
    <row r="5" spans="1:20" ht="15.75" x14ac:dyDescent="0.25">
      <c r="A5" s="13" t="s">
        <v>110</v>
      </c>
      <c r="B5" s="14"/>
      <c r="C5" s="15"/>
      <c r="D5" s="16">
        <v>50000</v>
      </c>
      <c r="E5" s="89">
        <f t="shared" si="0"/>
        <v>8400</v>
      </c>
      <c r="F5" s="90">
        <f t="shared" si="1"/>
        <v>41600</v>
      </c>
      <c r="G5" s="19"/>
      <c r="H5" s="19"/>
      <c r="I5" s="19"/>
      <c r="J5" s="19"/>
      <c r="K5" s="19"/>
      <c r="L5" s="19"/>
      <c r="M5" s="19">
        <f>8400</f>
        <v>8400</v>
      </c>
      <c r="N5" s="19"/>
      <c r="O5" s="19"/>
      <c r="P5" s="19"/>
      <c r="Q5" s="19"/>
      <c r="R5" s="19"/>
      <c r="S5" s="31"/>
      <c r="T5" s="31">
        <f t="shared" si="2"/>
        <v>8400</v>
      </c>
    </row>
    <row r="6" spans="1:20" ht="15.75" x14ac:dyDescent="0.25">
      <c r="A6" s="13" t="s">
        <v>132</v>
      </c>
      <c r="B6" s="14"/>
      <c r="C6" s="15"/>
      <c r="D6" s="16">
        <v>21289</v>
      </c>
      <c r="E6" s="89">
        <f t="shared" si="0"/>
        <v>28084</v>
      </c>
      <c r="F6" s="90">
        <f t="shared" si="1"/>
        <v>-6795</v>
      </c>
      <c r="G6" s="19"/>
      <c r="H6" s="19"/>
      <c r="I6" s="19"/>
      <c r="J6" s="19"/>
      <c r="K6" s="19"/>
      <c r="L6" s="19"/>
      <c r="M6" s="19"/>
      <c r="N6" s="19"/>
      <c r="O6" s="19"/>
      <c r="P6" s="19">
        <f>4497+8500+15087</f>
        <v>28084</v>
      </c>
      <c r="Q6" s="19"/>
      <c r="R6" s="19"/>
      <c r="S6" s="19"/>
      <c r="T6" s="31">
        <f t="shared" si="2"/>
        <v>28084</v>
      </c>
    </row>
    <row r="7" spans="1:20" ht="15.75" x14ac:dyDescent="0.25">
      <c r="A7" s="13" t="s">
        <v>128</v>
      </c>
      <c r="B7" s="14"/>
      <c r="C7" s="15"/>
      <c r="D7" s="16">
        <v>10800</v>
      </c>
      <c r="E7" s="89">
        <f t="shared" si="0"/>
        <v>0</v>
      </c>
      <c r="F7" s="90">
        <f t="shared" si="1"/>
        <v>10800</v>
      </c>
      <c r="G7" s="19"/>
      <c r="H7" s="19"/>
      <c r="I7" s="19"/>
      <c r="J7" s="19"/>
      <c r="K7" s="19"/>
      <c r="L7" s="19"/>
      <c r="M7" s="19"/>
      <c r="N7" s="19"/>
      <c r="O7" s="19"/>
      <c r="P7" s="19"/>
      <c r="Q7" s="19"/>
      <c r="R7" s="19"/>
      <c r="S7" s="19"/>
      <c r="T7" s="31">
        <f t="shared" si="2"/>
        <v>0</v>
      </c>
    </row>
    <row r="8" spans="1:20" ht="31.5" x14ac:dyDescent="0.25">
      <c r="A8" s="23" t="s">
        <v>133</v>
      </c>
      <c r="B8" s="21" t="s">
        <v>33</v>
      </c>
      <c r="C8" s="15"/>
      <c r="D8" s="16">
        <v>10000</v>
      </c>
      <c r="E8" s="89">
        <f t="shared" si="0"/>
        <v>0</v>
      </c>
      <c r="F8" s="90">
        <f t="shared" si="1"/>
        <v>10000</v>
      </c>
      <c r="G8" s="19"/>
      <c r="H8" s="19"/>
      <c r="I8" s="19"/>
      <c r="J8" s="19"/>
      <c r="K8" s="19"/>
      <c r="L8" s="19"/>
      <c r="M8" s="19"/>
      <c r="N8" s="19"/>
      <c r="O8" s="19"/>
      <c r="P8" s="19"/>
      <c r="Q8" s="19"/>
      <c r="R8" s="19"/>
      <c r="S8" s="33"/>
      <c r="T8" s="31">
        <f t="shared" si="2"/>
        <v>0</v>
      </c>
    </row>
    <row r="9" spans="1:20" ht="47.25" x14ac:dyDescent="0.25">
      <c r="A9" s="23" t="s">
        <v>134</v>
      </c>
      <c r="B9" s="40"/>
      <c r="C9" s="41"/>
      <c r="D9" s="72">
        <v>24000</v>
      </c>
      <c r="E9" s="89">
        <f t="shared" si="0"/>
        <v>0</v>
      </c>
      <c r="F9" s="90">
        <f t="shared" si="1"/>
        <v>24000</v>
      </c>
      <c r="G9" s="42"/>
      <c r="H9" s="42"/>
      <c r="I9" s="42"/>
      <c r="J9" s="42"/>
      <c r="K9" s="42"/>
      <c r="L9" s="42"/>
      <c r="M9" s="42"/>
      <c r="N9" s="42"/>
      <c r="O9" s="42"/>
      <c r="P9" s="42"/>
      <c r="Q9" s="42"/>
      <c r="R9" s="42"/>
      <c r="S9" s="19"/>
      <c r="T9" s="31">
        <f t="shared" ref="T9" si="3">SUM(G9:R9)</f>
        <v>0</v>
      </c>
    </row>
    <row r="10" spans="1:20" ht="16.5" thickBot="1" x14ac:dyDescent="0.3">
      <c r="A10" s="25"/>
      <c r="B10" s="26" t="s">
        <v>24</v>
      </c>
      <c r="C10" s="27">
        <f>SUM(C3:C8)</f>
        <v>0</v>
      </c>
      <c r="D10" s="27">
        <f>C10</f>
        <v>0</v>
      </c>
      <c r="E10" s="27">
        <f t="shared" ref="E10:K10" si="4">SUM(E3:E8)</f>
        <v>102782</v>
      </c>
      <c r="F10" s="27">
        <f t="shared" si="4"/>
        <v>134018</v>
      </c>
      <c r="G10" s="27">
        <f t="shared" si="4"/>
        <v>0</v>
      </c>
      <c r="H10" s="27">
        <f t="shared" si="4"/>
        <v>6300</v>
      </c>
      <c r="I10" s="27">
        <f t="shared" si="4"/>
        <v>0</v>
      </c>
      <c r="J10" s="27">
        <f t="shared" si="4"/>
        <v>1850</v>
      </c>
      <c r="K10" s="27">
        <f t="shared" si="4"/>
        <v>2150</v>
      </c>
      <c r="L10" s="27">
        <f>L3+L5+L8+L9</f>
        <v>20545</v>
      </c>
      <c r="M10" s="27">
        <f t="shared" ref="M10:R10" si="5">M3+M5+M8+M9</f>
        <v>8400</v>
      </c>
      <c r="N10" s="27">
        <f>N3+N5+N8+N9</f>
        <v>0</v>
      </c>
      <c r="O10" s="27">
        <f t="shared" si="5"/>
        <v>19866</v>
      </c>
      <c r="P10" s="27">
        <f t="shared" si="5"/>
        <v>7987</v>
      </c>
      <c r="Q10" s="27">
        <f t="shared" si="5"/>
        <v>0</v>
      </c>
      <c r="R10" s="27">
        <f t="shared" si="5"/>
        <v>0</v>
      </c>
      <c r="S10" s="70" t="s">
        <v>25</v>
      </c>
      <c r="T10" s="83">
        <f>SUM(T3:T8)</f>
        <v>102782</v>
      </c>
    </row>
    <row r="13" spans="1:20" x14ac:dyDescent="0.25">
      <c r="H13" s="97">
        <f>D3/2</f>
        <v>47355.5</v>
      </c>
    </row>
    <row r="14" spans="1:20" ht="38.25" thickBot="1" x14ac:dyDescent="0.55000000000000004">
      <c r="A14" s="30"/>
      <c r="B14" s="32"/>
      <c r="C14" s="32"/>
    </row>
    <row r="15" spans="1:20" ht="16.5" thickBot="1" x14ac:dyDescent="0.3">
      <c r="A15" s="136" t="s">
        <v>175</v>
      </c>
      <c r="B15" s="299" t="s">
        <v>188</v>
      </c>
      <c r="C15" s="300"/>
      <c r="D15" s="300"/>
      <c r="E15" s="301"/>
      <c r="F15" s="299" t="s">
        <v>114</v>
      </c>
      <c r="G15" s="300"/>
      <c r="H15" s="301"/>
      <c r="I15" s="387" t="s">
        <v>113</v>
      </c>
      <c r="J15" s="539"/>
      <c r="K15" s="388"/>
    </row>
    <row r="16" spans="1:20" ht="28.5" customHeight="1" x14ac:dyDescent="0.25">
      <c r="A16" s="163" t="s">
        <v>19</v>
      </c>
      <c r="B16" s="350" t="s">
        <v>237</v>
      </c>
      <c r="C16" s="351"/>
      <c r="D16" s="351"/>
      <c r="E16" s="352"/>
      <c r="F16" s="350" t="s">
        <v>634</v>
      </c>
      <c r="G16" s="370"/>
      <c r="H16" s="413"/>
      <c r="I16" s="540">
        <v>16402</v>
      </c>
      <c r="J16" s="540"/>
      <c r="K16" s="408"/>
    </row>
    <row r="17" spans="1:11" ht="30" customHeight="1" x14ac:dyDescent="0.25">
      <c r="A17" s="156" t="s">
        <v>19</v>
      </c>
      <c r="B17" s="140"/>
      <c r="C17" s="267" t="s">
        <v>237</v>
      </c>
      <c r="D17" s="267"/>
      <c r="E17" s="268"/>
      <c r="F17" s="288" t="s">
        <v>635</v>
      </c>
      <c r="G17" s="267"/>
      <c r="H17" s="268"/>
      <c r="I17" s="261">
        <v>4143</v>
      </c>
      <c r="J17" s="381"/>
      <c r="K17" s="262"/>
    </row>
    <row r="18" spans="1:11" ht="30.75" customHeight="1" x14ac:dyDescent="0.25">
      <c r="A18" s="192" t="s">
        <v>19</v>
      </c>
      <c r="B18" s="198"/>
      <c r="C18" s="267" t="s">
        <v>237</v>
      </c>
      <c r="D18" s="267"/>
      <c r="E18" s="268"/>
      <c r="F18" s="288" t="s">
        <v>862</v>
      </c>
      <c r="G18" s="267"/>
      <c r="H18" s="268"/>
      <c r="I18" s="261">
        <v>2736</v>
      </c>
      <c r="J18" s="381"/>
      <c r="K18" s="262"/>
    </row>
    <row r="19" spans="1:11" ht="30" customHeight="1" x14ac:dyDescent="0.25">
      <c r="A19" s="192" t="s">
        <v>19</v>
      </c>
      <c r="B19" s="211"/>
      <c r="C19" s="267" t="s">
        <v>237</v>
      </c>
      <c r="D19" s="267"/>
      <c r="E19" s="268"/>
      <c r="F19" s="288" t="s">
        <v>863</v>
      </c>
      <c r="G19" s="267"/>
      <c r="H19" s="268"/>
      <c r="I19" s="261">
        <v>17130</v>
      </c>
      <c r="J19" s="381"/>
      <c r="K19" s="262"/>
    </row>
    <row r="20" spans="1:11" ht="30.75" customHeight="1" x14ac:dyDescent="0.25">
      <c r="A20" s="192" t="s">
        <v>173</v>
      </c>
      <c r="B20" s="211"/>
      <c r="C20" s="267" t="s">
        <v>975</v>
      </c>
      <c r="D20" s="267"/>
      <c r="E20" s="268"/>
      <c r="F20" s="288" t="s">
        <v>976</v>
      </c>
      <c r="G20" s="267"/>
      <c r="H20" s="268"/>
      <c r="I20" s="261">
        <v>4497</v>
      </c>
      <c r="J20" s="381"/>
      <c r="K20" s="262"/>
    </row>
    <row r="21" spans="1:11" ht="30" customHeight="1" x14ac:dyDescent="0.25">
      <c r="A21" s="192" t="s">
        <v>19</v>
      </c>
      <c r="B21" s="211"/>
      <c r="C21" s="267" t="s">
        <v>237</v>
      </c>
      <c r="D21" s="267"/>
      <c r="E21" s="268"/>
      <c r="F21" s="288" t="s">
        <v>1006</v>
      </c>
      <c r="G21" s="267"/>
      <c r="H21" s="268"/>
      <c r="I21" s="261">
        <v>3490</v>
      </c>
      <c r="J21" s="381"/>
      <c r="K21" s="262"/>
    </row>
    <row r="22" spans="1:11" ht="30" customHeight="1" x14ac:dyDescent="0.25">
      <c r="A22" s="192" t="s">
        <v>983</v>
      </c>
      <c r="B22" s="211"/>
      <c r="C22" s="267" t="s">
        <v>1029</v>
      </c>
      <c r="D22" s="267"/>
      <c r="E22" s="268"/>
      <c r="F22" s="288" t="s">
        <v>1030</v>
      </c>
      <c r="G22" s="267"/>
      <c r="H22" s="268"/>
      <c r="I22" s="261">
        <v>15087</v>
      </c>
      <c r="J22" s="381"/>
      <c r="K22" s="262"/>
    </row>
    <row r="23" spans="1:11" ht="29.25" customHeight="1" x14ac:dyDescent="0.25">
      <c r="A23" s="192" t="s">
        <v>295</v>
      </c>
      <c r="B23" s="211"/>
      <c r="C23" s="267" t="s">
        <v>980</v>
      </c>
      <c r="D23" s="267"/>
      <c r="E23" s="268"/>
      <c r="F23" s="288" t="s">
        <v>1031</v>
      </c>
      <c r="G23" s="267"/>
      <c r="H23" s="268"/>
      <c r="I23" s="261">
        <v>8500</v>
      </c>
      <c r="J23" s="381"/>
      <c r="K23" s="262"/>
    </row>
    <row r="24" spans="1:11" ht="15.75" thickBot="1" x14ac:dyDescent="0.3">
      <c r="A24" s="216"/>
      <c r="B24" s="211"/>
      <c r="C24" s="292"/>
      <c r="D24" s="292"/>
      <c r="E24" s="293"/>
      <c r="F24" s="291"/>
      <c r="G24" s="292"/>
      <c r="H24" s="293"/>
      <c r="I24" s="297"/>
      <c r="J24" s="580"/>
      <c r="K24" s="298"/>
    </row>
    <row r="25" spans="1:11" ht="15.75" thickBot="1" x14ac:dyDescent="0.3">
      <c r="A25" s="85"/>
      <c r="B25" s="122"/>
      <c r="C25" s="270"/>
      <c r="D25" s="270"/>
      <c r="E25" s="271"/>
      <c r="F25" s="272" t="s">
        <v>116</v>
      </c>
      <c r="G25" s="273"/>
      <c r="H25" s="391"/>
      <c r="I25" s="478">
        <f>SUM(I16:K24)</f>
        <v>71985</v>
      </c>
      <c r="J25" s="273"/>
      <c r="K25" s="391"/>
    </row>
    <row r="27" spans="1:11" ht="15.75" thickBot="1" x14ac:dyDescent="0.3"/>
    <row r="28" spans="1:11" ht="16.5" thickBot="1" x14ac:dyDescent="0.3">
      <c r="A28" s="136" t="s">
        <v>112</v>
      </c>
      <c r="B28" s="299" t="s">
        <v>315</v>
      </c>
      <c r="C28" s="300"/>
      <c r="D28" s="300"/>
      <c r="E28" s="301"/>
      <c r="F28" s="299" t="s">
        <v>114</v>
      </c>
      <c r="G28" s="300"/>
      <c r="H28" s="301"/>
      <c r="I28" s="387" t="s">
        <v>113</v>
      </c>
      <c r="J28" s="539"/>
      <c r="K28" s="388"/>
    </row>
    <row r="29" spans="1:11" ht="43.5" customHeight="1" x14ac:dyDescent="0.25">
      <c r="A29" s="163" t="s">
        <v>329</v>
      </c>
      <c r="B29" s="350" t="s">
        <v>331</v>
      </c>
      <c r="C29" s="351"/>
      <c r="D29" s="351"/>
      <c r="E29" s="352"/>
      <c r="F29" s="377" t="s">
        <v>330</v>
      </c>
      <c r="G29" s="370"/>
      <c r="H29" s="413"/>
      <c r="I29" s="540">
        <v>1150</v>
      </c>
      <c r="J29" s="540"/>
      <c r="K29" s="408"/>
    </row>
    <row r="30" spans="1:11" x14ac:dyDescent="0.25">
      <c r="A30" s="156" t="s">
        <v>329</v>
      </c>
      <c r="B30" s="140"/>
      <c r="C30" s="267" t="s">
        <v>382</v>
      </c>
      <c r="D30" s="267"/>
      <c r="E30" s="268"/>
      <c r="F30" s="266" t="s">
        <v>383</v>
      </c>
      <c r="G30" s="267"/>
      <c r="H30" s="268"/>
      <c r="I30" s="261">
        <v>1150</v>
      </c>
      <c r="J30" s="381"/>
      <c r="K30" s="262"/>
    </row>
    <row r="31" spans="1:11" ht="30" customHeight="1" x14ac:dyDescent="0.25">
      <c r="A31" s="183" t="s">
        <v>392</v>
      </c>
      <c r="B31" s="140"/>
      <c r="C31" s="289" t="s">
        <v>393</v>
      </c>
      <c r="D31" s="289"/>
      <c r="E31" s="290"/>
      <c r="F31" s="266" t="s">
        <v>394</v>
      </c>
      <c r="G31" s="267"/>
      <c r="H31" s="268"/>
      <c r="I31" s="261">
        <v>6300</v>
      </c>
      <c r="J31" s="381"/>
      <c r="K31" s="262"/>
    </row>
    <row r="32" spans="1:11" s="115" customFormat="1" ht="60" customHeight="1" x14ac:dyDescent="0.25">
      <c r="A32" s="162" t="s">
        <v>329</v>
      </c>
      <c r="B32" s="187"/>
      <c r="C32" s="319" t="s">
        <v>458</v>
      </c>
      <c r="D32" s="264"/>
      <c r="E32" s="265"/>
      <c r="F32" s="349" t="s">
        <v>459</v>
      </c>
      <c r="G32" s="264"/>
      <c r="H32" s="265"/>
      <c r="I32" s="311">
        <v>1850</v>
      </c>
      <c r="J32" s="424"/>
      <c r="K32" s="312"/>
    </row>
    <row r="33" spans="1:11" ht="43.5" customHeight="1" x14ac:dyDescent="0.25">
      <c r="A33" s="156" t="s">
        <v>329</v>
      </c>
      <c r="B33" s="116"/>
      <c r="C33" s="289" t="s">
        <v>508</v>
      </c>
      <c r="D33" s="289"/>
      <c r="E33" s="290"/>
      <c r="F33" s="266" t="s">
        <v>509</v>
      </c>
      <c r="G33" s="267"/>
      <c r="H33" s="268"/>
      <c r="I33" s="261">
        <v>1150</v>
      </c>
      <c r="J33" s="381"/>
      <c r="K33" s="262"/>
    </row>
    <row r="34" spans="1:11" ht="15" customHeight="1" x14ac:dyDescent="0.25">
      <c r="A34" s="156" t="s">
        <v>329</v>
      </c>
      <c r="B34" s="116"/>
      <c r="C34" s="512" t="s">
        <v>539</v>
      </c>
      <c r="D34" s="512"/>
      <c r="E34" s="513"/>
      <c r="F34" s="266" t="s">
        <v>540</v>
      </c>
      <c r="G34" s="267"/>
      <c r="H34" s="268"/>
      <c r="I34" s="261">
        <v>1000</v>
      </c>
      <c r="J34" s="381"/>
      <c r="K34" s="262"/>
    </row>
    <row r="35" spans="1:11" s="115" customFormat="1" ht="46.5" customHeight="1" x14ac:dyDescent="0.25">
      <c r="A35" s="162" t="s">
        <v>329</v>
      </c>
      <c r="B35" s="187"/>
      <c r="C35" s="319" t="s">
        <v>690</v>
      </c>
      <c r="D35" s="319"/>
      <c r="E35" s="294"/>
      <c r="F35" s="349" t="s">
        <v>691</v>
      </c>
      <c r="G35" s="264"/>
      <c r="H35" s="265"/>
      <c r="I35" s="311">
        <v>12550</v>
      </c>
      <c r="J35" s="424"/>
      <c r="K35" s="312"/>
    </row>
    <row r="36" spans="1:11" ht="59.25" customHeight="1" x14ac:dyDescent="0.25">
      <c r="A36" s="156" t="s">
        <v>329</v>
      </c>
      <c r="B36" s="116"/>
      <c r="C36" s="289" t="s">
        <v>929</v>
      </c>
      <c r="D36" s="267"/>
      <c r="E36" s="268"/>
      <c r="F36" s="266" t="s">
        <v>930</v>
      </c>
      <c r="G36" s="267"/>
      <c r="H36" s="268"/>
      <c r="I36" s="261">
        <v>2300</v>
      </c>
      <c r="J36" s="381"/>
      <c r="K36" s="262"/>
    </row>
    <row r="37" spans="1:11" x14ac:dyDescent="0.25">
      <c r="A37" s="156"/>
      <c r="B37" s="116"/>
      <c r="C37" s="267"/>
      <c r="D37" s="267"/>
      <c r="E37" s="268"/>
      <c r="F37" s="266"/>
      <c r="G37" s="267"/>
      <c r="H37" s="268"/>
      <c r="I37" s="261"/>
      <c r="J37" s="381"/>
      <c r="K37" s="262"/>
    </row>
    <row r="38" spans="1:11" x14ac:dyDescent="0.25">
      <c r="A38" s="156"/>
      <c r="B38" s="116"/>
      <c r="C38" s="267"/>
      <c r="D38" s="267"/>
      <c r="E38" s="268"/>
      <c r="F38" s="266"/>
      <c r="G38" s="267"/>
      <c r="H38" s="268"/>
      <c r="I38" s="261"/>
      <c r="J38" s="381"/>
      <c r="K38" s="262"/>
    </row>
    <row r="39" spans="1:11" x14ac:dyDescent="0.25">
      <c r="A39" s="156"/>
      <c r="B39" s="116"/>
      <c r="C39" s="267"/>
      <c r="D39" s="267"/>
      <c r="E39" s="268"/>
      <c r="F39" s="266"/>
      <c r="G39" s="267"/>
      <c r="H39" s="268"/>
      <c r="I39" s="261"/>
      <c r="J39" s="381"/>
      <c r="K39" s="262"/>
    </row>
    <row r="40" spans="1:11" x14ac:dyDescent="0.25">
      <c r="A40" s="156"/>
      <c r="B40" s="116"/>
      <c r="C40" s="267"/>
      <c r="D40" s="267"/>
      <c r="E40" s="268"/>
      <c r="F40" s="266"/>
      <c r="G40" s="267"/>
      <c r="H40" s="268"/>
      <c r="I40" s="261"/>
      <c r="J40" s="381"/>
      <c r="K40" s="262"/>
    </row>
    <row r="41" spans="1:11" x14ac:dyDescent="0.25">
      <c r="A41" s="156"/>
      <c r="B41" s="116"/>
      <c r="C41" s="267"/>
      <c r="D41" s="267"/>
      <c r="E41" s="268"/>
      <c r="F41" s="266"/>
      <c r="G41" s="267"/>
      <c r="H41" s="268"/>
      <c r="I41" s="261"/>
      <c r="J41" s="381"/>
      <c r="K41" s="262"/>
    </row>
    <row r="42" spans="1:11" ht="15.75" thickBot="1" x14ac:dyDescent="0.3">
      <c r="A42" s="119"/>
      <c r="B42" s="116"/>
      <c r="C42" s="292"/>
      <c r="D42" s="292"/>
      <c r="E42" s="293"/>
      <c r="F42" s="291"/>
      <c r="G42" s="292"/>
      <c r="H42" s="293"/>
      <c r="I42" s="297"/>
      <c r="J42" s="580"/>
      <c r="K42" s="298"/>
    </row>
    <row r="43" spans="1:11" ht="15.75" thickBot="1" x14ac:dyDescent="0.3">
      <c r="A43" s="85"/>
      <c r="B43" s="122"/>
      <c r="C43" s="270"/>
      <c r="D43" s="270"/>
      <c r="E43" s="271"/>
      <c r="F43" s="272" t="s">
        <v>116</v>
      </c>
      <c r="G43" s="273"/>
      <c r="H43" s="391"/>
      <c r="I43" s="478">
        <f>SUM(I29:K42)</f>
        <v>27450</v>
      </c>
      <c r="J43" s="273"/>
      <c r="K43" s="391"/>
    </row>
  </sheetData>
  <mergeCells count="81">
    <mergeCell ref="I23:K23"/>
    <mergeCell ref="F38:H38"/>
    <mergeCell ref="F39:H39"/>
    <mergeCell ref="I37:K37"/>
    <mergeCell ref="I38:K38"/>
    <mergeCell ref="I39:K39"/>
    <mergeCell ref="I35:K35"/>
    <mergeCell ref="I36:K36"/>
    <mergeCell ref="I21:K21"/>
    <mergeCell ref="F21:H21"/>
    <mergeCell ref="C21:E21"/>
    <mergeCell ref="C25:E25"/>
    <mergeCell ref="C19:E19"/>
    <mergeCell ref="C20:E20"/>
    <mergeCell ref="F19:H19"/>
    <mergeCell ref="F20:H20"/>
    <mergeCell ref="I19:K19"/>
    <mergeCell ref="I20:K20"/>
    <mergeCell ref="I24:K24"/>
    <mergeCell ref="C22:E22"/>
    <mergeCell ref="C23:E23"/>
    <mergeCell ref="F22:H22"/>
    <mergeCell ref="F23:H23"/>
    <mergeCell ref="I22:K22"/>
    <mergeCell ref="C32:E32"/>
    <mergeCell ref="F32:H32"/>
    <mergeCell ref="I32:K32"/>
    <mergeCell ref="I33:K33"/>
    <mergeCell ref="I34:K34"/>
    <mergeCell ref="F33:H33"/>
    <mergeCell ref="F34:H34"/>
    <mergeCell ref="C33:E33"/>
    <mergeCell ref="C34:E34"/>
    <mergeCell ref="C42:E42"/>
    <mergeCell ref="F42:H42"/>
    <mergeCell ref="I42:K42"/>
    <mergeCell ref="F43:H43"/>
    <mergeCell ref="I43:K43"/>
    <mergeCell ref="C43:E43"/>
    <mergeCell ref="C30:E30"/>
    <mergeCell ref="F30:H30"/>
    <mergeCell ref="I30:K30"/>
    <mergeCell ref="C31:E31"/>
    <mergeCell ref="F31:H31"/>
    <mergeCell ref="I31:K31"/>
    <mergeCell ref="B28:E28"/>
    <mergeCell ref="F28:H28"/>
    <mergeCell ref="I28:K28"/>
    <mergeCell ref="B29:E29"/>
    <mergeCell ref="F29:H29"/>
    <mergeCell ref="I29:K29"/>
    <mergeCell ref="B15:E15"/>
    <mergeCell ref="F15:H15"/>
    <mergeCell ref="I15:K15"/>
    <mergeCell ref="F25:H25"/>
    <mergeCell ref="I25:K25"/>
    <mergeCell ref="B16:E16"/>
    <mergeCell ref="F16:H16"/>
    <mergeCell ref="I16:K16"/>
    <mergeCell ref="C17:E17"/>
    <mergeCell ref="F17:H17"/>
    <mergeCell ref="I17:K17"/>
    <mergeCell ref="C18:E18"/>
    <mergeCell ref="F18:H18"/>
    <mergeCell ref="I18:K18"/>
    <mergeCell ref="C24:E24"/>
    <mergeCell ref="F24:H24"/>
    <mergeCell ref="I40:K40"/>
    <mergeCell ref="I41:K41"/>
    <mergeCell ref="C35:E35"/>
    <mergeCell ref="C36:E36"/>
    <mergeCell ref="C41:E41"/>
    <mergeCell ref="C40:E40"/>
    <mergeCell ref="F35:H35"/>
    <mergeCell ref="F36:H36"/>
    <mergeCell ref="F40:H40"/>
    <mergeCell ref="F41:H41"/>
    <mergeCell ref="C37:E37"/>
    <mergeCell ref="C38:E38"/>
    <mergeCell ref="C39:E39"/>
    <mergeCell ref="F37:H37"/>
  </mergeCells>
  <phoneticPr fontId="12"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E5621-2ED9-4B3D-B83B-811563CB3CA3}">
  <dimension ref="A1:T52"/>
  <sheetViews>
    <sheetView zoomScale="90" zoomScaleNormal="90" workbookViewId="0">
      <selection activeCell="P5" sqref="P5"/>
    </sheetView>
  </sheetViews>
  <sheetFormatPr defaultRowHeight="15" x14ac:dyDescent="0.25"/>
  <cols>
    <col min="1" max="1" width="34" customWidth="1"/>
    <col min="2" max="2" width="18.7109375" hidden="1" customWidth="1"/>
    <col min="3" max="3" width="19.5703125" customWidth="1"/>
    <col min="4" max="4" width="16.140625" customWidth="1"/>
    <col min="5" max="5" width="23.140625" customWidth="1"/>
    <col min="6" max="6" width="21.85546875" customWidth="1"/>
    <col min="7" max="7" width="13.140625" customWidth="1"/>
    <col min="8" max="8" width="11.7109375" customWidth="1"/>
    <col min="9" max="9" width="11.28515625" bestFit="1" customWidth="1"/>
    <col min="10" max="10" width="10.28515625" bestFit="1" customWidth="1"/>
    <col min="11" max="12" width="11.28515625" bestFit="1" customWidth="1"/>
    <col min="13" max="13" width="10.28515625" bestFit="1" customWidth="1"/>
    <col min="14" max="14" width="9.28515625" bestFit="1" customWidth="1"/>
    <col min="15" max="15" width="11.140625" customWidth="1"/>
    <col min="16" max="16" width="11.28515625" customWidth="1"/>
    <col min="17" max="17" width="10.28515625" customWidth="1"/>
    <col min="18" max="18" width="10.5703125" customWidth="1"/>
    <col min="19" max="19" width="11.28515625" customWidth="1"/>
    <col min="20" max="20" width="12.5703125" customWidth="1"/>
  </cols>
  <sheetData>
    <row r="1" spans="1:20" ht="72.75" customHeight="1" thickBot="1" x14ac:dyDescent="0.3">
      <c r="A1" s="1"/>
      <c r="B1" s="2" t="s">
        <v>0</v>
      </c>
      <c r="C1" s="3" t="s">
        <v>122</v>
      </c>
      <c r="D1" s="4" t="s">
        <v>124</v>
      </c>
      <c r="E1" s="5" t="s">
        <v>2</v>
      </c>
      <c r="F1" s="6" t="s">
        <v>3</v>
      </c>
      <c r="G1" s="204" t="s">
        <v>4</v>
      </c>
      <c r="H1" s="65" t="s">
        <v>5</v>
      </c>
      <c r="I1" s="205" t="s">
        <v>6</v>
      </c>
      <c r="J1" s="65" t="s">
        <v>7</v>
      </c>
      <c r="K1" s="205" t="s">
        <v>8</v>
      </c>
      <c r="L1" s="65" t="s">
        <v>9</v>
      </c>
      <c r="M1" s="205" t="s">
        <v>10</v>
      </c>
      <c r="N1" s="65" t="s">
        <v>11</v>
      </c>
      <c r="O1" s="205" t="s">
        <v>12</v>
      </c>
      <c r="P1" s="65" t="s">
        <v>13</v>
      </c>
      <c r="Q1" s="205" t="s">
        <v>14</v>
      </c>
      <c r="R1" s="65" t="s">
        <v>15</v>
      </c>
      <c r="S1" s="66"/>
      <c r="T1" s="10" t="s">
        <v>16</v>
      </c>
    </row>
    <row r="2" spans="1:20" ht="16.5" thickBot="1" x14ac:dyDescent="0.3">
      <c r="A2" s="60" t="s">
        <v>171</v>
      </c>
      <c r="B2" s="104"/>
      <c r="C2" s="86"/>
      <c r="D2" s="86"/>
      <c r="E2" s="91" t="s">
        <v>17</v>
      </c>
      <c r="F2" s="92"/>
      <c r="G2" s="106"/>
      <c r="H2" s="57"/>
      <c r="I2" s="88"/>
      <c r="J2" s="57"/>
      <c r="K2" s="88"/>
      <c r="L2" s="57"/>
      <c r="M2" s="57"/>
      <c r="N2" s="88"/>
      <c r="O2" s="57"/>
      <c r="P2" s="88"/>
      <c r="Q2" s="57"/>
      <c r="R2" s="12"/>
      <c r="S2" s="57"/>
      <c r="T2" s="57"/>
    </row>
    <row r="3" spans="1:20" ht="15.75" x14ac:dyDescent="0.25">
      <c r="A3" s="94" t="s">
        <v>29</v>
      </c>
      <c r="B3" s="107" t="s">
        <v>18</v>
      </c>
      <c r="C3" s="58"/>
      <c r="D3" s="59"/>
      <c r="E3" s="89">
        <f>SUM(G3:R3)</f>
        <v>0</v>
      </c>
      <c r="F3" s="90">
        <f>C3+D3-E3</f>
        <v>0</v>
      </c>
      <c r="G3" s="53"/>
      <c r="H3" s="53"/>
      <c r="I3" s="53"/>
      <c r="J3" s="53"/>
      <c r="K3" s="53"/>
      <c r="L3" s="53"/>
      <c r="M3" s="53"/>
      <c r="N3" s="53"/>
      <c r="O3" s="53"/>
      <c r="P3" s="53"/>
      <c r="Q3" s="53"/>
      <c r="R3" s="53"/>
      <c r="S3" s="31"/>
      <c r="T3" s="31">
        <f>SUM(G3:R3)</f>
        <v>0</v>
      </c>
    </row>
    <row r="4" spans="1:20" ht="15.75" x14ac:dyDescent="0.25">
      <c r="A4" s="94" t="s">
        <v>109</v>
      </c>
      <c r="B4" s="107"/>
      <c r="C4" s="58"/>
      <c r="D4" s="59"/>
      <c r="E4" s="89">
        <f t="shared" ref="E4:E9" si="0">SUM(G4:R4)</f>
        <v>82765</v>
      </c>
      <c r="F4" s="90">
        <f t="shared" ref="F4:F9" si="1">C4+D4-E4</f>
        <v>-82765</v>
      </c>
      <c r="G4" s="53"/>
      <c r="H4" s="53"/>
      <c r="I4" s="53"/>
      <c r="J4" s="53"/>
      <c r="K4" s="53">
        <f>2300+25750+2300</f>
        <v>30350</v>
      </c>
      <c r="L4" s="53">
        <f>4600+24615+1000+2000</f>
        <v>32215</v>
      </c>
      <c r="M4" s="53">
        <f>4450</f>
        <v>4450</v>
      </c>
      <c r="N4" s="53">
        <f>3450+2100</f>
        <v>5550</v>
      </c>
      <c r="O4" s="53">
        <f>3450+1000</f>
        <v>4450</v>
      </c>
      <c r="P4" s="53">
        <f>3450+2300</f>
        <v>5750</v>
      </c>
      <c r="Q4" s="53"/>
      <c r="R4" s="53"/>
      <c r="S4" s="31"/>
      <c r="T4" s="31">
        <f t="shared" ref="T4:T7" si="2">SUM(G4:R4)</f>
        <v>82765</v>
      </c>
    </row>
    <row r="5" spans="1:20" ht="15.75" x14ac:dyDescent="0.25">
      <c r="A5" s="13" t="s">
        <v>110</v>
      </c>
      <c r="B5" s="14"/>
      <c r="C5" s="15"/>
      <c r="D5" s="16"/>
      <c r="E5" s="89">
        <f t="shared" si="0"/>
        <v>11600</v>
      </c>
      <c r="F5" s="90">
        <f t="shared" si="1"/>
        <v>-11600</v>
      </c>
      <c r="G5" s="19"/>
      <c r="H5" s="19"/>
      <c r="I5" s="19"/>
      <c r="J5" s="19"/>
      <c r="K5" s="19">
        <f>5800</f>
        <v>5800</v>
      </c>
      <c r="L5" s="19">
        <f>5800</f>
        <v>5800</v>
      </c>
      <c r="M5" s="19"/>
      <c r="N5" s="19"/>
      <c r="O5" s="19"/>
      <c r="P5" s="19"/>
      <c r="Q5" s="19"/>
      <c r="R5" s="19"/>
      <c r="S5" s="31"/>
      <c r="T5" s="31">
        <f t="shared" si="2"/>
        <v>11600</v>
      </c>
    </row>
    <row r="6" spans="1:20" ht="15.75" x14ac:dyDescent="0.25">
      <c r="A6" s="13" t="s">
        <v>132</v>
      </c>
      <c r="B6" s="14"/>
      <c r="C6" s="15"/>
      <c r="D6" s="16"/>
      <c r="E6" s="89">
        <f t="shared" si="0"/>
        <v>0</v>
      </c>
      <c r="F6" s="90">
        <f t="shared" si="1"/>
        <v>0</v>
      </c>
      <c r="G6" s="19"/>
      <c r="H6" s="19"/>
      <c r="I6" s="19"/>
      <c r="J6" s="19"/>
      <c r="K6" s="19"/>
      <c r="L6" s="19"/>
      <c r="M6" s="19"/>
      <c r="N6" s="19"/>
      <c r="O6" s="19"/>
      <c r="P6" s="19"/>
      <c r="Q6" s="19"/>
      <c r="R6" s="19"/>
      <c r="S6" s="19"/>
      <c r="T6" s="31">
        <f t="shared" si="2"/>
        <v>0</v>
      </c>
    </row>
    <row r="7" spans="1:20" ht="15.75" x14ac:dyDescent="0.25">
      <c r="A7" s="13" t="s">
        <v>128</v>
      </c>
      <c r="B7" s="14"/>
      <c r="C7" s="15"/>
      <c r="D7" s="16"/>
      <c r="E7" s="89">
        <f t="shared" si="0"/>
        <v>0</v>
      </c>
      <c r="F7" s="90">
        <f t="shared" si="1"/>
        <v>0</v>
      </c>
      <c r="G7" s="19"/>
      <c r="H7" s="19"/>
      <c r="I7" s="19"/>
      <c r="J7" s="19"/>
      <c r="K7" s="19"/>
      <c r="L7" s="19"/>
      <c r="M7" s="19"/>
      <c r="N7" s="19"/>
      <c r="O7" s="19"/>
      <c r="P7" s="19"/>
      <c r="Q7" s="19"/>
      <c r="R7" s="19"/>
      <c r="S7" s="19"/>
      <c r="T7" s="31">
        <f t="shared" si="2"/>
        <v>0</v>
      </c>
    </row>
    <row r="8" spans="1:20" ht="31.5" x14ac:dyDescent="0.25">
      <c r="A8" s="23" t="s">
        <v>133</v>
      </c>
      <c r="B8" s="21" t="s">
        <v>33</v>
      </c>
      <c r="C8" s="15"/>
      <c r="D8" s="16"/>
      <c r="E8" s="89">
        <f t="shared" si="0"/>
        <v>0</v>
      </c>
      <c r="F8" s="90">
        <f t="shared" si="1"/>
        <v>0</v>
      </c>
      <c r="G8" s="19"/>
      <c r="H8" s="19"/>
      <c r="I8" s="19"/>
      <c r="J8" s="19"/>
      <c r="K8" s="19"/>
      <c r="L8" s="19"/>
      <c r="M8" s="19"/>
      <c r="N8" s="19"/>
      <c r="O8" s="19"/>
      <c r="P8" s="19"/>
      <c r="Q8" s="19"/>
      <c r="R8" s="19"/>
      <c r="S8" s="33"/>
      <c r="T8" s="31">
        <f t="shared" ref="T8:T9" si="3">SUM(G8:R8)</f>
        <v>0</v>
      </c>
    </row>
    <row r="9" spans="1:20" ht="47.25" x14ac:dyDescent="0.25">
      <c r="A9" s="23" t="s">
        <v>134</v>
      </c>
      <c r="B9" s="40"/>
      <c r="C9" s="41"/>
      <c r="D9" s="72"/>
      <c r="E9" s="89">
        <f t="shared" si="0"/>
        <v>0</v>
      </c>
      <c r="F9" s="90">
        <f t="shared" si="1"/>
        <v>0</v>
      </c>
      <c r="G9" s="42"/>
      <c r="H9" s="42"/>
      <c r="I9" s="42"/>
      <c r="J9" s="42"/>
      <c r="K9" s="42"/>
      <c r="L9" s="42"/>
      <c r="M9" s="42"/>
      <c r="N9" s="42"/>
      <c r="O9" s="42"/>
      <c r="P9" s="42"/>
      <c r="Q9" s="42"/>
      <c r="R9" s="42"/>
      <c r="S9" s="19"/>
      <c r="T9" s="31">
        <f t="shared" si="3"/>
        <v>0</v>
      </c>
    </row>
    <row r="10" spans="1:20" ht="16.5" thickBot="1" x14ac:dyDescent="0.3">
      <c r="A10" s="25"/>
      <c r="B10" s="26" t="s">
        <v>24</v>
      </c>
      <c r="C10" s="27">
        <f>SUM(C3:C8)</f>
        <v>0</v>
      </c>
      <c r="D10" s="27">
        <f>C10</f>
        <v>0</v>
      </c>
      <c r="E10" s="27">
        <f t="shared" ref="E10:K10" si="4">SUM(E3:E8)</f>
        <v>94365</v>
      </c>
      <c r="F10" s="27">
        <f t="shared" si="4"/>
        <v>-94365</v>
      </c>
      <c r="G10" s="27">
        <f t="shared" si="4"/>
        <v>0</v>
      </c>
      <c r="H10" s="27">
        <f t="shared" si="4"/>
        <v>0</v>
      </c>
      <c r="I10" s="27">
        <f t="shared" si="4"/>
        <v>0</v>
      </c>
      <c r="J10" s="27">
        <f t="shared" si="4"/>
        <v>0</v>
      </c>
      <c r="K10" s="27">
        <f t="shared" si="4"/>
        <v>36150</v>
      </c>
      <c r="L10" s="27">
        <f>L3+L5+L8+L9</f>
        <v>5800</v>
      </c>
      <c r="M10" s="27">
        <f t="shared" ref="M10:R10" si="5">M3+M5+M8+M9</f>
        <v>0</v>
      </c>
      <c r="N10" s="27">
        <f>N3+N5+N8+N9</f>
        <v>0</v>
      </c>
      <c r="O10" s="27">
        <f t="shared" si="5"/>
        <v>0</v>
      </c>
      <c r="P10" s="27">
        <f t="shared" si="5"/>
        <v>0</v>
      </c>
      <c r="Q10" s="27">
        <f t="shared" si="5"/>
        <v>0</v>
      </c>
      <c r="R10" s="27">
        <f t="shared" si="5"/>
        <v>0</v>
      </c>
      <c r="S10" s="70" t="s">
        <v>25</v>
      </c>
      <c r="T10" s="83">
        <f>SUM(T3:T8)</f>
        <v>94365</v>
      </c>
    </row>
    <row r="12" spans="1:20" ht="18" customHeight="1" thickBot="1" x14ac:dyDescent="0.55000000000000004">
      <c r="A12" s="30"/>
      <c r="B12" s="32"/>
      <c r="C12" s="32"/>
    </row>
    <row r="13" spans="1:20" ht="16.5" thickBot="1" x14ac:dyDescent="0.3">
      <c r="A13" s="136" t="s">
        <v>112</v>
      </c>
      <c r="B13" s="299" t="s">
        <v>315</v>
      </c>
      <c r="C13" s="300"/>
      <c r="D13" s="300"/>
      <c r="E13" s="301"/>
      <c r="F13" s="299" t="s">
        <v>114</v>
      </c>
      <c r="G13" s="300"/>
      <c r="H13" s="301"/>
      <c r="I13" s="387" t="s">
        <v>113</v>
      </c>
      <c r="J13" s="539"/>
      <c r="K13" s="388"/>
    </row>
    <row r="14" spans="1:20" ht="28.5" customHeight="1" x14ac:dyDescent="0.25">
      <c r="A14" s="163" t="s">
        <v>309</v>
      </c>
      <c r="B14" s="350" t="s">
        <v>310</v>
      </c>
      <c r="C14" s="351"/>
      <c r="D14" s="351"/>
      <c r="E14" s="352"/>
      <c r="F14" s="377" t="s">
        <v>311</v>
      </c>
      <c r="G14" s="370"/>
      <c r="H14" s="413"/>
      <c r="I14" s="540">
        <v>1000</v>
      </c>
      <c r="J14" s="540"/>
      <c r="K14" s="408"/>
    </row>
    <row r="15" spans="1:20" ht="29.25" customHeight="1" x14ac:dyDescent="0.25">
      <c r="A15" s="156" t="s">
        <v>309</v>
      </c>
      <c r="B15" s="140"/>
      <c r="C15" s="363" t="s">
        <v>321</v>
      </c>
      <c r="D15" s="363"/>
      <c r="E15" s="364"/>
      <c r="F15" s="266" t="s">
        <v>322</v>
      </c>
      <c r="G15" s="267"/>
      <c r="H15" s="268"/>
      <c r="I15" s="261">
        <v>2150</v>
      </c>
      <c r="J15" s="381"/>
      <c r="K15" s="262"/>
    </row>
    <row r="16" spans="1:20" ht="34.5" customHeight="1" x14ac:dyDescent="0.25">
      <c r="A16" s="156" t="s">
        <v>309</v>
      </c>
      <c r="B16" s="140"/>
      <c r="C16" s="363" t="s">
        <v>339</v>
      </c>
      <c r="D16" s="363"/>
      <c r="E16" s="364"/>
      <c r="F16" s="266" t="s">
        <v>340</v>
      </c>
      <c r="G16" s="267"/>
      <c r="H16" s="268"/>
      <c r="I16" s="261">
        <v>1150</v>
      </c>
      <c r="J16" s="381"/>
      <c r="K16" s="262"/>
    </row>
    <row r="17" spans="1:11" ht="45" customHeight="1" x14ac:dyDescent="0.25">
      <c r="A17" s="156" t="s">
        <v>309</v>
      </c>
      <c r="B17" s="140"/>
      <c r="C17" s="363" t="s">
        <v>387</v>
      </c>
      <c r="D17" s="363"/>
      <c r="E17" s="364"/>
      <c r="F17" s="266" t="s">
        <v>368</v>
      </c>
      <c r="G17" s="267"/>
      <c r="H17" s="268"/>
      <c r="I17" s="261">
        <v>1150</v>
      </c>
      <c r="J17" s="381"/>
      <c r="K17" s="262"/>
    </row>
    <row r="18" spans="1:11" ht="30" customHeight="1" x14ac:dyDescent="0.25">
      <c r="A18" s="156" t="s">
        <v>401</v>
      </c>
      <c r="B18" s="140"/>
      <c r="C18" s="289" t="s">
        <v>393</v>
      </c>
      <c r="D18" s="289"/>
      <c r="E18" s="290"/>
      <c r="F18" s="266" t="s">
        <v>394</v>
      </c>
      <c r="G18" s="267"/>
      <c r="H18" s="268"/>
      <c r="I18" s="261">
        <v>14700</v>
      </c>
      <c r="J18" s="381"/>
      <c r="K18" s="262"/>
    </row>
    <row r="19" spans="1:11" ht="50.25" customHeight="1" x14ac:dyDescent="0.25">
      <c r="A19" s="156" t="s">
        <v>309</v>
      </c>
      <c r="B19" s="116"/>
      <c r="C19" s="289" t="s">
        <v>425</v>
      </c>
      <c r="D19" s="289"/>
      <c r="E19" s="290"/>
      <c r="F19" s="266" t="s">
        <v>426</v>
      </c>
      <c r="G19" s="267"/>
      <c r="H19" s="268"/>
      <c r="I19" s="261">
        <v>1150</v>
      </c>
      <c r="J19" s="381"/>
      <c r="K19" s="262"/>
    </row>
    <row r="20" spans="1:11" ht="51.75" customHeight="1" x14ac:dyDescent="0.25">
      <c r="A20" s="156" t="s">
        <v>309</v>
      </c>
      <c r="B20" s="116"/>
      <c r="C20" s="289" t="s">
        <v>433</v>
      </c>
      <c r="D20" s="289"/>
      <c r="E20" s="290"/>
      <c r="F20" s="266" t="s">
        <v>434</v>
      </c>
      <c r="G20" s="267"/>
      <c r="H20" s="268"/>
      <c r="I20" s="261">
        <v>1150</v>
      </c>
      <c r="J20" s="381"/>
      <c r="K20" s="262"/>
    </row>
    <row r="21" spans="1:11" ht="51.75" customHeight="1" x14ac:dyDescent="0.25">
      <c r="A21" s="178" t="s">
        <v>309</v>
      </c>
      <c r="B21" s="116"/>
      <c r="C21" s="289" t="s">
        <v>469</v>
      </c>
      <c r="D21" s="289"/>
      <c r="E21" s="290"/>
      <c r="F21" s="266" t="s">
        <v>470</v>
      </c>
      <c r="G21" s="267"/>
      <c r="H21" s="268"/>
      <c r="I21" s="261">
        <v>5750</v>
      </c>
      <c r="J21" s="381"/>
      <c r="K21" s="262"/>
    </row>
    <row r="22" spans="1:11" ht="34.5" customHeight="1" x14ac:dyDescent="0.25">
      <c r="A22" s="178" t="s">
        <v>309</v>
      </c>
      <c r="B22" s="116"/>
      <c r="C22" s="289" t="s">
        <v>518</v>
      </c>
      <c r="D22" s="289"/>
      <c r="E22" s="290"/>
      <c r="F22" s="266" t="s">
        <v>519</v>
      </c>
      <c r="G22" s="267"/>
      <c r="H22" s="268"/>
      <c r="I22" s="261">
        <v>2300</v>
      </c>
      <c r="J22" s="381"/>
      <c r="K22" s="262"/>
    </row>
    <row r="23" spans="1:11" ht="69.75" customHeight="1" x14ac:dyDescent="0.25">
      <c r="A23" s="178" t="s">
        <v>309</v>
      </c>
      <c r="B23" s="116"/>
      <c r="C23" s="289" t="s">
        <v>531</v>
      </c>
      <c r="D23" s="289"/>
      <c r="E23" s="290"/>
      <c r="F23" s="266" t="s">
        <v>494</v>
      </c>
      <c r="G23" s="267"/>
      <c r="H23" s="268"/>
      <c r="I23" s="261">
        <v>31550</v>
      </c>
      <c r="J23" s="381"/>
      <c r="K23" s="262"/>
    </row>
    <row r="24" spans="1:11" ht="72.75" customHeight="1" x14ac:dyDescent="0.25">
      <c r="A24" s="178" t="s">
        <v>309</v>
      </c>
      <c r="B24" s="116"/>
      <c r="C24" s="289" t="s">
        <v>532</v>
      </c>
      <c r="D24" s="289"/>
      <c r="E24" s="290"/>
      <c r="F24" s="266" t="s">
        <v>533</v>
      </c>
      <c r="G24" s="267"/>
      <c r="H24" s="268"/>
      <c r="I24" s="261">
        <v>2300</v>
      </c>
      <c r="J24" s="381"/>
      <c r="K24" s="262"/>
    </row>
    <row r="25" spans="1:11" ht="45" customHeight="1" x14ac:dyDescent="0.25">
      <c r="A25" s="178" t="s">
        <v>592</v>
      </c>
      <c r="B25" s="116"/>
      <c r="C25" s="289" t="s">
        <v>593</v>
      </c>
      <c r="D25" s="289"/>
      <c r="E25" s="290"/>
      <c r="F25" s="266" t="s">
        <v>594</v>
      </c>
      <c r="G25" s="267"/>
      <c r="H25" s="268"/>
      <c r="I25" s="261">
        <v>1150</v>
      </c>
      <c r="J25" s="381"/>
      <c r="K25" s="262"/>
    </row>
    <row r="26" spans="1:11" ht="48.75" customHeight="1" x14ac:dyDescent="0.25">
      <c r="A26" s="178" t="s">
        <v>592</v>
      </c>
      <c r="B26" s="116"/>
      <c r="C26" s="289" t="s">
        <v>595</v>
      </c>
      <c r="D26" s="289"/>
      <c r="E26" s="290"/>
      <c r="F26" s="266" t="s">
        <v>542</v>
      </c>
      <c r="G26" s="267"/>
      <c r="H26" s="268"/>
      <c r="I26" s="261">
        <v>1150</v>
      </c>
      <c r="J26" s="381"/>
      <c r="K26" s="262"/>
    </row>
    <row r="27" spans="1:11" ht="45" customHeight="1" x14ac:dyDescent="0.25">
      <c r="A27" s="178" t="s">
        <v>592</v>
      </c>
      <c r="B27" s="116"/>
      <c r="C27" s="289" t="s">
        <v>596</v>
      </c>
      <c r="D27" s="289"/>
      <c r="E27" s="290"/>
      <c r="F27" s="266" t="s">
        <v>597</v>
      </c>
      <c r="G27" s="267"/>
      <c r="H27" s="268"/>
      <c r="I27" s="261">
        <v>1150</v>
      </c>
      <c r="J27" s="381"/>
      <c r="K27" s="262"/>
    </row>
    <row r="28" spans="1:11" ht="45" customHeight="1" x14ac:dyDescent="0.25">
      <c r="A28" s="178" t="s">
        <v>592</v>
      </c>
      <c r="B28" s="116"/>
      <c r="C28" s="289" t="s">
        <v>598</v>
      </c>
      <c r="D28" s="289"/>
      <c r="E28" s="290"/>
      <c r="F28" s="266" t="s">
        <v>586</v>
      </c>
      <c r="G28" s="267"/>
      <c r="H28" s="268"/>
      <c r="I28" s="261">
        <v>1150</v>
      </c>
      <c r="J28" s="381"/>
      <c r="K28" s="262"/>
    </row>
    <row r="29" spans="1:11" ht="60.75" customHeight="1" x14ac:dyDescent="0.25">
      <c r="A29" s="178" t="s">
        <v>599</v>
      </c>
      <c r="B29" s="116"/>
      <c r="C29" s="289" t="s">
        <v>531</v>
      </c>
      <c r="D29" s="289"/>
      <c r="E29" s="290"/>
      <c r="F29" s="266" t="s">
        <v>510</v>
      </c>
      <c r="G29" s="267"/>
      <c r="H29" s="268"/>
      <c r="I29" s="261">
        <v>30415</v>
      </c>
      <c r="J29" s="381"/>
      <c r="K29" s="262"/>
    </row>
    <row r="30" spans="1:11" ht="57.75" customHeight="1" x14ac:dyDescent="0.25">
      <c r="A30" s="178" t="s">
        <v>592</v>
      </c>
      <c r="B30" s="116"/>
      <c r="C30" s="289" t="s">
        <v>604</v>
      </c>
      <c r="D30" s="289"/>
      <c r="E30" s="290"/>
      <c r="F30" s="266" t="s">
        <v>605</v>
      </c>
      <c r="G30" s="267"/>
      <c r="H30" s="268"/>
      <c r="I30" s="261">
        <v>1000</v>
      </c>
      <c r="J30" s="381"/>
      <c r="K30" s="262"/>
    </row>
    <row r="31" spans="1:11" ht="61.5" customHeight="1" x14ac:dyDescent="0.25">
      <c r="A31" s="178" t="s">
        <v>592</v>
      </c>
      <c r="B31" s="116"/>
      <c r="C31" s="289" t="s">
        <v>612</v>
      </c>
      <c r="D31" s="289"/>
      <c r="E31" s="290"/>
      <c r="F31" s="266" t="s">
        <v>613</v>
      </c>
      <c r="G31" s="267"/>
      <c r="H31" s="268"/>
      <c r="I31" s="261">
        <v>2000</v>
      </c>
      <c r="J31" s="381"/>
      <c r="K31" s="262"/>
    </row>
    <row r="32" spans="1:11" s="115" customFormat="1" ht="63" customHeight="1" x14ac:dyDescent="0.25">
      <c r="A32" s="163" t="s">
        <v>592</v>
      </c>
      <c r="B32" s="187"/>
      <c r="C32" s="319" t="s">
        <v>661</v>
      </c>
      <c r="D32" s="319"/>
      <c r="E32" s="294"/>
      <c r="F32" s="349" t="s">
        <v>662</v>
      </c>
      <c r="G32" s="264"/>
      <c r="H32" s="265"/>
      <c r="I32" s="311">
        <v>4600</v>
      </c>
      <c r="J32" s="424"/>
      <c r="K32" s="312"/>
    </row>
    <row r="33" spans="1:11" s="115" customFormat="1" ht="46.5" customHeight="1" x14ac:dyDescent="0.25">
      <c r="A33" s="163" t="s">
        <v>592</v>
      </c>
      <c r="B33" s="187"/>
      <c r="C33" s="319" t="s">
        <v>716</v>
      </c>
      <c r="D33" s="319"/>
      <c r="E33" s="294"/>
      <c r="F33" s="349" t="s">
        <v>717</v>
      </c>
      <c r="G33" s="264"/>
      <c r="H33" s="265"/>
      <c r="I33" s="311">
        <v>3450</v>
      </c>
      <c r="J33" s="424"/>
      <c r="K33" s="312"/>
    </row>
    <row r="34" spans="1:11" s="115" customFormat="1" ht="54" customHeight="1" x14ac:dyDescent="0.25">
      <c r="A34" s="163" t="s">
        <v>592</v>
      </c>
      <c r="B34" s="187"/>
      <c r="C34" s="319" t="s">
        <v>722</v>
      </c>
      <c r="D34" s="319"/>
      <c r="E34" s="294"/>
      <c r="F34" s="349" t="s">
        <v>723</v>
      </c>
      <c r="G34" s="264"/>
      <c r="H34" s="265"/>
      <c r="I34" s="311">
        <v>2100</v>
      </c>
      <c r="J34" s="424"/>
      <c r="K34" s="312"/>
    </row>
    <row r="35" spans="1:11" s="115" customFormat="1" ht="31.5" customHeight="1" x14ac:dyDescent="0.25">
      <c r="A35" s="179" t="s">
        <v>592</v>
      </c>
      <c r="B35" s="208"/>
      <c r="C35" s="319" t="s">
        <v>777</v>
      </c>
      <c r="D35" s="319"/>
      <c r="E35" s="294"/>
      <c r="F35" s="263" t="s">
        <v>778</v>
      </c>
      <c r="G35" s="319"/>
      <c r="H35" s="294"/>
      <c r="I35" s="358">
        <v>3450</v>
      </c>
      <c r="J35" s="591"/>
      <c r="K35" s="592"/>
    </row>
    <row r="36" spans="1:11" ht="36" customHeight="1" x14ac:dyDescent="0.25">
      <c r="A36" s="178" t="s">
        <v>592</v>
      </c>
      <c r="B36" s="116"/>
      <c r="C36" s="319" t="s">
        <v>777</v>
      </c>
      <c r="D36" s="319"/>
      <c r="E36" s="294"/>
      <c r="F36" s="266" t="s">
        <v>809</v>
      </c>
      <c r="G36" s="267"/>
      <c r="H36" s="268"/>
      <c r="I36" s="261">
        <v>1150</v>
      </c>
      <c r="J36" s="381"/>
      <c r="K36" s="262"/>
    </row>
    <row r="37" spans="1:11" ht="37.5" customHeight="1" x14ac:dyDescent="0.25">
      <c r="A37" s="178" t="s">
        <v>592</v>
      </c>
      <c r="B37" s="116"/>
      <c r="C37" s="289" t="s">
        <v>867</v>
      </c>
      <c r="D37" s="289"/>
      <c r="E37" s="290"/>
      <c r="F37" s="266" t="s">
        <v>868</v>
      </c>
      <c r="G37" s="267"/>
      <c r="H37" s="268"/>
      <c r="I37" s="261">
        <v>1000</v>
      </c>
      <c r="J37" s="381"/>
      <c r="K37" s="262"/>
    </row>
    <row r="38" spans="1:11" ht="57" customHeight="1" x14ac:dyDescent="0.25">
      <c r="A38" s="178" t="s">
        <v>592</v>
      </c>
      <c r="B38" s="116"/>
      <c r="C38" s="319" t="s">
        <v>722</v>
      </c>
      <c r="D38" s="319"/>
      <c r="E38" s="294"/>
      <c r="F38" s="266" t="s">
        <v>969</v>
      </c>
      <c r="G38" s="267"/>
      <c r="H38" s="268"/>
      <c r="I38" s="261">
        <v>3450</v>
      </c>
      <c r="J38" s="381"/>
      <c r="K38" s="262"/>
    </row>
    <row r="39" spans="1:11" ht="18" customHeight="1" x14ac:dyDescent="0.25">
      <c r="A39" s="178"/>
      <c r="B39" s="116"/>
      <c r="C39" s="512"/>
      <c r="D39" s="512"/>
      <c r="E39" s="513"/>
      <c r="F39" s="353"/>
      <c r="G39" s="369"/>
      <c r="H39" s="354"/>
      <c r="I39" s="261"/>
      <c r="J39" s="381"/>
      <c r="K39" s="262"/>
    </row>
    <row r="40" spans="1:11" ht="18" customHeight="1" x14ac:dyDescent="0.25">
      <c r="A40" s="178"/>
      <c r="B40" s="116"/>
      <c r="C40" s="512"/>
      <c r="D40" s="512"/>
      <c r="E40" s="513"/>
      <c r="F40" s="353"/>
      <c r="G40" s="369"/>
      <c r="H40" s="354"/>
      <c r="I40" s="261"/>
      <c r="J40" s="381"/>
      <c r="K40" s="262"/>
    </row>
    <row r="41" spans="1:11" ht="16.5" customHeight="1" x14ac:dyDescent="0.25">
      <c r="A41" s="156"/>
      <c r="B41" s="116"/>
      <c r="C41" s="289"/>
      <c r="D41" s="289"/>
      <c r="E41" s="290"/>
      <c r="F41" s="266"/>
      <c r="G41" s="267"/>
      <c r="H41" s="268"/>
      <c r="I41" s="261"/>
      <c r="J41" s="381"/>
      <c r="K41" s="262"/>
    </row>
    <row r="42" spans="1:11" ht="16.5" customHeight="1" x14ac:dyDescent="0.25">
      <c r="A42" s="156"/>
      <c r="B42" s="116"/>
      <c r="C42" s="222"/>
      <c r="D42" s="222"/>
      <c r="E42" s="227"/>
      <c r="F42" s="198"/>
      <c r="G42" s="210"/>
      <c r="H42" s="226"/>
      <c r="I42" s="224"/>
      <c r="J42" s="233"/>
      <c r="K42" s="225"/>
    </row>
    <row r="43" spans="1:11" ht="16.5" customHeight="1" x14ac:dyDescent="0.25">
      <c r="A43" s="156"/>
      <c r="B43" s="116"/>
      <c r="C43" s="222"/>
      <c r="D43" s="222"/>
      <c r="E43" s="227"/>
      <c r="F43" s="198"/>
      <c r="G43" s="210"/>
      <c r="H43" s="226"/>
      <c r="I43" s="224"/>
      <c r="J43" s="233"/>
      <c r="K43" s="225"/>
    </row>
    <row r="44" spans="1:11" ht="16.5" customHeight="1" x14ac:dyDescent="0.25">
      <c r="A44" s="156"/>
      <c r="B44" s="116"/>
      <c r="C44" s="222"/>
      <c r="D44" s="222"/>
      <c r="E44" s="227"/>
      <c r="F44" s="198"/>
      <c r="G44" s="210"/>
      <c r="H44" s="226"/>
      <c r="I44" s="224"/>
      <c r="J44" s="233"/>
      <c r="K44" s="225"/>
    </row>
    <row r="45" spans="1:11" ht="16.5" customHeight="1" x14ac:dyDescent="0.25">
      <c r="A45" s="156"/>
      <c r="B45" s="116"/>
      <c r="C45" s="222"/>
      <c r="D45" s="222"/>
      <c r="E45" s="227"/>
      <c r="F45" s="198"/>
      <c r="G45" s="210"/>
      <c r="H45" s="226"/>
      <c r="I45" s="224"/>
      <c r="J45" s="233"/>
      <c r="K45" s="225"/>
    </row>
    <row r="46" spans="1:11" ht="17.25" customHeight="1" x14ac:dyDescent="0.25">
      <c r="A46" s="156"/>
      <c r="B46" s="116"/>
      <c r="C46" s="289"/>
      <c r="D46" s="289"/>
      <c r="E46" s="290"/>
      <c r="F46" s="266"/>
      <c r="G46" s="267"/>
      <c r="H46" s="268"/>
      <c r="I46" s="261"/>
      <c r="J46" s="381"/>
      <c r="K46" s="262"/>
    </row>
    <row r="47" spans="1:11" ht="15.75" thickBot="1" x14ac:dyDescent="0.3">
      <c r="A47" s="119"/>
      <c r="B47" s="116"/>
      <c r="C47" s="292"/>
      <c r="D47" s="292"/>
      <c r="E47" s="293"/>
      <c r="F47" s="291"/>
      <c r="G47" s="292"/>
      <c r="H47" s="293"/>
      <c r="I47" s="411"/>
      <c r="J47" s="541"/>
      <c r="K47" s="412"/>
    </row>
    <row r="48" spans="1:11" ht="15.75" thickBot="1" x14ac:dyDescent="0.3">
      <c r="A48" s="85"/>
      <c r="B48" s="122"/>
      <c r="C48" s="593"/>
      <c r="D48" s="593"/>
      <c r="E48" s="594"/>
      <c r="F48" s="272" t="s">
        <v>116</v>
      </c>
      <c r="G48" s="273"/>
      <c r="H48" s="391"/>
      <c r="I48" s="478">
        <f>SUM(I14:K47)</f>
        <v>121565</v>
      </c>
      <c r="J48" s="273"/>
      <c r="K48" s="391"/>
    </row>
    <row r="52" spans="4:7" x14ac:dyDescent="0.25">
      <c r="D52" s="182"/>
      <c r="E52" s="182"/>
      <c r="F52" s="182"/>
      <c r="G52" s="182"/>
    </row>
  </sheetData>
  <mergeCells count="96">
    <mergeCell ref="F20:H20"/>
    <mergeCell ref="F24:H24"/>
    <mergeCell ref="F41:H41"/>
    <mergeCell ref="F46:H46"/>
    <mergeCell ref="C19:E19"/>
    <mergeCell ref="C20:E20"/>
    <mergeCell ref="C24:E24"/>
    <mergeCell ref="C41:E41"/>
    <mergeCell ref="C46:E46"/>
    <mergeCell ref="C23:E23"/>
    <mergeCell ref="C29:E29"/>
    <mergeCell ref="C30:E30"/>
    <mergeCell ref="C31:E31"/>
    <mergeCell ref="C32:E32"/>
    <mergeCell ref="F29:H29"/>
    <mergeCell ref="F30:H30"/>
    <mergeCell ref="I17:K17"/>
    <mergeCell ref="B13:E13"/>
    <mergeCell ref="F13:H13"/>
    <mergeCell ref="I13:K13"/>
    <mergeCell ref="B14:E14"/>
    <mergeCell ref="F14:H14"/>
    <mergeCell ref="I14:K14"/>
    <mergeCell ref="C17:E17"/>
    <mergeCell ref="C15:E15"/>
    <mergeCell ref="F15:H15"/>
    <mergeCell ref="I15:K15"/>
    <mergeCell ref="C16:E16"/>
    <mergeCell ref="F16:H16"/>
    <mergeCell ref="I16:K16"/>
    <mergeCell ref="F17:H17"/>
    <mergeCell ref="I48:K48"/>
    <mergeCell ref="C18:E18"/>
    <mergeCell ref="F18:H18"/>
    <mergeCell ref="I18:K18"/>
    <mergeCell ref="C47:E47"/>
    <mergeCell ref="F47:H47"/>
    <mergeCell ref="I47:K47"/>
    <mergeCell ref="I19:K19"/>
    <mergeCell ref="I20:K20"/>
    <mergeCell ref="I24:K24"/>
    <mergeCell ref="I41:K41"/>
    <mergeCell ref="I46:K46"/>
    <mergeCell ref="C21:E21"/>
    <mergeCell ref="C22:E22"/>
    <mergeCell ref="F21:H21"/>
    <mergeCell ref="F19:H19"/>
    <mergeCell ref="I21:K21"/>
    <mergeCell ref="F22:H22"/>
    <mergeCell ref="F23:H23"/>
    <mergeCell ref="I22:K22"/>
    <mergeCell ref="I23:K23"/>
    <mergeCell ref="C48:E48"/>
    <mergeCell ref="C25:E25"/>
    <mergeCell ref="C26:E26"/>
    <mergeCell ref="C27:E27"/>
    <mergeCell ref="F25:H25"/>
    <mergeCell ref="F26:H26"/>
    <mergeCell ref="F27:H27"/>
    <mergeCell ref="C37:E37"/>
    <mergeCell ref="F37:H37"/>
    <mergeCell ref="F48:H48"/>
    <mergeCell ref="F31:H31"/>
    <mergeCell ref="F32:H32"/>
    <mergeCell ref="C28:E28"/>
    <mergeCell ref="C33:E33"/>
    <mergeCell ref="F28:H28"/>
    <mergeCell ref="F33:H33"/>
    <mergeCell ref="I37:K37"/>
    <mergeCell ref="I25:K25"/>
    <mergeCell ref="I27:K27"/>
    <mergeCell ref="I26:K26"/>
    <mergeCell ref="I28:K28"/>
    <mergeCell ref="I33:K33"/>
    <mergeCell ref="I29:K29"/>
    <mergeCell ref="I30:K30"/>
    <mergeCell ref="I31:K31"/>
    <mergeCell ref="I32:K32"/>
    <mergeCell ref="I34:K34"/>
    <mergeCell ref="I35:K35"/>
    <mergeCell ref="I36:K36"/>
    <mergeCell ref="C34:E34"/>
    <mergeCell ref="C35:E35"/>
    <mergeCell ref="C36:E36"/>
    <mergeCell ref="F34:H34"/>
    <mergeCell ref="F35:H35"/>
    <mergeCell ref="F36:H36"/>
    <mergeCell ref="I38:K38"/>
    <mergeCell ref="I39:K39"/>
    <mergeCell ref="I40:K40"/>
    <mergeCell ref="C38:E38"/>
    <mergeCell ref="C39:E39"/>
    <mergeCell ref="C40:E40"/>
    <mergeCell ref="F38:H38"/>
    <mergeCell ref="F39:H39"/>
    <mergeCell ref="F40:H40"/>
  </mergeCells>
  <pageMargins left="0.7" right="0.7" top="0.75" bottom="0.75" header="0.3" footer="0.3"/>
  <pageSetup paperSize="256" orientation="portrait" horizontalDpi="4294967293"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AA388-4183-4326-BB78-D8939C420709}">
  <dimension ref="A1:S46"/>
  <sheetViews>
    <sheetView workbookViewId="0">
      <selection activeCell="A3" sqref="A3:XFD3"/>
    </sheetView>
  </sheetViews>
  <sheetFormatPr defaultRowHeight="15" x14ac:dyDescent="0.25"/>
  <cols>
    <col min="1" max="1" width="38.85546875" customWidth="1"/>
    <col min="2" max="2" width="18.7109375" hidden="1" customWidth="1"/>
    <col min="3" max="3" width="14.5703125" customWidth="1"/>
    <col min="4" max="4" width="15.5703125" customWidth="1"/>
    <col min="5" max="5" width="16" customWidth="1"/>
    <col min="6" max="6" width="13.5703125" customWidth="1"/>
    <col min="7" max="8" width="10.28515625" bestFit="1" customWidth="1"/>
    <col min="9" max="9" width="11.28515625" customWidth="1"/>
    <col min="10" max="10" width="11.28515625" bestFit="1" customWidth="1"/>
    <col min="11" max="14" width="10.28515625" bestFit="1" customWidth="1"/>
    <col min="15" max="15" width="11.42578125" customWidth="1"/>
    <col min="16" max="18" width="12.140625" customWidth="1"/>
    <col min="19" max="19" width="12" customWidth="1"/>
  </cols>
  <sheetData>
    <row r="1" spans="1:19" ht="72.75" customHeight="1" thickBot="1" x14ac:dyDescent="0.3">
      <c r="A1" s="1"/>
      <c r="B1" s="2" t="s">
        <v>0</v>
      </c>
      <c r="C1" s="4" t="s">
        <v>1</v>
      </c>
      <c r="D1" s="5" t="s">
        <v>2</v>
      </c>
      <c r="E1" s="6" t="s">
        <v>3</v>
      </c>
      <c r="F1" s="204" t="s">
        <v>4</v>
      </c>
      <c r="G1" s="65" t="s">
        <v>5</v>
      </c>
      <c r="H1" s="205" t="s">
        <v>6</v>
      </c>
      <c r="I1" s="65" t="s">
        <v>7</v>
      </c>
      <c r="J1" s="205" t="s">
        <v>8</v>
      </c>
      <c r="K1" s="65" t="s">
        <v>9</v>
      </c>
      <c r="L1" s="205" t="s">
        <v>10</v>
      </c>
      <c r="M1" s="65" t="s">
        <v>11</v>
      </c>
      <c r="N1" s="205" t="s">
        <v>12</v>
      </c>
      <c r="O1" s="65" t="s">
        <v>13</v>
      </c>
      <c r="P1" s="205" t="s">
        <v>14</v>
      </c>
      <c r="Q1" s="65" t="s">
        <v>15</v>
      </c>
      <c r="R1" s="66"/>
      <c r="S1" s="10" t="s">
        <v>16</v>
      </c>
    </row>
    <row r="2" spans="1:19" ht="16.5" thickBot="1" x14ac:dyDescent="0.3">
      <c r="A2" s="60" t="s">
        <v>70</v>
      </c>
      <c r="B2" s="104"/>
      <c r="C2" s="86"/>
      <c r="D2" s="91" t="s">
        <v>17</v>
      </c>
      <c r="E2" s="92"/>
      <c r="F2" s="106"/>
      <c r="G2" s="57"/>
      <c r="H2" s="88"/>
      <c r="I2" s="57"/>
      <c r="J2" s="88"/>
      <c r="K2" s="57"/>
      <c r="L2" s="88"/>
      <c r="M2" s="57"/>
      <c r="N2" s="88"/>
      <c r="O2" s="57"/>
      <c r="P2" s="88"/>
      <c r="Q2" s="57"/>
      <c r="R2" s="12"/>
      <c r="S2" s="57"/>
    </row>
    <row r="3" spans="1:19" ht="15.75" x14ac:dyDescent="0.25">
      <c r="A3" s="94" t="s">
        <v>29</v>
      </c>
      <c r="B3" s="107" t="s">
        <v>18</v>
      </c>
      <c r="C3" s="59"/>
      <c r="D3" s="89">
        <f>F3+G3+H3+I3+J3+K3+L3+M3+N3+O3+P3+Q3</f>
        <v>50234</v>
      </c>
      <c r="E3" s="90">
        <f>C3-D3</f>
        <v>-50234</v>
      </c>
      <c r="F3" s="53"/>
      <c r="G3" s="53"/>
      <c r="H3" s="53"/>
      <c r="I3" s="53"/>
      <c r="J3" s="53">
        <f>8434+400+41400</f>
        <v>50234</v>
      </c>
      <c r="K3" s="53"/>
      <c r="L3" s="53"/>
      <c r="M3" s="53"/>
      <c r="N3" s="53"/>
      <c r="O3" s="53"/>
      <c r="P3" s="53"/>
      <c r="Q3" s="53"/>
      <c r="R3" s="53"/>
      <c r="S3" s="31">
        <f>SUM(F3:Q3)</f>
        <v>50234</v>
      </c>
    </row>
    <row r="4" spans="1:19" ht="15.75" x14ac:dyDescent="0.25">
      <c r="A4" s="13" t="s">
        <v>109</v>
      </c>
      <c r="B4" s="14"/>
      <c r="C4" s="16"/>
      <c r="D4" s="89">
        <f t="shared" ref="D4:D9" si="0">F4+G4+H4+I4+J4+K4+L4+M4+N4+O4+P4+Q4</f>
        <v>22700</v>
      </c>
      <c r="E4" s="90">
        <f t="shared" ref="E4:E9" si="1">C4-D4</f>
        <v>-22700</v>
      </c>
      <c r="F4" s="19"/>
      <c r="G4" s="19">
        <f>2100</f>
        <v>2100</v>
      </c>
      <c r="H4" s="19">
        <f>5100</f>
        <v>5100</v>
      </c>
      <c r="I4" s="19">
        <f>3400</f>
        <v>3400</v>
      </c>
      <c r="J4" s="19"/>
      <c r="K4" s="19"/>
      <c r="L4" s="19"/>
      <c r="M4" s="19">
        <f>3700</f>
        <v>3700</v>
      </c>
      <c r="N4" s="19">
        <v>750</v>
      </c>
      <c r="O4" s="19">
        <f>7650</f>
        <v>7650</v>
      </c>
      <c r="P4" s="19"/>
      <c r="Q4" s="19"/>
      <c r="R4" s="31"/>
      <c r="S4" s="31">
        <f t="shared" ref="S4:S9" si="2">SUM(F4:Q4)</f>
        <v>22700</v>
      </c>
    </row>
    <row r="5" spans="1:19" ht="15.75" x14ac:dyDescent="0.25">
      <c r="A5" s="13" t="s">
        <v>108</v>
      </c>
      <c r="B5" s="14"/>
      <c r="C5" s="16"/>
      <c r="D5" s="89">
        <f t="shared" si="0"/>
        <v>8400</v>
      </c>
      <c r="E5" s="90">
        <f t="shared" si="1"/>
        <v>-8400</v>
      </c>
      <c r="F5" s="19"/>
      <c r="G5" s="19"/>
      <c r="H5" s="19"/>
      <c r="I5" s="19"/>
      <c r="J5" s="19"/>
      <c r="K5" s="19"/>
      <c r="L5" s="19"/>
      <c r="M5" s="19">
        <f>8400</f>
        <v>8400</v>
      </c>
      <c r="N5" s="19"/>
      <c r="O5" s="19"/>
      <c r="P5" s="19"/>
      <c r="Q5" s="19"/>
      <c r="R5" s="31"/>
      <c r="S5" s="31">
        <f t="shared" si="2"/>
        <v>8400</v>
      </c>
    </row>
    <row r="6" spans="1:19" ht="15.75" x14ac:dyDescent="0.25">
      <c r="A6" s="23" t="s">
        <v>38</v>
      </c>
      <c r="B6" s="21" t="s">
        <v>39</v>
      </c>
      <c r="C6" s="16"/>
      <c r="D6" s="89">
        <f t="shared" si="0"/>
        <v>0</v>
      </c>
      <c r="E6" s="90">
        <f t="shared" si="1"/>
        <v>0</v>
      </c>
      <c r="F6" s="19"/>
      <c r="G6" s="19"/>
      <c r="H6" s="19"/>
      <c r="I6" s="19"/>
      <c r="J6" s="19"/>
      <c r="K6" s="19"/>
      <c r="L6" s="19"/>
      <c r="M6" s="19"/>
      <c r="N6" s="19"/>
      <c r="O6" s="19"/>
      <c r="P6" s="19"/>
      <c r="Q6" s="19"/>
      <c r="R6" s="31"/>
      <c r="S6" s="31">
        <f t="shared" si="2"/>
        <v>0</v>
      </c>
    </row>
    <row r="7" spans="1:19" ht="15.75" x14ac:dyDescent="0.25">
      <c r="A7" s="23" t="s">
        <v>804</v>
      </c>
      <c r="B7" s="21"/>
      <c r="C7" s="16"/>
      <c r="D7" s="89">
        <f t="shared" si="0"/>
        <v>178444.49999999997</v>
      </c>
      <c r="E7" s="90">
        <f t="shared" si="1"/>
        <v>-178444.49999999997</v>
      </c>
      <c r="F7" s="19">
        <f>11623.71+15669.89</f>
        <v>27293.599999999999</v>
      </c>
      <c r="G7" s="19">
        <f>13589.95+13829.9</f>
        <v>27419.85</v>
      </c>
      <c r="H7" s="19">
        <f>13382.55+12819.7</f>
        <v>26202.25</v>
      </c>
      <c r="I7" s="19">
        <f>2979.7+9171.1</f>
        <v>12150.8</v>
      </c>
      <c r="J7" s="19">
        <f>6998.45+9379.05</f>
        <v>16377.5</v>
      </c>
      <c r="K7" s="19">
        <f>10189.7+6845.65</f>
        <v>17035.349999999999</v>
      </c>
      <c r="L7" s="19">
        <f>5994+4800.05</f>
        <v>10794.05</v>
      </c>
      <c r="M7" s="19">
        <f>7022.05+5457</f>
        <v>12479.05</v>
      </c>
      <c r="N7" s="19">
        <f>9986.5</f>
        <v>9986.5</v>
      </c>
      <c r="O7" s="19">
        <f>9383.75+9321.8</f>
        <v>18705.55</v>
      </c>
      <c r="P7" s="19"/>
      <c r="Q7" s="19"/>
      <c r="R7" s="31"/>
      <c r="S7" s="31">
        <f t="shared" si="2"/>
        <v>178444.49999999997</v>
      </c>
    </row>
    <row r="8" spans="1:19" ht="15.75" x14ac:dyDescent="0.25">
      <c r="A8" s="20" t="s">
        <v>32</v>
      </c>
      <c r="B8" s="21" t="s">
        <v>33</v>
      </c>
      <c r="C8" s="16"/>
      <c r="D8" s="89">
        <f t="shared" si="0"/>
        <v>0</v>
      </c>
      <c r="E8" s="90">
        <f t="shared" si="1"/>
        <v>0</v>
      </c>
      <c r="F8" s="19"/>
      <c r="G8" s="19"/>
      <c r="H8" s="19"/>
      <c r="I8" s="19"/>
      <c r="J8" s="19"/>
      <c r="K8" s="19"/>
      <c r="L8" s="19"/>
      <c r="M8" s="19"/>
      <c r="N8" s="19"/>
      <c r="O8" s="19"/>
      <c r="P8" s="19"/>
      <c r="Q8" s="19"/>
      <c r="R8" s="31"/>
      <c r="S8" s="31">
        <f t="shared" si="2"/>
        <v>0</v>
      </c>
    </row>
    <row r="9" spans="1:19" ht="15.75" x14ac:dyDescent="0.25">
      <c r="A9" s="20" t="s">
        <v>34</v>
      </c>
      <c r="B9" s="21" t="s">
        <v>35</v>
      </c>
      <c r="C9" s="16"/>
      <c r="D9" s="89">
        <f t="shared" si="0"/>
        <v>54745</v>
      </c>
      <c r="E9" s="90">
        <f t="shared" si="1"/>
        <v>-54745</v>
      </c>
      <c r="F9" s="19"/>
      <c r="G9" s="19"/>
      <c r="H9" s="19"/>
      <c r="I9" s="19"/>
      <c r="J9" s="19"/>
      <c r="K9" s="19"/>
      <c r="L9" s="19"/>
      <c r="M9" s="19"/>
      <c r="N9" s="19">
        <f>41000+10500</f>
        <v>51500</v>
      </c>
      <c r="O9" s="19">
        <f>3245</f>
        <v>3245</v>
      </c>
      <c r="P9" s="19"/>
      <c r="Q9" s="19"/>
      <c r="R9" s="31"/>
      <c r="S9" s="31">
        <f t="shared" si="2"/>
        <v>54745</v>
      </c>
    </row>
    <row r="10" spans="1:19" ht="16.5" thickBot="1" x14ac:dyDescent="0.3">
      <c r="A10" s="25"/>
      <c r="B10" s="26" t="s">
        <v>24</v>
      </c>
      <c r="C10" s="27" t="e">
        <f>#REF!</f>
        <v>#REF!</v>
      </c>
      <c r="D10" s="27">
        <f t="shared" ref="D10:Q10" si="3">SUM(D3:D9)</f>
        <v>314523.5</v>
      </c>
      <c r="E10" s="27">
        <f t="shared" si="3"/>
        <v>-314523.5</v>
      </c>
      <c r="F10" s="27">
        <f t="shared" si="3"/>
        <v>27293.599999999999</v>
      </c>
      <c r="G10" s="27">
        <f t="shared" si="3"/>
        <v>29519.85</v>
      </c>
      <c r="H10" s="27">
        <f t="shared" si="3"/>
        <v>31302.25</v>
      </c>
      <c r="I10" s="27">
        <f t="shared" si="3"/>
        <v>15550.8</v>
      </c>
      <c r="J10" s="27">
        <f t="shared" si="3"/>
        <v>66611.5</v>
      </c>
      <c r="K10" s="27">
        <f t="shared" si="3"/>
        <v>17035.349999999999</v>
      </c>
      <c r="L10" s="27">
        <f t="shared" si="3"/>
        <v>10794.05</v>
      </c>
      <c r="M10" s="27">
        <f t="shared" si="3"/>
        <v>24579.05</v>
      </c>
      <c r="N10" s="27">
        <f t="shared" si="3"/>
        <v>62236.5</v>
      </c>
      <c r="O10" s="27">
        <f t="shared" si="3"/>
        <v>29600.55</v>
      </c>
      <c r="P10" s="27">
        <f t="shared" si="3"/>
        <v>0</v>
      </c>
      <c r="Q10" s="27">
        <f t="shared" si="3"/>
        <v>0</v>
      </c>
      <c r="R10" s="26" t="s">
        <v>25</v>
      </c>
      <c r="S10" s="67">
        <f>F10+G10+H10+I10+J10+K10+L10+M10+N10+O10+P10+Q10</f>
        <v>314523.49999999994</v>
      </c>
    </row>
    <row r="12" spans="1:19" ht="38.25" thickBot="1" x14ac:dyDescent="0.55000000000000004">
      <c r="A12" s="30"/>
      <c r="B12" s="32"/>
    </row>
    <row r="13" spans="1:19" s="113" customFormat="1" ht="16.5" thickBot="1" x14ac:dyDescent="0.3">
      <c r="A13" s="299" t="s">
        <v>175</v>
      </c>
      <c r="B13" s="300"/>
      <c r="C13" s="299" t="s">
        <v>188</v>
      </c>
      <c r="D13" s="300"/>
      <c r="E13" s="300"/>
      <c r="F13" s="300"/>
      <c r="G13" s="299" t="s">
        <v>114</v>
      </c>
      <c r="H13" s="300"/>
      <c r="I13" s="301"/>
      <c r="J13" s="387" t="s">
        <v>113</v>
      </c>
      <c r="K13" s="539"/>
      <c r="L13" s="388"/>
      <c r="M13" s="112"/>
    </row>
    <row r="14" spans="1:19" s="115" customFormat="1" ht="33.75" customHeight="1" x14ac:dyDescent="0.25">
      <c r="A14" s="595" t="s">
        <v>19</v>
      </c>
      <c r="B14" s="596"/>
      <c r="C14" s="597" t="s">
        <v>197</v>
      </c>
      <c r="D14" s="598"/>
      <c r="E14" s="598"/>
      <c r="F14" s="599"/>
      <c r="G14" s="597" t="s">
        <v>200</v>
      </c>
      <c r="H14" s="596"/>
      <c r="I14" s="600"/>
      <c r="J14" s="601">
        <v>8434</v>
      </c>
      <c r="K14" s="602"/>
      <c r="L14" s="603"/>
      <c r="M14" s="118"/>
    </row>
    <row r="15" spans="1:19" s="115" customFormat="1" ht="30.75" customHeight="1" x14ac:dyDescent="0.25">
      <c r="A15" s="520" t="s">
        <v>19</v>
      </c>
      <c r="B15" s="449"/>
      <c r="C15" s="448" t="s">
        <v>198</v>
      </c>
      <c r="D15" s="469"/>
      <c r="E15" s="469"/>
      <c r="F15" s="470"/>
      <c r="G15" s="448" t="s">
        <v>199</v>
      </c>
      <c r="H15" s="449"/>
      <c r="I15" s="619"/>
      <c r="J15" s="620">
        <v>400</v>
      </c>
      <c r="K15" s="621"/>
      <c r="L15" s="622"/>
      <c r="P15" s="115" t="s">
        <v>68</v>
      </c>
    </row>
    <row r="16" spans="1:19" s="115" customFormat="1" ht="33" customHeight="1" x14ac:dyDescent="0.25">
      <c r="A16" s="520" t="s">
        <v>19</v>
      </c>
      <c r="B16" s="449"/>
      <c r="C16" s="448" t="s">
        <v>201</v>
      </c>
      <c r="D16" s="469"/>
      <c r="E16" s="469"/>
      <c r="F16" s="470"/>
      <c r="G16" s="448" t="s">
        <v>202</v>
      </c>
      <c r="H16" s="449"/>
      <c r="I16" s="619"/>
      <c r="J16" s="620">
        <v>41400</v>
      </c>
      <c r="K16" s="621"/>
      <c r="L16" s="622"/>
    </row>
    <row r="17" spans="1:16" s="115" customFormat="1" ht="31.5" customHeight="1" x14ac:dyDescent="0.25">
      <c r="A17" s="623" t="s">
        <v>832</v>
      </c>
      <c r="B17" s="624"/>
      <c r="C17" s="625" t="s">
        <v>833</v>
      </c>
      <c r="D17" s="626"/>
      <c r="E17" s="626"/>
      <c r="F17" s="627"/>
      <c r="G17" s="448" t="s">
        <v>834</v>
      </c>
      <c r="H17" s="449"/>
      <c r="I17" s="619"/>
      <c r="J17" s="620">
        <v>41000</v>
      </c>
      <c r="K17" s="621"/>
      <c r="L17" s="622"/>
    </row>
    <row r="18" spans="1:16" s="217" customFormat="1" ht="49.5" customHeight="1" x14ac:dyDescent="0.25">
      <c r="A18" s="604" t="s">
        <v>843</v>
      </c>
      <c r="B18" s="605"/>
      <c r="C18" s="612" t="s">
        <v>844</v>
      </c>
      <c r="D18" s="613"/>
      <c r="E18" s="613"/>
      <c r="F18" s="614"/>
      <c r="G18" s="450" t="s">
        <v>845</v>
      </c>
      <c r="H18" s="462"/>
      <c r="I18" s="495"/>
      <c r="J18" s="428">
        <v>10500</v>
      </c>
      <c r="K18" s="429"/>
      <c r="L18" s="430"/>
    </row>
    <row r="19" spans="1:16" s="217" customFormat="1" ht="31.5" customHeight="1" x14ac:dyDescent="0.25">
      <c r="A19" s="461" t="s">
        <v>173</v>
      </c>
      <c r="B19" s="462"/>
      <c r="C19" s="450" t="s">
        <v>975</v>
      </c>
      <c r="D19" s="452"/>
      <c r="E19" s="452"/>
      <c r="F19" s="451"/>
      <c r="G19" s="450" t="s">
        <v>993</v>
      </c>
      <c r="H19" s="462"/>
      <c r="I19" s="495"/>
      <c r="J19" s="630">
        <v>3245</v>
      </c>
      <c r="K19" s="631"/>
      <c r="L19" s="632"/>
    </row>
    <row r="20" spans="1:16" s="217" customFormat="1" ht="15.75" customHeight="1" x14ac:dyDescent="0.25">
      <c r="A20" s="604"/>
      <c r="B20" s="605"/>
      <c r="C20" s="612"/>
      <c r="D20" s="613"/>
      <c r="E20" s="613"/>
      <c r="F20" s="614"/>
      <c r="G20" s="604"/>
      <c r="H20" s="605"/>
      <c r="I20" s="615"/>
      <c r="J20" s="616"/>
      <c r="K20" s="617"/>
      <c r="L20" s="618"/>
    </row>
    <row r="21" spans="1:16" s="217" customFormat="1" ht="15.75" customHeight="1" x14ac:dyDescent="0.25">
      <c r="A21" s="239"/>
      <c r="B21" s="240"/>
      <c r="C21" s="633"/>
      <c r="D21" s="634"/>
      <c r="E21" s="634"/>
      <c r="F21" s="635"/>
      <c r="G21" s="239"/>
      <c r="H21" s="240"/>
      <c r="I21" s="241"/>
      <c r="J21" s="242"/>
      <c r="K21" s="243"/>
      <c r="L21" s="244"/>
    </row>
    <row r="22" spans="1:16" s="217" customFormat="1" ht="15.75" customHeight="1" x14ac:dyDescent="0.25">
      <c r="A22" s="239"/>
      <c r="B22" s="240"/>
      <c r="C22" s="633"/>
      <c r="D22" s="634"/>
      <c r="E22" s="634"/>
      <c r="F22" s="635"/>
      <c r="G22" s="239"/>
      <c r="H22" s="240"/>
      <c r="I22" s="241"/>
      <c r="J22" s="242"/>
      <c r="K22" s="243"/>
      <c r="L22" s="244"/>
    </row>
    <row r="23" spans="1:16" s="218" customFormat="1" ht="13.5" thickBot="1" x14ac:dyDescent="0.25">
      <c r="A23" s="606"/>
      <c r="B23" s="607"/>
      <c r="C23" s="606"/>
      <c r="D23" s="607"/>
      <c r="E23" s="607"/>
      <c r="F23" s="608"/>
      <c r="G23" s="606"/>
      <c r="H23" s="607"/>
      <c r="I23" s="608"/>
      <c r="J23" s="609"/>
      <c r="K23" s="610"/>
      <c r="L23" s="611"/>
    </row>
    <row r="24" spans="1:16" ht="15.75" thickBot="1" x14ac:dyDescent="0.3">
      <c r="A24" s="269"/>
      <c r="B24" s="270"/>
      <c r="C24" s="269"/>
      <c r="D24" s="270"/>
      <c r="E24" s="270"/>
      <c r="F24" s="271"/>
      <c r="G24" s="272" t="s">
        <v>116</v>
      </c>
      <c r="H24" s="273"/>
      <c r="I24" s="391"/>
      <c r="J24" s="274">
        <f>SUM(J14:L23)</f>
        <v>104979</v>
      </c>
      <c r="K24" s="628"/>
      <c r="L24" s="629"/>
    </row>
    <row r="26" spans="1:16" ht="15.75" thickBot="1" x14ac:dyDescent="0.3"/>
    <row r="27" spans="1:16" s="113" customFormat="1" ht="16.5" thickBot="1" x14ac:dyDescent="0.3">
      <c r="A27" s="299" t="s">
        <v>332</v>
      </c>
      <c r="B27" s="300"/>
      <c r="C27" s="299" t="s">
        <v>306</v>
      </c>
      <c r="D27" s="300"/>
      <c r="E27" s="300"/>
      <c r="F27" s="300"/>
      <c r="G27" s="299" t="s">
        <v>114</v>
      </c>
      <c r="H27" s="300"/>
      <c r="I27" s="301"/>
      <c r="J27" s="387" t="s">
        <v>113</v>
      </c>
      <c r="K27" s="539"/>
      <c r="L27" s="388"/>
      <c r="M27" s="112"/>
    </row>
    <row r="28" spans="1:16" s="115" customFormat="1" ht="33.75" customHeight="1" x14ac:dyDescent="0.25">
      <c r="A28" s="595" t="s">
        <v>334</v>
      </c>
      <c r="B28" s="596"/>
      <c r="C28" s="597" t="s">
        <v>333</v>
      </c>
      <c r="D28" s="598"/>
      <c r="E28" s="598"/>
      <c r="F28" s="599"/>
      <c r="G28" s="597" t="s">
        <v>335</v>
      </c>
      <c r="H28" s="596"/>
      <c r="I28" s="600"/>
      <c r="J28" s="601">
        <v>24000</v>
      </c>
      <c r="K28" s="602"/>
      <c r="L28" s="603"/>
      <c r="M28" s="118"/>
    </row>
    <row r="29" spans="1:16" s="115" customFormat="1" ht="30.75" customHeight="1" x14ac:dyDescent="0.25">
      <c r="A29" s="520" t="s">
        <v>362</v>
      </c>
      <c r="B29" s="449"/>
      <c r="C29" s="448" t="s">
        <v>363</v>
      </c>
      <c r="D29" s="469"/>
      <c r="E29" s="469"/>
      <c r="F29" s="470"/>
      <c r="G29" s="448" t="s">
        <v>364</v>
      </c>
      <c r="H29" s="449"/>
      <c r="I29" s="619"/>
      <c r="J29" s="620">
        <v>5100</v>
      </c>
      <c r="K29" s="621"/>
      <c r="L29" s="622"/>
      <c r="P29" s="115" t="s">
        <v>68</v>
      </c>
    </row>
    <row r="30" spans="1:16" s="115" customFormat="1" ht="33" customHeight="1" x14ac:dyDescent="0.25">
      <c r="A30" s="520" t="s">
        <v>400</v>
      </c>
      <c r="B30" s="449"/>
      <c r="C30" s="350" t="s">
        <v>393</v>
      </c>
      <c r="D30" s="351"/>
      <c r="E30" s="351"/>
      <c r="F30" s="352"/>
      <c r="G30" s="448" t="s">
        <v>394</v>
      </c>
      <c r="H30" s="449"/>
      <c r="I30" s="619"/>
      <c r="J30" s="620">
        <v>2100</v>
      </c>
      <c r="K30" s="621"/>
      <c r="L30" s="622"/>
    </row>
    <row r="31" spans="1:16" s="115" customFormat="1" ht="63" customHeight="1" x14ac:dyDescent="0.25">
      <c r="A31" s="520" t="s">
        <v>362</v>
      </c>
      <c r="B31" s="449"/>
      <c r="C31" s="448" t="s">
        <v>436</v>
      </c>
      <c r="D31" s="469"/>
      <c r="E31" s="469"/>
      <c r="F31" s="470"/>
      <c r="G31" s="520" t="s">
        <v>437</v>
      </c>
      <c r="H31" s="449"/>
      <c r="I31" s="619"/>
      <c r="J31" s="620">
        <v>5100</v>
      </c>
      <c r="K31" s="621"/>
      <c r="L31" s="622"/>
    </row>
    <row r="32" spans="1:16" s="115" customFormat="1" ht="46.5" customHeight="1" x14ac:dyDescent="0.25">
      <c r="A32" s="461" t="s">
        <v>362</v>
      </c>
      <c r="B32" s="462"/>
      <c r="C32" s="450" t="s">
        <v>499</v>
      </c>
      <c r="D32" s="452"/>
      <c r="E32" s="452"/>
      <c r="F32" s="451"/>
      <c r="G32" s="461" t="s">
        <v>500</v>
      </c>
      <c r="H32" s="462"/>
      <c r="I32" s="495"/>
      <c r="J32" s="428">
        <v>3400</v>
      </c>
      <c r="K32" s="429"/>
      <c r="L32" s="430"/>
    </row>
    <row r="33" spans="1:12" s="115" customFormat="1" ht="63.75" customHeight="1" x14ac:dyDescent="0.25">
      <c r="A33" s="461" t="s">
        <v>675</v>
      </c>
      <c r="B33" s="462"/>
      <c r="C33" s="450" t="s">
        <v>676</v>
      </c>
      <c r="D33" s="452"/>
      <c r="E33" s="452"/>
      <c r="F33" s="451"/>
      <c r="G33" s="450" t="s">
        <v>677</v>
      </c>
      <c r="H33" s="452"/>
      <c r="I33" s="451"/>
      <c r="J33" s="428">
        <v>5950</v>
      </c>
      <c r="K33" s="429"/>
      <c r="L33" s="430"/>
    </row>
    <row r="34" spans="1:12" s="115" customFormat="1" ht="46.5" customHeight="1" x14ac:dyDescent="0.25">
      <c r="A34" s="461" t="s">
        <v>681</v>
      </c>
      <c r="B34" s="462"/>
      <c r="C34" s="450" t="s">
        <v>713</v>
      </c>
      <c r="D34" s="452"/>
      <c r="E34" s="452"/>
      <c r="F34" s="451"/>
      <c r="G34" s="461" t="s">
        <v>691</v>
      </c>
      <c r="H34" s="462"/>
      <c r="I34" s="495"/>
      <c r="J34" s="428">
        <v>12100</v>
      </c>
      <c r="K34" s="429"/>
      <c r="L34" s="430"/>
    </row>
    <row r="35" spans="1:12" s="115" customFormat="1" ht="31.5" customHeight="1" x14ac:dyDescent="0.25">
      <c r="A35" s="461" t="s">
        <v>681</v>
      </c>
      <c r="B35" s="462"/>
      <c r="C35" s="450" t="s">
        <v>759</v>
      </c>
      <c r="D35" s="452"/>
      <c r="E35" s="452"/>
      <c r="F35" s="451"/>
      <c r="G35" s="461" t="s">
        <v>540</v>
      </c>
      <c r="H35" s="462"/>
      <c r="I35" s="495"/>
      <c r="J35" s="428">
        <v>750</v>
      </c>
      <c r="K35" s="429"/>
      <c r="L35" s="430"/>
    </row>
    <row r="36" spans="1:12" s="115" customFormat="1" ht="51" customHeight="1" x14ac:dyDescent="0.25">
      <c r="A36" s="461" t="s">
        <v>675</v>
      </c>
      <c r="B36" s="462"/>
      <c r="C36" s="450" t="s">
        <v>931</v>
      </c>
      <c r="D36" s="452"/>
      <c r="E36" s="452"/>
      <c r="F36" s="451"/>
      <c r="G36" s="450" t="s">
        <v>932</v>
      </c>
      <c r="H36" s="452"/>
      <c r="I36" s="451"/>
      <c r="J36" s="428">
        <v>7650</v>
      </c>
      <c r="K36" s="429"/>
      <c r="L36" s="430"/>
    </row>
    <row r="37" spans="1:12" s="115" customFormat="1" ht="15.75" customHeight="1" x14ac:dyDescent="0.25">
      <c r="A37" s="461"/>
      <c r="B37" s="462"/>
      <c r="C37" s="450"/>
      <c r="D37" s="452"/>
      <c r="E37" s="452"/>
      <c r="F37" s="451"/>
      <c r="G37" s="461"/>
      <c r="H37" s="462"/>
      <c r="I37" s="495"/>
      <c r="J37" s="428"/>
      <c r="K37" s="429"/>
      <c r="L37" s="430"/>
    </row>
    <row r="38" spans="1:12" s="115" customFormat="1" ht="15.75" customHeight="1" x14ac:dyDescent="0.25">
      <c r="A38" s="461"/>
      <c r="B38" s="462"/>
      <c r="C38" s="450"/>
      <c r="D38" s="452"/>
      <c r="E38" s="452"/>
      <c r="F38" s="451"/>
      <c r="G38" s="461"/>
      <c r="H38" s="462"/>
      <c r="I38" s="495"/>
      <c r="J38" s="428"/>
      <c r="K38" s="429"/>
      <c r="L38" s="430"/>
    </row>
    <row r="39" spans="1:12" s="115" customFormat="1" ht="15.75" customHeight="1" x14ac:dyDescent="0.25">
      <c r="A39" s="461"/>
      <c r="B39" s="462"/>
      <c r="C39" s="450"/>
      <c r="D39" s="452"/>
      <c r="E39" s="452"/>
      <c r="F39" s="451"/>
      <c r="G39" s="461"/>
      <c r="H39" s="462"/>
      <c r="I39" s="495"/>
      <c r="J39" s="428"/>
      <c r="K39" s="429"/>
      <c r="L39" s="430"/>
    </row>
    <row r="40" spans="1:12" s="115" customFormat="1" ht="15.75" customHeight="1" x14ac:dyDescent="0.25">
      <c r="A40" s="461"/>
      <c r="B40" s="462"/>
      <c r="C40" s="450"/>
      <c r="D40" s="452"/>
      <c r="E40" s="452"/>
      <c r="F40" s="451"/>
      <c r="G40" s="461"/>
      <c r="H40" s="462"/>
      <c r="I40" s="495"/>
      <c r="J40" s="428"/>
      <c r="K40" s="429"/>
      <c r="L40" s="430"/>
    </row>
    <row r="41" spans="1:12" s="115" customFormat="1" ht="15.75" customHeight="1" x14ac:dyDescent="0.25">
      <c r="A41" s="461"/>
      <c r="B41" s="462"/>
      <c r="C41" s="450"/>
      <c r="D41" s="452"/>
      <c r="E41" s="452"/>
      <c r="F41" s="451"/>
      <c r="G41" s="461"/>
      <c r="H41" s="462"/>
      <c r="I41" s="495"/>
      <c r="J41" s="620"/>
      <c r="K41" s="621"/>
      <c r="L41" s="622"/>
    </row>
    <row r="42" spans="1:12" ht="15.75" thickBot="1" x14ac:dyDescent="0.3">
      <c r="A42" s="636"/>
      <c r="B42" s="637"/>
      <c r="C42" s="636"/>
      <c r="D42" s="637"/>
      <c r="E42" s="637"/>
      <c r="F42" s="638"/>
      <c r="G42" s="636"/>
      <c r="H42" s="637"/>
      <c r="I42" s="638"/>
      <c r="J42" s="639"/>
      <c r="K42" s="640"/>
      <c r="L42" s="641"/>
    </row>
    <row r="43" spans="1:12" ht="15.75" thickBot="1" x14ac:dyDescent="0.3">
      <c r="A43" s="269"/>
      <c r="B43" s="270"/>
      <c r="C43" s="269"/>
      <c r="D43" s="270"/>
      <c r="E43" s="270"/>
      <c r="F43" s="271"/>
      <c r="G43" s="272" t="s">
        <v>116</v>
      </c>
      <c r="H43" s="273"/>
      <c r="I43" s="391"/>
      <c r="J43" s="274">
        <f>SUM(J28:L42)</f>
        <v>66150</v>
      </c>
      <c r="K43" s="628"/>
      <c r="L43" s="629"/>
    </row>
    <row r="45" spans="1:12" x14ac:dyDescent="0.25">
      <c r="D45" s="196"/>
      <c r="E45" s="196"/>
      <c r="F45" s="196"/>
    </row>
    <row r="46" spans="1:12" x14ac:dyDescent="0.25">
      <c r="D46" s="182"/>
      <c r="E46" s="182"/>
      <c r="F46" s="182"/>
      <c r="G46" s="182"/>
    </row>
  </sheetData>
  <mergeCells count="110">
    <mergeCell ref="A43:B43"/>
    <mergeCell ref="C43:F43"/>
    <mergeCell ref="G43:I43"/>
    <mergeCell ref="J43:L43"/>
    <mergeCell ref="A42:B42"/>
    <mergeCell ref="C42:F42"/>
    <mergeCell ref="G42:I42"/>
    <mergeCell ref="J42:L42"/>
    <mergeCell ref="A32:B32"/>
    <mergeCell ref="C32:F32"/>
    <mergeCell ref="C40:F40"/>
    <mergeCell ref="G32:I32"/>
    <mergeCell ref="G40:I40"/>
    <mergeCell ref="A40:B40"/>
    <mergeCell ref="G33:I33"/>
    <mergeCell ref="G34:I34"/>
    <mergeCell ref="G35:I35"/>
    <mergeCell ref="A36:B36"/>
    <mergeCell ref="A37:B37"/>
    <mergeCell ref="A38:B38"/>
    <mergeCell ref="A39:B39"/>
    <mergeCell ref="C36:F36"/>
    <mergeCell ref="C37:F37"/>
    <mergeCell ref="A41:B41"/>
    <mergeCell ref="C41:F41"/>
    <mergeCell ref="G41:I41"/>
    <mergeCell ref="J41:L41"/>
    <mergeCell ref="J32:L32"/>
    <mergeCell ref="J40:L40"/>
    <mergeCell ref="A34:B34"/>
    <mergeCell ref="A33:B33"/>
    <mergeCell ref="A35:B35"/>
    <mergeCell ref="C33:F33"/>
    <mergeCell ref="C34:F34"/>
    <mergeCell ref="C35:F35"/>
    <mergeCell ref="J33:L33"/>
    <mergeCell ref="J34:L34"/>
    <mergeCell ref="J35:L35"/>
    <mergeCell ref="J36:L36"/>
    <mergeCell ref="J37:L37"/>
    <mergeCell ref="J38:L38"/>
    <mergeCell ref="J39:L39"/>
    <mergeCell ref="C38:F38"/>
    <mergeCell ref="C39:F39"/>
    <mergeCell ref="G36:I36"/>
    <mergeCell ref="G37:I37"/>
    <mergeCell ref="G38:I38"/>
    <mergeCell ref="G39:I39"/>
    <mergeCell ref="A29:B29"/>
    <mergeCell ref="C29:F29"/>
    <mergeCell ref="G29:I29"/>
    <mergeCell ref="J29:L29"/>
    <mergeCell ref="A30:B30"/>
    <mergeCell ref="C30:F30"/>
    <mergeCell ref="G30:I30"/>
    <mergeCell ref="J30:L30"/>
    <mergeCell ref="A31:B31"/>
    <mergeCell ref="C31:F31"/>
    <mergeCell ref="G31:I31"/>
    <mergeCell ref="J31:L31"/>
    <mergeCell ref="A13:B13"/>
    <mergeCell ref="G13:I13"/>
    <mergeCell ref="C13:F13"/>
    <mergeCell ref="J13:L13"/>
    <mergeCell ref="A14:B14"/>
    <mergeCell ref="C14:F14"/>
    <mergeCell ref="G14:I14"/>
    <mergeCell ref="J14:L14"/>
    <mergeCell ref="A15:B15"/>
    <mergeCell ref="C15:F15"/>
    <mergeCell ref="G15:I15"/>
    <mergeCell ref="J15:L15"/>
    <mergeCell ref="C16:F16"/>
    <mergeCell ref="G16:I16"/>
    <mergeCell ref="J16:L16"/>
    <mergeCell ref="G24:I24"/>
    <mergeCell ref="C24:F24"/>
    <mergeCell ref="A16:B16"/>
    <mergeCell ref="A17:B17"/>
    <mergeCell ref="C17:F17"/>
    <mergeCell ref="G17:I17"/>
    <mergeCell ref="J17:L17"/>
    <mergeCell ref="A24:B24"/>
    <mergeCell ref="J24:L24"/>
    <mergeCell ref="A18:B18"/>
    <mergeCell ref="A19:B19"/>
    <mergeCell ref="C18:F18"/>
    <mergeCell ref="C19:F19"/>
    <mergeCell ref="G18:I18"/>
    <mergeCell ref="G19:I19"/>
    <mergeCell ref="J18:L18"/>
    <mergeCell ref="J19:L19"/>
    <mergeCell ref="C21:F21"/>
    <mergeCell ref="C22:F22"/>
    <mergeCell ref="A28:B28"/>
    <mergeCell ref="C28:F28"/>
    <mergeCell ref="G28:I28"/>
    <mergeCell ref="J28:L28"/>
    <mergeCell ref="A27:B27"/>
    <mergeCell ref="C27:F27"/>
    <mergeCell ref="G27:I27"/>
    <mergeCell ref="J27:L27"/>
    <mergeCell ref="A20:B20"/>
    <mergeCell ref="A23:B23"/>
    <mergeCell ref="C23:F23"/>
    <mergeCell ref="G23:I23"/>
    <mergeCell ref="J23:L23"/>
    <mergeCell ref="C20:F20"/>
    <mergeCell ref="G20:I20"/>
    <mergeCell ref="J20:L2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F82B-F9AA-40AD-B0CD-F609F01D8480}">
  <dimension ref="A1:T50"/>
  <sheetViews>
    <sheetView zoomScale="90" zoomScaleNormal="90" workbookViewId="0">
      <selection activeCell="N9" sqref="N9"/>
    </sheetView>
  </sheetViews>
  <sheetFormatPr defaultRowHeight="15" x14ac:dyDescent="0.25"/>
  <cols>
    <col min="1" max="1" width="40.28515625" customWidth="1"/>
    <col min="2" max="2" width="17.7109375" customWidth="1"/>
    <col min="3" max="3" width="17" customWidth="1"/>
    <col min="4" max="4" width="22.85546875" customWidth="1"/>
    <col min="5" max="5" width="10.85546875" customWidth="1"/>
    <col min="6" max="6" width="10.28515625" customWidth="1"/>
    <col min="7" max="7" width="12.5703125" customWidth="1"/>
    <col min="8" max="8" width="10.28515625" customWidth="1"/>
    <col min="9" max="9" width="11.28515625" customWidth="1"/>
    <col min="10" max="10" width="13.28515625" customWidth="1"/>
    <col min="11" max="11" width="13.140625" customWidth="1"/>
    <col min="12" max="12" width="12.5703125" customWidth="1"/>
    <col min="13" max="13" width="11.140625" customWidth="1"/>
    <col min="14" max="14" width="9.5703125" customWidth="1"/>
    <col min="15" max="15" width="10.5703125" customWidth="1"/>
    <col min="16" max="17" width="11" customWidth="1"/>
    <col min="18" max="18" width="15.140625" customWidth="1"/>
    <col min="20" max="20" width="11.5703125" bestFit="1" customWidth="1"/>
  </cols>
  <sheetData>
    <row r="1" spans="1:20" ht="72.75" customHeight="1" thickBot="1" x14ac:dyDescent="0.3">
      <c r="A1" s="1"/>
      <c r="B1" s="4" t="s">
        <v>124</v>
      </c>
      <c r="C1" s="5" t="s">
        <v>2</v>
      </c>
      <c r="D1" s="6" t="s">
        <v>3</v>
      </c>
      <c r="E1" s="204" t="s">
        <v>4</v>
      </c>
      <c r="F1" s="65" t="s">
        <v>5</v>
      </c>
      <c r="G1" s="205" t="s">
        <v>6</v>
      </c>
      <c r="H1" s="65" t="s">
        <v>7</v>
      </c>
      <c r="I1" s="205" t="s">
        <v>8</v>
      </c>
      <c r="J1" s="65" t="s">
        <v>9</v>
      </c>
      <c r="K1" s="205" t="s">
        <v>10</v>
      </c>
      <c r="L1" s="65" t="s">
        <v>11</v>
      </c>
      <c r="M1" s="205" t="s">
        <v>12</v>
      </c>
      <c r="N1" s="65" t="s">
        <v>13</v>
      </c>
      <c r="O1" s="205" t="s">
        <v>14</v>
      </c>
      <c r="P1" s="65" t="s">
        <v>15</v>
      </c>
      <c r="Q1" s="66"/>
      <c r="R1" s="10" t="s">
        <v>16</v>
      </c>
    </row>
    <row r="2" spans="1:20" ht="16.5" thickBot="1" x14ac:dyDescent="0.3">
      <c r="A2" s="60" t="s">
        <v>71</v>
      </c>
      <c r="B2" s="61"/>
      <c r="C2" s="91" t="s">
        <v>17</v>
      </c>
      <c r="D2" s="92"/>
      <c r="E2" s="57"/>
      <c r="F2" s="88"/>
      <c r="G2" s="57"/>
      <c r="H2" s="88"/>
      <c r="I2" s="57"/>
      <c r="J2" s="88"/>
      <c r="K2" s="57"/>
      <c r="L2" s="88"/>
      <c r="M2" s="57"/>
      <c r="N2" s="88"/>
      <c r="O2" s="57"/>
      <c r="P2" s="12"/>
      <c r="Q2" s="57"/>
      <c r="R2" s="12"/>
    </row>
    <row r="3" spans="1:20" ht="15.75" x14ac:dyDescent="0.25">
      <c r="A3" s="94" t="s">
        <v>29</v>
      </c>
      <c r="B3" s="59">
        <v>95680</v>
      </c>
      <c r="C3" s="89">
        <f>SUM(E3:P3)</f>
        <v>49591</v>
      </c>
      <c r="D3" s="90">
        <f>B3-C3</f>
        <v>46089</v>
      </c>
      <c r="E3" s="53"/>
      <c r="F3" s="53"/>
      <c r="G3" s="53"/>
      <c r="H3" s="53"/>
      <c r="I3" s="53"/>
      <c r="J3" s="53"/>
      <c r="K3" s="53"/>
      <c r="L3" s="53"/>
      <c r="M3" s="53">
        <f>13107+7535+20899+8050</f>
        <v>49591</v>
      </c>
      <c r="N3" s="53"/>
      <c r="O3" s="53"/>
      <c r="P3" s="53"/>
      <c r="Q3" s="74"/>
      <c r="R3" s="81">
        <f>SUM(E3:P3)</f>
        <v>49591</v>
      </c>
    </row>
    <row r="4" spans="1:20" ht="15.75" x14ac:dyDescent="0.25">
      <c r="A4" s="20" t="s">
        <v>34</v>
      </c>
      <c r="B4" s="16">
        <v>29320</v>
      </c>
      <c r="C4" s="89">
        <f t="shared" ref="C4:C11" si="0">SUM(E4:P4)</f>
        <v>168741</v>
      </c>
      <c r="D4" s="90">
        <f t="shared" ref="D4:D11" si="1">B4-C4</f>
        <v>-139421</v>
      </c>
      <c r="E4" s="19"/>
      <c r="F4" s="19"/>
      <c r="G4" s="19"/>
      <c r="H4" s="19"/>
      <c r="I4" s="19"/>
      <c r="J4" s="19"/>
      <c r="K4" s="19"/>
      <c r="L4" s="19"/>
      <c r="M4" s="19">
        <f>2287+29900+99700+36350+504</f>
        <v>168741</v>
      </c>
      <c r="N4" s="19"/>
      <c r="O4" s="19"/>
      <c r="P4" s="19"/>
      <c r="Q4" s="74"/>
      <c r="R4" s="53">
        <f t="shared" ref="R4:R11" si="2">SUM(E4:P4)</f>
        <v>168741</v>
      </c>
    </row>
    <row r="5" spans="1:20" ht="15.75" x14ac:dyDescent="0.25">
      <c r="A5" s="20" t="s">
        <v>110</v>
      </c>
      <c r="B5" s="16">
        <v>50000</v>
      </c>
      <c r="C5" s="89">
        <f t="shared" si="0"/>
        <v>13400</v>
      </c>
      <c r="D5" s="90">
        <f t="shared" si="1"/>
        <v>36600</v>
      </c>
      <c r="E5" s="19"/>
      <c r="F5" s="19"/>
      <c r="G5" s="19"/>
      <c r="H5" s="19">
        <f>4500</f>
        <v>4500</v>
      </c>
      <c r="I5" s="19">
        <f>4450+4450</f>
        <v>8900</v>
      </c>
      <c r="J5" s="19"/>
      <c r="K5" s="19"/>
      <c r="L5" s="19"/>
      <c r="M5" s="19"/>
      <c r="N5" s="19"/>
      <c r="O5" s="19"/>
      <c r="P5" s="19"/>
      <c r="Q5" s="74"/>
      <c r="R5" s="53">
        <f t="shared" si="2"/>
        <v>13400</v>
      </c>
    </row>
    <row r="6" spans="1:20" ht="15.75" x14ac:dyDescent="0.25">
      <c r="A6" s="20" t="s">
        <v>103</v>
      </c>
      <c r="B6" s="16">
        <v>20000</v>
      </c>
      <c r="C6" s="89">
        <f t="shared" si="0"/>
        <v>29650</v>
      </c>
      <c r="D6" s="90">
        <f t="shared" si="1"/>
        <v>-9650</v>
      </c>
      <c r="E6" s="19"/>
      <c r="F6" s="19">
        <v>6300</v>
      </c>
      <c r="G6" s="19"/>
      <c r="H6" s="19">
        <f>3000+850</f>
        <v>3850</v>
      </c>
      <c r="I6" s="19">
        <f>2350+2000+4500</f>
        <v>8850</v>
      </c>
      <c r="J6" s="19">
        <f>1150</f>
        <v>1150</v>
      </c>
      <c r="K6" s="19">
        <f>5950</f>
        <v>5950</v>
      </c>
      <c r="L6" s="19"/>
      <c r="M6" s="19">
        <f>2000+1550</f>
        <v>3550</v>
      </c>
      <c r="N6" s="19"/>
      <c r="O6" s="19"/>
      <c r="P6" s="19"/>
      <c r="Q6" s="74"/>
      <c r="R6" s="53">
        <f t="shared" si="2"/>
        <v>29650</v>
      </c>
    </row>
    <row r="7" spans="1:20" ht="15.75" x14ac:dyDescent="0.25">
      <c r="A7" s="20" t="s">
        <v>161</v>
      </c>
      <c r="B7" s="16">
        <v>5000</v>
      </c>
      <c r="C7" s="89">
        <f t="shared" si="0"/>
        <v>0</v>
      </c>
      <c r="D7" s="90">
        <f t="shared" si="1"/>
        <v>5000</v>
      </c>
      <c r="E7" s="19"/>
      <c r="F7" s="19"/>
      <c r="G7" s="19"/>
      <c r="H7" s="19"/>
      <c r="I7" s="19"/>
      <c r="J7" s="19"/>
      <c r="K7" s="19"/>
      <c r="L7" s="19"/>
      <c r="M7" s="19"/>
      <c r="N7" s="19"/>
      <c r="O7" s="19"/>
      <c r="P7" s="19"/>
      <c r="Q7" s="74"/>
      <c r="R7" s="53">
        <f t="shared" si="2"/>
        <v>0</v>
      </c>
    </row>
    <row r="8" spans="1:20" ht="15.75" x14ac:dyDescent="0.25">
      <c r="A8" s="20" t="s">
        <v>804</v>
      </c>
      <c r="B8" s="16"/>
      <c r="C8" s="89">
        <f t="shared" si="0"/>
        <v>110197.15</v>
      </c>
      <c r="D8" s="90">
        <f t="shared" si="1"/>
        <v>-110197.15</v>
      </c>
      <c r="E8" s="19">
        <f>9377.06+5532.94</f>
        <v>14910</v>
      </c>
      <c r="F8" s="19">
        <f>8821.95+8378.8</f>
        <v>17200.75</v>
      </c>
      <c r="G8" s="19">
        <f>9239.9+8864.5</f>
        <v>18104.400000000001</v>
      </c>
      <c r="H8" s="19">
        <f>3018+4747</f>
        <v>7765</v>
      </c>
      <c r="I8" s="19">
        <f>3772.5+5528.8</f>
        <v>9301.2999999999993</v>
      </c>
      <c r="J8" s="19">
        <f>5533+2766.5</f>
        <v>8299.5</v>
      </c>
      <c r="K8" s="19">
        <f>6028.65+5023.7</f>
        <v>11052.349999999999</v>
      </c>
      <c r="L8" s="19">
        <f>3521+5020.55</f>
        <v>8541.5499999999993</v>
      </c>
      <c r="M8" s="19">
        <f>5360.8</f>
        <v>5360.8</v>
      </c>
      <c r="N8" s="19">
        <f>4775.35+4886.15</f>
        <v>9661.5</v>
      </c>
      <c r="O8" s="19"/>
      <c r="P8" s="19"/>
      <c r="Q8" s="74"/>
      <c r="R8" s="53">
        <f t="shared" si="2"/>
        <v>110197.15</v>
      </c>
    </row>
    <row r="9" spans="1:20" ht="15.75" x14ac:dyDescent="0.25">
      <c r="A9" s="13" t="s">
        <v>158</v>
      </c>
      <c r="B9" s="16">
        <v>50000</v>
      </c>
      <c r="C9" s="89">
        <f t="shared" si="0"/>
        <v>0</v>
      </c>
      <c r="D9" s="90">
        <f t="shared" si="1"/>
        <v>50000</v>
      </c>
      <c r="E9" s="19"/>
      <c r="F9" s="19"/>
      <c r="G9" s="19"/>
      <c r="H9" s="19"/>
      <c r="I9" s="19"/>
      <c r="J9" s="19"/>
      <c r="K9" s="19"/>
      <c r="L9" s="19"/>
      <c r="M9" s="19"/>
      <c r="N9" s="19"/>
      <c r="O9" s="19"/>
      <c r="P9" s="19"/>
      <c r="Q9" s="74"/>
      <c r="R9" s="53">
        <f t="shared" si="2"/>
        <v>0</v>
      </c>
    </row>
    <row r="10" spans="1:20" ht="15.75" x14ac:dyDescent="0.25">
      <c r="A10" s="20" t="s">
        <v>32</v>
      </c>
      <c r="B10" s="16">
        <v>150000</v>
      </c>
      <c r="C10" s="89">
        <f t="shared" si="0"/>
        <v>0</v>
      </c>
      <c r="D10" s="90">
        <f t="shared" si="1"/>
        <v>150000</v>
      </c>
      <c r="E10" s="19"/>
      <c r="F10" s="19"/>
      <c r="G10" s="19"/>
      <c r="H10" s="19"/>
      <c r="I10" s="19"/>
      <c r="J10" s="19"/>
      <c r="K10" s="19"/>
      <c r="L10" s="19"/>
      <c r="M10" s="19"/>
      <c r="N10" s="19"/>
      <c r="O10" s="19"/>
      <c r="P10" s="19"/>
      <c r="Q10" s="82"/>
      <c r="R10" s="53">
        <f t="shared" si="2"/>
        <v>0</v>
      </c>
    </row>
    <row r="11" spans="1:20" ht="15.75" x14ac:dyDescent="0.25">
      <c r="A11" s="20" t="s">
        <v>21</v>
      </c>
      <c r="B11" s="72"/>
      <c r="C11" s="89">
        <f t="shared" si="0"/>
        <v>43750</v>
      </c>
      <c r="D11" s="90">
        <f t="shared" si="1"/>
        <v>-43750</v>
      </c>
      <c r="E11" s="42"/>
      <c r="F11" s="42"/>
      <c r="G11" s="42"/>
      <c r="H11" s="42"/>
      <c r="I11" s="42"/>
      <c r="J11" s="42"/>
      <c r="K11" s="42"/>
      <c r="L11" s="42">
        <f>19250+24500</f>
        <v>43750</v>
      </c>
      <c r="M11" s="42"/>
      <c r="N11" s="42"/>
      <c r="O11" s="42"/>
      <c r="P11" s="19"/>
      <c r="Q11" s="42"/>
      <c r="R11" s="53">
        <f t="shared" si="2"/>
        <v>43750</v>
      </c>
    </row>
    <row r="12" spans="1:20" ht="16.5" thickBot="1" x14ac:dyDescent="0.3">
      <c r="A12" s="25"/>
      <c r="B12" s="27">
        <f>SUM(B3:B10)</f>
        <v>400000</v>
      </c>
      <c r="C12" s="27">
        <f>SUM(C3:C10)</f>
        <v>371579.15</v>
      </c>
      <c r="D12" s="27">
        <f>SUM(D3:D10)</f>
        <v>28420.850000000006</v>
      </c>
      <c r="E12" s="27">
        <f>SUM(E3:E11)</f>
        <v>14910</v>
      </c>
      <c r="F12" s="27">
        <f>SUM(F3:F10)</f>
        <v>23500.75</v>
      </c>
      <c r="G12" s="27">
        <f>SUM(G3:G11)</f>
        <v>18104.400000000001</v>
      </c>
      <c r="H12" s="27">
        <f t="shared" ref="H12:P12" si="3">SUM(H3:H10)</f>
        <v>16115</v>
      </c>
      <c r="I12" s="27">
        <f t="shared" si="3"/>
        <v>27051.3</v>
      </c>
      <c r="J12" s="27">
        <f t="shared" si="3"/>
        <v>9449.5</v>
      </c>
      <c r="K12" s="27">
        <f t="shared" si="3"/>
        <v>17002.349999999999</v>
      </c>
      <c r="L12" s="27">
        <f t="shared" si="3"/>
        <v>8541.5499999999993</v>
      </c>
      <c r="M12" s="27">
        <f t="shared" si="3"/>
        <v>227242.8</v>
      </c>
      <c r="N12" s="27">
        <f t="shared" si="3"/>
        <v>9661.5</v>
      </c>
      <c r="O12" s="27">
        <f t="shared" si="3"/>
        <v>0</v>
      </c>
      <c r="P12" s="27">
        <f t="shared" si="3"/>
        <v>0</v>
      </c>
      <c r="Q12" s="26" t="s">
        <v>25</v>
      </c>
      <c r="R12" s="47">
        <f>SUM(E12:P12)</f>
        <v>371579.14999999997</v>
      </c>
      <c r="T12" s="97"/>
    </row>
    <row r="14" spans="1:20" ht="15.75" thickBot="1" x14ac:dyDescent="0.3"/>
    <row r="15" spans="1:20" ht="16.5" thickBot="1" x14ac:dyDescent="0.3">
      <c r="A15" s="136" t="s">
        <v>175</v>
      </c>
      <c r="B15" s="300"/>
      <c r="C15" s="300"/>
      <c r="D15" s="301"/>
      <c r="E15" s="299" t="s">
        <v>114</v>
      </c>
      <c r="F15" s="300"/>
      <c r="G15" s="301"/>
      <c r="H15" s="527" t="s">
        <v>113</v>
      </c>
      <c r="I15" s="528"/>
      <c r="J15" s="112"/>
      <c r="K15" s="112"/>
      <c r="L15" s="112"/>
    </row>
    <row r="16" spans="1:20" s="115" customFormat="1" ht="29.25" customHeight="1" x14ac:dyDescent="0.25">
      <c r="A16" s="181" t="s">
        <v>828</v>
      </c>
      <c r="B16" s="643" t="s">
        <v>829</v>
      </c>
      <c r="C16" s="643"/>
      <c r="D16" s="644"/>
      <c r="E16" s="645" t="s">
        <v>830</v>
      </c>
      <c r="F16" s="646"/>
      <c r="G16" s="647"/>
      <c r="H16" s="648">
        <v>13107</v>
      </c>
      <c r="I16" s="649"/>
      <c r="J16" s="118"/>
      <c r="K16" s="118"/>
      <c r="L16" s="118"/>
    </row>
    <row r="17" spans="1:12" ht="30" customHeight="1" x14ac:dyDescent="0.25">
      <c r="A17" s="156" t="s">
        <v>828</v>
      </c>
      <c r="B17" s="277" t="s">
        <v>829</v>
      </c>
      <c r="C17" s="277"/>
      <c r="D17" s="278"/>
      <c r="E17" s="276" t="s">
        <v>831</v>
      </c>
      <c r="F17" s="321"/>
      <c r="G17" s="285"/>
      <c r="H17" s="311">
        <v>7535</v>
      </c>
      <c r="I17" s="312"/>
      <c r="J17" s="118"/>
      <c r="K17" s="118"/>
      <c r="L17" s="118"/>
    </row>
    <row r="18" spans="1:12" ht="31.5" customHeight="1" x14ac:dyDescent="0.25">
      <c r="A18" s="156" t="s">
        <v>828</v>
      </c>
      <c r="B18" s="277" t="s">
        <v>829</v>
      </c>
      <c r="C18" s="277"/>
      <c r="D18" s="278"/>
      <c r="E18" s="276" t="s">
        <v>835</v>
      </c>
      <c r="F18" s="321"/>
      <c r="G18" s="285"/>
      <c r="H18" s="311">
        <v>20899</v>
      </c>
      <c r="I18" s="312"/>
      <c r="J18" s="118"/>
      <c r="K18" s="118"/>
      <c r="L18" s="118"/>
    </row>
    <row r="19" spans="1:12" ht="28.5" customHeight="1" x14ac:dyDescent="0.25">
      <c r="A19" s="178" t="s">
        <v>828</v>
      </c>
      <c r="B19" s="277" t="s">
        <v>846</v>
      </c>
      <c r="C19" s="277"/>
      <c r="D19" s="278"/>
      <c r="E19" s="276" t="s">
        <v>847</v>
      </c>
      <c r="F19" s="321"/>
      <c r="G19" s="285"/>
      <c r="H19" s="311">
        <v>8050</v>
      </c>
      <c r="I19" s="312"/>
      <c r="J19" s="118"/>
      <c r="K19" s="118"/>
      <c r="L19" s="118"/>
    </row>
    <row r="20" spans="1:12" ht="30.75" customHeight="1" x14ac:dyDescent="0.25">
      <c r="A20" s="163" t="s">
        <v>828</v>
      </c>
      <c r="B20" s="351" t="s">
        <v>829</v>
      </c>
      <c r="C20" s="351"/>
      <c r="D20" s="352"/>
      <c r="E20" s="350" t="s">
        <v>848</v>
      </c>
      <c r="F20" s="370"/>
      <c r="G20" s="413"/>
      <c r="H20" s="588">
        <v>2287</v>
      </c>
      <c r="I20" s="589"/>
      <c r="J20" s="118"/>
      <c r="K20" s="118"/>
      <c r="L20" s="118"/>
    </row>
    <row r="21" spans="1:12" ht="30" customHeight="1" x14ac:dyDescent="0.25">
      <c r="A21" s="190" t="s">
        <v>843</v>
      </c>
      <c r="B21" s="319" t="s">
        <v>849</v>
      </c>
      <c r="C21" s="319"/>
      <c r="D21" s="294"/>
      <c r="E21" s="263" t="s">
        <v>850</v>
      </c>
      <c r="F21" s="319"/>
      <c r="G21" s="294"/>
      <c r="H21" s="531">
        <v>29900</v>
      </c>
      <c r="I21" s="532"/>
      <c r="J21" s="118"/>
      <c r="K21" s="118"/>
      <c r="L21" s="118"/>
    </row>
    <row r="22" spans="1:12" ht="30" customHeight="1" x14ac:dyDescent="0.25">
      <c r="A22" s="190" t="s">
        <v>851</v>
      </c>
      <c r="B22" s="263" t="s">
        <v>852</v>
      </c>
      <c r="C22" s="319"/>
      <c r="D22" s="294"/>
      <c r="E22" s="263" t="s">
        <v>853</v>
      </c>
      <c r="F22" s="319"/>
      <c r="G22" s="294"/>
      <c r="H22" s="331">
        <v>99700</v>
      </c>
      <c r="I22" s="332"/>
      <c r="J22" s="118"/>
      <c r="K22" s="118"/>
      <c r="L22" s="118"/>
    </row>
    <row r="23" spans="1:12" ht="29.25" customHeight="1" x14ac:dyDescent="0.25">
      <c r="A23" s="190" t="s">
        <v>854</v>
      </c>
      <c r="B23" s="263" t="s">
        <v>855</v>
      </c>
      <c r="C23" s="319"/>
      <c r="D23" s="294"/>
      <c r="E23" s="263" t="s">
        <v>856</v>
      </c>
      <c r="F23" s="319"/>
      <c r="G23" s="294"/>
      <c r="H23" s="331">
        <v>36350</v>
      </c>
      <c r="I23" s="332"/>
      <c r="J23" s="118"/>
      <c r="K23" s="118"/>
      <c r="L23" s="118"/>
    </row>
    <row r="24" spans="1:12" ht="30.75" customHeight="1" x14ac:dyDescent="0.25">
      <c r="A24" s="190" t="s">
        <v>843</v>
      </c>
      <c r="B24" s="349" t="s">
        <v>857</v>
      </c>
      <c r="C24" s="264"/>
      <c r="D24" s="265"/>
      <c r="E24" s="263" t="s">
        <v>858</v>
      </c>
      <c r="F24" s="319"/>
      <c r="G24" s="294"/>
      <c r="H24" s="331">
        <v>504</v>
      </c>
      <c r="I24" s="332"/>
      <c r="J24" s="118"/>
      <c r="K24" s="118"/>
      <c r="L24" s="118"/>
    </row>
    <row r="25" spans="1:12" ht="14.25" customHeight="1" x14ac:dyDescent="0.25">
      <c r="A25" s="190"/>
      <c r="B25" s="349"/>
      <c r="C25" s="264"/>
      <c r="D25" s="265"/>
      <c r="E25" s="263"/>
      <c r="F25" s="319"/>
      <c r="G25" s="294"/>
      <c r="H25" s="331"/>
      <c r="I25" s="332"/>
      <c r="J25" s="118"/>
      <c r="K25" s="118"/>
      <c r="L25" s="118"/>
    </row>
    <row r="26" spans="1:12" ht="14.25" customHeight="1" x14ac:dyDescent="0.25">
      <c r="A26" s="190"/>
      <c r="B26" s="349"/>
      <c r="C26" s="264"/>
      <c r="D26" s="265"/>
      <c r="E26" s="263"/>
      <c r="F26" s="319"/>
      <c r="G26" s="294"/>
      <c r="H26" s="331"/>
      <c r="I26" s="332"/>
      <c r="J26" s="118"/>
      <c r="K26" s="118"/>
      <c r="L26" s="118"/>
    </row>
    <row r="27" spans="1:12" ht="14.25" customHeight="1" x14ac:dyDescent="0.25">
      <c r="A27" s="190"/>
      <c r="B27" s="349"/>
      <c r="C27" s="264"/>
      <c r="D27" s="265"/>
      <c r="E27" s="263"/>
      <c r="F27" s="319"/>
      <c r="G27" s="294"/>
      <c r="H27" s="331"/>
      <c r="I27" s="332"/>
      <c r="J27" s="118"/>
      <c r="K27" s="118"/>
      <c r="L27" s="118"/>
    </row>
    <row r="28" spans="1:12" ht="14.25" customHeight="1" x14ac:dyDescent="0.25">
      <c r="A28" s="190"/>
      <c r="B28" s="349"/>
      <c r="C28" s="264"/>
      <c r="D28" s="265"/>
      <c r="E28" s="263"/>
      <c r="F28" s="319"/>
      <c r="G28" s="294"/>
      <c r="H28" s="331"/>
      <c r="I28" s="332"/>
      <c r="J28" s="118"/>
      <c r="K28" s="118"/>
      <c r="L28" s="118"/>
    </row>
    <row r="29" spans="1:12" ht="15.75" thickBot="1" x14ac:dyDescent="0.3">
      <c r="A29" s="192"/>
      <c r="B29" s="267"/>
      <c r="C29" s="267"/>
      <c r="D29" s="268"/>
      <c r="E29" s="266"/>
      <c r="F29" s="267"/>
      <c r="G29" s="268"/>
      <c r="H29" s="567"/>
      <c r="I29" s="569"/>
      <c r="J29" s="142"/>
      <c r="K29" s="142"/>
      <c r="L29" s="142"/>
    </row>
    <row r="30" spans="1:12" ht="15.75" thickBot="1" x14ac:dyDescent="0.3">
      <c r="A30" s="85"/>
      <c r="B30" s="270"/>
      <c r="C30" s="270"/>
      <c r="D30" s="271"/>
      <c r="E30" s="272" t="s">
        <v>116</v>
      </c>
      <c r="F30" s="273"/>
      <c r="G30" s="391"/>
      <c r="H30" s="478">
        <f>SUM(H16:I29)</f>
        <v>218332</v>
      </c>
      <c r="I30" s="391"/>
    </row>
    <row r="31" spans="1:12" x14ac:dyDescent="0.25">
      <c r="B31" s="642"/>
      <c r="C31" s="642"/>
      <c r="D31" s="642"/>
      <c r="E31" s="642"/>
      <c r="F31" s="642"/>
      <c r="G31" s="642"/>
      <c r="H31" s="642"/>
      <c r="I31" s="642"/>
      <c r="J31" s="650"/>
      <c r="K31" s="651"/>
      <c r="L31" s="651"/>
    </row>
    <row r="32" spans="1:12" ht="15.75" thickBot="1" x14ac:dyDescent="0.3"/>
    <row r="33" spans="1:12" ht="16.5" thickBot="1" x14ac:dyDescent="0.3">
      <c r="A33" s="136" t="s">
        <v>112</v>
      </c>
      <c r="B33" s="300"/>
      <c r="C33" s="300"/>
      <c r="D33" s="301"/>
      <c r="E33" s="299" t="s">
        <v>114</v>
      </c>
      <c r="F33" s="300"/>
      <c r="G33" s="301"/>
      <c r="H33" s="527" t="s">
        <v>113</v>
      </c>
      <c r="I33" s="528"/>
      <c r="J33" s="652"/>
      <c r="K33" s="652"/>
      <c r="L33" s="652"/>
    </row>
    <row r="34" spans="1:12" s="115" customFormat="1" ht="44.25" customHeight="1" x14ac:dyDescent="0.25">
      <c r="A34" s="181" t="s">
        <v>367</v>
      </c>
      <c r="B34" s="415"/>
      <c r="C34" s="415"/>
      <c r="D34" s="653"/>
      <c r="E34" s="654" t="s">
        <v>368</v>
      </c>
      <c r="F34" s="646"/>
      <c r="G34" s="647"/>
      <c r="H34" s="648">
        <v>1150</v>
      </c>
      <c r="I34" s="649"/>
      <c r="J34" s="655"/>
      <c r="K34" s="655"/>
      <c r="L34" s="655"/>
    </row>
    <row r="35" spans="1:12" x14ac:dyDescent="0.25">
      <c r="A35" s="156" t="s">
        <v>399</v>
      </c>
      <c r="B35" s="351"/>
      <c r="C35" s="351"/>
      <c r="D35" s="352"/>
      <c r="E35" s="284" t="s">
        <v>394</v>
      </c>
      <c r="F35" s="321"/>
      <c r="G35" s="285"/>
      <c r="H35" s="311">
        <f>2100*2</f>
        <v>4200</v>
      </c>
      <c r="I35" s="312"/>
      <c r="J35" s="118"/>
      <c r="K35" s="118"/>
      <c r="L35" s="118"/>
    </row>
    <row r="36" spans="1:12" ht="73.5" customHeight="1" x14ac:dyDescent="0.25">
      <c r="A36" s="162" t="s">
        <v>449</v>
      </c>
      <c r="B36" s="277"/>
      <c r="C36" s="277"/>
      <c r="D36" s="278"/>
      <c r="E36" s="276" t="s">
        <v>450</v>
      </c>
      <c r="F36" s="277"/>
      <c r="G36" s="278"/>
      <c r="H36" s="311">
        <v>7500</v>
      </c>
      <c r="I36" s="312"/>
      <c r="J36" s="118"/>
      <c r="K36" s="118"/>
      <c r="L36" s="118"/>
    </row>
    <row r="37" spans="1:12" ht="30.75" customHeight="1" x14ac:dyDescent="0.25">
      <c r="A37" s="178" t="s">
        <v>503</v>
      </c>
      <c r="B37" s="277"/>
      <c r="C37" s="277"/>
      <c r="D37" s="278"/>
      <c r="E37" s="284" t="s">
        <v>504</v>
      </c>
      <c r="F37" s="321"/>
      <c r="G37" s="285"/>
      <c r="H37" s="311">
        <v>6800</v>
      </c>
      <c r="I37" s="312"/>
      <c r="J37" s="118"/>
      <c r="K37" s="118"/>
      <c r="L37" s="118"/>
    </row>
    <row r="38" spans="1:12" ht="100.5" customHeight="1" x14ac:dyDescent="0.25">
      <c r="A38" s="163" t="s">
        <v>503</v>
      </c>
      <c r="B38" s="351"/>
      <c r="C38" s="351"/>
      <c r="D38" s="352"/>
      <c r="E38" s="377" t="s">
        <v>530</v>
      </c>
      <c r="F38" s="370"/>
      <c r="G38" s="413"/>
      <c r="H38" s="588">
        <v>2000</v>
      </c>
      <c r="I38" s="589"/>
      <c r="J38" s="118"/>
      <c r="K38" s="118"/>
      <c r="L38" s="118"/>
    </row>
    <row r="39" spans="1:12" ht="133.5" customHeight="1" x14ac:dyDescent="0.25">
      <c r="A39" s="163" t="s">
        <v>449</v>
      </c>
      <c r="B39" s="319"/>
      <c r="C39" s="319"/>
      <c r="D39" s="294"/>
      <c r="E39" s="263" t="s">
        <v>550</v>
      </c>
      <c r="F39" s="319"/>
      <c r="G39" s="294"/>
      <c r="H39" s="311">
        <v>8950</v>
      </c>
      <c r="I39" s="312"/>
      <c r="J39" s="118"/>
      <c r="K39" s="118"/>
      <c r="L39" s="118"/>
    </row>
    <row r="40" spans="1:12" ht="30" customHeight="1" x14ac:dyDescent="0.25">
      <c r="A40" s="163" t="s">
        <v>449</v>
      </c>
      <c r="B40" s="319"/>
      <c r="C40" s="319"/>
      <c r="D40" s="294"/>
      <c r="E40" s="349" t="s">
        <v>587</v>
      </c>
      <c r="F40" s="264"/>
      <c r="G40" s="265"/>
      <c r="H40" s="311">
        <v>1150</v>
      </c>
      <c r="I40" s="312"/>
      <c r="J40" s="118"/>
      <c r="K40" s="118"/>
      <c r="L40" s="118"/>
    </row>
    <row r="41" spans="1:12" ht="46.5" customHeight="1" x14ac:dyDescent="0.25">
      <c r="A41" s="163" t="s">
        <v>503</v>
      </c>
      <c r="B41" s="289"/>
      <c r="C41" s="289"/>
      <c r="D41" s="290"/>
      <c r="E41" s="263" t="s">
        <v>821</v>
      </c>
      <c r="F41" s="319"/>
      <c r="G41" s="294"/>
      <c r="H41" s="311">
        <v>2000</v>
      </c>
      <c r="I41" s="312"/>
      <c r="J41" s="118"/>
      <c r="K41" s="118"/>
      <c r="L41" s="118"/>
    </row>
    <row r="42" spans="1:12" ht="30" customHeight="1" x14ac:dyDescent="0.25">
      <c r="A42" s="163" t="s">
        <v>449</v>
      </c>
      <c r="B42" s="289"/>
      <c r="C42" s="289"/>
      <c r="D42" s="290"/>
      <c r="E42" s="263" t="s">
        <v>822</v>
      </c>
      <c r="F42" s="319"/>
      <c r="G42" s="294"/>
      <c r="H42" s="311">
        <v>1550</v>
      </c>
      <c r="I42" s="312"/>
      <c r="J42" s="118"/>
      <c r="K42" s="118"/>
      <c r="L42" s="118"/>
    </row>
    <row r="43" spans="1:12" x14ac:dyDescent="0.25">
      <c r="A43" s="163"/>
      <c r="B43" s="267"/>
      <c r="C43" s="267"/>
      <c r="D43" s="268"/>
      <c r="E43" s="349"/>
      <c r="F43" s="264"/>
      <c r="G43" s="265"/>
      <c r="H43" s="311"/>
      <c r="I43" s="312"/>
      <c r="J43" s="118"/>
      <c r="K43" s="118"/>
      <c r="L43" s="118"/>
    </row>
    <row r="44" spans="1:12" x14ac:dyDescent="0.25">
      <c r="A44" s="163"/>
      <c r="B44" s="267"/>
      <c r="C44" s="267"/>
      <c r="D44" s="268"/>
      <c r="E44" s="349"/>
      <c r="F44" s="264"/>
      <c r="G44" s="265"/>
      <c r="H44" s="311"/>
      <c r="I44" s="312"/>
      <c r="J44" s="118"/>
      <c r="K44" s="118"/>
      <c r="L44" s="118"/>
    </row>
    <row r="45" spans="1:12" x14ac:dyDescent="0.25">
      <c r="A45" s="163"/>
      <c r="B45" s="319"/>
      <c r="C45" s="319"/>
      <c r="D45" s="294"/>
      <c r="E45" s="349"/>
      <c r="F45" s="264"/>
      <c r="G45" s="265"/>
      <c r="H45" s="311"/>
      <c r="I45" s="312"/>
      <c r="J45" s="118"/>
      <c r="K45" s="118"/>
      <c r="L45" s="118"/>
    </row>
    <row r="46" spans="1:12" x14ac:dyDescent="0.25">
      <c r="A46" s="162"/>
      <c r="B46" s="264"/>
      <c r="C46" s="264"/>
      <c r="D46" s="265"/>
      <c r="E46" s="263"/>
      <c r="F46" s="319"/>
      <c r="G46" s="294"/>
      <c r="H46" s="531"/>
      <c r="I46" s="532"/>
      <c r="J46" s="118"/>
      <c r="K46" s="118"/>
      <c r="L46" s="118"/>
    </row>
    <row r="47" spans="1:12" ht="15.75" thickBot="1" x14ac:dyDescent="0.3">
      <c r="A47" s="156"/>
      <c r="B47" s="267"/>
      <c r="C47" s="267"/>
      <c r="D47" s="268"/>
      <c r="E47" s="266"/>
      <c r="F47" s="267"/>
      <c r="G47" s="268"/>
      <c r="H47" s="567"/>
      <c r="I47" s="569"/>
      <c r="J47" s="142"/>
      <c r="K47" s="142"/>
      <c r="L47" s="142"/>
    </row>
    <row r="48" spans="1:12" ht="15.75" thickBot="1" x14ac:dyDescent="0.3">
      <c r="A48" s="85"/>
      <c r="B48" s="500"/>
      <c r="C48" s="500"/>
      <c r="D48" s="501"/>
      <c r="E48" s="272" t="s">
        <v>116</v>
      </c>
      <c r="F48" s="273"/>
      <c r="G48" s="391"/>
      <c r="H48" s="478">
        <f>SUM(H34:I47)</f>
        <v>35300</v>
      </c>
      <c r="I48" s="391"/>
    </row>
    <row r="50" spans="2:5" x14ac:dyDescent="0.25">
      <c r="B50" s="182"/>
      <c r="C50" s="182"/>
      <c r="D50" s="182"/>
      <c r="E50" s="182"/>
    </row>
  </sheetData>
  <mergeCells count="101">
    <mergeCell ref="E45:G45"/>
    <mergeCell ref="B42:D42"/>
    <mergeCell ref="B43:D43"/>
    <mergeCell ref="B44:D44"/>
    <mergeCell ref="H23:I23"/>
    <mergeCell ref="H28:I28"/>
    <mergeCell ref="B24:D24"/>
    <mergeCell ref="B25:D25"/>
    <mergeCell ref="B26:D26"/>
    <mergeCell ref="B27:D27"/>
    <mergeCell ref="E24:G24"/>
    <mergeCell ref="E25:G25"/>
    <mergeCell ref="E26:G26"/>
    <mergeCell ref="E27:G27"/>
    <mergeCell ref="H24:I24"/>
    <mergeCell ref="H25:I25"/>
    <mergeCell ref="H26:I26"/>
    <mergeCell ref="H27:I27"/>
    <mergeCell ref="E42:G42"/>
    <mergeCell ref="E43:G43"/>
    <mergeCell ref="E44:G44"/>
    <mergeCell ref="H42:I42"/>
    <mergeCell ref="H43:I43"/>
    <mergeCell ref="H44:I44"/>
    <mergeCell ref="J33:L33"/>
    <mergeCell ref="B34:D34"/>
    <mergeCell ref="E34:G34"/>
    <mergeCell ref="H34:I34"/>
    <mergeCell ref="J34:L34"/>
    <mergeCell ref="B38:D38"/>
    <mergeCell ref="E38:G38"/>
    <mergeCell ref="H38:I38"/>
    <mergeCell ref="B48:D48"/>
    <mergeCell ref="E48:G48"/>
    <mergeCell ref="H48:I48"/>
    <mergeCell ref="B46:D46"/>
    <mergeCell ref="E46:G46"/>
    <mergeCell ref="H46:I46"/>
    <mergeCell ref="B47:D47"/>
    <mergeCell ref="E47:G47"/>
    <mergeCell ref="H47:I47"/>
    <mergeCell ref="H45:I45"/>
    <mergeCell ref="B39:D39"/>
    <mergeCell ref="B40:D40"/>
    <mergeCell ref="B45:D45"/>
    <mergeCell ref="B41:D41"/>
    <mergeCell ref="E39:G39"/>
    <mergeCell ref="E40:G40"/>
    <mergeCell ref="J31:L31"/>
    <mergeCell ref="B21:D21"/>
    <mergeCell ref="E21:G21"/>
    <mergeCell ref="H21:I21"/>
    <mergeCell ref="H30:I30"/>
    <mergeCell ref="H29:I29"/>
    <mergeCell ref="E29:G29"/>
    <mergeCell ref="B29:D29"/>
    <mergeCell ref="E30:G30"/>
    <mergeCell ref="B22:D22"/>
    <mergeCell ref="B23:D23"/>
    <mergeCell ref="B28:D28"/>
    <mergeCell ref="E22:G22"/>
    <mergeCell ref="E23:G23"/>
    <mergeCell ref="E28:G28"/>
    <mergeCell ref="H22:I22"/>
    <mergeCell ref="B30:D30"/>
    <mergeCell ref="E15:G15"/>
    <mergeCell ref="H15:I15"/>
    <mergeCell ref="B16:D16"/>
    <mergeCell ref="E16:G16"/>
    <mergeCell ref="H16:I16"/>
    <mergeCell ref="B15:D15"/>
    <mergeCell ref="B17:D17"/>
    <mergeCell ref="E17:G17"/>
    <mergeCell ref="H17:I17"/>
    <mergeCell ref="B18:D18"/>
    <mergeCell ref="B20:D20"/>
    <mergeCell ref="E18:G18"/>
    <mergeCell ref="E20:G20"/>
    <mergeCell ref="H18:I18"/>
    <mergeCell ref="H20:I20"/>
    <mergeCell ref="B19:D19"/>
    <mergeCell ref="E19:G19"/>
    <mergeCell ref="H19:I19"/>
    <mergeCell ref="H39:I39"/>
    <mergeCell ref="H40:I40"/>
    <mergeCell ref="H41:I41"/>
    <mergeCell ref="B31:F31"/>
    <mergeCell ref="G31:I31"/>
    <mergeCell ref="B33:D33"/>
    <mergeCell ref="E33:G33"/>
    <mergeCell ref="H33:I33"/>
    <mergeCell ref="B35:D35"/>
    <mergeCell ref="E35:G35"/>
    <mergeCell ref="H35:I35"/>
    <mergeCell ref="B36:D36"/>
    <mergeCell ref="E36:G36"/>
    <mergeCell ref="H36:I36"/>
    <mergeCell ref="B37:D37"/>
    <mergeCell ref="E37:G37"/>
    <mergeCell ref="H37:I37"/>
    <mergeCell ref="E41:G4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670B2-B6EA-4EF3-B452-1924F951E547}">
  <dimension ref="A1:R39"/>
  <sheetViews>
    <sheetView topLeftCell="A10" zoomScale="90" zoomScaleNormal="90" workbookViewId="0">
      <selection activeCell="N30" sqref="N30"/>
    </sheetView>
  </sheetViews>
  <sheetFormatPr defaultRowHeight="15" x14ac:dyDescent="0.25"/>
  <cols>
    <col min="1" max="1" width="46.85546875" customWidth="1"/>
    <col min="2" max="2" width="18.28515625" customWidth="1"/>
    <col min="3" max="3" width="17.85546875" customWidth="1"/>
    <col min="4" max="4" width="31.5703125" customWidth="1"/>
    <col min="5" max="8" width="10.28515625" customWidth="1"/>
    <col min="9" max="9" width="11.28515625" customWidth="1"/>
    <col min="10" max="11" width="10.28515625" customWidth="1"/>
    <col min="12" max="12" width="9.28515625" bestFit="1" customWidth="1"/>
    <col min="13" max="13" width="10.28515625" bestFit="1" customWidth="1"/>
    <col min="14" max="14" width="9.28515625" bestFit="1" customWidth="1"/>
    <col min="15" max="15" width="11.7109375" customWidth="1"/>
    <col min="16" max="17" width="11.5703125" customWidth="1"/>
    <col min="18" max="18" width="15.7109375" customWidth="1"/>
  </cols>
  <sheetData>
    <row r="1" spans="1:18" ht="72.75" customHeight="1" thickBot="1" x14ac:dyDescent="0.3">
      <c r="A1" s="1"/>
      <c r="B1" s="4" t="s">
        <v>124</v>
      </c>
      <c r="C1" s="5" t="s">
        <v>2</v>
      </c>
      <c r="D1" s="6" t="s">
        <v>3</v>
      </c>
      <c r="E1" s="204" t="s">
        <v>4</v>
      </c>
      <c r="F1" s="65" t="s">
        <v>5</v>
      </c>
      <c r="G1" s="205" t="s">
        <v>6</v>
      </c>
      <c r="H1" s="65" t="s">
        <v>7</v>
      </c>
      <c r="I1" s="205" t="s">
        <v>8</v>
      </c>
      <c r="J1" s="65" t="s">
        <v>9</v>
      </c>
      <c r="K1" s="205" t="s">
        <v>10</v>
      </c>
      <c r="L1" s="65" t="s">
        <v>11</v>
      </c>
      <c r="M1" s="205" t="s">
        <v>12</v>
      </c>
      <c r="N1" s="65" t="s">
        <v>13</v>
      </c>
      <c r="O1" s="205" t="s">
        <v>14</v>
      </c>
      <c r="P1" s="65" t="s">
        <v>15</v>
      </c>
      <c r="Q1" s="66"/>
      <c r="R1" s="10" t="s">
        <v>16</v>
      </c>
    </row>
    <row r="2" spans="1:18" ht="16.5" thickBot="1" x14ac:dyDescent="0.3">
      <c r="A2" s="60" t="s">
        <v>72</v>
      </c>
      <c r="B2" s="61"/>
      <c r="C2" s="91" t="s">
        <v>17</v>
      </c>
      <c r="D2" s="92"/>
      <c r="E2" s="106"/>
      <c r="F2" s="57"/>
      <c r="G2" s="88"/>
      <c r="H2" s="57"/>
      <c r="I2" s="88"/>
      <c r="J2" s="57"/>
      <c r="K2" s="88"/>
      <c r="L2" s="57"/>
      <c r="M2" s="12"/>
      <c r="N2" s="88"/>
      <c r="O2" s="57"/>
      <c r="P2" s="12"/>
      <c r="Q2" s="57"/>
      <c r="R2" s="57"/>
    </row>
    <row r="3" spans="1:18" ht="15.75" x14ac:dyDescent="0.25">
      <c r="A3" s="94" t="s">
        <v>29</v>
      </c>
      <c r="B3" s="59">
        <v>29130</v>
      </c>
      <c r="C3" s="89">
        <f>E3+F3+G3+H3+I3+J3+K3+L3+M3+N3+O3+P3</f>
        <v>0</v>
      </c>
      <c r="D3" s="90">
        <f>B3-C3</f>
        <v>29130</v>
      </c>
      <c r="E3" s="53"/>
      <c r="F3" s="53"/>
      <c r="G3" s="53"/>
      <c r="H3" s="53"/>
      <c r="I3" s="53"/>
      <c r="J3" s="53"/>
      <c r="K3" s="53"/>
      <c r="L3" s="53"/>
      <c r="M3" s="53"/>
      <c r="N3" s="53"/>
      <c r="O3" s="53"/>
      <c r="P3" s="53"/>
      <c r="Q3" s="31"/>
      <c r="R3" s="31">
        <f>SUM(E3:P3)</f>
        <v>0</v>
      </c>
    </row>
    <row r="4" spans="1:18" ht="15.75" x14ac:dyDescent="0.25">
      <c r="A4" s="94" t="s">
        <v>663</v>
      </c>
      <c r="B4" s="59"/>
      <c r="C4" s="89">
        <f t="shared" ref="C4:C9" si="0">E4+F4+G4+H4+I4+J4+K4+L4+M4+N4+O4+P4</f>
        <v>22800</v>
      </c>
      <c r="D4" s="90">
        <f t="shared" ref="D4:D9" si="1">B4-C4</f>
        <v>-22800</v>
      </c>
      <c r="E4" s="53"/>
      <c r="F4" s="53"/>
      <c r="G4" s="53"/>
      <c r="H4" s="53"/>
      <c r="I4" s="53"/>
      <c r="J4" s="53"/>
      <c r="K4" s="53">
        <f>8400+8400</f>
        <v>16800</v>
      </c>
      <c r="L4" s="53"/>
      <c r="M4" s="53">
        <f>6000</f>
        <v>6000</v>
      </c>
      <c r="N4" s="53"/>
      <c r="O4" s="53"/>
      <c r="P4" s="53"/>
      <c r="Q4" s="31"/>
      <c r="R4" s="31">
        <f>SUM(E4:P4)</f>
        <v>22800</v>
      </c>
    </row>
    <row r="5" spans="1:18" ht="15.75" x14ac:dyDescent="0.25">
      <c r="A5" s="94" t="s">
        <v>103</v>
      </c>
      <c r="B5" s="59"/>
      <c r="C5" s="89">
        <f t="shared" si="0"/>
        <v>23850</v>
      </c>
      <c r="D5" s="90">
        <f t="shared" si="1"/>
        <v>-23850</v>
      </c>
      <c r="E5" s="53"/>
      <c r="F5" s="53">
        <f>6300</f>
        <v>6300</v>
      </c>
      <c r="G5" s="53"/>
      <c r="H5" s="53"/>
      <c r="I5" s="53">
        <f>600+800+800</f>
        <v>2200</v>
      </c>
      <c r="J5" s="53"/>
      <c r="K5" s="53">
        <f>4150+4150</f>
        <v>8300</v>
      </c>
      <c r="L5" s="53"/>
      <c r="M5" s="53">
        <f>5200+1850</f>
        <v>7050</v>
      </c>
      <c r="N5" s="53"/>
      <c r="O5" s="53"/>
      <c r="P5" s="53"/>
      <c r="Q5" s="31"/>
      <c r="R5" s="31">
        <f t="shared" ref="R5:R8" si="2">SUM(E5:P5)</f>
        <v>23850</v>
      </c>
    </row>
    <row r="6" spans="1:18" ht="15.75" x14ac:dyDescent="0.25">
      <c r="A6" s="20" t="s">
        <v>34</v>
      </c>
      <c r="B6" s="16">
        <v>6700</v>
      </c>
      <c r="C6" s="89">
        <f t="shared" si="0"/>
        <v>63492</v>
      </c>
      <c r="D6" s="90">
        <f t="shared" si="1"/>
        <v>-56792</v>
      </c>
      <c r="E6" s="19"/>
      <c r="F6" s="19"/>
      <c r="G6" s="19"/>
      <c r="H6" s="19"/>
      <c r="I6" s="19"/>
      <c r="J6" s="19">
        <f>49380</f>
        <v>49380</v>
      </c>
      <c r="K6" s="19"/>
      <c r="L6" s="19"/>
      <c r="M6" s="19">
        <v>14112</v>
      </c>
      <c r="N6" s="19"/>
      <c r="O6" s="19"/>
      <c r="P6" s="19"/>
      <c r="Q6" s="31"/>
      <c r="R6" s="31">
        <f>SUM(E6:P6)</f>
        <v>63492</v>
      </c>
    </row>
    <row r="7" spans="1:18" ht="15.75" x14ac:dyDescent="0.25">
      <c r="A7" s="20" t="s">
        <v>804</v>
      </c>
      <c r="B7" s="16"/>
      <c r="C7" s="89">
        <f t="shared" si="0"/>
        <v>29295.059999999998</v>
      </c>
      <c r="D7" s="90">
        <f t="shared" si="1"/>
        <v>-29295.059999999998</v>
      </c>
      <c r="E7" s="19">
        <f>4901.75+5497.24</f>
        <v>10398.99</v>
      </c>
      <c r="F7" s="19">
        <f>4965.95+5020.55</f>
        <v>9986.5</v>
      </c>
      <c r="G7" s="19">
        <f>5388.57</f>
        <v>5388.57</v>
      </c>
      <c r="H7" s="19">
        <f>2263.5+1257.5</f>
        <v>3521</v>
      </c>
      <c r="I7" s="19"/>
      <c r="J7" s="19"/>
      <c r="K7" s="19"/>
      <c r="L7" s="19"/>
      <c r="M7" s="19"/>
      <c r="N7" s="19"/>
      <c r="O7" s="19"/>
      <c r="P7" s="19"/>
      <c r="Q7" s="31"/>
      <c r="R7" s="31">
        <f>SUM(E7:P7)</f>
        <v>29295.059999999998</v>
      </c>
    </row>
    <row r="8" spans="1:18" ht="15.75" x14ac:dyDescent="0.25">
      <c r="A8" s="20" t="s">
        <v>73</v>
      </c>
      <c r="B8" s="16">
        <v>40000</v>
      </c>
      <c r="C8" s="89">
        <f t="shared" si="0"/>
        <v>0</v>
      </c>
      <c r="D8" s="90">
        <f t="shared" si="1"/>
        <v>40000</v>
      </c>
      <c r="E8" s="19"/>
      <c r="F8" s="19"/>
      <c r="G8" s="19"/>
      <c r="H8" s="19"/>
      <c r="I8" s="19"/>
      <c r="J8" s="19"/>
      <c r="K8" s="19"/>
      <c r="L8" s="19"/>
      <c r="M8" s="19"/>
      <c r="N8" s="19"/>
      <c r="O8" s="19"/>
      <c r="P8" s="19"/>
      <c r="Q8" s="31"/>
      <c r="R8" s="31">
        <f t="shared" si="2"/>
        <v>0</v>
      </c>
    </row>
    <row r="9" spans="1:18" ht="15.75" x14ac:dyDescent="0.25">
      <c r="A9" s="13" t="s">
        <v>32</v>
      </c>
      <c r="B9" s="16">
        <v>74170</v>
      </c>
      <c r="C9" s="89">
        <f t="shared" si="0"/>
        <v>0</v>
      </c>
      <c r="D9" s="90">
        <f t="shared" si="1"/>
        <v>74170</v>
      </c>
      <c r="E9" s="19"/>
      <c r="F9" s="19"/>
      <c r="G9" s="19"/>
      <c r="H9" s="19"/>
      <c r="I9" s="19"/>
      <c r="J9" s="19"/>
      <c r="K9" s="19"/>
      <c r="L9" s="19"/>
      <c r="M9" s="19"/>
      <c r="N9" s="19"/>
      <c r="O9" s="19"/>
      <c r="P9" s="19"/>
      <c r="Q9" s="31"/>
      <c r="R9" s="31">
        <f t="shared" ref="R9" si="3">SUM(E9:P9)</f>
        <v>0</v>
      </c>
    </row>
    <row r="10" spans="1:18" ht="16.5" thickBot="1" x14ac:dyDescent="0.3">
      <c r="A10" s="25"/>
      <c r="B10" s="27">
        <f t="shared" ref="B10:P10" si="4">SUM(B3:B9)</f>
        <v>150000</v>
      </c>
      <c r="C10" s="27">
        <f t="shared" si="4"/>
        <v>139437.06</v>
      </c>
      <c r="D10" s="27">
        <f t="shared" si="4"/>
        <v>10562.940000000002</v>
      </c>
      <c r="E10" s="27">
        <f t="shared" si="4"/>
        <v>10398.99</v>
      </c>
      <c r="F10" s="27">
        <f t="shared" si="4"/>
        <v>16286.5</v>
      </c>
      <c r="G10" s="27">
        <f t="shared" si="4"/>
        <v>5388.57</v>
      </c>
      <c r="H10" s="27">
        <f t="shared" si="4"/>
        <v>3521</v>
      </c>
      <c r="I10" s="27">
        <f t="shared" si="4"/>
        <v>2200</v>
      </c>
      <c r="J10" s="27">
        <f t="shared" si="4"/>
        <v>49380</v>
      </c>
      <c r="K10" s="27">
        <f t="shared" si="4"/>
        <v>25100</v>
      </c>
      <c r="L10" s="27">
        <f t="shared" si="4"/>
        <v>0</v>
      </c>
      <c r="M10" s="27">
        <f t="shared" si="4"/>
        <v>27162</v>
      </c>
      <c r="N10" s="27">
        <f t="shared" si="4"/>
        <v>0</v>
      </c>
      <c r="O10" s="27">
        <f t="shared" si="4"/>
        <v>0</v>
      </c>
      <c r="P10" s="27">
        <f t="shared" si="4"/>
        <v>0</v>
      </c>
      <c r="Q10" s="26" t="s">
        <v>25</v>
      </c>
      <c r="R10" s="67">
        <f>SUM(R3:R9)</f>
        <v>139437.06</v>
      </c>
    </row>
    <row r="12" spans="1:18" ht="15.75" thickBot="1" x14ac:dyDescent="0.3"/>
    <row r="13" spans="1:18" ht="16.5" thickBot="1" x14ac:dyDescent="0.3">
      <c r="A13" s="136" t="s">
        <v>175</v>
      </c>
      <c r="B13" s="300"/>
      <c r="C13" s="300"/>
      <c r="D13" s="301"/>
      <c r="E13" s="299" t="s">
        <v>114</v>
      </c>
      <c r="F13" s="300"/>
      <c r="G13" s="301"/>
      <c r="H13" s="137" t="s">
        <v>113</v>
      </c>
      <c r="I13" s="138"/>
    </row>
    <row r="14" spans="1:18" ht="30" customHeight="1" x14ac:dyDescent="0.25">
      <c r="A14" s="163" t="s">
        <v>617</v>
      </c>
      <c r="B14" s="351"/>
      <c r="C14" s="351"/>
      <c r="D14" s="352"/>
      <c r="E14" s="350" t="s">
        <v>618</v>
      </c>
      <c r="F14" s="370"/>
      <c r="G14" s="413"/>
      <c r="H14" s="588">
        <v>49380</v>
      </c>
      <c r="I14" s="589"/>
    </row>
    <row r="15" spans="1:18" ht="31.5" customHeight="1" x14ac:dyDescent="0.25">
      <c r="A15" s="163" t="s">
        <v>761</v>
      </c>
      <c r="B15" s="351"/>
      <c r="C15" s="351"/>
      <c r="D15" s="352"/>
      <c r="E15" s="350" t="s">
        <v>762</v>
      </c>
      <c r="F15" s="370"/>
      <c r="G15" s="413"/>
      <c r="H15" s="588">
        <v>14112</v>
      </c>
      <c r="I15" s="589"/>
    </row>
    <row r="16" spans="1:18" ht="15.75" customHeight="1" x14ac:dyDescent="0.25">
      <c r="A16" s="133"/>
      <c r="B16" s="351"/>
      <c r="C16" s="351"/>
      <c r="D16" s="352"/>
      <c r="E16" s="377"/>
      <c r="F16" s="370"/>
      <c r="G16" s="413"/>
      <c r="H16" s="588"/>
      <c r="I16" s="589"/>
    </row>
    <row r="17" spans="1:11" x14ac:dyDescent="0.25">
      <c r="A17" s="133"/>
      <c r="B17" s="351"/>
      <c r="C17" s="351"/>
      <c r="D17" s="352"/>
      <c r="E17" s="377"/>
      <c r="F17" s="370"/>
      <c r="G17" s="413"/>
      <c r="H17" s="588"/>
      <c r="I17" s="589"/>
    </row>
    <row r="18" spans="1:11" x14ac:dyDescent="0.25">
      <c r="A18" s="126"/>
      <c r="B18" s="277"/>
      <c r="C18" s="277"/>
      <c r="D18" s="278"/>
      <c r="E18" s="284"/>
      <c r="F18" s="321"/>
      <c r="G18" s="285"/>
      <c r="H18" s="311"/>
      <c r="I18" s="312"/>
    </row>
    <row r="19" spans="1:11" ht="15.75" thickBot="1" x14ac:dyDescent="0.3">
      <c r="A19" s="133"/>
      <c r="B19" s="351"/>
      <c r="C19" s="351"/>
      <c r="D19" s="352"/>
      <c r="E19" s="377"/>
      <c r="F19" s="370"/>
      <c r="G19" s="413"/>
      <c r="H19" s="588"/>
      <c r="I19" s="589"/>
    </row>
    <row r="20" spans="1:11" ht="15.75" thickBot="1" x14ac:dyDescent="0.3">
      <c r="A20" s="85"/>
      <c r="B20" s="270"/>
      <c r="C20" s="270"/>
      <c r="D20" s="271"/>
      <c r="E20" s="272" t="s">
        <v>116</v>
      </c>
      <c r="F20" s="273"/>
      <c r="G20" s="391"/>
      <c r="H20" s="274">
        <f>SUM(H14:J19)</f>
        <v>63492</v>
      </c>
      <c r="I20" s="275"/>
    </row>
    <row r="22" spans="1:11" ht="15.75" thickBot="1" x14ac:dyDescent="0.3">
      <c r="K22" s="97"/>
    </row>
    <row r="23" spans="1:11" ht="16.5" thickBot="1" x14ac:dyDescent="0.3">
      <c r="A23" s="136" t="s">
        <v>112</v>
      </c>
      <c r="B23" s="300"/>
      <c r="C23" s="300"/>
      <c r="D23" s="301"/>
      <c r="E23" s="299" t="s">
        <v>114</v>
      </c>
      <c r="F23" s="300"/>
      <c r="G23" s="301"/>
      <c r="H23" s="137" t="s">
        <v>113</v>
      </c>
      <c r="I23" s="138"/>
    </row>
    <row r="24" spans="1:11" ht="44.25" customHeight="1" x14ac:dyDescent="0.25">
      <c r="A24" s="179" t="s">
        <v>398</v>
      </c>
      <c r="B24" s="351"/>
      <c r="C24" s="351"/>
      <c r="D24" s="352"/>
      <c r="E24" s="377" t="s">
        <v>394</v>
      </c>
      <c r="F24" s="370"/>
      <c r="G24" s="413"/>
      <c r="H24" s="588">
        <v>6300</v>
      </c>
      <c r="I24" s="589"/>
    </row>
    <row r="25" spans="1:11" ht="30.75" customHeight="1" x14ac:dyDescent="0.25">
      <c r="A25" s="163" t="s">
        <v>523</v>
      </c>
      <c r="B25" s="351"/>
      <c r="C25" s="351"/>
      <c r="D25" s="352"/>
      <c r="E25" s="377" t="s">
        <v>524</v>
      </c>
      <c r="F25" s="370"/>
      <c r="G25" s="413"/>
      <c r="H25" s="588">
        <v>600</v>
      </c>
      <c r="I25" s="589"/>
    </row>
    <row r="26" spans="1:11" ht="15.75" customHeight="1" x14ac:dyDescent="0.25">
      <c r="A26" s="163" t="s">
        <v>525</v>
      </c>
      <c r="B26" s="351"/>
      <c r="C26" s="351"/>
      <c r="D26" s="352"/>
      <c r="E26" s="377" t="s">
        <v>524</v>
      </c>
      <c r="F26" s="370"/>
      <c r="G26" s="413"/>
      <c r="H26" s="588">
        <v>800</v>
      </c>
      <c r="I26" s="589"/>
    </row>
    <row r="27" spans="1:11" x14ac:dyDescent="0.25">
      <c r="A27" s="163" t="s">
        <v>526</v>
      </c>
      <c r="B27" s="351"/>
      <c r="C27" s="351"/>
      <c r="D27" s="352"/>
      <c r="E27" s="377" t="s">
        <v>524</v>
      </c>
      <c r="F27" s="370"/>
      <c r="G27" s="413"/>
      <c r="H27" s="588">
        <v>800</v>
      </c>
      <c r="I27" s="589"/>
      <c r="K27" s="97"/>
    </row>
    <row r="28" spans="1:11" ht="30" customHeight="1" x14ac:dyDescent="0.25">
      <c r="A28" s="163" t="s">
        <v>523</v>
      </c>
      <c r="B28" s="319"/>
      <c r="C28" s="319"/>
      <c r="D28" s="294"/>
      <c r="E28" s="349" t="s">
        <v>691</v>
      </c>
      <c r="F28" s="264"/>
      <c r="G28" s="265"/>
      <c r="H28" s="311">
        <v>12550</v>
      </c>
      <c r="I28" s="312"/>
      <c r="K28" s="97"/>
    </row>
    <row r="29" spans="1:11" ht="30" customHeight="1" x14ac:dyDescent="0.25">
      <c r="A29" s="163" t="s">
        <v>525</v>
      </c>
      <c r="B29" s="319"/>
      <c r="C29" s="319"/>
      <c r="D29" s="294"/>
      <c r="E29" s="349" t="s">
        <v>779</v>
      </c>
      <c r="F29" s="264"/>
      <c r="G29" s="265"/>
      <c r="H29" s="311">
        <v>11200</v>
      </c>
      <c r="I29" s="312"/>
      <c r="K29" s="97"/>
    </row>
    <row r="30" spans="1:11" ht="30.75" customHeight="1" x14ac:dyDescent="0.25">
      <c r="A30" s="163" t="s">
        <v>523</v>
      </c>
      <c r="B30" s="319"/>
      <c r="C30" s="319"/>
      <c r="D30" s="294"/>
      <c r="E30" s="263" t="s">
        <v>823</v>
      </c>
      <c r="F30" s="319"/>
      <c r="G30" s="294"/>
      <c r="H30" s="311">
        <v>1850</v>
      </c>
      <c r="I30" s="312"/>
      <c r="K30" s="97"/>
    </row>
    <row r="31" spans="1:11" x14ac:dyDescent="0.25">
      <c r="A31" s="163"/>
      <c r="B31" s="319"/>
      <c r="C31" s="319"/>
      <c r="D31" s="294"/>
      <c r="E31" s="349"/>
      <c r="F31" s="264"/>
      <c r="G31" s="265"/>
      <c r="H31" s="311"/>
      <c r="I31" s="312"/>
      <c r="K31" s="97"/>
    </row>
    <row r="32" spans="1:11" x14ac:dyDescent="0.25">
      <c r="A32" s="163"/>
      <c r="B32" s="319"/>
      <c r="C32" s="319"/>
      <c r="D32" s="294"/>
      <c r="E32" s="349"/>
      <c r="F32" s="264"/>
      <c r="G32" s="265"/>
      <c r="H32" s="311"/>
      <c r="I32" s="312"/>
      <c r="K32" s="97"/>
    </row>
    <row r="33" spans="1:11" x14ac:dyDescent="0.25">
      <c r="A33" s="163"/>
      <c r="B33" s="319"/>
      <c r="C33" s="319"/>
      <c r="D33" s="294"/>
      <c r="E33" s="349"/>
      <c r="F33" s="264"/>
      <c r="G33" s="265"/>
      <c r="H33" s="311"/>
      <c r="I33" s="312"/>
      <c r="K33" s="97"/>
    </row>
    <row r="34" spans="1:11" x14ac:dyDescent="0.25">
      <c r="A34" s="126"/>
      <c r="B34" s="319"/>
      <c r="C34" s="319"/>
      <c r="D34" s="294"/>
      <c r="E34" s="349"/>
      <c r="F34" s="264"/>
      <c r="G34" s="265"/>
      <c r="H34" s="311"/>
      <c r="I34" s="312"/>
    </row>
    <row r="35" spans="1:11" ht="15.75" thickBot="1" x14ac:dyDescent="0.3">
      <c r="A35" s="133"/>
      <c r="B35" s="305"/>
      <c r="C35" s="305"/>
      <c r="D35" s="306"/>
      <c r="E35" s="392"/>
      <c r="F35" s="393"/>
      <c r="G35" s="657"/>
      <c r="H35" s="588"/>
      <c r="I35" s="589"/>
    </row>
    <row r="36" spans="1:11" ht="15.75" thickBot="1" x14ac:dyDescent="0.3">
      <c r="A36" s="85"/>
      <c r="B36" s="270"/>
      <c r="C36" s="270"/>
      <c r="D36" s="271"/>
      <c r="E36" s="272" t="s">
        <v>116</v>
      </c>
      <c r="F36" s="273"/>
      <c r="G36" s="391"/>
      <c r="H36" s="274">
        <f>SUM(H24:J35)</f>
        <v>34100</v>
      </c>
      <c r="I36" s="275"/>
    </row>
    <row r="39" spans="1:11" x14ac:dyDescent="0.25">
      <c r="B39" s="656"/>
      <c r="C39" s="656"/>
      <c r="D39" s="656"/>
    </row>
  </sheetData>
  <mergeCells count="65">
    <mergeCell ref="E32:G32"/>
    <mergeCell ref="E33:G33"/>
    <mergeCell ref="H28:I28"/>
    <mergeCell ref="H29:I29"/>
    <mergeCell ref="H30:I30"/>
    <mergeCell ref="H31:I31"/>
    <mergeCell ref="H32:I32"/>
    <mergeCell ref="H33:I33"/>
    <mergeCell ref="B39:D39"/>
    <mergeCell ref="B35:D35"/>
    <mergeCell ref="E35:G35"/>
    <mergeCell ref="H35:I35"/>
    <mergeCell ref="B36:D36"/>
    <mergeCell ref="E36:G36"/>
    <mergeCell ref="H36:I36"/>
    <mergeCell ref="B27:D27"/>
    <mergeCell ref="E27:G27"/>
    <mergeCell ref="H27:I27"/>
    <mergeCell ref="B34:D34"/>
    <mergeCell ref="E34:G34"/>
    <mergeCell ref="H34:I34"/>
    <mergeCell ref="B28:D28"/>
    <mergeCell ref="B29:D29"/>
    <mergeCell ref="B31:D31"/>
    <mergeCell ref="B30:D30"/>
    <mergeCell ref="B32:D32"/>
    <mergeCell ref="B33:D33"/>
    <mergeCell ref="E28:G28"/>
    <mergeCell ref="E29:G29"/>
    <mergeCell ref="E30:G30"/>
    <mergeCell ref="E31:G31"/>
    <mergeCell ref="B25:D25"/>
    <mergeCell ref="E25:G25"/>
    <mergeCell ref="H25:I25"/>
    <mergeCell ref="B26:D26"/>
    <mergeCell ref="E26:G26"/>
    <mergeCell ref="H26:I26"/>
    <mergeCell ref="B23:D23"/>
    <mergeCell ref="E23:G23"/>
    <mergeCell ref="B24:D24"/>
    <mergeCell ref="E24:G24"/>
    <mergeCell ref="H24:I24"/>
    <mergeCell ref="B20:D20"/>
    <mergeCell ref="E20:G20"/>
    <mergeCell ref="H20:I20"/>
    <mergeCell ref="B18:D18"/>
    <mergeCell ref="E18:G18"/>
    <mergeCell ref="H18:I18"/>
    <mergeCell ref="B19:D19"/>
    <mergeCell ref="E19:G19"/>
    <mergeCell ref="H19:I19"/>
    <mergeCell ref="B16:D16"/>
    <mergeCell ref="E16:G16"/>
    <mergeCell ref="H16:I16"/>
    <mergeCell ref="B17:D17"/>
    <mergeCell ref="E17:G17"/>
    <mergeCell ref="H17:I17"/>
    <mergeCell ref="B15:D15"/>
    <mergeCell ref="E15:G15"/>
    <mergeCell ref="H15:I15"/>
    <mergeCell ref="B13:D13"/>
    <mergeCell ref="E13:G13"/>
    <mergeCell ref="B14:D14"/>
    <mergeCell ref="E14:G14"/>
    <mergeCell ref="H14:I1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7EAB-F308-4A30-98EF-B7D227946F16}">
  <dimension ref="A1:S26"/>
  <sheetViews>
    <sheetView workbookViewId="0">
      <selection activeCell="O7" sqref="O7"/>
    </sheetView>
  </sheetViews>
  <sheetFormatPr defaultRowHeight="15" x14ac:dyDescent="0.25"/>
  <cols>
    <col min="1" max="1" width="34.85546875" customWidth="1"/>
    <col min="2" max="2" width="16.7109375" hidden="1" customWidth="1"/>
    <col min="3" max="3" width="18.85546875" customWidth="1"/>
    <col min="4" max="4" width="16.42578125" customWidth="1"/>
    <col min="5" max="5" width="15.140625" customWidth="1"/>
    <col min="6" max="6" width="13.7109375" customWidth="1"/>
    <col min="7" max="7" width="13" customWidth="1"/>
    <col min="8" max="8" width="12.7109375" customWidth="1"/>
    <col min="9" max="9" width="10.28515625" customWidth="1"/>
    <col min="10" max="10" width="11.28515625" customWidth="1"/>
    <col min="11" max="11" width="11.140625" customWidth="1"/>
    <col min="12" max="12" width="10.28515625" customWidth="1"/>
    <col min="13" max="15" width="10.28515625" bestFit="1" customWidth="1"/>
    <col min="16" max="16" width="10.7109375" customWidth="1"/>
    <col min="17" max="18" width="12.85546875" customWidth="1"/>
    <col min="19" max="19" width="15.5703125" customWidth="1"/>
  </cols>
  <sheetData>
    <row r="1" spans="1:19" ht="72.75" customHeight="1" thickBot="1" x14ac:dyDescent="0.3">
      <c r="A1" s="1"/>
      <c r="B1" s="3" t="s">
        <v>148</v>
      </c>
      <c r="C1" s="4" t="s">
        <v>124</v>
      </c>
      <c r="D1" s="5" t="s">
        <v>2</v>
      </c>
      <c r="E1" s="6" t="s">
        <v>3</v>
      </c>
      <c r="F1" s="204" t="s">
        <v>4</v>
      </c>
      <c r="G1" s="65" t="s">
        <v>5</v>
      </c>
      <c r="H1" s="205" t="s">
        <v>6</v>
      </c>
      <c r="I1" s="65" t="s">
        <v>7</v>
      </c>
      <c r="J1" s="205" t="s">
        <v>8</v>
      </c>
      <c r="K1" s="65" t="s">
        <v>9</v>
      </c>
      <c r="L1" s="205" t="s">
        <v>10</v>
      </c>
      <c r="M1" s="65" t="s">
        <v>11</v>
      </c>
      <c r="N1" s="205" t="s">
        <v>12</v>
      </c>
      <c r="O1" s="65" t="s">
        <v>13</v>
      </c>
      <c r="P1" s="205" t="s">
        <v>14</v>
      </c>
      <c r="Q1" s="65" t="s">
        <v>15</v>
      </c>
      <c r="R1" s="66"/>
      <c r="S1" s="10" t="s">
        <v>16</v>
      </c>
    </row>
    <row r="2" spans="1:19" ht="16.5" thickBot="1" x14ac:dyDescent="0.3">
      <c r="A2" s="60" t="s">
        <v>74</v>
      </c>
      <c r="B2" s="86"/>
      <c r="C2" s="86"/>
      <c r="D2" s="91" t="s">
        <v>17</v>
      </c>
      <c r="E2" s="92"/>
      <c r="F2" s="106"/>
      <c r="G2" s="57"/>
      <c r="H2" s="88"/>
      <c r="I2" s="57"/>
      <c r="J2" s="88"/>
      <c r="K2" s="57"/>
      <c r="L2" s="88"/>
      <c r="M2" s="57"/>
      <c r="N2" s="88"/>
      <c r="O2" s="57"/>
      <c r="P2" s="88"/>
      <c r="Q2" s="57"/>
      <c r="R2" s="57"/>
      <c r="S2" s="57"/>
    </row>
    <row r="3" spans="1:19" ht="15.75" x14ac:dyDescent="0.25">
      <c r="A3" s="94" t="s">
        <v>29</v>
      </c>
      <c r="B3" s="58"/>
      <c r="C3" s="59">
        <v>191965</v>
      </c>
      <c r="D3" s="89">
        <f>SUM(F3:Q3)</f>
        <v>138109</v>
      </c>
      <c r="E3" s="90">
        <f>B3+C3-D3</f>
        <v>53856</v>
      </c>
      <c r="F3" s="53"/>
      <c r="G3" s="53"/>
      <c r="H3" s="53">
        <v>2157</v>
      </c>
      <c r="I3" s="53"/>
      <c r="J3" s="53">
        <f>123012+10000+2220+720</f>
        <v>135952</v>
      </c>
      <c r="K3" s="53"/>
      <c r="L3" s="53"/>
      <c r="M3" s="53"/>
      <c r="N3" s="53"/>
      <c r="O3" s="53"/>
      <c r="P3" s="53"/>
      <c r="Q3" s="39"/>
      <c r="R3" s="81"/>
      <c r="S3" s="31">
        <f>F3+G3+H3+I3+J3+K3+L3+M3+N3+O3+P3+Q3</f>
        <v>138109</v>
      </c>
    </row>
    <row r="4" spans="1:19" ht="15.75" x14ac:dyDescent="0.25">
      <c r="A4" s="20" t="s">
        <v>34</v>
      </c>
      <c r="B4" s="15"/>
      <c r="C4" s="16">
        <v>4360</v>
      </c>
      <c r="D4" s="89">
        <f t="shared" ref="D4:D6" si="0">SUM(F4:Q4)</f>
        <v>199833</v>
      </c>
      <c r="E4" s="90">
        <f t="shared" ref="E4:E6" si="1">B4+C4-D4</f>
        <v>-195473</v>
      </c>
      <c r="F4" s="19"/>
      <c r="G4" s="19"/>
      <c r="H4" s="19"/>
      <c r="I4" s="19"/>
      <c r="J4" s="19">
        <f>47100+9325+1222+1740+450</f>
        <v>59837</v>
      </c>
      <c r="K4" s="19">
        <f>139996</f>
        <v>139996</v>
      </c>
      <c r="L4" s="19"/>
      <c r="M4" s="19"/>
      <c r="N4" s="19"/>
      <c r="O4" s="19"/>
      <c r="P4" s="19"/>
      <c r="Q4" s="42"/>
      <c r="R4" s="53"/>
      <c r="S4" s="31">
        <f>F4+G4+H4+I4+J4+K4+L4+M4+N4+O4+P4+Q4</f>
        <v>199833</v>
      </c>
    </row>
    <row r="5" spans="1:19" ht="15.75" x14ac:dyDescent="0.25">
      <c r="A5" s="20" t="s">
        <v>31</v>
      </c>
      <c r="B5" s="41"/>
      <c r="C5" s="72">
        <v>210000</v>
      </c>
      <c r="D5" s="89">
        <f t="shared" si="0"/>
        <v>0</v>
      </c>
      <c r="E5" s="90">
        <f t="shared" si="1"/>
        <v>210000</v>
      </c>
      <c r="F5" s="42"/>
      <c r="G5" s="42"/>
      <c r="H5" s="42"/>
      <c r="I5" s="42"/>
      <c r="J5" s="42"/>
      <c r="K5" s="42"/>
      <c r="L5" s="42"/>
      <c r="M5" s="42"/>
      <c r="N5" s="42"/>
      <c r="O5" s="42"/>
      <c r="P5" s="42"/>
      <c r="Q5" s="42"/>
      <c r="R5" s="19"/>
      <c r="S5" s="31">
        <f t="shared" ref="S5:S6" si="2">F5+G5+H5+I5+J5+K5+L5+M5+N5+O5+P5+Q5</f>
        <v>0</v>
      </c>
    </row>
    <row r="6" spans="1:19" ht="15.75" x14ac:dyDescent="0.25">
      <c r="A6" s="20" t="s">
        <v>804</v>
      </c>
      <c r="B6" s="41"/>
      <c r="C6" s="72">
        <v>398376</v>
      </c>
      <c r="D6" s="89">
        <f t="shared" si="0"/>
        <v>309863.56</v>
      </c>
      <c r="E6" s="90">
        <f t="shared" si="1"/>
        <v>88512.44</v>
      </c>
      <c r="F6" s="42">
        <f>13516.63+15887.83</f>
        <v>29404.46</v>
      </c>
      <c r="G6" s="42">
        <f>18235.6+19280.5</f>
        <v>37516.1</v>
      </c>
      <c r="H6" s="42">
        <f>19148.15+20926.5</f>
        <v>40074.65</v>
      </c>
      <c r="I6" s="42">
        <f>14137.05+16944</f>
        <v>31081.05</v>
      </c>
      <c r="J6" s="42">
        <f>16150.1+20661.9</f>
        <v>36812</v>
      </c>
      <c r="K6" s="42">
        <f>19539.85+13972.7</f>
        <v>33512.550000000003</v>
      </c>
      <c r="L6" s="42">
        <f>23045.6+21249.4</f>
        <v>44295</v>
      </c>
      <c r="M6" s="42">
        <f>10510.5+21853.75</f>
        <v>32364.25</v>
      </c>
      <c r="N6" s="42">
        <f>15837.7</f>
        <v>15837.7</v>
      </c>
      <c r="O6" s="42">
        <f>8965.8</f>
        <v>8965.7999999999993</v>
      </c>
      <c r="P6" s="42"/>
      <c r="Q6" s="42"/>
      <c r="R6" s="19"/>
      <c r="S6" s="31">
        <f t="shared" si="2"/>
        <v>309863.56</v>
      </c>
    </row>
    <row r="7" spans="1:19" ht="16.5" thickBot="1" x14ac:dyDescent="0.3">
      <c r="A7" s="25"/>
      <c r="B7" s="27">
        <f>SUM(B3:B4)</f>
        <v>0</v>
      </c>
      <c r="C7" s="27">
        <f>SUM(C3:C6)</f>
        <v>804701</v>
      </c>
      <c r="D7" s="27">
        <f t="shared" ref="D7:E7" si="3">SUM(D3:D6)</f>
        <v>647805.56000000006</v>
      </c>
      <c r="E7" s="27">
        <f t="shared" si="3"/>
        <v>156895.44</v>
      </c>
      <c r="F7" s="27">
        <f t="shared" ref="F7:L7" si="4">SUM(F3:F6)</f>
        <v>29404.46</v>
      </c>
      <c r="G7" s="27">
        <f t="shared" si="4"/>
        <v>37516.1</v>
      </c>
      <c r="H7" s="27">
        <f t="shared" si="4"/>
        <v>42231.65</v>
      </c>
      <c r="I7" s="27">
        <f t="shared" si="4"/>
        <v>31081.05</v>
      </c>
      <c r="J7" s="27">
        <f t="shared" si="4"/>
        <v>232601</v>
      </c>
      <c r="K7" s="27">
        <f t="shared" si="4"/>
        <v>173508.55</v>
      </c>
      <c r="L7" s="27">
        <f t="shared" si="4"/>
        <v>44295</v>
      </c>
      <c r="M7" s="27">
        <f t="shared" ref="M7:Q7" si="5">SUM(M3:M6)</f>
        <v>32364.25</v>
      </c>
      <c r="N7" s="27">
        <f t="shared" si="5"/>
        <v>15837.7</v>
      </c>
      <c r="O7" s="27">
        <f t="shared" si="5"/>
        <v>8965.7999999999993</v>
      </c>
      <c r="P7" s="27">
        <f t="shared" si="5"/>
        <v>0</v>
      </c>
      <c r="Q7" s="27">
        <f t="shared" si="5"/>
        <v>0</v>
      </c>
      <c r="R7" s="84" t="s">
        <v>25</v>
      </c>
      <c r="S7" s="83">
        <f>SUM(F7:Q7)</f>
        <v>647805.56000000006</v>
      </c>
    </row>
    <row r="9" spans="1:19" ht="38.25" thickBot="1" x14ac:dyDescent="0.55000000000000004">
      <c r="A9" s="30"/>
      <c r="B9" s="32"/>
    </row>
    <row r="10" spans="1:19" ht="16.5" thickBot="1" x14ac:dyDescent="0.3">
      <c r="A10" s="136" t="s">
        <v>175</v>
      </c>
      <c r="B10" s="299" t="s">
        <v>188</v>
      </c>
      <c r="C10" s="300"/>
      <c r="D10" s="300"/>
      <c r="E10" s="301"/>
      <c r="F10" s="299" t="s">
        <v>114</v>
      </c>
      <c r="G10" s="300"/>
      <c r="H10" s="301"/>
      <c r="I10" s="137" t="s">
        <v>113</v>
      </c>
      <c r="J10" s="138"/>
    </row>
    <row r="11" spans="1:19" ht="30.75" customHeight="1" x14ac:dyDescent="0.25">
      <c r="A11" s="163" t="s">
        <v>19</v>
      </c>
      <c r="B11" s="350" t="s">
        <v>189</v>
      </c>
      <c r="C11" s="351"/>
      <c r="D11" s="351"/>
      <c r="E11" s="352"/>
      <c r="F11" s="350" t="s">
        <v>190</v>
      </c>
      <c r="G11" s="370"/>
      <c r="H11" s="413"/>
      <c r="I11" s="373">
        <v>123012</v>
      </c>
      <c r="J11" s="374"/>
    </row>
    <row r="12" spans="1:19" ht="30.75" customHeight="1" x14ac:dyDescent="0.25">
      <c r="A12" s="163" t="s">
        <v>19</v>
      </c>
      <c r="B12" s="350" t="s">
        <v>189</v>
      </c>
      <c r="C12" s="351"/>
      <c r="D12" s="351"/>
      <c r="E12" s="352"/>
      <c r="F12" s="350" t="s">
        <v>191</v>
      </c>
      <c r="G12" s="370"/>
      <c r="H12" s="413"/>
      <c r="I12" s="373">
        <v>10000</v>
      </c>
      <c r="J12" s="374"/>
    </row>
    <row r="13" spans="1:19" ht="29.25" customHeight="1" x14ac:dyDescent="0.25">
      <c r="A13" s="163" t="s">
        <v>19</v>
      </c>
      <c r="B13" s="350" t="s">
        <v>192</v>
      </c>
      <c r="C13" s="351"/>
      <c r="D13" s="351"/>
      <c r="E13" s="352"/>
      <c r="F13" s="350" t="s">
        <v>191</v>
      </c>
      <c r="G13" s="370"/>
      <c r="H13" s="413"/>
      <c r="I13" s="373">
        <v>2220</v>
      </c>
      <c r="J13" s="374"/>
    </row>
    <row r="14" spans="1:19" ht="30.75" customHeight="1" x14ac:dyDescent="0.25">
      <c r="A14" s="163" t="s">
        <v>173</v>
      </c>
      <c r="B14" s="350" t="s">
        <v>193</v>
      </c>
      <c r="C14" s="351"/>
      <c r="D14" s="351"/>
      <c r="E14" s="352"/>
      <c r="F14" s="350" t="s">
        <v>194</v>
      </c>
      <c r="G14" s="370"/>
      <c r="H14" s="413"/>
      <c r="I14" s="373">
        <v>47100</v>
      </c>
      <c r="J14" s="374"/>
    </row>
    <row r="15" spans="1:19" ht="30" customHeight="1" x14ac:dyDescent="0.25">
      <c r="A15" s="163" t="s">
        <v>173</v>
      </c>
      <c r="B15" s="276" t="s">
        <v>268</v>
      </c>
      <c r="C15" s="277"/>
      <c r="D15" s="277"/>
      <c r="E15" s="278"/>
      <c r="F15" s="276" t="s">
        <v>269</v>
      </c>
      <c r="G15" s="277"/>
      <c r="H15" s="278"/>
      <c r="I15" s="331">
        <v>9325</v>
      </c>
      <c r="J15" s="332"/>
    </row>
    <row r="16" spans="1:19" ht="30" customHeight="1" x14ac:dyDescent="0.25">
      <c r="A16" s="163" t="s">
        <v>173</v>
      </c>
      <c r="B16" s="276" t="s">
        <v>270</v>
      </c>
      <c r="C16" s="277"/>
      <c r="D16" s="277"/>
      <c r="E16" s="278"/>
      <c r="F16" s="276" t="s">
        <v>271</v>
      </c>
      <c r="G16" s="277"/>
      <c r="H16" s="278"/>
      <c r="I16" s="331">
        <v>1222</v>
      </c>
      <c r="J16" s="332"/>
    </row>
    <row r="17" spans="1:10" ht="30" customHeight="1" x14ac:dyDescent="0.25">
      <c r="A17" s="163" t="s">
        <v>173</v>
      </c>
      <c r="B17" s="276" t="s">
        <v>272</v>
      </c>
      <c r="C17" s="277"/>
      <c r="D17" s="277"/>
      <c r="E17" s="278"/>
      <c r="F17" s="276" t="s">
        <v>273</v>
      </c>
      <c r="G17" s="277"/>
      <c r="H17" s="278"/>
      <c r="I17" s="331">
        <v>1740</v>
      </c>
      <c r="J17" s="332"/>
    </row>
    <row r="18" spans="1:10" ht="30" customHeight="1" x14ac:dyDescent="0.25">
      <c r="A18" s="163" t="s">
        <v>568</v>
      </c>
      <c r="B18" s="263" t="s">
        <v>569</v>
      </c>
      <c r="C18" s="319"/>
      <c r="D18" s="319"/>
      <c r="E18" s="294"/>
      <c r="F18" s="263" t="s">
        <v>570</v>
      </c>
      <c r="G18" s="319"/>
      <c r="H18" s="294"/>
      <c r="I18" s="331">
        <v>139996</v>
      </c>
      <c r="J18" s="332"/>
    </row>
    <row r="19" spans="1:10" x14ac:dyDescent="0.25">
      <c r="A19" s="163"/>
      <c r="B19" s="658"/>
      <c r="C19" s="385"/>
      <c r="D19" s="385"/>
      <c r="E19" s="386"/>
      <c r="F19" s="658"/>
      <c r="G19" s="385"/>
      <c r="H19" s="386"/>
      <c r="I19" s="331"/>
      <c r="J19" s="332"/>
    </row>
    <row r="20" spans="1:10" x14ac:dyDescent="0.25">
      <c r="A20" s="163"/>
      <c r="B20" s="658"/>
      <c r="C20" s="385"/>
      <c r="D20" s="385"/>
      <c r="E20" s="386"/>
      <c r="F20" s="658"/>
      <c r="G20" s="385"/>
      <c r="H20" s="386"/>
      <c r="I20" s="331"/>
      <c r="J20" s="332"/>
    </row>
    <row r="21" spans="1:10" x14ac:dyDescent="0.25">
      <c r="A21" s="163"/>
      <c r="B21" s="658"/>
      <c r="C21" s="385"/>
      <c r="D21" s="385"/>
      <c r="E21" s="386"/>
      <c r="F21" s="658"/>
      <c r="G21" s="385"/>
      <c r="H21" s="386"/>
      <c r="I21" s="331"/>
      <c r="J21" s="332"/>
    </row>
    <row r="22" spans="1:10" x14ac:dyDescent="0.25">
      <c r="A22" s="163"/>
      <c r="B22" s="658"/>
      <c r="C22" s="385"/>
      <c r="D22" s="385"/>
      <c r="E22" s="386"/>
      <c r="F22" s="658"/>
      <c r="G22" s="385"/>
      <c r="H22" s="386"/>
      <c r="I22" s="331"/>
      <c r="J22" s="332"/>
    </row>
    <row r="23" spans="1:10" x14ac:dyDescent="0.25">
      <c r="A23" s="163"/>
      <c r="B23" s="658"/>
      <c r="C23" s="385"/>
      <c r="D23" s="385"/>
      <c r="E23" s="386"/>
      <c r="F23" s="658"/>
      <c r="G23" s="385"/>
      <c r="H23" s="386"/>
      <c r="I23" s="331"/>
      <c r="J23" s="332"/>
    </row>
    <row r="24" spans="1:10" x14ac:dyDescent="0.25">
      <c r="A24" s="162"/>
      <c r="B24" s="276"/>
      <c r="C24" s="277"/>
      <c r="D24" s="277"/>
      <c r="E24" s="278"/>
      <c r="F24" s="284"/>
      <c r="G24" s="321"/>
      <c r="H24" s="285"/>
      <c r="I24" s="331"/>
      <c r="J24" s="332"/>
    </row>
    <row r="25" spans="1:10" ht="15.75" thickBot="1" x14ac:dyDescent="0.3">
      <c r="A25" s="163"/>
      <c r="B25" s="350"/>
      <c r="C25" s="351"/>
      <c r="D25" s="351"/>
      <c r="E25" s="352"/>
      <c r="F25" s="377"/>
      <c r="G25" s="370"/>
      <c r="H25" s="413"/>
      <c r="I25" s="373"/>
      <c r="J25" s="374"/>
    </row>
    <row r="26" spans="1:10" ht="15.75" thickBot="1" x14ac:dyDescent="0.3">
      <c r="A26" s="85"/>
      <c r="B26" s="269"/>
      <c r="C26" s="270"/>
      <c r="D26" s="270"/>
      <c r="E26" s="271"/>
      <c r="F26" s="272" t="s">
        <v>116</v>
      </c>
      <c r="G26" s="273"/>
      <c r="H26" s="391"/>
      <c r="I26" s="274">
        <f>SUM(I11:K25)</f>
        <v>334615</v>
      </c>
      <c r="J26" s="275"/>
    </row>
  </sheetData>
  <mergeCells count="50">
    <mergeCell ref="B20:E20"/>
    <mergeCell ref="B21:E21"/>
    <mergeCell ref="F20:H20"/>
    <mergeCell ref="F21:H21"/>
    <mergeCell ref="I20:J20"/>
    <mergeCell ref="I21:J21"/>
    <mergeCell ref="B22:E22"/>
    <mergeCell ref="B23:E23"/>
    <mergeCell ref="F22:H22"/>
    <mergeCell ref="F23:H23"/>
    <mergeCell ref="I22:J22"/>
    <mergeCell ref="I23:J23"/>
    <mergeCell ref="B12:E12"/>
    <mergeCell ref="F12:H12"/>
    <mergeCell ref="I12:J12"/>
    <mergeCell ref="B10:E10"/>
    <mergeCell ref="F10:H10"/>
    <mergeCell ref="B11:E11"/>
    <mergeCell ref="F11:H11"/>
    <mergeCell ref="I11:J11"/>
    <mergeCell ref="F17:H17"/>
    <mergeCell ref="I17:J17"/>
    <mergeCell ref="B13:E13"/>
    <mergeCell ref="F13:H13"/>
    <mergeCell ref="I13:J13"/>
    <mergeCell ref="B14:E14"/>
    <mergeCell ref="F14:H14"/>
    <mergeCell ref="I14:J14"/>
    <mergeCell ref="B15:E15"/>
    <mergeCell ref="F15:H15"/>
    <mergeCell ref="I15:J15"/>
    <mergeCell ref="I16:J16"/>
    <mergeCell ref="F16:H16"/>
    <mergeCell ref="B16:E16"/>
    <mergeCell ref="B26:E26"/>
    <mergeCell ref="F26:H26"/>
    <mergeCell ref="I26:J26"/>
    <mergeCell ref="B17:E17"/>
    <mergeCell ref="B24:E24"/>
    <mergeCell ref="F24:H24"/>
    <mergeCell ref="I24:J24"/>
    <mergeCell ref="B25:E25"/>
    <mergeCell ref="F25:H25"/>
    <mergeCell ref="I25:J25"/>
    <mergeCell ref="B18:E18"/>
    <mergeCell ref="B19:E19"/>
    <mergeCell ref="F18:H18"/>
    <mergeCell ref="F19:H19"/>
    <mergeCell ref="I18:J18"/>
    <mergeCell ref="I19:J1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CC356-1B7B-4497-98A3-60AA7CB7248B}">
  <dimension ref="A1:S23"/>
  <sheetViews>
    <sheetView workbookViewId="0">
      <selection activeCell="L18" sqref="L18"/>
    </sheetView>
  </sheetViews>
  <sheetFormatPr defaultRowHeight="15" x14ac:dyDescent="0.25"/>
  <cols>
    <col min="1" max="1" width="40.7109375" customWidth="1"/>
    <col min="2" max="2" width="16.7109375" hidden="1" customWidth="1"/>
    <col min="3" max="3" width="18" customWidth="1"/>
    <col min="4" max="4" width="16" customWidth="1"/>
    <col min="5" max="5" width="15.85546875" customWidth="1"/>
    <col min="6" max="6" width="11.5703125" customWidth="1"/>
    <col min="7" max="8" width="12.85546875" customWidth="1"/>
    <col min="9" max="9" width="10.28515625" customWidth="1"/>
    <col min="10" max="10" width="11.28515625" customWidth="1"/>
    <col min="11" max="11" width="13.140625" customWidth="1"/>
    <col min="12" max="12" width="11.140625" customWidth="1"/>
    <col min="13" max="13" width="11.28515625" bestFit="1" customWidth="1"/>
    <col min="14" max="14" width="12.28515625" customWidth="1"/>
    <col min="15" max="15" width="11.85546875" customWidth="1"/>
    <col min="16" max="16" width="10.85546875" customWidth="1"/>
    <col min="17" max="18" width="11.140625" customWidth="1"/>
    <col min="19" max="19" width="14.28515625" customWidth="1"/>
  </cols>
  <sheetData>
    <row r="1" spans="1:19" ht="72.75" customHeight="1" thickBot="1" x14ac:dyDescent="0.3">
      <c r="A1" s="1"/>
      <c r="B1" s="3" t="s">
        <v>123</v>
      </c>
      <c r="C1" s="4" t="s">
        <v>124</v>
      </c>
      <c r="D1" s="5" t="s">
        <v>2</v>
      </c>
      <c r="E1" s="6" t="s">
        <v>3</v>
      </c>
      <c r="F1" s="7" t="s">
        <v>4</v>
      </c>
      <c r="G1" s="8" t="s">
        <v>5</v>
      </c>
      <c r="H1" s="8" t="s">
        <v>6</v>
      </c>
      <c r="I1" s="8" t="s">
        <v>7</v>
      </c>
      <c r="J1" s="8" t="s">
        <v>8</v>
      </c>
      <c r="K1" s="8" t="s">
        <v>9</v>
      </c>
      <c r="L1" s="8" t="s">
        <v>10</v>
      </c>
      <c r="M1" s="8" t="s">
        <v>11</v>
      </c>
      <c r="N1" s="8" t="s">
        <v>12</v>
      </c>
      <c r="O1" s="8" t="s">
        <v>13</v>
      </c>
      <c r="P1" s="8" t="s">
        <v>14</v>
      </c>
      <c r="Q1" s="9" t="s">
        <v>15</v>
      </c>
      <c r="R1" s="66"/>
      <c r="S1" s="10" t="s">
        <v>16</v>
      </c>
    </row>
    <row r="2" spans="1:19" ht="16.5" thickBot="1" x14ac:dyDescent="0.3">
      <c r="A2" s="86" t="s">
        <v>75</v>
      </c>
      <c r="B2" s="86"/>
      <c r="C2" s="86"/>
      <c r="D2" s="91" t="s">
        <v>17</v>
      </c>
      <c r="E2" s="92"/>
      <c r="F2" s="106"/>
      <c r="G2" s="57"/>
      <c r="H2" s="88"/>
      <c r="I2" s="57"/>
      <c r="J2" s="88"/>
      <c r="K2" s="57"/>
      <c r="L2" s="88"/>
      <c r="M2" s="57"/>
      <c r="N2" s="88"/>
      <c r="O2" s="57"/>
      <c r="P2" s="88"/>
      <c r="Q2" s="57"/>
      <c r="R2" s="106"/>
      <c r="S2" s="57"/>
    </row>
    <row r="3" spans="1:19" ht="15.75" x14ac:dyDescent="0.25">
      <c r="A3" s="94" t="s">
        <v>29</v>
      </c>
      <c r="B3" s="58"/>
      <c r="C3" s="59">
        <v>69510</v>
      </c>
      <c r="D3" s="89">
        <f>SUM(F3:Q3)</f>
        <v>0</v>
      </c>
      <c r="E3" s="90">
        <f>B3+C3-D3</f>
        <v>69510</v>
      </c>
      <c r="F3" s="53"/>
      <c r="G3" s="53"/>
      <c r="H3" s="53"/>
      <c r="I3" s="53"/>
      <c r="J3" s="53"/>
      <c r="K3" s="53"/>
      <c r="L3" s="53"/>
      <c r="M3" s="53"/>
      <c r="N3" s="53"/>
      <c r="O3" s="53"/>
      <c r="P3" s="53"/>
      <c r="Q3" s="53"/>
      <c r="R3" s="31"/>
      <c r="S3" s="31">
        <f>SUM(F3:Q3)</f>
        <v>0</v>
      </c>
    </row>
    <row r="4" spans="1:19" ht="15.75" x14ac:dyDescent="0.25">
      <c r="A4" s="94" t="s">
        <v>125</v>
      </c>
      <c r="B4" s="58"/>
      <c r="C4" s="59">
        <v>120475</v>
      </c>
      <c r="D4" s="89">
        <f t="shared" ref="D4:D10" si="0">SUM(F4:Q4)</f>
        <v>24600</v>
      </c>
      <c r="E4" s="90">
        <f t="shared" ref="E4:E10" si="1">B4+C4-D4</f>
        <v>95875</v>
      </c>
      <c r="F4" s="53"/>
      <c r="G4" s="53"/>
      <c r="H4" s="53"/>
      <c r="I4" s="53"/>
      <c r="J4" s="53"/>
      <c r="K4" s="53"/>
      <c r="L4" s="53"/>
      <c r="M4" s="53"/>
      <c r="N4" s="53">
        <v>24600</v>
      </c>
      <c r="O4" s="53"/>
      <c r="P4" s="53"/>
      <c r="Q4" s="53"/>
      <c r="R4" s="31"/>
      <c r="S4" s="31">
        <f t="shared" ref="S4:S10" si="2">SUM(F4:Q4)</f>
        <v>24600</v>
      </c>
    </row>
    <row r="5" spans="1:19" ht="15.75" x14ac:dyDescent="0.25">
      <c r="A5" s="94" t="s">
        <v>103</v>
      </c>
      <c r="B5" s="58"/>
      <c r="C5" s="59"/>
      <c r="D5" s="89">
        <f t="shared" si="0"/>
        <v>2100</v>
      </c>
      <c r="E5" s="90">
        <f t="shared" si="1"/>
        <v>-2100</v>
      </c>
      <c r="F5" s="53"/>
      <c r="G5" s="53">
        <f>2100</f>
        <v>2100</v>
      </c>
      <c r="H5" s="53"/>
      <c r="I5" s="53"/>
      <c r="J5" s="53"/>
      <c r="K5" s="53"/>
      <c r="L5" s="53"/>
      <c r="M5" s="53"/>
      <c r="N5" s="53"/>
      <c r="O5" s="53"/>
      <c r="P5" s="53"/>
      <c r="Q5" s="53"/>
      <c r="R5" s="31"/>
      <c r="S5" s="31">
        <f t="shared" si="2"/>
        <v>2100</v>
      </c>
    </row>
    <row r="6" spans="1:19" ht="15.75" x14ac:dyDescent="0.25">
      <c r="A6" s="94" t="s">
        <v>804</v>
      </c>
      <c r="B6" s="58"/>
      <c r="C6" s="59"/>
      <c r="D6" s="89">
        <f t="shared" si="0"/>
        <v>1130145.8599999999</v>
      </c>
      <c r="E6" s="90">
        <f t="shared" si="1"/>
        <v>-1130145.8599999999</v>
      </c>
      <c r="F6" s="53">
        <f>55755.84+60443.87</f>
        <v>116199.70999999999</v>
      </c>
      <c r="G6" s="53">
        <f>56221.55+58172.15</f>
        <v>114393.70000000001</v>
      </c>
      <c r="H6" s="53">
        <f>62771.6+59781.95</f>
        <v>122553.54999999999</v>
      </c>
      <c r="I6" s="53">
        <f>6860.9+36719+54162.35</f>
        <v>97742.25</v>
      </c>
      <c r="J6" s="53">
        <f>53205.15+66276.85</f>
        <v>119482</v>
      </c>
      <c r="K6" s="53">
        <f>62111.05+50034.85</f>
        <v>112145.9</v>
      </c>
      <c r="L6" s="53">
        <f>77740.3+64846.05</f>
        <v>142586.35</v>
      </c>
      <c r="M6" s="53">
        <f>45714.2+70262</f>
        <v>115976.2</v>
      </c>
      <c r="N6" s="53">
        <f>67197.8</f>
        <v>67197.8</v>
      </c>
      <c r="O6" s="53">
        <f>55552.15+66316.25</f>
        <v>121868.4</v>
      </c>
      <c r="P6" s="53"/>
      <c r="Q6" s="53"/>
      <c r="R6" s="31"/>
      <c r="S6" s="31">
        <f t="shared" si="2"/>
        <v>1130145.8599999999</v>
      </c>
    </row>
    <row r="7" spans="1:19" ht="15.75" x14ac:dyDescent="0.25">
      <c r="A7" s="94" t="s">
        <v>876</v>
      </c>
      <c r="B7" s="58"/>
      <c r="C7" s="59"/>
      <c r="D7" s="89"/>
      <c r="E7" s="90"/>
      <c r="F7" s="53"/>
      <c r="G7" s="53"/>
      <c r="H7" s="53"/>
      <c r="I7" s="53"/>
      <c r="J7" s="53"/>
      <c r="K7" s="53"/>
      <c r="L7" s="53"/>
      <c r="M7" s="53"/>
      <c r="N7" s="53">
        <f>26465+14132.87</f>
        <v>40597.870000000003</v>
      </c>
      <c r="O7" s="53"/>
      <c r="P7" s="53"/>
      <c r="Q7" s="53"/>
      <c r="R7" s="31"/>
      <c r="S7" s="31">
        <f t="shared" si="2"/>
        <v>40597.870000000003</v>
      </c>
    </row>
    <row r="8" spans="1:19" ht="15.75" x14ac:dyDescent="0.25">
      <c r="A8" s="94" t="s">
        <v>126</v>
      </c>
      <c r="B8" s="58"/>
      <c r="C8" s="59">
        <v>424150</v>
      </c>
      <c r="D8" s="89">
        <f t="shared" si="0"/>
        <v>0</v>
      </c>
      <c r="E8" s="90">
        <f t="shared" si="1"/>
        <v>424150</v>
      </c>
      <c r="F8" s="53"/>
      <c r="G8" s="53"/>
      <c r="H8" s="53"/>
      <c r="I8" s="53"/>
      <c r="J8" s="53"/>
      <c r="K8" s="53"/>
      <c r="L8" s="53"/>
      <c r="M8" s="53"/>
      <c r="N8" s="53"/>
      <c r="O8" s="53"/>
      <c r="P8" s="53"/>
      <c r="Q8" s="53"/>
      <c r="R8" s="31"/>
      <c r="S8" s="31">
        <f t="shared" si="2"/>
        <v>0</v>
      </c>
    </row>
    <row r="9" spans="1:19" ht="15.75" x14ac:dyDescent="0.25">
      <c r="A9" s="94" t="s">
        <v>95</v>
      </c>
      <c r="B9" s="58"/>
      <c r="C9" s="59">
        <v>176000</v>
      </c>
      <c r="D9" s="89">
        <f t="shared" si="0"/>
        <v>0</v>
      </c>
      <c r="E9" s="90">
        <f t="shared" si="1"/>
        <v>176000</v>
      </c>
      <c r="F9" s="53"/>
      <c r="G9" s="53"/>
      <c r="H9" s="53"/>
      <c r="I9" s="53"/>
      <c r="J9" s="53"/>
      <c r="K9" s="53"/>
      <c r="L9" s="53"/>
      <c r="M9" s="53"/>
      <c r="N9" s="53"/>
      <c r="O9" s="53"/>
      <c r="P9" s="53"/>
      <c r="Q9" s="53"/>
      <c r="R9" s="31"/>
      <c r="S9" s="31">
        <f t="shared" si="2"/>
        <v>0</v>
      </c>
    </row>
    <row r="10" spans="1:19" ht="15.75" x14ac:dyDescent="0.25">
      <c r="A10" s="20" t="s">
        <v>42</v>
      </c>
      <c r="B10" s="15"/>
      <c r="C10" s="16">
        <v>434900</v>
      </c>
      <c r="D10" s="89">
        <f t="shared" si="0"/>
        <v>0</v>
      </c>
      <c r="E10" s="90">
        <f t="shared" si="1"/>
        <v>434900</v>
      </c>
      <c r="F10" s="19"/>
      <c r="G10" s="19"/>
      <c r="H10" s="19"/>
      <c r="I10" s="19"/>
      <c r="J10" s="19"/>
      <c r="K10" s="19"/>
      <c r="L10" s="19"/>
      <c r="M10" s="19"/>
      <c r="N10" s="19"/>
      <c r="O10" s="19"/>
      <c r="P10" s="19"/>
      <c r="Q10" s="19"/>
      <c r="R10" s="31"/>
      <c r="S10" s="31">
        <f t="shared" si="2"/>
        <v>0</v>
      </c>
    </row>
    <row r="11" spans="1:19" ht="16.5" thickBot="1" x14ac:dyDescent="0.3">
      <c r="A11" s="25"/>
      <c r="B11" s="27">
        <f t="shared" ref="B11:Q11" si="3">SUM(B3:B10)</f>
        <v>0</v>
      </c>
      <c r="C11" s="27">
        <f t="shared" si="3"/>
        <v>1225035</v>
      </c>
      <c r="D11" s="27">
        <f t="shared" si="3"/>
        <v>1156845.8599999999</v>
      </c>
      <c r="E11" s="27">
        <f t="shared" si="3"/>
        <v>68189.14000000013</v>
      </c>
      <c r="F11" s="27">
        <f t="shared" si="3"/>
        <v>116199.70999999999</v>
      </c>
      <c r="G11" s="27">
        <f t="shared" si="3"/>
        <v>116493.70000000001</v>
      </c>
      <c r="H11" s="27">
        <f t="shared" si="3"/>
        <v>122553.54999999999</v>
      </c>
      <c r="I11" s="27">
        <f t="shared" si="3"/>
        <v>97742.25</v>
      </c>
      <c r="J11" s="27">
        <f t="shared" si="3"/>
        <v>119482</v>
      </c>
      <c r="K11" s="27">
        <f t="shared" si="3"/>
        <v>112145.9</v>
      </c>
      <c r="L11" s="27">
        <f t="shared" si="3"/>
        <v>142586.35</v>
      </c>
      <c r="M11" s="27">
        <f t="shared" si="3"/>
        <v>115976.2</v>
      </c>
      <c r="N11" s="27">
        <f t="shared" si="3"/>
        <v>132395.67000000001</v>
      </c>
      <c r="O11" s="27">
        <f t="shared" si="3"/>
        <v>121868.4</v>
      </c>
      <c r="P11" s="27">
        <f t="shared" si="3"/>
        <v>0</v>
      </c>
      <c r="Q11" s="27">
        <f t="shared" si="3"/>
        <v>0</v>
      </c>
      <c r="R11" s="26" t="s">
        <v>25</v>
      </c>
      <c r="S11" s="67">
        <f>SUM(S3:S10)</f>
        <v>1197443.73</v>
      </c>
    </row>
    <row r="13" spans="1:19" ht="15.75" thickBot="1" x14ac:dyDescent="0.3"/>
    <row r="14" spans="1:19" ht="16.5" thickBot="1" x14ac:dyDescent="0.3">
      <c r="A14" s="136" t="s">
        <v>175</v>
      </c>
      <c r="B14" s="299" t="s">
        <v>188</v>
      </c>
      <c r="C14" s="300"/>
      <c r="D14" s="300"/>
      <c r="E14" s="301"/>
      <c r="F14" s="299" t="s">
        <v>114</v>
      </c>
      <c r="G14" s="300"/>
      <c r="H14" s="301"/>
      <c r="I14" s="137" t="s">
        <v>113</v>
      </c>
      <c r="J14" s="138"/>
    </row>
    <row r="15" spans="1:19" ht="30" customHeight="1" x14ac:dyDescent="0.25">
      <c r="A15" s="163" t="s">
        <v>173</v>
      </c>
      <c r="B15" s="350" t="s">
        <v>766</v>
      </c>
      <c r="C15" s="351"/>
      <c r="D15" s="351"/>
      <c r="E15" s="352"/>
      <c r="F15" s="350" t="s">
        <v>767</v>
      </c>
      <c r="G15" s="370"/>
      <c r="H15" s="413"/>
      <c r="I15" s="588">
        <v>24600</v>
      </c>
      <c r="J15" s="589"/>
    </row>
    <row r="16" spans="1:19" x14ac:dyDescent="0.25">
      <c r="A16" s="163" t="s">
        <v>900</v>
      </c>
      <c r="B16" s="350" t="s">
        <v>901</v>
      </c>
      <c r="C16" s="351"/>
      <c r="D16" s="351"/>
      <c r="E16" s="352"/>
      <c r="F16" s="350" t="s">
        <v>902</v>
      </c>
      <c r="G16" s="370"/>
      <c r="H16" s="413"/>
      <c r="I16" s="588">
        <v>26465</v>
      </c>
      <c r="J16" s="589"/>
    </row>
    <row r="17" spans="1:10" ht="31.5" customHeight="1" x14ac:dyDescent="0.25">
      <c r="A17" s="163" t="s">
        <v>900</v>
      </c>
      <c r="B17" s="350" t="s">
        <v>905</v>
      </c>
      <c r="C17" s="351"/>
      <c r="D17" s="351"/>
      <c r="E17" s="352"/>
      <c r="F17" s="350" t="s">
        <v>906</v>
      </c>
      <c r="G17" s="370"/>
      <c r="H17" s="413"/>
      <c r="I17" s="588">
        <v>14132.87</v>
      </c>
      <c r="J17" s="589"/>
    </row>
    <row r="18" spans="1:10" ht="15.75" customHeight="1" x14ac:dyDescent="0.25">
      <c r="A18" s="163"/>
      <c r="B18" s="350"/>
      <c r="C18" s="351"/>
      <c r="D18" s="351"/>
      <c r="E18" s="352"/>
      <c r="F18" s="350"/>
      <c r="G18" s="370"/>
      <c r="H18" s="413"/>
      <c r="I18" s="588"/>
      <c r="J18" s="589"/>
    </row>
    <row r="19" spans="1:10" x14ac:dyDescent="0.25">
      <c r="A19" s="163"/>
      <c r="B19" s="263"/>
      <c r="C19" s="319"/>
      <c r="D19" s="319"/>
      <c r="E19" s="294"/>
      <c r="F19" s="263"/>
      <c r="G19" s="319"/>
      <c r="H19" s="294"/>
      <c r="I19" s="311"/>
      <c r="J19" s="312"/>
    </row>
    <row r="20" spans="1:10" x14ac:dyDescent="0.25">
      <c r="A20" s="163"/>
      <c r="B20" s="263"/>
      <c r="C20" s="319"/>
      <c r="D20" s="319"/>
      <c r="E20" s="294"/>
      <c r="F20" s="263"/>
      <c r="G20" s="319"/>
      <c r="H20" s="294"/>
      <c r="I20" s="311"/>
      <c r="J20" s="312"/>
    </row>
    <row r="21" spans="1:10" x14ac:dyDescent="0.25">
      <c r="A21" s="162"/>
      <c r="B21" s="276"/>
      <c r="C21" s="277"/>
      <c r="D21" s="277"/>
      <c r="E21" s="278"/>
      <c r="F21" s="284"/>
      <c r="G21" s="321"/>
      <c r="H21" s="285"/>
      <c r="I21" s="311"/>
      <c r="J21" s="312"/>
    </row>
    <row r="22" spans="1:10" ht="15.75" thickBot="1" x14ac:dyDescent="0.3">
      <c r="A22" s="163"/>
      <c r="B22" s="350"/>
      <c r="C22" s="351"/>
      <c r="D22" s="351"/>
      <c r="E22" s="352"/>
      <c r="F22" s="377"/>
      <c r="G22" s="370"/>
      <c r="H22" s="413"/>
      <c r="I22" s="588"/>
      <c r="J22" s="589"/>
    </row>
    <row r="23" spans="1:10" ht="15.75" thickBot="1" x14ac:dyDescent="0.3">
      <c r="A23" s="85"/>
      <c r="B23" s="269"/>
      <c r="C23" s="270"/>
      <c r="D23" s="270"/>
      <c r="E23" s="271"/>
      <c r="F23" s="272" t="s">
        <v>116</v>
      </c>
      <c r="G23" s="273"/>
      <c r="H23" s="391"/>
      <c r="I23" s="274">
        <f>SUM(I15:K22)</f>
        <v>65197.87</v>
      </c>
      <c r="J23" s="275"/>
    </row>
  </sheetData>
  <mergeCells count="29">
    <mergeCell ref="B23:E23"/>
    <mergeCell ref="F23:H23"/>
    <mergeCell ref="I23:J23"/>
    <mergeCell ref="B21:E21"/>
    <mergeCell ref="F21:H21"/>
    <mergeCell ref="I21:J21"/>
    <mergeCell ref="B22:E22"/>
    <mergeCell ref="F22:H22"/>
    <mergeCell ref="I22:J22"/>
    <mergeCell ref="B19:E19"/>
    <mergeCell ref="F19:H19"/>
    <mergeCell ref="I19:J19"/>
    <mergeCell ref="B20:E20"/>
    <mergeCell ref="F20:H20"/>
    <mergeCell ref="I20:J20"/>
    <mergeCell ref="B17:E17"/>
    <mergeCell ref="F17:H17"/>
    <mergeCell ref="I17:J17"/>
    <mergeCell ref="B18:E18"/>
    <mergeCell ref="F18:H18"/>
    <mergeCell ref="I18:J18"/>
    <mergeCell ref="B16:E16"/>
    <mergeCell ref="F16:H16"/>
    <mergeCell ref="I16:J16"/>
    <mergeCell ref="B14:E14"/>
    <mergeCell ref="F14:H14"/>
    <mergeCell ref="B15:E15"/>
    <mergeCell ref="F15:H15"/>
    <mergeCell ref="I15:J1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8C97-8C8D-4279-84C7-FE2CB109E001}">
  <dimension ref="A1:S35"/>
  <sheetViews>
    <sheetView zoomScaleNormal="100" workbookViewId="0">
      <selection activeCell="O9" sqref="O9"/>
    </sheetView>
  </sheetViews>
  <sheetFormatPr defaultRowHeight="15" x14ac:dyDescent="0.25"/>
  <cols>
    <col min="1" max="1" width="32.85546875" customWidth="1"/>
    <col min="2" max="2" width="16.7109375" hidden="1" customWidth="1"/>
    <col min="3" max="3" width="16.85546875" customWidth="1"/>
    <col min="4" max="4" width="16.7109375" customWidth="1"/>
    <col min="5" max="5" width="19.28515625" customWidth="1"/>
    <col min="6" max="6" width="11.7109375" customWidth="1"/>
    <col min="7" max="7" width="12.42578125" customWidth="1"/>
    <col min="8" max="8" width="14.5703125" customWidth="1"/>
    <col min="9" max="9" width="12" customWidth="1"/>
    <col min="10" max="10" width="11.28515625" customWidth="1"/>
    <col min="11" max="12" width="10.28515625" customWidth="1"/>
    <col min="13" max="13" width="10.28515625" bestFit="1" customWidth="1"/>
    <col min="14" max="14" width="10.85546875" customWidth="1"/>
    <col min="15" max="15" width="10.28515625" customWidth="1"/>
    <col min="16" max="16" width="10.85546875" customWidth="1"/>
    <col min="17" max="18" width="12" customWidth="1"/>
    <col min="19" max="19" width="14.5703125" customWidth="1"/>
  </cols>
  <sheetData>
    <row r="1" spans="1:19" ht="72.75" customHeight="1" thickBot="1" x14ac:dyDescent="0.3">
      <c r="A1" s="1"/>
      <c r="B1" s="3" t="s">
        <v>148</v>
      </c>
      <c r="C1" s="4" t="s">
        <v>124</v>
      </c>
      <c r="D1" s="5" t="s">
        <v>2</v>
      </c>
      <c r="E1" s="6" t="s">
        <v>3</v>
      </c>
      <c r="F1" s="7" t="s">
        <v>4</v>
      </c>
      <c r="G1" s="8" t="s">
        <v>5</v>
      </c>
      <c r="H1" s="8" t="s">
        <v>6</v>
      </c>
      <c r="I1" s="8" t="s">
        <v>7</v>
      </c>
      <c r="J1" s="8" t="s">
        <v>8</v>
      </c>
      <c r="K1" s="8" t="s">
        <v>9</v>
      </c>
      <c r="L1" s="8" t="s">
        <v>10</v>
      </c>
      <c r="M1" s="8" t="s">
        <v>11</v>
      </c>
      <c r="N1" s="8" t="s">
        <v>12</v>
      </c>
      <c r="O1" s="8" t="s">
        <v>13</v>
      </c>
      <c r="P1" s="8" t="s">
        <v>14</v>
      </c>
      <c r="Q1" s="9" t="s">
        <v>15</v>
      </c>
      <c r="R1" s="66"/>
      <c r="S1" s="10" t="s">
        <v>16</v>
      </c>
    </row>
    <row r="2" spans="1:19" ht="16.5" thickBot="1" x14ac:dyDescent="0.3">
      <c r="A2" s="86" t="s">
        <v>76</v>
      </c>
      <c r="B2" s="60"/>
      <c r="C2" s="86"/>
      <c r="D2" s="91" t="s">
        <v>17</v>
      </c>
      <c r="E2" s="92"/>
      <c r="F2" s="106"/>
      <c r="G2" s="57"/>
      <c r="H2" s="88"/>
      <c r="I2" s="57"/>
      <c r="J2" s="88"/>
      <c r="K2" s="57"/>
      <c r="L2" s="88"/>
      <c r="M2" s="57"/>
      <c r="N2" s="88"/>
      <c r="O2" s="57"/>
      <c r="P2" s="88"/>
      <c r="Q2" s="57"/>
      <c r="R2" s="106"/>
      <c r="S2" s="57"/>
    </row>
    <row r="3" spans="1:19" ht="15.75" x14ac:dyDescent="0.25">
      <c r="A3" s="94" t="s">
        <v>29</v>
      </c>
      <c r="B3" s="58"/>
      <c r="C3" s="59">
        <v>20750</v>
      </c>
      <c r="D3" s="89">
        <f>SUM(F3:Q3)</f>
        <v>16557</v>
      </c>
      <c r="E3" s="90">
        <f>B3+C3-D3</f>
        <v>4193</v>
      </c>
      <c r="F3" s="53"/>
      <c r="G3" s="53"/>
      <c r="H3" s="53"/>
      <c r="I3" s="53"/>
      <c r="J3" s="53">
        <f>3124+4200+8595+638</f>
        <v>16557</v>
      </c>
      <c r="K3" s="53"/>
      <c r="L3" s="53"/>
      <c r="M3" s="53"/>
      <c r="N3" s="53"/>
      <c r="O3" s="53"/>
      <c r="P3" s="53"/>
      <c r="Q3" s="53"/>
      <c r="R3" s="31"/>
      <c r="S3" s="31">
        <f>SUM(F3:Q3)</f>
        <v>16557</v>
      </c>
    </row>
    <row r="4" spans="1:19" ht="15.75" x14ac:dyDescent="0.25">
      <c r="A4" s="94" t="s">
        <v>173</v>
      </c>
      <c r="B4" s="58"/>
      <c r="C4" s="59"/>
      <c r="D4" s="89">
        <f>SUM(F4:Q4)</f>
        <v>16000</v>
      </c>
      <c r="E4" s="90">
        <f>B4+C4-D4</f>
        <v>-16000</v>
      </c>
      <c r="F4" s="53"/>
      <c r="G4" s="53"/>
      <c r="H4" s="53"/>
      <c r="I4" s="53"/>
      <c r="J4" s="53">
        <f>16000</f>
        <v>16000</v>
      </c>
      <c r="K4" s="53"/>
      <c r="L4" s="53"/>
      <c r="M4" s="53"/>
      <c r="N4" s="53"/>
      <c r="O4" s="53"/>
      <c r="P4" s="53"/>
      <c r="Q4" s="53"/>
      <c r="R4" s="31"/>
      <c r="S4" s="31">
        <f t="shared" ref="S4:S10" si="0">SUM(F4:Q4)</f>
        <v>16000</v>
      </c>
    </row>
    <row r="5" spans="1:19" ht="15.75" x14ac:dyDescent="0.25">
      <c r="A5" s="94" t="s">
        <v>108</v>
      </c>
      <c r="B5" s="58"/>
      <c r="C5" s="59">
        <v>50000</v>
      </c>
      <c r="D5" s="89">
        <f t="shared" ref="D5:D10" si="1">SUM(F5:Q5)</f>
        <v>8400</v>
      </c>
      <c r="E5" s="90">
        <f t="shared" ref="E5:E10" si="2">B5+C5-D5</f>
        <v>41600</v>
      </c>
      <c r="F5" s="53"/>
      <c r="G5" s="53"/>
      <c r="H5" s="53"/>
      <c r="I5" s="53"/>
      <c r="J5" s="53"/>
      <c r="K5" s="53"/>
      <c r="L5" s="53">
        <f>8400</f>
        <v>8400</v>
      </c>
      <c r="M5" s="53"/>
      <c r="N5" s="53"/>
      <c r="O5" s="53"/>
      <c r="P5" s="53"/>
      <c r="Q5" s="53"/>
      <c r="R5" s="31"/>
      <c r="S5" s="31">
        <f t="shared" si="0"/>
        <v>8400</v>
      </c>
    </row>
    <row r="6" spans="1:19" ht="15.75" x14ac:dyDescent="0.25">
      <c r="A6" s="13" t="s">
        <v>103</v>
      </c>
      <c r="B6" s="15"/>
      <c r="C6" s="16"/>
      <c r="D6" s="89">
        <f t="shared" si="1"/>
        <v>6450</v>
      </c>
      <c r="E6" s="90">
        <f t="shared" si="2"/>
        <v>-6450</v>
      </c>
      <c r="F6" s="19"/>
      <c r="G6" s="19">
        <f>1150</f>
        <v>1150</v>
      </c>
      <c r="H6" s="19"/>
      <c r="I6" s="19"/>
      <c r="J6" s="19"/>
      <c r="K6" s="19">
        <f>1150</f>
        <v>1150</v>
      </c>
      <c r="L6" s="19">
        <f>4150</f>
        <v>4150</v>
      </c>
      <c r="M6" s="19"/>
      <c r="N6" s="19"/>
      <c r="O6" s="19"/>
      <c r="P6" s="19"/>
      <c r="Q6" s="19"/>
      <c r="R6" s="31"/>
      <c r="S6" s="31">
        <f t="shared" si="0"/>
        <v>6450</v>
      </c>
    </row>
    <row r="7" spans="1:19" ht="15.75" x14ac:dyDescent="0.25">
      <c r="A7" s="20" t="s">
        <v>37</v>
      </c>
      <c r="B7" s="15"/>
      <c r="C7" s="16">
        <v>46250</v>
      </c>
      <c r="D7" s="89">
        <f t="shared" si="1"/>
        <v>0</v>
      </c>
      <c r="E7" s="90">
        <f t="shared" si="2"/>
        <v>46250</v>
      </c>
      <c r="F7" s="19"/>
      <c r="G7" s="19"/>
      <c r="H7" s="19"/>
      <c r="I7" s="19"/>
      <c r="J7" s="19"/>
      <c r="K7" s="19"/>
      <c r="L7" s="19"/>
      <c r="M7" s="19"/>
      <c r="N7" s="19"/>
      <c r="O7" s="19"/>
      <c r="P7" s="19"/>
      <c r="Q7" s="19"/>
      <c r="R7" s="31"/>
      <c r="S7" s="31">
        <f t="shared" si="0"/>
        <v>0</v>
      </c>
    </row>
    <row r="8" spans="1:19" ht="15.75" x14ac:dyDescent="0.25">
      <c r="A8" s="20" t="s">
        <v>804</v>
      </c>
      <c r="B8" s="15"/>
      <c r="C8" s="16"/>
      <c r="D8" s="89">
        <f t="shared" si="1"/>
        <v>376702.19999999995</v>
      </c>
      <c r="E8" s="90">
        <f t="shared" si="2"/>
        <v>-376702.19999999995</v>
      </c>
      <c r="F8" s="19">
        <f>10053.4+30662.86</f>
        <v>40716.26</v>
      </c>
      <c r="G8" s="19">
        <f>40602.72+30156</f>
        <v>70758.720000000001</v>
      </c>
      <c r="H8" s="19">
        <f>29152.1+32494.86</f>
        <v>61646.96</v>
      </c>
      <c r="I8" s="19">
        <f>20775.82+28287.97</f>
        <v>49063.79</v>
      </c>
      <c r="J8" s="19">
        <f>27175.12+31128.9</f>
        <v>58304.020000000004</v>
      </c>
      <c r="K8" s="19">
        <f>32147.88+22308.17</f>
        <v>54456.05</v>
      </c>
      <c r="L8" s="19">
        <f>9054+8299.5</f>
        <v>17353.5</v>
      </c>
      <c r="M8" s="19">
        <f>3501.05+7293.5</f>
        <v>10794.55</v>
      </c>
      <c r="N8" s="19">
        <f>5197.5</f>
        <v>5197.5</v>
      </c>
      <c r="O8" s="19">
        <f>3150.85+5260</f>
        <v>8410.85</v>
      </c>
      <c r="P8" s="19"/>
      <c r="Q8" s="19"/>
      <c r="R8" s="31"/>
      <c r="S8" s="31">
        <f t="shared" si="0"/>
        <v>376702.19999999995</v>
      </c>
    </row>
    <row r="9" spans="1:19" ht="15.75" x14ac:dyDescent="0.25">
      <c r="A9" s="13" t="s">
        <v>32</v>
      </c>
      <c r="B9" s="15"/>
      <c r="C9" s="16">
        <v>60000</v>
      </c>
      <c r="D9" s="89">
        <f t="shared" si="1"/>
        <v>0</v>
      </c>
      <c r="E9" s="90">
        <f t="shared" si="2"/>
        <v>60000</v>
      </c>
      <c r="F9" s="19"/>
      <c r="G9" s="19"/>
      <c r="H9" s="19"/>
      <c r="I9" s="19"/>
      <c r="J9" s="19"/>
      <c r="K9" s="19"/>
      <c r="L9" s="19"/>
      <c r="M9" s="19"/>
      <c r="N9" s="19"/>
      <c r="O9" s="19"/>
      <c r="P9" s="19"/>
      <c r="Q9" s="19"/>
      <c r="R9" s="31"/>
      <c r="S9" s="31">
        <f t="shared" si="0"/>
        <v>0</v>
      </c>
    </row>
    <row r="10" spans="1:19" ht="15.75" x14ac:dyDescent="0.25">
      <c r="A10" s="20" t="s">
        <v>149</v>
      </c>
      <c r="B10" s="15"/>
      <c r="C10" s="16">
        <v>23000</v>
      </c>
      <c r="D10" s="89">
        <f t="shared" si="1"/>
        <v>0</v>
      </c>
      <c r="E10" s="90">
        <f t="shared" si="2"/>
        <v>23000</v>
      </c>
      <c r="F10" s="19"/>
      <c r="G10" s="19"/>
      <c r="H10" s="19"/>
      <c r="I10" s="19"/>
      <c r="J10" s="19"/>
      <c r="K10" s="19"/>
      <c r="L10" s="19"/>
      <c r="M10" s="19"/>
      <c r="N10" s="19"/>
      <c r="O10" s="19"/>
      <c r="P10" s="19"/>
      <c r="Q10" s="19"/>
      <c r="R10" s="31"/>
      <c r="S10" s="31">
        <f t="shared" si="0"/>
        <v>0</v>
      </c>
    </row>
    <row r="11" spans="1:19" ht="16.5" thickBot="1" x14ac:dyDescent="0.3">
      <c r="A11" s="25"/>
      <c r="B11" s="27">
        <f>SUM(B3:B10)</f>
        <v>0</v>
      </c>
      <c r="C11" s="27">
        <f>SUM(C3:C10)</f>
        <v>200000</v>
      </c>
      <c r="D11" s="27">
        <f t="shared" ref="D11:Q11" si="3">SUM(D3:D10)</f>
        <v>424109.19999999995</v>
      </c>
      <c r="E11" s="27">
        <f t="shared" si="3"/>
        <v>-224109.19999999995</v>
      </c>
      <c r="F11" s="27">
        <f t="shared" si="3"/>
        <v>40716.26</v>
      </c>
      <c r="G11" s="27">
        <f t="shared" si="3"/>
        <v>71908.72</v>
      </c>
      <c r="H11" s="27">
        <f t="shared" si="3"/>
        <v>61646.96</v>
      </c>
      <c r="I11" s="27">
        <f t="shared" si="3"/>
        <v>49063.79</v>
      </c>
      <c r="J11" s="27">
        <f t="shared" si="3"/>
        <v>90861.02</v>
      </c>
      <c r="K11" s="27">
        <f t="shared" si="3"/>
        <v>55606.05</v>
      </c>
      <c r="L11" s="27">
        <f t="shared" si="3"/>
        <v>29903.5</v>
      </c>
      <c r="M11" s="27">
        <f t="shared" si="3"/>
        <v>10794.55</v>
      </c>
      <c r="N11" s="27">
        <f t="shared" si="3"/>
        <v>5197.5</v>
      </c>
      <c r="O11" s="27">
        <f t="shared" si="3"/>
        <v>8410.85</v>
      </c>
      <c r="P11" s="27">
        <f t="shared" si="3"/>
        <v>0</v>
      </c>
      <c r="Q11" s="27">
        <f t="shared" si="3"/>
        <v>0</v>
      </c>
      <c r="R11" s="26" t="s">
        <v>25</v>
      </c>
      <c r="S11" s="67">
        <f>SUM(S3:S10)</f>
        <v>424109.19999999995</v>
      </c>
    </row>
    <row r="13" spans="1:19" ht="38.25" thickBot="1" x14ac:dyDescent="0.55000000000000004">
      <c r="A13" s="30"/>
      <c r="B13" s="32"/>
    </row>
    <row r="14" spans="1:19" ht="16.5" thickBot="1" x14ac:dyDescent="0.3">
      <c r="A14" s="136" t="s">
        <v>175</v>
      </c>
      <c r="B14" s="299" t="s">
        <v>188</v>
      </c>
      <c r="C14" s="300"/>
      <c r="D14" s="300"/>
      <c r="E14" s="301"/>
      <c r="F14" s="299" t="s">
        <v>114</v>
      </c>
      <c r="G14" s="300"/>
      <c r="H14" s="301"/>
      <c r="I14" s="137" t="s">
        <v>113</v>
      </c>
      <c r="J14" s="138"/>
    </row>
    <row r="15" spans="1:19" ht="33" customHeight="1" x14ac:dyDescent="0.25">
      <c r="A15" s="163" t="s">
        <v>19</v>
      </c>
      <c r="B15" s="350" t="s">
        <v>237</v>
      </c>
      <c r="C15" s="351"/>
      <c r="D15" s="351"/>
      <c r="E15" s="352"/>
      <c r="F15" s="350" t="s">
        <v>244</v>
      </c>
      <c r="G15" s="370"/>
      <c r="H15" s="413"/>
      <c r="I15" s="588">
        <v>3124</v>
      </c>
      <c r="J15" s="589"/>
    </row>
    <row r="16" spans="1:19" ht="30.75" customHeight="1" x14ac:dyDescent="0.25">
      <c r="A16" s="163" t="s">
        <v>19</v>
      </c>
      <c r="B16" s="350" t="s">
        <v>245</v>
      </c>
      <c r="C16" s="351"/>
      <c r="D16" s="351"/>
      <c r="E16" s="352"/>
      <c r="F16" s="350" t="s">
        <v>246</v>
      </c>
      <c r="G16" s="370"/>
      <c r="H16" s="413"/>
      <c r="I16" s="588">
        <v>4200</v>
      </c>
      <c r="J16" s="589"/>
    </row>
    <row r="17" spans="1:10" ht="30" customHeight="1" x14ac:dyDescent="0.25">
      <c r="A17" s="163" t="s">
        <v>19</v>
      </c>
      <c r="B17" s="350" t="s">
        <v>249</v>
      </c>
      <c r="C17" s="351"/>
      <c r="D17" s="351"/>
      <c r="E17" s="352"/>
      <c r="F17" s="350" t="s">
        <v>251</v>
      </c>
      <c r="G17" s="370"/>
      <c r="H17" s="413"/>
      <c r="I17" s="588">
        <v>8595</v>
      </c>
      <c r="J17" s="589"/>
    </row>
    <row r="18" spans="1:10" ht="30" customHeight="1" x14ac:dyDescent="0.25">
      <c r="A18" s="163" t="s">
        <v>19</v>
      </c>
      <c r="B18" s="350" t="s">
        <v>250</v>
      </c>
      <c r="C18" s="351"/>
      <c r="D18" s="351"/>
      <c r="E18" s="352"/>
      <c r="F18" s="350" t="s">
        <v>252</v>
      </c>
      <c r="G18" s="370"/>
      <c r="H18" s="413"/>
      <c r="I18" s="588">
        <v>638</v>
      </c>
      <c r="J18" s="589"/>
    </row>
    <row r="19" spans="1:10" ht="30" customHeight="1" x14ac:dyDescent="0.25">
      <c r="A19" s="163" t="s">
        <v>173</v>
      </c>
      <c r="B19" s="263" t="s">
        <v>264</v>
      </c>
      <c r="C19" s="319"/>
      <c r="D19" s="319"/>
      <c r="E19" s="294"/>
      <c r="F19" s="263" t="s">
        <v>265</v>
      </c>
      <c r="G19" s="319"/>
      <c r="H19" s="294"/>
      <c r="I19" s="311">
        <v>16000</v>
      </c>
      <c r="J19" s="312"/>
    </row>
    <row r="20" spans="1:10" ht="30" customHeight="1" x14ac:dyDescent="0.25">
      <c r="A20" s="163"/>
      <c r="B20" s="263"/>
      <c r="C20" s="319"/>
      <c r="D20" s="319"/>
      <c r="E20" s="294"/>
      <c r="F20" s="263"/>
      <c r="G20" s="319"/>
      <c r="H20" s="294"/>
      <c r="I20" s="311"/>
      <c r="J20" s="312"/>
    </row>
    <row r="21" spans="1:10" x14ac:dyDescent="0.25">
      <c r="A21" s="162"/>
      <c r="B21" s="276"/>
      <c r="C21" s="277"/>
      <c r="D21" s="277"/>
      <c r="E21" s="278"/>
      <c r="F21" s="284"/>
      <c r="G21" s="321"/>
      <c r="H21" s="285"/>
      <c r="I21" s="311"/>
      <c r="J21" s="312"/>
    </row>
    <row r="22" spans="1:10" ht="15.75" thickBot="1" x14ac:dyDescent="0.3">
      <c r="A22" s="163"/>
      <c r="B22" s="350"/>
      <c r="C22" s="351"/>
      <c r="D22" s="351"/>
      <c r="E22" s="352"/>
      <c r="F22" s="377"/>
      <c r="G22" s="370"/>
      <c r="H22" s="413"/>
      <c r="I22" s="588"/>
      <c r="J22" s="589"/>
    </row>
    <row r="23" spans="1:10" ht="15.75" thickBot="1" x14ac:dyDescent="0.3">
      <c r="A23" s="85"/>
      <c r="B23" s="269"/>
      <c r="C23" s="270"/>
      <c r="D23" s="270"/>
      <c r="E23" s="271"/>
      <c r="F23" s="272" t="s">
        <v>116</v>
      </c>
      <c r="G23" s="273"/>
      <c r="H23" s="391"/>
      <c r="I23" s="274">
        <f>SUM(I15:K22)</f>
        <v>32557</v>
      </c>
      <c r="J23" s="275"/>
    </row>
    <row r="25" spans="1:10" ht="15.75" thickBot="1" x14ac:dyDescent="0.3"/>
    <row r="26" spans="1:10" ht="16.5" thickBot="1" x14ac:dyDescent="0.3">
      <c r="A26" s="136" t="s">
        <v>112</v>
      </c>
      <c r="B26" s="299" t="s">
        <v>315</v>
      </c>
      <c r="C26" s="300"/>
      <c r="D26" s="300"/>
      <c r="E26" s="301"/>
      <c r="F26" s="299" t="s">
        <v>114</v>
      </c>
      <c r="G26" s="300"/>
      <c r="H26" s="301"/>
      <c r="I26" s="137" t="s">
        <v>113</v>
      </c>
      <c r="J26" s="138"/>
    </row>
    <row r="27" spans="1:10" ht="30.75" customHeight="1" x14ac:dyDescent="0.25">
      <c r="A27" s="163" t="s">
        <v>369</v>
      </c>
      <c r="B27" s="350" t="s">
        <v>370</v>
      </c>
      <c r="C27" s="351"/>
      <c r="D27" s="351"/>
      <c r="E27" s="352"/>
      <c r="F27" s="350" t="s">
        <v>330</v>
      </c>
      <c r="G27" s="370"/>
      <c r="H27" s="413"/>
      <c r="I27" s="588">
        <v>1150</v>
      </c>
      <c r="J27" s="589"/>
    </row>
    <row r="28" spans="1:10" x14ac:dyDescent="0.25">
      <c r="A28" s="163" t="s">
        <v>369</v>
      </c>
      <c r="B28" s="350" t="s">
        <v>628</v>
      </c>
      <c r="C28" s="351"/>
      <c r="D28" s="351"/>
      <c r="E28" s="352"/>
      <c r="F28" s="350" t="s">
        <v>627</v>
      </c>
      <c r="G28" s="370"/>
      <c r="H28" s="413"/>
      <c r="I28" s="588">
        <v>1150</v>
      </c>
      <c r="J28" s="589"/>
    </row>
    <row r="29" spans="1:10" ht="45" customHeight="1" x14ac:dyDescent="0.25">
      <c r="A29" s="163" t="s">
        <v>369</v>
      </c>
      <c r="B29" s="350" t="s">
        <v>693</v>
      </c>
      <c r="C29" s="351"/>
      <c r="D29" s="351"/>
      <c r="E29" s="352"/>
      <c r="F29" s="350" t="s">
        <v>691</v>
      </c>
      <c r="G29" s="370"/>
      <c r="H29" s="413"/>
      <c r="I29" s="588">
        <v>12550</v>
      </c>
      <c r="J29" s="589"/>
    </row>
    <row r="30" spans="1:10" x14ac:dyDescent="0.25">
      <c r="A30" s="163"/>
      <c r="B30" s="350"/>
      <c r="C30" s="351"/>
      <c r="D30" s="351"/>
      <c r="E30" s="352"/>
      <c r="F30" s="350"/>
      <c r="G30" s="370"/>
      <c r="H30" s="413"/>
      <c r="I30" s="588"/>
      <c r="J30" s="589"/>
    </row>
    <row r="31" spans="1:10" x14ac:dyDescent="0.25">
      <c r="A31" s="163"/>
      <c r="B31" s="263"/>
      <c r="C31" s="319"/>
      <c r="D31" s="319"/>
      <c r="E31" s="294"/>
      <c r="F31" s="263"/>
      <c r="G31" s="319"/>
      <c r="H31" s="294"/>
      <c r="I31" s="311"/>
      <c r="J31" s="312"/>
    </row>
    <row r="32" spans="1:10" x14ac:dyDescent="0.25">
      <c r="A32" s="163"/>
      <c r="B32" s="263"/>
      <c r="C32" s="319"/>
      <c r="D32" s="319"/>
      <c r="E32" s="294"/>
      <c r="F32" s="263"/>
      <c r="G32" s="319"/>
      <c r="H32" s="294"/>
      <c r="I32" s="311"/>
      <c r="J32" s="312"/>
    </row>
    <row r="33" spans="1:10" x14ac:dyDescent="0.25">
      <c r="A33" s="162"/>
      <c r="B33" s="276"/>
      <c r="C33" s="277"/>
      <c r="D33" s="277"/>
      <c r="E33" s="278"/>
      <c r="F33" s="284"/>
      <c r="G33" s="321"/>
      <c r="H33" s="285"/>
      <c r="I33" s="311"/>
      <c r="J33" s="312"/>
    </row>
    <row r="34" spans="1:10" ht="15.75" thickBot="1" x14ac:dyDescent="0.3">
      <c r="A34" s="163"/>
      <c r="B34" s="350"/>
      <c r="C34" s="351"/>
      <c r="D34" s="351"/>
      <c r="E34" s="352"/>
      <c r="F34" s="377"/>
      <c r="G34" s="370"/>
      <c r="H34" s="413"/>
      <c r="I34" s="588"/>
      <c r="J34" s="589"/>
    </row>
    <row r="35" spans="1:10" ht="15.75" thickBot="1" x14ac:dyDescent="0.3">
      <c r="A35" s="85"/>
      <c r="B35" s="269"/>
      <c r="C35" s="270"/>
      <c r="D35" s="270"/>
      <c r="E35" s="271"/>
      <c r="F35" s="272" t="s">
        <v>116</v>
      </c>
      <c r="G35" s="273"/>
      <c r="H35" s="391"/>
      <c r="I35" s="274">
        <f>SUM(I27:K34)</f>
        <v>14850</v>
      </c>
      <c r="J35" s="275"/>
    </row>
  </sheetData>
  <mergeCells count="58">
    <mergeCell ref="B23:E23"/>
    <mergeCell ref="F23:H23"/>
    <mergeCell ref="I23:J23"/>
    <mergeCell ref="B21:E21"/>
    <mergeCell ref="F21:H21"/>
    <mergeCell ref="I21:J21"/>
    <mergeCell ref="B22:E22"/>
    <mergeCell ref="F22:H22"/>
    <mergeCell ref="I22:J22"/>
    <mergeCell ref="B17:E17"/>
    <mergeCell ref="F17:H17"/>
    <mergeCell ref="I17:J17"/>
    <mergeCell ref="B18:E18"/>
    <mergeCell ref="F18:H18"/>
    <mergeCell ref="I18:J18"/>
    <mergeCell ref="B16:E16"/>
    <mergeCell ref="F16:H16"/>
    <mergeCell ref="I16:J16"/>
    <mergeCell ref="B14:E14"/>
    <mergeCell ref="F14:H14"/>
    <mergeCell ref="B15:E15"/>
    <mergeCell ref="F15:H15"/>
    <mergeCell ref="I15:J15"/>
    <mergeCell ref="B19:E19"/>
    <mergeCell ref="F19:H19"/>
    <mergeCell ref="I19:J19"/>
    <mergeCell ref="F20:H20"/>
    <mergeCell ref="I20:J20"/>
    <mergeCell ref="B20:E20"/>
    <mergeCell ref="B26:E26"/>
    <mergeCell ref="F26:H26"/>
    <mergeCell ref="B27:E27"/>
    <mergeCell ref="F27:H27"/>
    <mergeCell ref="I27:J27"/>
    <mergeCell ref="B28:E28"/>
    <mergeCell ref="F28:H28"/>
    <mergeCell ref="I28:J28"/>
    <mergeCell ref="B29:E29"/>
    <mergeCell ref="F29:H29"/>
    <mergeCell ref="I29:J29"/>
    <mergeCell ref="B30:E30"/>
    <mergeCell ref="F30:H30"/>
    <mergeCell ref="I30:J30"/>
    <mergeCell ref="B31:E31"/>
    <mergeCell ref="F31:H31"/>
    <mergeCell ref="I31:J31"/>
    <mergeCell ref="B32:E32"/>
    <mergeCell ref="F32:H32"/>
    <mergeCell ref="I32:J32"/>
    <mergeCell ref="B33:E33"/>
    <mergeCell ref="F33:H33"/>
    <mergeCell ref="I33:J33"/>
    <mergeCell ref="B34:E34"/>
    <mergeCell ref="F34:H34"/>
    <mergeCell ref="I34:J34"/>
    <mergeCell ref="B35:E35"/>
    <mergeCell ref="F35:H35"/>
    <mergeCell ref="I35:J3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32397-5671-4928-A150-7D2242E7F5AA}">
  <dimension ref="A1:S21"/>
  <sheetViews>
    <sheetView workbookViewId="0">
      <selection activeCell="N17" sqref="N17"/>
    </sheetView>
  </sheetViews>
  <sheetFormatPr defaultRowHeight="15" x14ac:dyDescent="0.25"/>
  <cols>
    <col min="1" max="1" width="36.7109375" customWidth="1"/>
    <col min="2" max="2" width="16.7109375" hidden="1" customWidth="1"/>
    <col min="3" max="3" width="15.7109375" customWidth="1"/>
    <col min="4" max="4" width="15.42578125" customWidth="1"/>
    <col min="5" max="5" width="17.42578125" customWidth="1"/>
    <col min="6" max="6" width="11.140625" customWidth="1"/>
    <col min="7" max="9" width="10.28515625" customWidth="1"/>
    <col min="10" max="10" width="11.28515625" customWidth="1"/>
    <col min="11" max="12" width="10.28515625" customWidth="1"/>
    <col min="13" max="13" width="10.28515625" bestFit="1" customWidth="1"/>
    <col min="14" max="15" width="11.28515625" bestFit="1" customWidth="1"/>
    <col min="16" max="16" width="11" customWidth="1"/>
    <col min="17" max="17" width="13.42578125" customWidth="1"/>
    <col min="18" max="18" width="11.28515625" customWidth="1"/>
    <col min="19" max="19" width="13.28515625" customWidth="1"/>
  </cols>
  <sheetData>
    <row r="1" spans="1:19" ht="72.75" customHeight="1" thickBot="1" x14ac:dyDescent="0.3">
      <c r="A1" s="1"/>
      <c r="B1" s="3" t="s">
        <v>127</v>
      </c>
      <c r="C1" s="4" t="s">
        <v>124</v>
      </c>
      <c r="D1" s="5" t="s">
        <v>2</v>
      </c>
      <c r="E1" s="6" t="s">
        <v>3</v>
      </c>
      <c r="F1" s="7" t="s">
        <v>4</v>
      </c>
      <c r="G1" s="8" t="s">
        <v>5</v>
      </c>
      <c r="H1" s="8" t="s">
        <v>6</v>
      </c>
      <c r="I1" s="8" t="s">
        <v>7</v>
      </c>
      <c r="J1" s="8" t="s">
        <v>8</v>
      </c>
      <c r="K1" s="8" t="s">
        <v>9</v>
      </c>
      <c r="L1" s="8" t="s">
        <v>10</v>
      </c>
      <c r="M1" s="8" t="s">
        <v>11</v>
      </c>
      <c r="N1" s="8" t="s">
        <v>12</v>
      </c>
      <c r="O1" s="8" t="s">
        <v>13</v>
      </c>
      <c r="P1" s="8" t="s">
        <v>14</v>
      </c>
      <c r="Q1" s="9" t="s">
        <v>15</v>
      </c>
      <c r="R1" s="66"/>
      <c r="S1" s="10" t="s">
        <v>16</v>
      </c>
    </row>
    <row r="2" spans="1:19" ht="16.5" thickBot="1" x14ac:dyDescent="0.3">
      <c r="A2" s="60" t="s">
        <v>805</v>
      </c>
      <c r="B2" s="86"/>
      <c r="C2" s="61"/>
      <c r="D2" s="91" t="s">
        <v>17</v>
      </c>
      <c r="E2" s="92"/>
      <c r="F2" s="57"/>
      <c r="G2" s="106"/>
      <c r="H2" s="57"/>
      <c r="I2" s="88"/>
      <c r="J2" s="57"/>
      <c r="K2" s="88"/>
      <c r="L2" s="57"/>
      <c r="M2" s="88"/>
      <c r="N2" s="57"/>
      <c r="O2" s="88"/>
      <c r="P2" s="57"/>
      <c r="Q2" s="12"/>
      <c r="R2" s="106"/>
      <c r="S2" s="57"/>
    </row>
    <row r="3" spans="1:19" ht="15.75" x14ac:dyDescent="0.25">
      <c r="A3" s="94" t="s">
        <v>29</v>
      </c>
      <c r="B3" s="58"/>
      <c r="C3" s="59">
        <f>59910+154750</f>
        <v>214660</v>
      </c>
      <c r="D3" s="89">
        <f>SUM(F3:Q3)</f>
        <v>141972</v>
      </c>
      <c r="E3" s="90">
        <f>B3+C3-D3</f>
        <v>72688</v>
      </c>
      <c r="F3" s="53"/>
      <c r="G3" s="53"/>
      <c r="H3" s="53"/>
      <c r="I3" s="53"/>
      <c r="J3" s="53"/>
      <c r="K3" s="53"/>
      <c r="L3" s="53"/>
      <c r="M3" s="53"/>
      <c r="N3" s="53">
        <v>8492</v>
      </c>
      <c r="O3" s="53">
        <f>33480+100000</f>
        <v>133480</v>
      </c>
      <c r="P3" s="53"/>
      <c r="Q3" s="53"/>
      <c r="R3" s="31"/>
      <c r="S3" s="31">
        <f>SUM(F3:Q3)</f>
        <v>141972</v>
      </c>
    </row>
    <row r="4" spans="1:19" ht="15.75" x14ac:dyDescent="0.25">
      <c r="A4" s="94" t="s">
        <v>173</v>
      </c>
      <c r="B4" s="58"/>
      <c r="C4" s="59"/>
      <c r="D4" s="89">
        <f>SUM(F4:Q4)</f>
        <v>53632</v>
      </c>
      <c r="E4" s="90">
        <f>B4+C4-D4</f>
        <v>-53632</v>
      </c>
      <c r="F4" s="53"/>
      <c r="G4" s="53"/>
      <c r="H4" s="53"/>
      <c r="I4" s="53"/>
      <c r="J4" s="53"/>
      <c r="K4" s="53"/>
      <c r="L4" s="53"/>
      <c r="M4" s="53"/>
      <c r="N4" s="53">
        <f>19600+552</f>
        <v>20152</v>
      </c>
      <c r="O4" s="53">
        <f>33480</f>
        <v>33480</v>
      </c>
      <c r="P4" s="53"/>
      <c r="Q4" s="53"/>
      <c r="R4" s="31"/>
      <c r="S4" s="31">
        <f>SUM(F4:Q4)</f>
        <v>53632</v>
      </c>
    </row>
    <row r="5" spans="1:19" ht="15.75" x14ac:dyDescent="0.25">
      <c r="A5" s="13" t="s">
        <v>31</v>
      </c>
      <c r="B5" s="15"/>
      <c r="C5" s="16">
        <v>45000</v>
      </c>
      <c r="D5" s="89">
        <f t="shared" ref="D5:D8" si="0">SUM(F5:Q5)</f>
        <v>14382</v>
      </c>
      <c r="E5" s="90">
        <f t="shared" ref="E5:E8" si="1">B5+C5-D5</f>
        <v>30618</v>
      </c>
      <c r="F5" s="19"/>
      <c r="G5" s="19"/>
      <c r="H5" s="19"/>
      <c r="I5" s="19"/>
      <c r="J5" s="19"/>
      <c r="K5" s="19"/>
      <c r="L5" s="19"/>
      <c r="M5" s="19"/>
      <c r="N5" s="19">
        <f>14382</f>
        <v>14382</v>
      </c>
      <c r="O5" s="19"/>
      <c r="P5" s="19"/>
      <c r="Q5" s="19"/>
      <c r="R5" s="31"/>
      <c r="S5" s="31">
        <f t="shared" ref="S5:S8" si="2">SUM(F5:Q5)</f>
        <v>14382</v>
      </c>
    </row>
    <row r="6" spans="1:19" ht="15.75" x14ac:dyDescent="0.25">
      <c r="A6" s="13" t="s">
        <v>804</v>
      </c>
      <c r="B6" s="15"/>
      <c r="C6" s="16"/>
      <c r="D6" s="89">
        <f t="shared" si="0"/>
        <v>96123.09</v>
      </c>
      <c r="E6" s="90">
        <f t="shared" si="1"/>
        <v>-96123.09</v>
      </c>
      <c r="F6" s="19">
        <f>4508.91+5533.99</f>
        <v>10042.9</v>
      </c>
      <c r="G6" s="19">
        <f>5030+5030</f>
        <v>10060</v>
      </c>
      <c r="H6" s="19">
        <f>5030+5533.99</f>
        <v>10563.99</v>
      </c>
      <c r="I6" s="19">
        <f>3521+4720.75</f>
        <v>8241.75</v>
      </c>
      <c r="J6" s="19">
        <f>4527+5030</f>
        <v>9557</v>
      </c>
      <c r="K6" s="19">
        <f>5533+3997.75</f>
        <v>9530.75</v>
      </c>
      <c r="L6" s="19">
        <f>6036+5030</f>
        <v>11066</v>
      </c>
      <c r="M6" s="19">
        <f>3521+5533</f>
        <v>9054</v>
      </c>
      <c r="N6" s="19">
        <f>5533</f>
        <v>5533</v>
      </c>
      <c r="O6" s="19">
        <v>12473.7</v>
      </c>
      <c r="P6" s="19"/>
      <c r="Q6" s="19"/>
      <c r="R6" s="19"/>
      <c r="S6" s="31">
        <f t="shared" si="2"/>
        <v>96123.09</v>
      </c>
    </row>
    <row r="7" spans="1:19" ht="14.25" customHeight="1" x14ac:dyDescent="0.25">
      <c r="A7" s="13" t="s">
        <v>32</v>
      </c>
      <c r="B7" s="15"/>
      <c r="C7" s="16">
        <f>149910+450000</f>
        <v>599910</v>
      </c>
      <c r="D7" s="89">
        <f t="shared" si="0"/>
        <v>0</v>
      </c>
      <c r="E7" s="90">
        <f t="shared" si="1"/>
        <v>599910</v>
      </c>
      <c r="F7" s="19"/>
      <c r="G7" s="19"/>
      <c r="H7" s="19"/>
      <c r="I7" s="19"/>
      <c r="J7" s="19"/>
      <c r="K7" s="19"/>
      <c r="L7" s="19"/>
      <c r="M7" s="19"/>
      <c r="N7" s="19"/>
      <c r="O7" s="19"/>
      <c r="P7" s="19"/>
      <c r="Q7" s="19"/>
      <c r="R7" s="33"/>
      <c r="S7" s="31">
        <f t="shared" si="2"/>
        <v>0</v>
      </c>
    </row>
    <row r="8" spans="1:19" ht="15.75" x14ac:dyDescent="0.25">
      <c r="A8" s="13" t="s">
        <v>21</v>
      </c>
      <c r="B8" s="41"/>
      <c r="C8" s="72">
        <v>550000</v>
      </c>
      <c r="D8" s="89">
        <f t="shared" si="0"/>
        <v>3050</v>
      </c>
      <c r="E8" s="90">
        <f t="shared" si="1"/>
        <v>546950</v>
      </c>
      <c r="F8" s="42"/>
      <c r="G8" s="42"/>
      <c r="H8" s="42">
        <f>3050</f>
        <v>3050</v>
      </c>
      <c r="I8" s="42"/>
      <c r="J8" s="42"/>
      <c r="K8" s="42"/>
      <c r="L8" s="42"/>
      <c r="M8" s="42"/>
      <c r="N8" s="42"/>
      <c r="O8" s="42"/>
      <c r="P8" s="42"/>
      <c r="Q8" s="42"/>
      <c r="R8" s="19"/>
      <c r="S8" s="31">
        <f t="shared" si="2"/>
        <v>3050</v>
      </c>
    </row>
    <row r="9" spans="1:19" ht="16.5" thickBot="1" x14ac:dyDescent="0.3">
      <c r="A9" s="25"/>
      <c r="B9" s="27">
        <f>SUM(B3:B7)</f>
        <v>0</v>
      </c>
      <c r="C9" s="27">
        <f>SUM(C3:C8)</f>
        <v>1409570</v>
      </c>
      <c r="D9" s="27">
        <f t="shared" ref="D9:E9" si="3">SUM(D3:D8)</f>
        <v>309159.08999999997</v>
      </c>
      <c r="E9" s="27">
        <f t="shared" si="3"/>
        <v>1100410.9100000001</v>
      </c>
      <c r="F9" s="27">
        <f t="shared" ref="F9:Q9" si="4">SUM(F3:F7)</f>
        <v>10042.9</v>
      </c>
      <c r="G9" s="27">
        <f t="shared" si="4"/>
        <v>10060</v>
      </c>
      <c r="H9" s="27">
        <f t="shared" si="4"/>
        <v>10563.99</v>
      </c>
      <c r="I9" s="27">
        <f t="shared" si="4"/>
        <v>8241.75</v>
      </c>
      <c r="J9" s="27">
        <f t="shared" si="4"/>
        <v>9557</v>
      </c>
      <c r="K9" s="27">
        <f t="shared" si="4"/>
        <v>9530.75</v>
      </c>
      <c r="L9" s="27">
        <f t="shared" si="4"/>
        <v>11066</v>
      </c>
      <c r="M9" s="27">
        <f t="shared" si="4"/>
        <v>9054</v>
      </c>
      <c r="N9" s="27">
        <f t="shared" si="4"/>
        <v>48559</v>
      </c>
      <c r="O9" s="27">
        <f t="shared" si="4"/>
        <v>179433.7</v>
      </c>
      <c r="P9" s="27">
        <f t="shared" si="4"/>
        <v>0</v>
      </c>
      <c r="Q9" s="27">
        <f t="shared" si="4"/>
        <v>0</v>
      </c>
      <c r="R9" s="26" t="s">
        <v>25</v>
      </c>
      <c r="S9" s="67">
        <f>SUM(S3:S7)</f>
        <v>306109.08999999997</v>
      </c>
    </row>
    <row r="11" spans="1:19" ht="15.75" thickBot="1" x14ac:dyDescent="0.3"/>
    <row r="12" spans="1:19" ht="16.5" thickBot="1" x14ac:dyDescent="0.3">
      <c r="A12" s="136" t="s">
        <v>175</v>
      </c>
      <c r="B12" s="299" t="s">
        <v>188</v>
      </c>
      <c r="C12" s="300"/>
      <c r="D12" s="300"/>
      <c r="E12" s="301"/>
      <c r="F12" s="299" t="s">
        <v>114</v>
      </c>
      <c r="G12" s="300"/>
      <c r="H12" s="301"/>
      <c r="I12" s="137" t="s">
        <v>113</v>
      </c>
      <c r="J12" s="138"/>
    </row>
    <row r="13" spans="1:19" ht="30" customHeight="1" x14ac:dyDescent="0.25">
      <c r="A13" s="163" t="s">
        <v>505</v>
      </c>
      <c r="B13" s="350" t="s">
        <v>506</v>
      </c>
      <c r="C13" s="351"/>
      <c r="D13" s="351"/>
      <c r="E13" s="352"/>
      <c r="F13" s="350" t="s">
        <v>507</v>
      </c>
      <c r="G13" s="370"/>
      <c r="H13" s="413"/>
      <c r="I13" s="588">
        <v>117975</v>
      </c>
      <c r="J13" s="589"/>
    </row>
    <row r="14" spans="1:19" ht="30.75" customHeight="1" x14ac:dyDescent="0.25">
      <c r="A14" s="163" t="s">
        <v>19</v>
      </c>
      <c r="B14" s="350" t="s">
        <v>785</v>
      </c>
      <c r="C14" s="351"/>
      <c r="D14" s="351"/>
      <c r="E14" s="352"/>
      <c r="F14" s="350" t="s">
        <v>786</v>
      </c>
      <c r="G14" s="370"/>
      <c r="H14" s="413"/>
      <c r="I14" s="588">
        <v>28092</v>
      </c>
      <c r="J14" s="589"/>
    </row>
    <row r="15" spans="1:19" ht="31.5" customHeight="1" x14ac:dyDescent="0.25">
      <c r="A15" s="163" t="s">
        <v>828</v>
      </c>
      <c r="B15" s="350" t="s">
        <v>836</v>
      </c>
      <c r="C15" s="351"/>
      <c r="D15" s="351"/>
      <c r="E15" s="352"/>
      <c r="F15" s="350" t="s">
        <v>837</v>
      </c>
      <c r="G15" s="370"/>
      <c r="H15" s="413"/>
      <c r="I15" s="588">
        <v>14934</v>
      </c>
      <c r="J15" s="589"/>
    </row>
    <row r="16" spans="1:19" ht="30" customHeight="1" x14ac:dyDescent="0.25">
      <c r="A16" s="163" t="s">
        <v>997</v>
      </c>
      <c r="B16" s="350" t="s">
        <v>998</v>
      </c>
      <c r="C16" s="351"/>
      <c r="D16" s="351"/>
      <c r="E16" s="352"/>
      <c r="F16" s="350" t="s">
        <v>999</v>
      </c>
      <c r="G16" s="370"/>
      <c r="H16" s="413"/>
      <c r="I16" s="588">
        <v>33480</v>
      </c>
      <c r="J16" s="589"/>
    </row>
    <row r="17" spans="1:10" ht="30" customHeight="1" x14ac:dyDescent="0.25">
      <c r="A17" s="163" t="s">
        <v>19</v>
      </c>
      <c r="B17" s="263" t="s">
        <v>1022</v>
      </c>
      <c r="C17" s="319"/>
      <c r="D17" s="319"/>
      <c r="E17" s="294"/>
      <c r="F17" s="263" t="s">
        <v>1023</v>
      </c>
      <c r="G17" s="319"/>
      <c r="H17" s="294"/>
      <c r="I17" s="311">
        <v>100000</v>
      </c>
      <c r="J17" s="312"/>
    </row>
    <row r="18" spans="1:10" x14ac:dyDescent="0.25">
      <c r="A18" s="163"/>
      <c r="B18" s="263"/>
      <c r="C18" s="319"/>
      <c r="D18" s="319"/>
      <c r="E18" s="294"/>
      <c r="F18" s="263"/>
      <c r="G18" s="319"/>
      <c r="H18" s="294"/>
      <c r="I18" s="311"/>
      <c r="J18" s="312"/>
    </row>
    <row r="19" spans="1:10" x14ac:dyDescent="0.25">
      <c r="A19" s="162"/>
      <c r="B19" s="276"/>
      <c r="C19" s="277"/>
      <c r="D19" s="277"/>
      <c r="E19" s="278"/>
      <c r="F19" s="284"/>
      <c r="G19" s="321"/>
      <c r="H19" s="285"/>
      <c r="I19" s="311"/>
      <c r="J19" s="312"/>
    </row>
    <row r="20" spans="1:10" ht="15.75" thickBot="1" x14ac:dyDescent="0.3">
      <c r="A20" s="163"/>
      <c r="B20" s="350"/>
      <c r="C20" s="351"/>
      <c r="D20" s="351"/>
      <c r="E20" s="352"/>
      <c r="F20" s="377"/>
      <c r="G20" s="370"/>
      <c r="H20" s="413"/>
      <c r="I20" s="588"/>
      <c r="J20" s="589"/>
    </row>
    <row r="21" spans="1:10" ht="15.75" thickBot="1" x14ac:dyDescent="0.3">
      <c r="A21" s="85"/>
      <c r="B21" s="269"/>
      <c r="C21" s="270"/>
      <c r="D21" s="270"/>
      <c r="E21" s="271"/>
      <c r="F21" s="272" t="s">
        <v>116</v>
      </c>
      <c r="G21" s="273"/>
      <c r="H21" s="391"/>
      <c r="I21" s="274">
        <f>SUM(I13:K20)</f>
        <v>294481</v>
      </c>
      <c r="J21" s="275"/>
    </row>
  </sheetData>
  <mergeCells count="29">
    <mergeCell ref="B14:E14"/>
    <mergeCell ref="F14:H14"/>
    <mergeCell ref="I14:J14"/>
    <mergeCell ref="B12:E12"/>
    <mergeCell ref="F12:H12"/>
    <mergeCell ref="B13:E13"/>
    <mergeCell ref="F13:H13"/>
    <mergeCell ref="I13:J13"/>
    <mergeCell ref="B15:E15"/>
    <mergeCell ref="F15:H15"/>
    <mergeCell ref="I15:J15"/>
    <mergeCell ref="B16:E16"/>
    <mergeCell ref="F16:H16"/>
    <mergeCell ref="I16:J16"/>
    <mergeCell ref="B17:E17"/>
    <mergeCell ref="F17:H17"/>
    <mergeCell ref="I17:J17"/>
    <mergeCell ref="B18:E18"/>
    <mergeCell ref="F18:H18"/>
    <mergeCell ref="I18:J18"/>
    <mergeCell ref="B21:E21"/>
    <mergeCell ref="F21:H21"/>
    <mergeCell ref="I21:J21"/>
    <mergeCell ref="B19:E19"/>
    <mergeCell ref="F19:H19"/>
    <mergeCell ref="I19:J19"/>
    <mergeCell ref="B20:E20"/>
    <mergeCell ref="F20:H20"/>
    <mergeCell ref="I20:J20"/>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470B4-F785-4CB7-B71C-037B0B66A748}">
  <dimension ref="A1:S42"/>
  <sheetViews>
    <sheetView workbookViewId="0">
      <selection activeCell="O17" sqref="O17"/>
    </sheetView>
  </sheetViews>
  <sheetFormatPr defaultRowHeight="15" x14ac:dyDescent="0.25"/>
  <cols>
    <col min="1" max="1" width="34.7109375" customWidth="1"/>
    <col min="2" max="2" width="16.7109375" hidden="1" customWidth="1"/>
    <col min="3" max="3" width="17.140625" customWidth="1"/>
    <col min="4" max="4" width="18.140625" customWidth="1"/>
    <col min="5" max="5" width="18.5703125" customWidth="1"/>
    <col min="6" max="6" width="10.5703125" customWidth="1"/>
    <col min="7" max="8" width="10.28515625" customWidth="1"/>
    <col min="9" max="9" width="12.42578125" customWidth="1"/>
    <col min="10" max="10" width="11.28515625" customWidth="1"/>
    <col min="11" max="12" width="10.28515625" customWidth="1"/>
    <col min="13" max="13" width="9.28515625" bestFit="1" customWidth="1"/>
    <col min="14" max="14" width="11.28515625" customWidth="1"/>
    <col min="15" max="15" width="10.28515625" bestFit="1" customWidth="1"/>
    <col min="16" max="16" width="12" customWidth="1"/>
    <col min="17" max="18" width="12.42578125" customWidth="1"/>
    <col min="19" max="19" width="14.28515625" customWidth="1"/>
  </cols>
  <sheetData>
    <row r="1" spans="1:19" ht="72.75" customHeight="1" thickBot="1" x14ac:dyDescent="0.3">
      <c r="A1" s="1"/>
      <c r="B1" s="3" t="s">
        <v>122</v>
      </c>
      <c r="C1" s="4" t="s">
        <v>124</v>
      </c>
      <c r="D1" s="5" t="s">
        <v>2</v>
      </c>
      <c r="E1" s="6" t="s">
        <v>3</v>
      </c>
      <c r="F1" s="7" t="s">
        <v>4</v>
      </c>
      <c r="G1" s="8" t="s">
        <v>5</v>
      </c>
      <c r="H1" s="8" t="s">
        <v>6</v>
      </c>
      <c r="I1" s="8" t="s">
        <v>7</v>
      </c>
      <c r="J1" s="8" t="s">
        <v>8</v>
      </c>
      <c r="K1" s="8" t="s">
        <v>9</v>
      </c>
      <c r="L1" s="8" t="s">
        <v>10</v>
      </c>
      <c r="M1" s="8" t="s">
        <v>11</v>
      </c>
      <c r="N1" s="8" t="s">
        <v>12</v>
      </c>
      <c r="O1" s="8" t="s">
        <v>13</v>
      </c>
      <c r="P1" s="8" t="s">
        <v>14</v>
      </c>
      <c r="Q1" s="9" t="s">
        <v>15</v>
      </c>
      <c r="R1" s="66"/>
      <c r="S1" s="10" t="s">
        <v>16</v>
      </c>
    </row>
    <row r="2" spans="1:19" ht="16.5" thickBot="1" x14ac:dyDescent="0.3">
      <c r="A2" s="60" t="s">
        <v>77</v>
      </c>
      <c r="B2" s="86"/>
      <c r="C2" s="61"/>
      <c r="D2" s="91" t="s">
        <v>17</v>
      </c>
      <c r="E2" s="92"/>
      <c r="F2" s="106"/>
      <c r="G2" s="57"/>
      <c r="H2" s="88"/>
      <c r="I2" s="57"/>
      <c r="J2" s="88"/>
      <c r="K2" s="57"/>
      <c r="L2" s="57"/>
      <c r="M2" s="88"/>
      <c r="N2" s="57"/>
      <c r="O2" s="88"/>
      <c r="P2" s="57"/>
      <c r="Q2" s="12"/>
      <c r="R2" s="106"/>
      <c r="S2" s="57"/>
    </row>
    <row r="3" spans="1:19" ht="15.75" x14ac:dyDescent="0.25">
      <c r="A3" s="94" t="s">
        <v>29</v>
      </c>
      <c r="B3" s="58"/>
      <c r="C3" s="59">
        <v>38725</v>
      </c>
      <c r="D3" s="89">
        <f>SUM(F3:Q3)</f>
        <v>26640</v>
      </c>
      <c r="E3" s="90">
        <f>B3+C3-D3</f>
        <v>12085</v>
      </c>
      <c r="F3" s="53"/>
      <c r="G3" s="53"/>
      <c r="H3" s="53"/>
      <c r="I3" s="53"/>
      <c r="J3" s="53">
        <f>15390+11250</f>
        <v>26640</v>
      </c>
      <c r="K3" s="53"/>
      <c r="L3" s="53"/>
      <c r="M3" s="53"/>
      <c r="N3" s="53"/>
      <c r="O3" s="53"/>
      <c r="P3" s="53"/>
      <c r="Q3" s="53"/>
      <c r="R3" s="74"/>
      <c r="S3" s="81">
        <f>SUM(F3:Q3)</f>
        <v>26640</v>
      </c>
    </row>
    <row r="4" spans="1:19" ht="15.75" x14ac:dyDescent="0.25">
      <c r="A4" s="13" t="s">
        <v>103</v>
      </c>
      <c r="B4" s="15"/>
      <c r="C4" s="16">
        <v>400000</v>
      </c>
      <c r="D4" s="89">
        <f t="shared" ref="D4:D9" si="0">SUM(F4:Q4)</f>
        <v>619499.30000000005</v>
      </c>
      <c r="E4" s="90">
        <f t="shared" ref="E4:E9" si="1">B4+C4-D4</f>
        <v>-219499.30000000005</v>
      </c>
      <c r="F4" s="19"/>
      <c r="G4" s="19"/>
      <c r="H4" s="19"/>
      <c r="I4" s="19">
        <f>900+3929.3+89980+75960+76070+364740</f>
        <v>611579.30000000005</v>
      </c>
      <c r="J4" s="19">
        <f>3960</f>
        <v>3960</v>
      </c>
      <c r="K4" s="19"/>
      <c r="L4" s="19">
        <f>3960</f>
        <v>3960</v>
      </c>
      <c r="M4" s="19"/>
      <c r="N4" s="19"/>
      <c r="O4" s="19"/>
      <c r="P4" s="19"/>
      <c r="Q4" s="19"/>
      <c r="R4" s="74"/>
      <c r="S4" s="53">
        <f t="shared" ref="S4:S10" si="2">SUM(F4:Q4)</f>
        <v>619499.30000000005</v>
      </c>
    </row>
    <row r="5" spans="1:19" ht="15.75" x14ac:dyDescent="0.25">
      <c r="A5" s="13" t="s">
        <v>108</v>
      </c>
      <c r="B5" s="15"/>
      <c r="C5" s="16">
        <v>60000</v>
      </c>
      <c r="D5" s="89">
        <f t="shared" si="0"/>
        <v>0</v>
      </c>
      <c r="E5" s="90">
        <f t="shared" si="1"/>
        <v>60000</v>
      </c>
      <c r="F5" s="19"/>
      <c r="G5" s="19"/>
      <c r="H5" s="19"/>
      <c r="I5" s="19"/>
      <c r="J5" s="19"/>
      <c r="K5" s="19"/>
      <c r="L5" s="19"/>
      <c r="M5" s="19"/>
      <c r="N5" s="19"/>
      <c r="O5" s="19"/>
      <c r="P5" s="19"/>
      <c r="Q5" s="19"/>
      <c r="R5" s="74"/>
      <c r="S5" s="53">
        <f t="shared" si="2"/>
        <v>0</v>
      </c>
    </row>
    <row r="6" spans="1:19" ht="15.75" x14ac:dyDescent="0.25">
      <c r="A6" s="13" t="s">
        <v>120</v>
      </c>
      <c r="B6" s="15"/>
      <c r="C6" s="16">
        <v>75000</v>
      </c>
      <c r="D6" s="89">
        <f t="shared" si="0"/>
        <v>0</v>
      </c>
      <c r="E6" s="90">
        <f t="shared" si="1"/>
        <v>75000</v>
      </c>
      <c r="F6" s="19"/>
      <c r="G6" s="19"/>
      <c r="H6" s="19"/>
      <c r="I6" s="19"/>
      <c r="J6" s="19"/>
      <c r="K6" s="19"/>
      <c r="L6" s="19"/>
      <c r="M6" s="19"/>
      <c r="N6" s="19"/>
      <c r="O6" s="19"/>
      <c r="P6" s="19"/>
      <c r="Q6" s="19"/>
      <c r="R6" s="74"/>
      <c r="S6" s="53">
        <f t="shared" si="2"/>
        <v>0</v>
      </c>
    </row>
    <row r="7" spans="1:19" ht="15.75" x14ac:dyDescent="0.25">
      <c r="A7" s="13" t="s">
        <v>34</v>
      </c>
      <c r="B7" s="15"/>
      <c r="C7" s="16">
        <v>332000</v>
      </c>
      <c r="D7" s="89">
        <f t="shared" si="0"/>
        <v>57940</v>
      </c>
      <c r="E7" s="90">
        <f t="shared" si="1"/>
        <v>274060</v>
      </c>
      <c r="F7" s="19"/>
      <c r="G7" s="19"/>
      <c r="H7" s="19"/>
      <c r="I7" s="19"/>
      <c r="J7" s="19">
        <f>24900+11595</f>
        <v>36495</v>
      </c>
      <c r="K7" s="19"/>
      <c r="L7" s="19"/>
      <c r="M7" s="19">
        <f>445</f>
        <v>445</v>
      </c>
      <c r="N7" s="19">
        <f>21000</f>
        <v>21000</v>
      </c>
      <c r="O7" s="19"/>
      <c r="P7" s="19"/>
      <c r="Q7" s="19"/>
      <c r="R7" s="74"/>
      <c r="S7" s="53">
        <f t="shared" si="2"/>
        <v>57940</v>
      </c>
    </row>
    <row r="8" spans="1:19" ht="15.75" x14ac:dyDescent="0.25">
      <c r="A8" s="13" t="s">
        <v>804</v>
      </c>
      <c r="B8" s="15"/>
      <c r="C8" s="16">
        <v>150000</v>
      </c>
      <c r="D8" s="89">
        <f t="shared" si="0"/>
        <v>55463.64</v>
      </c>
      <c r="E8" s="90">
        <f t="shared" si="1"/>
        <v>94536.36</v>
      </c>
      <c r="F8" s="19">
        <f>5014.1+5488.74</f>
        <v>10502.84</v>
      </c>
      <c r="G8" s="19">
        <f>5003.75+4970.15</f>
        <v>9973.9</v>
      </c>
      <c r="H8" s="19">
        <f>4869.35</f>
        <v>4869.3500000000004</v>
      </c>
      <c r="I8" s="19"/>
      <c r="J8" s="19"/>
      <c r="K8" s="19"/>
      <c r="L8" s="19">
        <f>6036+5533</f>
        <v>11569</v>
      </c>
      <c r="M8" s="19">
        <f>3521+5344</f>
        <v>8865</v>
      </c>
      <c r="N8" s="19">
        <f>5533</f>
        <v>5533</v>
      </c>
      <c r="O8" s="19">
        <v>4150.55</v>
      </c>
      <c r="P8" s="19"/>
      <c r="Q8" s="19"/>
      <c r="R8" s="74"/>
      <c r="S8" s="53">
        <f t="shared" si="2"/>
        <v>55463.64</v>
      </c>
    </row>
    <row r="9" spans="1:19" ht="15.75" x14ac:dyDescent="0.25">
      <c r="A9" s="20" t="s">
        <v>21</v>
      </c>
      <c r="B9" s="15"/>
      <c r="C9" s="16">
        <v>349380</v>
      </c>
      <c r="D9" s="89">
        <f t="shared" si="0"/>
        <v>86640</v>
      </c>
      <c r="E9" s="90">
        <f t="shared" si="1"/>
        <v>262740</v>
      </c>
      <c r="F9" s="19"/>
      <c r="G9" s="19"/>
      <c r="H9" s="19"/>
      <c r="I9" s="19"/>
      <c r="J9" s="19"/>
      <c r="K9" s="19"/>
      <c r="L9" s="19"/>
      <c r="M9" s="19"/>
      <c r="N9" s="19">
        <f>52500+32100+2040</f>
        <v>86640</v>
      </c>
      <c r="O9" s="19"/>
      <c r="P9" s="19"/>
      <c r="Q9" s="19"/>
      <c r="R9" s="74"/>
      <c r="S9" s="53">
        <f t="shared" si="2"/>
        <v>86640</v>
      </c>
    </row>
    <row r="10" spans="1:19" ht="16.5" thickBot="1" x14ac:dyDescent="0.3">
      <c r="A10" s="25"/>
      <c r="B10" s="27">
        <f>SUM(B3:B9)</f>
        <v>0</v>
      </c>
      <c r="C10" s="27">
        <f>SUM(C3:C9)</f>
        <v>1405105</v>
      </c>
      <c r="D10" s="27">
        <f t="shared" ref="D10:Q10" si="3">SUM(D3:D9)</f>
        <v>846182.94000000006</v>
      </c>
      <c r="E10" s="27">
        <f t="shared" si="3"/>
        <v>558922.05999999994</v>
      </c>
      <c r="F10" s="27">
        <f t="shared" si="3"/>
        <v>10502.84</v>
      </c>
      <c r="G10" s="27">
        <f t="shared" si="3"/>
        <v>9973.9</v>
      </c>
      <c r="H10" s="27">
        <f t="shared" si="3"/>
        <v>4869.3500000000004</v>
      </c>
      <c r="I10" s="27">
        <f t="shared" si="3"/>
        <v>611579.30000000005</v>
      </c>
      <c r="J10" s="27">
        <f t="shared" si="3"/>
        <v>67095</v>
      </c>
      <c r="K10" s="27">
        <f t="shared" si="3"/>
        <v>0</v>
      </c>
      <c r="L10" s="27">
        <f t="shared" si="3"/>
        <v>15529</v>
      </c>
      <c r="M10" s="27">
        <f t="shared" si="3"/>
        <v>9310</v>
      </c>
      <c r="N10" s="27">
        <f t="shared" si="3"/>
        <v>113173</v>
      </c>
      <c r="O10" s="27">
        <f t="shared" si="3"/>
        <v>4150.55</v>
      </c>
      <c r="P10" s="27">
        <f t="shared" si="3"/>
        <v>0</v>
      </c>
      <c r="Q10" s="27">
        <f t="shared" si="3"/>
        <v>0</v>
      </c>
      <c r="R10" s="26" t="s">
        <v>25</v>
      </c>
      <c r="S10" s="161">
        <f t="shared" si="2"/>
        <v>846182.94000000006</v>
      </c>
    </row>
    <row r="13" spans="1:19" x14ac:dyDescent="0.25">
      <c r="A13" t="s">
        <v>121</v>
      </c>
    </row>
    <row r="14" spans="1:19" ht="38.25" thickBot="1" x14ac:dyDescent="0.55000000000000004">
      <c r="A14" s="30"/>
      <c r="B14" s="32"/>
    </row>
    <row r="15" spans="1:19" ht="16.5" thickBot="1" x14ac:dyDescent="0.3">
      <c r="A15" s="136" t="s">
        <v>175</v>
      </c>
      <c r="B15" s="299" t="s">
        <v>188</v>
      </c>
      <c r="C15" s="300"/>
      <c r="D15" s="300"/>
      <c r="E15" s="301"/>
      <c r="F15" s="299" t="s">
        <v>114</v>
      </c>
      <c r="G15" s="300"/>
      <c r="H15" s="301"/>
      <c r="I15" s="137" t="s">
        <v>113</v>
      </c>
      <c r="J15" s="138"/>
    </row>
    <row r="16" spans="1:19" ht="30.75" customHeight="1" x14ac:dyDescent="0.25">
      <c r="A16" s="163" t="s">
        <v>19</v>
      </c>
      <c r="B16" s="350" t="s">
        <v>189</v>
      </c>
      <c r="C16" s="351"/>
      <c r="D16" s="351"/>
      <c r="E16" s="352"/>
      <c r="F16" s="350" t="s">
        <v>215</v>
      </c>
      <c r="G16" s="370"/>
      <c r="H16" s="413"/>
      <c r="I16" s="373">
        <v>15390</v>
      </c>
      <c r="J16" s="374"/>
    </row>
    <row r="17" spans="1:10" ht="30.75" customHeight="1" x14ac:dyDescent="0.25">
      <c r="A17" s="163" t="s">
        <v>19</v>
      </c>
      <c r="B17" s="350" t="s">
        <v>242</v>
      </c>
      <c r="C17" s="351"/>
      <c r="D17" s="351"/>
      <c r="E17" s="352"/>
      <c r="F17" s="350" t="s">
        <v>243</v>
      </c>
      <c r="G17" s="370"/>
      <c r="H17" s="413"/>
      <c r="I17" s="373">
        <v>11250</v>
      </c>
      <c r="J17" s="374"/>
    </row>
    <row r="18" spans="1:10" ht="30" customHeight="1" x14ac:dyDescent="0.25">
      <c r="A18" s="163" t="s">
        <v>173</v>
      </c>
      <c r="B18" s="350" t="s">
        <v>295</v>
      </c>
      <c r="C18" s="351"/>
      <c r="D18" s="351"/>
      <c r="E18" s="352"/>
      <c r="F18" s="350" t="s">
        <v>296</v>
      </c>
      <c r="G18" s="370"/>
      <c r="H18" s="413"/>
      <c r="I18" s="373">
        <v>11595</v>
      </c>
      <c r="J18" s="374"/>
    </row>
    <row r="19" spans="1:10" ht="30" customHeight="1" x14ac:dyDescent="0.25">
      <c r="A19" s="163" t="s">
        <v>228</v>
      </c>
      <c r="B19" s="350" t="s">
        <v>886</v>
      </c>
      <c r="C19" s="351"/>
      <c r="D19" s="351"/>
      <c r="E19" s="352"/>
      <c r="F19" s="350" t="s">
        <v>887</v>
      </c>
      <c r="G19" s="370"/>
      <c r="H19" s="413"/>
      <c r="I19" s="373">
        <v>52500</v>
      </c>
      <c r="J19" s="374"/>
    </row>
    <row r="20" spans="1:10" ht="30.75" customHeight="1" x14ac:dyDescent="0.25">
      <c r="A20" s="162" t="s">
        <v>888</v>
      </c>
      <c r="B20" s="276" t="s">
        <v>889</v>
      </c>
      <c r="C20" s="277"/>
      <c r="D20" s="277"/>
      <c r="E20" s="278"/>
      <c r="F20" s="276" t="s">
        <v>890</v>
      </c>
      <c r="G20" s="321"/>
      <c r="H20" s="285"/>
      <c r="I20" s="331">
        <v>32100</v>
      </c>
      <c r="J20" s="332"/>
    </row>
    <row r="21" spans="1:10" ht="29.25" customHeight="1" x14ac:dyDescent="0.25">
      <c r="A21" s="163" t="s">
        <v>880</v>
      </c>
      <c r="B21" s="134"/>
      <c r="C21" s="319" t="s">
        <v>891</v>
      </c>
      <c r="D21" s="319"/>
      <c r="E21" s="294"/>
      <c r="F21" s="263" t="s">
        <v>892</v>
      </c>
      <c r="G21" s="264"/>
      <c r="H21" s="265"/>
      <c r="I21" s="331">
        <v>2040</v>
      </c>
      <c r="J21" s="332"/>
    </row>
    <row r="22" spans="1:10" ht="30" customHeight="1" x14ac:dyDescent="0.25">
      <c r="A22" s="163" t="s">
        <v>893</v>
      </c>
      <c r="B22" s="134"/>
      <c r="C22" s="319" t="s">
        <v>894</v>
      </c>
      <c r="D22" s="319"/>
      <c r="E22" s="294"/>
      <c r="F22" s="263" t="s">
        <v>895</v>
      </c>
      <c r="G22" s="264"/>
      <c r="H22" s="265"/>
      <c r="I22" s="331">
        <v>21000</v>
      </c>
      <c r="J22" s="332"/>
    </row>
    <row r="23" spans="1:10" x14ac:dyDescent="0.25">
      <c r="A23" s="163"/>
      <c r="B23" s="134"/>
      <c r="C23" s="385"/>
      <c r="D23" s="385"/>
      <c r="E23" s="386"/>
      <c r="F23" s="581"/>
      <c r="G23" s="590"/>
      <c r="H23" s="582"/>
      <c r="I23" s="331"/>
      <c r="J23" s="332"/>
    </row>
    <row r="24" spans="1:10" x14ac:dyDescent="0.25">
      <c r="A24" s="163"/>
      <c r="B24" s="134"/>
      <c r="C24" s="385"/>
      <c r="D24" s="385"/>
      <c r="E24" s="386"/>
      <c r="F24" s="581"/>
      <c r="G24" s="590"/>
      <c r="H24" s="582"/>
      <c r="I24" s="331"/>
      <c r="J24" s="332"/>
    </row>
    <row r="25" spans="1:10" ht="15.75" thickBot="1" x14ac:dyDescent="0.3">
      <c r="A25" s="163"/>
      <c r="B25" s="350"/>
      <c r="C25" s="351"/>
      <c r="D25" s="351"/>
      <c r="E25" s="352"/>
      <c r="F25" s="377"/>
      <c r="G25" s="370"/>
      <c r="H25" s="413"/>
      <c r="I25" s="373"/>
      <c r="J25" s="374"/>
    </row>
    <row r="26" spans="1:10" ht="15.75" thickBot="1" x14ac:dyDescent="0.3">
      <c r="A26" s="85"/>
      <c r="B26" s="269"/>
      <c r="C26" s="270"/>
      <c r="D26" s="270"/>
      <c r="E26" s="271"/>
      <c r="F26" s="272" t="s">
        <v>116</v>
      </c>
      <c r="G26" s="273"/>
      <c r="H26" s="391"/>
      <c r="I26" s="274">
        <f>SUM(I16:K25)</f>
        <v>145875</v>
      </c>
      <c r="J26" s="275"/>
    </row>
    <row r="28" spans="1:10" ht="15.75" thickBot="1" x14ac:dyDescent="0.3"/>
    <row r="29" spans="1:10" ht="16.5" thickBot="1" x14ac:dyDescent="0.3">
      <c r="A29" s="136" t="s">
        <v>112</v>
      </c>
      <c r="B29" s="299" t="s">
        <v>315</v>
      </c>
      <c r="C29" s="300"/>
      <c r="D29" s="300"/>
      <c r="E29" s="301"/>
      <c r="F29" s="299" t="s">
        <v>114</v>
      </c>
      <c r="G29" s="300"/>
      <c r="H29" s="301"/>
      <c r="I29" s="137" t="s">
        <v>113</v>
      </c>
      <c r="J29" s="138"/>
    </row>
    <row r="30" spans="1:10" ht="33.75" customHeight="1" x14ac:dyDescent="0.25">
      <c r="A30" s="163" t="s">
        <v>471</v>
      </c>
      <c r="B30" s="350" t="s">
        <v>472</v>
      </c>
      <c r="C30" s="351"/>
      <c r="D30" s="351"/>
      <c r="E30" s="352"/>
      <c r="F30" s="350" t="s">
        <v>473</v>
      </c>
      <c r="G30" s="370"/>
      <c r="H30" s="413"/>
      <c r="I30" s="373">
        <v>900</v>
      </c>
      <c r="J30" s="374"/>
    </row>
    <row r="31" spans="1:10" ht="78.75" customHeight="1" x14ac:dyDescent="0.25">
      <c r="A31" s="163" t="s">
        <v>483</v>
      </c>
      <c r="B31" s="350" t="s">
        <v>484</v>
      </c>
      <c r="C31" s="351"/>
      <c r="D31" s="351"/>
      <c r="E31" s="352"/>
      <c r="F31" s="350" t="s">
        <v>485</v>
      </c>
      <c r="G31" s="370"/>
      <c r="H31" s="413"/>
      <c r="I31" s="373">
        <v>3929.3</v>
      </c>
      <c r="J31" s="374"/>
    </row>
    <row r="32" spans="1:10" ht="93.75" customHeight="1" x14ac:dyDescent="0.25">
      <c r="A32" s="179" t="s">
        <v>492</v>
      </c>
      <c r="B32" s="350" t="s">
        <v>493</v>
      </c>
      <c r="C32" s="351"/>
      <c r="D32" s="351"/>
      <c r="E32" s="352"/>
      <c r="F32" s="350" t="s">
        <v>494</v>
      </c>
      <c r="G32" s="370"/>
      <c r="H32" s="413"/>
      <c r="I32" s="373">
        <v>89980</v>
      </c>
      <c r="J32" s="374"/>
    </row>
    <row r="33" spans="1:10" ht="78.75" customHeight="1" x14ac:dyDescent="0.25">
      <c r="A33" s="179" t="s">
        <v>495</v>
      </c>
      <c r="B33" s="350" t="s">
        <v>493</v>
      </c>
      <c r="C33" s="351"/>
      <c r="D33" s="351"/>
      <c r="E33" s="352"/>
      <c r="F33" s="350" t="s">
        <v>494</v>
      </c>
      <c r="G33" s="370"/>
      <c r="H33" s="413"/>
      <c r="I33" s="331">
        <v>79960</v>
      </c>
      <c r="J33" s="332"/>
    </row>
    <row r="34" spans="1:10" ht="75.75" customHeight="1" x14ac:dyDescent="0.25">
      <c r="A34" s="179" t="s">
        <v>496</v>
      </c>
      <c r="B34" s="350" t="s">
        <v>493</v>
      </c>
      <c r="C34" s="351"/>
      <c r="D34" s="351"/>
      <c r="E34" s="352"/>
      <c r="F34" s="350" t="s">
        <v>494</v>
      </c>
      <c r="G34" s="370"/>
      <c r="H34" s="413"/>
      <c r="I34" s="331">
        <v>76070</v>
      </c>
      <c r="J34" s="332"/>
    </row>
    <row r="35" spans="1:10" ht="124.5" customHeight="1" x14ac:dyDescent="0.25">
      <c r="A35" s="179" t="s">
        <v>497</v>
      </c>
      <c r="B35" s="350" t="s">
        <v>493</v>
      </c>
      <c r="C35" s="351"/>
      <c r="D35" s="351"/>
      <c r="E35" s="352"/>
      <c r="F35" s="350" t="s">
        <v>494</v>
      </c>
      <c r="G35" s="370"/>
      <c r="H35" s="413"/>
      <c r="I35" s="331">
        <v>364740</v>
      </c>
      <c r="J35" s="332"/>
    </row>
    <row r="36" spans="1:10" ht="31.5" customHeight="1" x14ac:dyDescent="0.25">
      <c r="A36" s="163" t="s">
        <v>471</v>
      </c>
      <c r="B36" s="263" t="s">
        <v>516</v>
      </c>
      <c r="C36" s="319"/>
      <c r="D36" s="319"/>
      <c r="E36" s="294"/>
      <c r="F36" s="263" t="s">
        <v>517</v>
      </c>
      <c r="G36" s="319"/>
      <c r="H36" s="294"/>
      <c r="I36" s="331">
        <v>1350</v>
      </c>
      <c r="J36" s="332"/>
    </row>
    <row r="37" spans="1:10" ht="31.5" customHeight="1" x14ac:dyDescent="0.25">
      <c r="A37" s="163" t="s">
        <v>471</v>
      </c>
      <c r="B37" s="263" t="s">
        <v>548</v>
      </c>
      <c r="C37" s="319"/>
      <c r="D37" s="319"/>
      <c r="E37" s="294"/>
      <c r="F37" s="263" t="s">
        <v>494</v>
      </c>
      <c r="G37" s="319"/>
      <c r="H37" s="294"/>
      <c r="I37" s="331">
        <v>3960</v>
      </c>
      <c r="J37" s="332"/>
    </row>
    <row r="38" spans="1:10" ht="15.75" customHeight="1" x14ac:dyDescent="0.25">
      <c r="A38" s="163"/>
      <c r="B38" s="658"/>
      <c r="C38" s="385"/>
      <c r="D38" s="385"/>
      <c r="E38" s="386"/>
      <c r="F38" s="658"/>
      <c r="G38" s="385"/>
      <c r="H38" s="386"/>
      <c r="I38" s="331"/>
      <c r="J38" s="332"/>
    </row>
    <row r="39" spans="1:10" x14ac:dyDescent="0.25">
      <c r="A39" s="163"/>
      <c r="B39" s="350"/>
      <c r="C39" s="351"/>
      <c r="D39" s="351"/>
      <c r="E39" s="352"/>
      <c r="F39" s="377"/>
      <c r="G39" s="370"/>
      <c r="H39" s="413"/>
      <c r="I39" s="373"/>
      <c r="J39" s="374"/>
    </row>
    <row r="40" spans="1:10" x14ac:dyDescent="0.25">
      <c r="A40" s="162"/>
      <c r="B40" s="276"/>
      <c r="C40" s="277"/>
      <c r="D40" s="277"/>
      <c r="E40" s="278"/>
      <c r="F40" s="284"/>
      <c r="G40" s="321"/>
      <c r="H40" s="285"/>
      <c r="I40" s="331"/>
      <c r="J40" s="332"/>
    </row>
    <row r="41" spans="1:10" ht="15.75" thickBot="1" x14ac:dyDescent="0.3">
      <c r="A41" s="163"/>
      <c r="B41" s="350"/>
      <c r="C41" s="351"/>
      <c r="D41" s="351"/>
      <c r="E41" s="352"/>
      <c r="F41" s="377"/>
      <c r="G41" s="370"/>
      <c r="H41" s="413"/>
      <c r="I41" s="373"/>
      <c r="J41" s="374"/>
    </row>
    <row r="42" spans="1:10" ht="15.75" thickBot="1" x14ac:dyDescent="0.3">
      <c r="A42" s="85"/>
      <c r="B42" s="269"/>
      <c r="C42" s="270"/>
      <c r="D42" s="270"/>
      <c r="E42" s="271"/>
      <c r="F42" s="272" t="s">
        <v>116</v>
      </c>
      <c r="G42" s="273"/>
      <c r="H42" s="391"/>
      <c r="I42" s="274">
        <f>SUM(I30:K41)</f>
        <v>620889.30000000005</v>
      </c>
      <c r="J42" s="275"/>
    </row>
  </sheetData>
  <mergeCells count="76">
    <mergeCell ref="B37:E37"/>
    <mergeCell ref="B38:E38"/>
    <mergeCell ref="F37:H37"/>
    <mergeCell ref="F38:H38"/>
    <mergeCell ref="I37:J37"/>
    <mergeCell ref="I38:J38"/>
    <mergeCell ref="F36:H36"/>
    <mergeCell ref="I34:J34"/>
    <mergeCell ref="I35:J35"/>
    <mergeCell ref="B36:E36"/>
    <mergeCell ref="I36:J36"/>
    <mergeCell ref="B33:E33"/>
    <mergeCell ref="B34:E34"/>
    <mergeCell ref="B35:E35"/>
    <mergeCell ref="F33:H33"/>
    <mergeCell ref="I33:J33"/>
    <mergeCell ref="F34:H34"/>
    <mergeCell ref="F35:H35"/>
    <mergeCell ref="B41:E41"/>
    <mergeCell ref="F41:H41"/>
    <mergeCell ref="I41:J41"/>
    <mergeCell ref="B42:E42"/>
    <mergeCell ref="F42:H42"/>
    <mergeCell ref="I42:J42"/>
    <mergeCell ref="B39:E39"/>
    <mergeCell ref="F39:H39"/>
    <mergeCell ref="I39:J39"/>
    <mergeCell ref="B40:E40"/>
    <mergeCell ref="F40:H40"/>
    <mergeCell ref="I40:J40"/>
    <mergeCell ref="B31:E31"/>
    <mergeCell ref="F31:H31"/>
    <mergeCell ref="I31:J31"/>
    <mergeCell ref="B32:E32"/>
    <mergeCell ref="F32:H32"/>
    <mergeCell ref="I32:J32"/>
    <mergeCell ref="B29:E29"/>
    <mergeCell ref="F29:H29"/>
    <mergeCell ref="B30:E30"/>
    <mergeCell ref="F30:H30"/>
    <mergeCell ref="I30:J30"/>
    <mergeCell ref="B26:E26"/>
    <mergeCell ref="F26:H26"/>
    <mergeCell ref="I26:J26"/>
    <mergeCell ref="B20:E20"/>
    <mergeCell ref="F20:H20"/>
    <mergeCell ref="I20:J20"/>
    <mergeCell ref="B25:E25"/>
    <mergeCell ref="F25:H25"/>
    <mergeCell ref="I25:J25"/>
    <mergeCell ref="C21:E21"/>
    <mergeCell ref="C22:E22"/>
    <mergeCell ref="F21:H21"/>
    <mergeCell ref="F22:H22"/>
    <mergeCell ref="I21:J21"/>
    <mergeCell ref="I22:J22"/>
    <mergeCell ref="C23:E23"/>
    <mergeCell ref="B18:E18"/>
    <mergeCell ref="F18:H18"/>
    <mergeCell ref="I18:J18"/>
    <mergeCell ref="B19:E19"/>
    <mergeCell ref="F19:H19"/>
    <mergeCell ref="I19:J19"/>
    <mergeCell ref="B17:E17"/>
    <mergeCell ref="F17:H17"/>
    <mergeCell ref="I17:J17"/>
    <mergeCell ref="B15:E15"/>
    <mergeCell ref="F15:H15"/>
    <mergeCell ref="B16:E16"/>
    <mergeCell ref="F16:H16"/>
    <mergeCell ref="I16:J16"/>
    <mergeCell ref="C24:E24"/>
    <mergeCell ref="F23:H23"/>
    <mergeCell ref="F24:H24"/>
    <mergeCell ref="I23:J23"/>
    <mergeCell ref="I24:J2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DC1DD-A01B-4BD3-BF3B-AB391E32ADE8}">
  <dimension ref="A1:T51"/>
  <sheetViews>
    <sheetView workbookViewId="0">
      <selection activeCell="O17" sqref="O17"/>
    </sheetView>
  </sheetViews>
  <sheetFormatPr defaultRowHeight="15" x14ac:dyDescent="0.25"/>
  <cols>
    <col min="1" max="1" width="32.42578125" customWidth="1"/>
    <col min="2" max="2" width="18.7109375" hidden="1" customWidth="1"/>
    <col min="3" max="3" width="16.7109375" hidden="1" customWidth="1"/>
    <col min="4" max="4" width="21.42578125" customWidth="1"/>
    <col min="5" max="5" width="27.42578125" customWidth="1"/>
    <col min="6" max="6" width="16.140625" customWidth="1"/>
    <col min="7" max="7" width="15.28515625" customWidth="1"/>
    <col min="8" max="8" width="13.140625" customWidth="1"/>
    <col min="9" max="9" width="13.42578125" customWidth="1"/>
    <col min="10" max="10" width="10.28515625" customWidth="1"/>
    <col min="11" max="11" width="11.28515625" customWidth="1"/>
    <col min="12" max="13" width="10.28515625" customWidth="1"/>
    <col min="14" max="14" width="10.28515625" bestFit="1" customWidth="1"/>
    <col min="15" max="15" width="12.42578125" customWidth="1"/>
    <col min="16" max="16" width="10.28515625" bestFit="1" customWidth="1"/>
    <col min="17" max="17" width="14.28515625" customWidth="1"/>
    <col min="18" max="18" width="11.42578125" customWidth="1"/>
    <col min="19" max="19" width="10.28515625" customWidth="1"/>
    <col min="20" max="20" width="12.140625" customWidth="1"/>
  </cols>
  <sheetData>
    <row r="1" spans="1:20" ht="72.75" customHeight="1" thickBot="1" x14ac:dyDescent="0.3">
      <c r="A1" s="1"/>
      <c r="B1" s="2" t="s">
        <v>0</v>
      </c>
      <c r="C1" s="3" t="s">
        <v>122</v>
      </c>
      <c r="D1" s="4" t="s">
        <v>124</v>
      </c>
      <c r="E1" s="5" t="s">
        <v>2</v>
      </c>
      <c r="F1" s="6" t="s">
        <v>3</v>
      </c>
      <c r="G1" s="7" t="s">
        <v>4</v>
      </c>
      <c r="H1" s="8" t="s">
        <v>5</v>
      </c>
      <c r="I1" s="8" t="s">
        <v>6</v>
      </c>
      <c r="J1" s="8" t="s">
        <v>7</v>
      </c>
      <c r="K1" s="8" t="s">
        <v>8</v>
      </c>
      <c r="L1" s="8" t="s">
        <v>9</v>
      </c>
      <c r="M1" s="8" t="s">
        <v>10</v>
      </c>
      <c r="N1" s="8" t="s">
        <v>11</v>
      </c>
      <c r="O1" s="8" t="s">
        <v>12</v>
      </c>
      <c r="P1" s="8" t="s">
        <v>13</v>
      </c>
      <c r="Q1" s="8" t="s">
        <v>14</v>
      </c>
      <c r="R1" s="9" t="s">
        <v>15</v>
      </c>
      <c r="S1" s="66"/>
      <c r="T1" s="10" t="s">
        <v>16</v>
      </c>
    </row>
    <row r="2" spans="1:20" ht="16.5" thickBot="1" x14ac:dyDescent="0.3">
      <c r="A2" s="60" t="s">
        <v>79</v>
      </c>
      <c r="B2" s="104"/>
      <c r="C2" s="86"/>
      <c r="D2" s="86"/>
      <c r="E2" s="91" t="s">
        <v>17</v>
      </c>
      <c r="F2" s="92"/>
      <c r="G2" s="106"/>
      <c r="H2" s="57"/>
      <c r="I2" s="88"/>
      <c r="J2" s="57"/>
      <c r="K2" s="88"/>
      <c r="L2" s="57"/>
      <c r="M2" s="88"/>
      <c r="N2" s="57"/>
      <c r="O2" s="88"/>
      <c r="P2" s="57"/>
      <c r="Q2" s="88"/>
      <c r="R2" s="57"/>
      <c r="S2" s="88"/>
      <c r="T2" s="57"/>
    </row>
    <row r="3" spans="1:20" ht="15.75" x14ac:dyDescent="0.25">
      <c r="A3" s="94" t="s">
        <v>29</v>
      </c>
      <c r="B3" s="107" t="s">
        <v>18</v>
      </c>
      <c r="C3" s="58"/>
      <c r="D3" s="59">
        <v>28100</v>
      </c>
      <c r="E3" s="89">
        <f>SUM(G3:R3)</f>
        <v>19658</v>
      </c>
      <c r="F3" s="90">
        <f>C3+D3-E3</f>
        <v>8442</v>
      </c>
      <c r="G3" s="53"/>
      <c r="H3" s="53"/>
      <c r="I3" s="53"/>
      <c r="J3" s="53"/>
      <c r="K3" s="53"/>
      <c r="L3" s="53"/>
      <c r="M3" s="53"/>
      <c r="N3" s="53"/>
      <c r="O3" s="53">
        <f>11270+5145+3243</f>
        <v>19658</v>
      </c>
      <c r="P3" s="53"/>
      <c r="Q3" s="53"/>
      <c r="R3" s="39"/>
      <c r="S3" s="53"/>
      <c r="T3" s="31">
        <f>SUM(G3:R3)</f>
        <v>19658</v>
      </c>
    </row>
    <row r="4" spans="1:20" ht="15.75" x14ac:dyDescent="0.25">
      <c r="A4" s="13" t="s">
        <v>34</v>
      </c>
      <c r="B4" s="21" t="s">
        <v>35</v>
      </c>
      <c r="C4" s="15"/>
      <c r="D4" s="16">
        <v>40000</v>
      </c>
      <c r="E4" s="89">
        <f t="shared" ref="E4:E9" si="0">SUM(G4:R4)</f>
        <v>42900</v>
      </c>
      <c r="F4" s="90">
        <f t="shared" ref="F4:F9" si="1">C4+D4-E4</f>
        <v>-2900</v>
      </c>
      <c r="G4" s="19"/>
      <c r="H4" s="19"/>
      <c r="I4" s="19"/>
      <c r="J4" s="19"/>
      <c r="K4" s="19"/>
      <c r="L4" s="19"/>
      <c r="M4" s="19"/>
      <c r="N4" s="19"/>
      <c r="O4" s="19">
        <f>39900+3000</f>
        <v>42900</v>
      </c>
      <c r="P4" s="19"/>
      <c r="Q4" s="19"/>
      <c r="R4" s="19"/>
      <c r="S4" s="31"/>
      <c r="T4" s="31">
        <f t="shared" ref="T4:T9" si="2">SUM(G4:R4)</f>
        <v>42900</v>
      </c>
    </row>
    <row r="5" spans="1:20" ht="15.75" x14ac:dyDescent="0.25">
      <c r="A5" s="20" t="s">
        <v>32</v>
      </c>
      <c r="B5" s="21"/>
      <c r="C5" s="15"/>
      <c r="D5" s="16">
        <v>110000</v>
      </c>
      <c r="E5" s="89">
        <f t="shared" si="0"/>
        <v>0</v>
      </c>
      <c r="F5" s="90">
        <f t="shared" si="1"/>
        <v>110000</v>
      </c>
      <c r="G5" s="19"/>
      <c r="H5" s="19"/>
      <c r="I5" s="19"/>
      <c r="J5" s="19"/>
      <c r="K5" s="19"/>
      <c r="L5" s="19"/>
      <c r="M5" s="19"/>
      <c r="N5" s="19"/>
      <c r="O5" s="19"/>
      <c r="P5" s="19"/>
      <c r="Q5" s="19"/>
      <c r="R5" s="19"/>
      <c r="S5" s="33"/>
      <c r="T5" s="31">
        <f t="shared" si="2"/>
        <v>0</v>
      </c>
    </row>
    <row r="6" spans="1:20" ht="15.75" x14ac:dyDescent="0.25">
      <c r="A6" s="20" t="s">
        <v>103</v>
      </c>
      <c r="B6" s="40"/>
      <c r="C6" s="41"/>
      <c r="D6" s="16">
        <v>50000</v>
      </c>
      <c r="E6" s="89">
        <f t="shared" si="0"/>
        <v>33050</v>
      </c>
      <c r="F6" s="90">
        <f t="shared" si="1"/>
        <v>16950</v>
      </c>
      <c r="G6" s="42"/>
      <c r="H6" s="42">
        <v>850</v>
      </c>
      <c r="I6" s="42"/>
      <c r="J6" s="42"/>
      <c r="K6" s="42"/>
      <c r="L6" s="42"/>
      <c r="M6" s="42"/>
      <c r="N6" s="42">
        <f>11850</f>
        <v>11850</v>
      </c>
      <c r="O6" s="42">
        <f>1000</f>
        <v>1000</v>
      </c>
      <c r="P6" s="42">
        <f>850+850+850+850+850+850+850+850+2300+1000+1000+300+7950</f>
        <v>19350</v>
      </c>
      <c r="Q6" s="42"/>
      <c r="R6" s="42"/>
      <c r="S6" s="19"/>
      <c r="T6" s="31">
        <f t="shared" si="2"/>
        <v>33050</v>
      </c>
    </row>
    <row r="7" spans="1:20" ht="15.75" x14ac:dyDescent="0.25">
      <c r="A7" s="20" t="s">
        <v>44</v>
      </c>
      <c r="B7" s="40"/>
      <c r="C7" s="41"/>
      <c r="D7" s="16">
        <v>20000</v>
      </c>
      <c r="E7" s="89">
        <f t="shared" si="0"/>
        <v>0</v>
      </c>
      <c r="F7" s="90">
        <f t="shared" si="1"/>
        <v>20000</v>
      </c>
      <c r="G7" s="42"/>
      <c r="H7" s="42"/>
      <c r="I7" s="42"/>
      <c r="J7" s="42"/>
      <c r="K7" s="42"/>
      <c r="L7" s="42"/>
      <c r="M7" s="42"/>
      <c r="N7" s="42"/>
      <c r="O7" s="42"/>
      <c r="P7" s="42"/>
      <c r="Q7" s="42"/>
      <c r="R7" s="42"/>
      <c r="S7" s="53"/>
      <c r="T7" s="31">
        <f t="shared" si="2"/>
        <v>0</v>
      </c>
    </row>
    <row r="8" spans="1:20" ht="15.75" x14ac:dyDescent="0.25">
      <c r="A8" s="20" t="s">
        <v>130</v>
      </c>
      <c r="B8" s="40"/>
      <c r="C8" s="41"/>
      <c r="D8" s="16">
        <v>150000</v>
      </c>
      <c r="E8" s="89">
        <f t="shared" si="0"/>
        <v>0</v>
      </c>
      <c r="F8" s="90">
        <f t="shared" si="1"/>
        <v>150000</v>
      </c>
      <c r="G8" s="42"/>
      <c r="H8" s="42"/>
      <c r="I8" s="42"/>
      <c r="J8" s="42"/>
      <c r="K8" s="42"/>
      <c r="L8" s="42"/>
      <c r="M8" s="42"/>
      <c r="N8" s="42"/>
      <c r="O8" s="42"/>
      <c r="P8" s="42"/>
      <c r="Q8" s="42"/>
      <c r="R8" s="42"/>
      <c r="S8" s="53"/>
      <c r="T8" s="31">
        <f t="shared" si="2"/>
        <v>0</v>
      </c>
    </row>
    <row r="9" spans="1:20" ht="15.75" x14ac:dyDescent="0.25">
      <c r="A9" s="20" t="s">
        <v>21</v>
      </c>
      <c r="B9" s="40"/>
      <c r="C9" s="41"/>
      <c r="D9" s="16">
        <v>1007000</v>
      </c>
      <c r="E9" s="89">
        <f t="shared" si="0"/>
        <v>184560</v>
      </c>
      <c r="F9" s="90">
        <f t="shared" si="1"/>
        <v>822440</v>
      </c>
      <c r="G9" s="42"/>
      <c r="H9" s="42"/>
      <c r="I9" s="42"/>
      <c r="J9" s="42"/>
      <c r="K9" s="42"/>
      <c r="L9" s="42"/>
      <c r="M9" s="42"/>
      <c r="N9" s="42">
        <f>26200+8750+18300</f>
        <v>53250</v>
      </c>
      <c r="O9" s="42">
        <f>15000+25000+25000+10250+1560+30000</f>
        <v>106810</v>
      </c>
      <c r="P9" s="42">
        <f>24500</f>
        <v>24500</v>
      </c>
      <c r="Q9" s="42"/>
      <c r="R9" s="42"/>
      <c r="S9" s="53"/>
      <c r="T9" s="31">
        <f t="shared" si="2"/>
        <v>184560</v>
      </c>
    </row>
    <row r="10" spans="1:20" ht="16.5" thickBot="1" x14ac:dyDescent="0.3">
      <c r="A10" s="25"/>
      <c r="B10" s="26" t="s">
        <v>24</v>
      </c>
      <c r="C10" s="27">
        <f>SUM(C3:C9)</f>
        <v>0</v>
      </c>
      <c r="D10" s="27">
        <f>SUM(D3:D9)</f>
        <v>1405100</v>
      </c>
      <c r="E10" s="27">
        <f t="shared" ref="E10:F10" si="3">SUM(E3:E9)</f>
        <v>280168</v>
      </c>
      <c r="F10" s="27">
        <f t="shared" si="3"/>
        <v>1124932</v>
      </c>
      <c r="G10" s="27">
        <f>SUM(G3:G9)</f>
        <v>0</v>
      </c>
      <c r="H10" s="27">
        <f t="shared" ref="H10:R10" si="4">SUM(H3:H9)</f>
        <v>850</v>
      </c>
      <c r="I10" s="27">
        <f t="shared" si="4"/>
        <v>0</v>
      </c>
      <c r="J10" s="27">
        <f t="shared" si="4"/>
        <v>0</v>
      </c>
      <c r="K10" s="27">
        <f t="shared" si="4"/>
        <v>0</v>
      </c>
      <c r="L10" s="27">
        <f t="shared" si="4"/>
        <v>0</v>
      </c>
      <c r="M10" s="27">
        <f t="shared" si="4"/>
        <v>0</v>
      </c>
      <c r="N10" s="27">
        <f t="shared" si="4"/>
        <v>65100</v>
      </c>
      <c r="O10" s="27">
        <f t="shared" si="4"/>
        <v>170368</v>
      </c>
      <c r="P10" s="27">
        <f t="shared" si="4"/>
        <v>43850</v>
      </c>
      <c r="Q10" s="27">
        <f t="shared" si="4"/>
        <v>0</v>
      </c>
      <c r="R10" s="27">
        <f t="shared" si="4"/>
        <v>0</v>
      </c>
      <c r="S10" s="26" t="s">
        <v>25</v>
      </c>
      <c r="T10" s="67">
        <f>SUM(G10:R10)</f>
        <v>280168</v>
      </c>
    </row>
    <row r="12" spans="1:20" ht="15.75" thickBot="1" x14ac:dyDescent="0.3"/>
    <row r="13" spans="1:20" ht="16.5" thickBot="1" x14ac:dyDescent="0.3">
      <c r="A13" s="136" t="s">
        <v>261</v>
      </c>
      <c r="B13" s="299" t="s">
        <v>341</v>
      </c>
      <c r="C13" s="300"/>
      <c r="D13" s="300"/>
      <c r="E13" s="301"/>
      <c r="F13" s="299" t="s">
        <v>114</v>
      </c>
      <c r="G13" s="301"/>
      <c r="H13" s="302" t="s">
        <v>113</v>
      </c>
      <c r="I13" s="303"/>
    </row>
    <row r="14" spans="1:20" ht="43.5" customHeight="1" x14ac:dyDescent="0.25">
      <c r="A14" s="168" t="s">
        <v>180</v>
      </c>
      <c r="B14" s="316" t="s">
        <v>733</v>
      </c>
      <c r="C14" s="317"/>
      <c r="D14" s="317"/>
      <c r="E14" s="318"/>
      <c r="F14" s="316" t="s">
        <v>728</v>
      </c>
      <c r="G14" s="310"/>
      <c r="H14" s="307">
        <v>8750</v>
      </c>
      <c r="I14" s="308"/>
    </row>
    <row r="15" spans="1:20" ht="30" customHeight="1" x14ac:dyDescent="0.25">
      <c r="A15" s="162" t="s">
        <v>801</v>
      </c>
      <c r="B15" s="350" t="s">
        <v>802</v>
      </c>
      <c r="C15" s="351"/>
      <c r="D15" s="351"/>
      <c r="E15" s="352"/>
      <c r="F15" s="350" t="s">
        <v>803</v>
      </c>
      <c r="G15" s="413"/>
      <c r="H15" s="441">
        <v>39900</v>
      </c>
      <c r="I15" s="443"/>
    </row>
    <row r="16" spans="1:20" ht="28.5" customHeight="1" x14ac:dyDescent="0.25">
      <c r="A16" s="156" t="s">
        <v>828</v>
      </c>
      <c r="B16" s="322" t="s">
        <v>829</v>
      </c>
      <c r="C16" s="323"/>
      <c r="D16" s="323"/>
      <c r="E16" s="324"/>
      <c r="F16" s="276" t="s">
        <v>841</v>
      </c>
      <c r="G16" s="285"/>
      <c r="H16" s="286">
        <v>11270</v>
      </c>
      <c r="I16" s="287"/>
    </row>
    <row r="17" spans="1:9" ht="31.5" customHeight="1" x14ac:dyDescent="0.25">
      <c r="A17" s="192" t="s">
        <v>828</v>
      </c>
      <c r="B17" s="266" t="s">
        <v>829</v>
      </c>
      <c r="C17" s="267"/>
      <c r="D17" s="267"/>
      <c r="E17" s="268"/>
      <c r="F17" s="288" t="s">
        <v>842</v>
      </c>
      <c r="G17" s="268"/>
      <c r="H17" s="261">
        <v>5145</v>
      </c>
      <c r="I17" s="262"/>
    </row>
    <row r="18" spans="1:9" ht="47.25" customHeight="1" x14ac:dyDescent="0.25">
      <c r="A18" s="192" t="s">
        <v>859</v>
      </c>
      <c r="B18" s="198"/>
      <c r="C18" s="210"/>
      <c r="D18" s="289" t="s">
        <v>869</v>
      </c>
      <c r="E18" s="290"/>
      <c r="F18" s="288" t="s">
        <v>870</v>
      </c>
      <c r="G18" s="268"/>
      <c r="H18" s="261">
        <v>10250</v>
      </c>
      <c r="I18" s="262"/>
    </row>
    <row r="19" spans="1:9" ht="31.5" customHeight="1" x14ac:dyDescent="0.25">
      <c r="A19" s="213" t="s">
        <v>880</v>
      </c>
      <c r="B19" s="214"/>
      <c r="C19" s="215"/>
      <c r="D19" s="668" t="s">
        <v>881</v>
      </c>
      <c r="E19" s="669"/>
      <c r="F19" s="664" t="s">
        <v>882</v>
      </c>
      <c r="G19" s="665"/>
      <c r="H19" s="666">
        <v>1560</v>
      </c>
      <c r="I19" s="667"/>
    </row>
    <row r="20" spans="1:9" ht="32.25" customHeight="1" x14ac:dyDescent="0.25">
      <c r="A20" s="192" t="s">
        <v>883</v>
      </c>
      <c r="B20" s="198"/>
      <c r="C20" s="210"/>
      <c r="D20" s="267" t="s">
        <v>884</v>
      </c>
      <c r="E20" s="268"/>
      <c r="F20" s="288" t="s">
        <v>885</v>
      </c>
      <c r="G20" s="268"/>
      <c r="H20" s="261">
        <v>30000</v>
      </c>
      <c r="I20" s="262"/>
    </row>
    <row r="21" spans="1:9" ht="31.5" customHeight="1" x14ac:dyDescent="0.25">
      <c r="A21" s="192" t="s">
        <v>19</v>
      </c>
      <c r="B21" s="211"/>
      <c r="C21" s="114"/>
      <c r="D21" s="267" t="s">
        <v>237</v>
      </c>
      <c r="E21" s="268"/>
      <c r="F21" s="288" t="s">
        <v>896</v>
      </c>
      <c r="G21" s="268"/>
      <c r="H21" s="261">
        <v>3243</v>
      </c>
      <c r="I21" s="262"/>
    </row>
    <row r="22" spans="1:9" ht="32.25" customHeight="1" x14ac:dyDescent="0.25">
      <c r="A22" s="213" t="s">
        <v>897</v>
      </c>
      <c r="B22" s="214"/>
      <c r="C22" s="215"/>
      <c r="D22" s="670" t="s">
        <v>898</v>
      </c>
      <c r="E22" s="665"/>
      <c r="F22" s="664" t="s">
        <v>899</v>
      </c>
      <c r="G22" s="665"/>
      <c r="H22" s="666">
        <v>3000</v>
      </c>
      <c r="I22" s="667"/>
    </row>
    <row r="23" spans="1:9" s="115" customFormat="1" ht="46.5" customHeight="1" x14ac:dyDescent="0.25">
      <c r="A23" s="190" t="s">
        <v>1046</v>
      </c>
      <c r="B23" s="207"/>
      <c r="C23" s="186"/>
      <c r="D23" s="319" t="s">
        <v>1047</v>
      </c>
      <c r="E23" s="294"/>
      <c r="F23" s="263" t="s">
        <v>1048</v>
      </c>
      <c r="G23" s="265"/>
      <c r="H23" s="311">
        <v>24500</v>
      </c>
      <c r="I23" s="312"/>
    </row>
    <row r="24" spans="1:9" ht="15.75" customHeight="1" x14ac:dyDescent="0.25">
      <c r="A24" s="192"/>
      <c r="B24" s="198"/>
      <c r="C24" s="210"/>
      <c r="D24" s="369"/>
      <c r="E24" s="354"/>
      <c r="F24" s="266"/>
      <c r="G24" s="268"/>
      <c r="H24" s="261"/>
      <c r="I24" s="262"/>
    </row>
    <row r="25" spans="1:9" ht="15.75" customHeight="1" thickBot="1" x14ac:dyDescent="0.3">
      <c r="A25" s="216"/>
      <c r="B25" s="211"/>
      <c r="C25" s="114"/>
      <c r="D25" s="339"/>
      <c r="E25" s="355"/>
      <c r="F25" s="338"/>
      <c r="G25" s="355"/>
      <c r="H25" s="508"/>
      <c r="I25" s="509"/>
    </row>
    <row r="26" spans="1:9" ht="15.75" customHeight="1" thickBot="1" x14ac:dyDescent="0.3">
      <c r="A26" s="85"/>
      <c r="B26" s="269"/>
      <c r="C26" s="270"/>
      <c r="D26" s="270"/>
      <c r="E26" s="271"/>
      <c r="F26" s="272" t="s">
        <v>116</v>
      </c>
      <c r="G26" s="273"/>
      <c r="H26" s="274">
        <f>SUM(H14:I17)</f>
        <v>65065</v>
      </c>
      <c r="I26" s="275"/>
    </row>
    <row r="27" spans="1:9" ht="15.75" customHeight="1" x14ac:dyDescent="0.25">
      <c r="B27" s="56"/>
      <c r="C27" s="587"/>
      <c r="D27" s="587"/>
      <c r="E27" s="587"/>
      <c r="F27" s="660"/>
      <c r="G27" s="660"/>
      <c r="H27" s="661"/>
      <c r="I27" s="661"/>
    </row>
    <row r="28" spans="1:9" ht="15.75" customHeight="1" x14ac:dyDescent="0.25">
      <c r="B28" s="56"/>
      <c r="C28" s="642"/>
      <c r="D28" s="642"/>
      <c r="E28" s="642"/>
      <c r="F28" s="662"/>
      <c r="G28" s="662"/>
      <c r="H28" s="659"/>
      <c r="I28" s="659"/>
    </row>
    <row r="29" spans="1:9" ht="15.75" thickBot="1" x14ac:dyDescent="0.3">
      <c r="C29" s="368"/>
      <c r="D29" s="368"/>
      <c r="E29" s="368"/>
      <c r="F29" s="368"/>
      <c r="G29" s="368"/>
      <c r="H29" s="368"/>
      <c r="I29" s="368"/>
    </row>
    <row r="30" spans="1:9" ht="16.5" thickBot="1" x14ac:dyDescent="0.3">
      <c r="A30" s="136" t="s">
        <v>342</v>
      </c>
      <c r="B30" s="299" t="s">
        <v>306</v>
      </c>
      <c r="C30" s="300"/>
      <c r="D30" s="300"/>
      <c r="E30" s="301"/>
      <c r="F30" s="299" t="s">
        <v>114</v>
      </c>
      <c r="G30" s="301"/>
      <c r="H30" s="302" t="s">
        <v>113</v>
      </c>
      <c r="I30" s="303"/>
    </row>
    <row r="31" spans="1:9" ht="43.5" customHeight="1" x14ac:dyDescent="0.25">
      <c r="A31" s="168" t="s">
        <v>346</v>
      </c>
      <c r="B31" s="316" t="s">
        <v>347</v>
      </c>
      <c r="C31" s="317"/>
      <c r="D31" s="317"/>
      <c r="E31" s="318"/>
      <c r="F31" s="309" t="s">
        <v>348</v>
      </c>
      <c r="G31" s="310"/>
      <c r="H31" s="307">
        <v>850</v>
      </c>
      <c r="I31" s="308"/>
    </row>
    <row r="32" spans="1:9" ht="30.75" customHeight="1" x14ac:dyDescent="0.25">
      <c r="A32" s="162" t="s">
        <v>346</v>
      </c>
      <c r="B32" s="350" t="s">
        <v>700</v>
      </c>
      <c r="C32" s="351"/>
      <c r="D32" s="351"/>
      <c r="E32" s="352"/>
      <c r="F32" s="350" t="s">
        <v>701</v>
      </c>
      <c r="G32" s="352"/>
      <c r="H32" s="441">
        <v>30150</v>
      </c>
      <c r="I32" s="443"/>
    </row>
    <row r="33" spans="1:9" ht="29.25" customHeight="1" x14ac:dyDescent="0.25">
      <c r="A33" s="156" t="s">
        <v>489</v>
      </c>
      <c r="B33" s="281" t="s">
        <v>796</v>
      </c>
      <c r="C33" s="282"/>
      <c r="D33" s="282"/>
      <c r="E33" s="283"/>
      <c r="F33" s="284" t="s">
        <v>797</v>
      </c>
      <c r="G33" s="285"/>
      <c r="H33" s="286">
        <v>1000</v>
      </c>
      <c r="I33" s="287"/>
    </row>
    <row r="34" spans="1:9" ht="30" customHeight="1" x14ac:dyDescent="0.25">
      <c r="A34" s="156" t="s">
        <v>947</v>
      </c>
      <c r="B34" s="288" t="s">
        <v>796</v>
      </c>
      <c r="C34" s="289"/>
      <c r="D34" s="289"/>
      <c r="E34" s="290"/>
      <c r="F34" s="266" t="s">
        <v>797</v>
      </c>
      <c r="G34" s="268"/>
      <c r="H34" s="261">
        <v>850</v>
      </c>
      <c r="I34" s="262"/>
    </row>
    <row r="35" spans="1:9" ht="30.75" customHeight="1" x14ac:dyDescent="0.25">
      <c r="A35" s="156" t="s">
        <v>948</v>
      </c>
      <c r="B35" s="198"/>
      <c r="C35" s="210"/>
      <c r="D35" s="289" t="s">
        <v>796</v>
      </c>
      <c r="E35" s="290"/>
      <c r="F35" s="266" t="s">
        <v>797</v>
      </c>
      <c r="G35" s="268"/>
      <c r="H35" s="261">
        <v>850</v>
      </c>
      <c r="I35" s="262"/>
    </row>
    <row r="36" spans="1:9" ht="30" customHeight="1" x14ac:dyDescent="0.25">
      <c r="A36" s="156" t="s">
        <v>949</v>
      </c>
      <c r="B36" s="198"/>
      <c r="C36" s="210"/>
      <c r="D36" s="289" t="s">
        <v>796</v>
      </c>
      <c r="E36" s="290"/>
      <c r="F36" s="266" t="s">
        <v>797</v>
      </c>
      <c r="G36" s="268"/>
      <c r="H36" s="261">
        <v>850</v>
      </c>
      <c r="I36" s="262"/>
    </row>
    <row r="37" spans="1:9" ht="29.25" customHeight="1" x14ac:dyDescent="0.25">
      <c r="A37" s="156" t="s">
        <v>950</v>
      </c>
      <c r="B37" s="198"/>
      <c r="C37" s="210"/>
      <c r="D37" s="289" t="s">
        <v>796</v>
      </c>
      <c r="E37" s="290"/>
      <c r="F37" s="266" t="s">
        <v>797</v>
      </c>
      <c r="G37" s="268"/>
      <c r="H37" s="261">
        <v>850</v>
      </c>
      <c r="I37" s="262"/>
    </row>
    <row r="38" spans="1:9" ht="30" customHeight="1" x14ac:dyDescent="0.25">
      <c r="A38" s="156" t="s">
        <v>951</v>
      </c>
      <c r="B38" s="198"/>
      <c r="C38" s="210"/>
      <c r="D38" s="289" t="s">
        <v>796</v>
      </c>
      <c r="E38" s="290"/>
      <c r="F38" s="266" t="s">
        <v>797</v>
      </c>
      <c r="G38" s="268"/>
      <c r="H38" s="261">
        <v>850</v>
      </c>
      <c r="I38" s="262"/>
    </row>
    <row r="39" spans="1:9" ht="30" customHeight="1" x14ac:dyDescent="0.25">
      <c r="A39" s="156" t="s">
        <v>952</v>
      </c>
      <c r="B39" s="198"/>
      <c r="C39" s="210"/>
      <c r="D39" s="289" t="s">
        <v>796</v>
      </c>
      <c r="E39" s="290"/>
      <c r="F39" s="266" t="s">
        <v>797</v>
      </c>
      <c r="G39" s="268"/>
      <c r="H39" s="261">
        <v>850</v>
      </c>
      <c r="I39" s="262"/>
    </row>
    <row r="40" spans="1:9" ht="30" customHeight="1" x14ac:dyDescent="0.25">
      <c r="A40" s="156" t="s">
        <v>953</v>
      </c>
      <c r="B40" s="198"/>
      <c r="C40" s="210"/>
      <c r="D40" s="289" t="s">
        <v>796</v>
      </c>
      <c r="E40" s="290"/>
      <c r="F40" s="266" t="s">
        <v>797</v>
      </c>
      <c r="G40" s="268"/>
      <c r="H40" s="261">
        <v>850</v>
      </c>
      <c r="I40" s="262"/>
    </row>
    <row r="41" spans="1:9" ht="31.5" customHeight="1" x14ac:dyDescent="0.25">
      <c r="A41" s="156" t="s">
        <v>954</v>
      </c>
      <c r="B41" s="198"/>
      <c r="C41" s="210"/>
      <c r="D41" s="289" t="s">
        <v>796</v>
      </c>
      <c r="E41" s="290"/>
      <c r="F41" s="266" t="s">
        <v>797</v>
      </c>
      <c r="G41" s="268"/>
      <c r="H41" s="261">
        <v>850</v>
      </c>
      <c r="I41" s="262"/>
    </row>
    <row r="42" spans="1:9" ht="108" customHeight="1" x14ac:dyDescent="0.25">
      <c r="A42" s="156" t="s">
        <v>346</v>
      </c>
      <c r="B42" s="198"/>
      <c r="C42" s="210"/>
      <c r="D42" s="363" t="s">
        <v>955</v>
      </c>
      <c r="E42" s="364"/>
      <c r="F42" s="266" t="s">
        <v>956</v>
      </c>
      <c r="G42" s="268"/>
      <c r="H42" s="261">
        <v>2300</v>
      </c>
      <c r="I42" s="262"/>
    </row>
    <row r="43" spans="1:9" ht="45" customHeight="1" x14ac:dyDescent="0.25">
      <c r="A43" s="156" t="s">
        <v>957</v>
      </c>
      <c r="B43" s="198"/>
      <c r="C43" s="210"/>
      <c r="D43" s="289" t="s">
        <v>958</v>
      </c>
      <c r="E43" s="290"/>
      <c r="F43" s="266" t="s">
        <v>959</v>
      </c>
      <c r="G43" s="268"/>
      <c r="H43" s="261">
        <v>1000</v>
      </c>
      <c r="I43" s="262"/>
    </row>
    <row r="44" spans="1:9" ht="44.25" customHeight="1" x14ac:dyDescent="0.25">
      <c r="A44" s="156" t="s">
        <v>960</v>
      </c>
      <c r="B44" s="198"/>
      <c r="C44" s="210"/>
      <c r="D44" s="289" t="s">
        <v>958</v>
      </c>
      <c r="E44" s="290"/>
      <c r="F44" s="266" t="s">
        <v>959</v>
      </c>
      <c r="G44" s="268"/>
      <c r="H44" s="261">
        <v>1000</v>
      </c>
      <c r="I44" s="262"/>
    </row>
    <row r="45" spans="1:9" x14ac:dyDescent="0.25">
      <c r="A45" s="156"/>
      <c r="B45" s="198"/>
      <c r="C45" s="210"/>
      <c r="D45" s="289"/>
      <c r="E45" s="290"/>
      <c r="F45" s="266"/>
      <c r="G45" s="268"/>
      <c r="H45" s="261"/>
      <c r="I45" s="262"/>
    </row>
    <row r="46" spans="1:9" x14ac:dyDescent="0.25">
      <c r="A46" s="156"/>
      <c r="B46" s="198"/>
      <c r="C46" s="210"/>
      <c r="D46" s="289"/>
      <c r="E46" s="290"/>
      <c r="F46" s="266"/>
      <c r="G46" s="268"/>
      <c r="H46" s="261"/>
      <c r="I46" s="262"/>
    </row>
    <row r="47" spans="1:9" x14ac:dyDescent="0.25">
      <c r="A47" s="156"/>
      <c r="B47" s="198"/>
      <c r="C47" s="210"/>
      <c r="D47" s="289"/>
      <c r="E47" s="290"/>
      <c r="F47" s="266"/>
      <c r="G47" s="268"/>
      <c r="H47" s="261"/>
      <c r="I47" s="262"/>
    </row>
    <row r="48" spans="1:9" x14ac:dyDescent="0.25">
      <c r="A48" s="156"/>
      <c r="B48" s="198"/>
      <c r="C48" s="210"/>
      <c r="D48" s="289"/>
      <c r="E48" s="290"/>
      <c r="F48" s="266"/>
      <c r="G48" s="268"/>
      <c r="H48" s="261"/>
      <c r="I48" s="262"/>
    </row>
    <row r="49" spans="1:9" x14ac:dyDescent="0.25">
      <c r="A49" s="156"/>
      <c r="B49" s="198"/>
      <c r="C49" s="210"/>
      <c r="D49" s="289"/>
      <c r="E49" s="290"/>
      <c r="F49" s="266"/>
      <c r="G49" s="268"/>
      <c r="H49" s="261"/>
      <c r="I49" s="262"/>
    </row>
    <row r="50" spans="1:9" ht="15.75" thickBot="1" x14ac:dyDescent="0.3">
      <c r="A50" s="119"/>
      <c r="B50" s="211"/>
      <c r="C50" s="114"/>
      <c r="D50" s="510"/>
      <c r="E50" s="511"/>
      <c r="F50" s="338"/>
      <c r="G50" s="355"/>
      <c r="H50" s="508"/>
      <c r="I50" s="509"/>
    </row>
    <row r="51" spans="1:9" ht="15.75" thickBot="1" x14ac:dyDescent="0.3">
      <c r="A51" s="85"/>
      <c r="B51" s="663"/>
      <c r="C51" s="593"/>
      <c r="D51" s="593"/>
      <c r="E51" s="594"/>
      <c r="F51" s="272" t="s">
        <v>116</v>
      </c>
      <c r="G51" s="273"/>
      <c r="H51" s="274">
        <f>SUM(H31:I34)</f>
        <v>32850</v>
      </c>
      <c r="I51" s="275"/>
    </row>
  </sheetData>
  <mergeCells count="117">
    <mergeCell ref="H48:I48"/>
    <mergeCell ref="H49:I49"/>
    <mergeCell ref="H50:I50"/>
    <mergeCell ref="D41:E41"/>
    <mergeCell ref="D48:E48"/>
    <mergeCell ref="D49:E49"/>
    <mergeCell ref="D50:E50"/>
    <mergeCell ref="F41:G41"/>
    <mergeCell ref="F48:G48"/>
    <mergeCell ref="F49:G49"/>
    <mergeCell ref="F50:G50"/>
    <mergeCell ref="D44:E44"/>
    <mergeCell ref="D45:E45"/>
    <mergeCell ref="D46:E46"/>
    <mergeCell ref="D47:E47"/>
    <mergeCell ref="F44:G44"/>
    <mergeCell ref="F45:G45"/>
    <mergeCell ref="F46:G46"/>
    <mergeCell ref="F47:G47"/>
    <mergeCell ref="H43:I43"/>
    <mergeCell ref="H44:I44"/>
    <mergeCell ref="H45:I45"/>
    <mergeCell ref="H46:I46"/>
    <mergeCell ref="H47:I47"/>
    <mergeCell ref="D18:E18"/>
    <mergeCell ref="F18:G18"/>
    <mergeCell ref="H18:I18"/>
    <mergeCell ref="F19:G19"/>
    <mergeCell ref="H19:I19"/>
    <mergeCell ref="D19:E19"/>
    <mergeCell ref="D20:E20"/>
    <mergeCell ref="D25:E25"/>
    <mergeCell ref="F20:G20"/>
    <mergeCell ref="F25:G25"/>
    <mergeCell ref="H20:I20"/>
    <mergeCell ref="H25:I25"/>
    <mergeCell ref="D24:E24"/>
    <mergeCell ref="D23:E23"/>
    <mergeCell ref="F23:G23"/>
    <mergeCell ref="F24:G24"/>
    <mergeCell ref="H23:I23"/>
    <mergeCell ref="H24:I24"/>
    <mergeCell ref="D21:E21"/>
    <mergeCell ref="D22:E22"/>
    <mergeCell ref="F21:G21"/>
    <mergeCell ref="F22:G22"/>
    <mergeCell ref="H21:I21"/>
    <mergeCell ref="H22:I22"/>
    <mergeCell ref="B34:E34"/>
    <mergeCell ref="F34:G34"/>
    <mergeCell ref="H34:I34"/>
    <mergeCell ref="B51:E51"/>
    <mergeCell ref="F51:G51"/>
    <mergeCell ref="H51:I51"/>
    <mergeCell ref="B13:E13"/>
    <mergeCell ref="F13:G13"/>
    <mergeCell ref="H13:I13"/>
    <mergeCell ref="B14:E14"/>
    <mergeCell ref="F14:G14"/>
    <mergeCell ref="H14:I14"/>
    <mergeCell ref="B15:E15"/>
    <mergeCell ref="F15:G15"/>
    <mergeCell ref="H15:I15"/>
    <mergeCell ref="B16:E16"/>
    <mergeCell ref="F16:G16"/>
    <mergeCell ref="H16:I16"/>
    <mergeCell ref="B17:E17"/>
    <mergeCell ref="F17:G17"/>
    <mergeCell ref="H17:I17"/>
    <mergeCell ref="B26:E26"/>
    <mergeCell ref="F26:G26"/>
    <mergeCell ref="H26:I26"/>
    <mergeCell ref="B31:E31"/>
    <mergeCell ref="F31:G31"/>
    <mergeCell ref="H31:I31"/>
    <mergeCell ref="B32:E32"/>
    <mergeCell ref="F32:G32"/>
    <mergeCell ref="H32:I32"/>
    <mergeCell ref="B33:E33"/>
    <mergeCell ref="F33:G33"/>
    <mergeCell ref="H33:I33"/>
    <mergeCell ref="B30:E30"/>
    <mergeCell ref="F30:G30"/>
    <mergeCell ref="H30:I30"/>
    <mergeCell ref="H28:I28"/>
    <mergeCell ref="C27:E27"/>
    <mergeCell ref="F27:G27"/>
    <mergeCell ref="F29:G29"/>
    <mergeCell ref="C29:E29"/>
    <mergeCell ref="H27:I27"/>
    <mergeCell ref="H29:I29"/>
    <mergeCell ref="C28:E28"/>
    <mergeCell ref="F28:G28"/>
    <mergeCell ref="H40:I40"/>
    <mergeCell ref="D42:E42"/>
    <mergeCell ref="D43:E43"/>
    <mergeCell ref="H35:I35"/>
    <mergeCell ref="H36:I36"/>
    <mergeCell ref="H37:I37"/>
    <mergeCell ref="H38:I38"/>
    <mergeCell ref="H39:I39"/>
    <mergeCell ref="D40:E40"/>
    <mergeCell ref="F35:G35"/>
    <mergeCell ref="F36:G36"/>
    <mergeCell ref="F37:G37"/>
    <mergeCell ref="F38:G38"/>
    <mergeCell ref="F39:G39"/>
    <mergeCell ref="F40:G40"/>
    <mergeCell ref="D35:E35"/>
    <mergeCell ref="D36:E36"/>
    <mergeCell ref="D37:E37"/>
    <mergeCell ref="D38:E38"/>
    <mergeCell ref="D39:E39"/>
    <mergeCell ref="H41:I41"/>
    <mergeCell ref="F42:G42"/>
    <mergeCell ref="H42:I42"/>
    <mergeCell ref="F43:G4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13B45-AEDB-4052-9860-A2D64E512441}">
  <dimension ref="A1:S13"/>
  <sheetViews>
    <sheetView workbookViewId="0">
      <selection activeCell="I19" sqref="I19"/>
    </sheetView>
  </sheetViews>
  <sheetFormatPr defaultRowHeight="15" x14ac:dyDescent="0.25"/>
  <cols>
    <col min="1" max="1" width="30.140625" customWidth="1"/>
    <col min="2" max="2" width="16.7109375" hidden="1" customWidth="1"/>
    <col min="3" max="3" width="19" customWidth="1"/>
    <col min="4" max="4" width="17.7109375" customWidth="1"/>
    <col min="5" max="5" width="18.140625" customWidth="1"/>
    <col min="6" max="6" width="9.7109375" customWidth="1"/>
    <col min="7" max="8" width="10.28515625" customWidth="1"/>
    <col min="9" max="9" width="12.28515625" customWidth="1"/>
    <col min="10" max="10" width="11.28515625" customWidth="1"/>
    <col min="11" max="12" width="10.28515625" customWidth="1"/>
    <col min="13" max="13" width="9.28515625" bestFit="1" customWidth="1"/>
    <col min="14" max="14" width="11.85546875" customWidth="1"/>
    <col min="15" max="15" width="9.28515625" bestFit="1" customWidth="1"/>
    <col min="16" max="16" width="10.5703125" customWidth="1"/>
    <col min="17" max="17" width="12.28515625" customWidth="1"/>
    <col min="18" max="18" width="10.140625" customWidth="1"/>
    <col min="19" max="19" width="11.42578125" customWidth="1"/>
  </cols>
  <sheetData>
    <row r="1" spans="1:19" ht="72.75" customHeight="1" thickBot="1" x14ac:dyDescent="0.3">
      <c r="A1" s="1"/>
      <c r="B1" s="3" t="s">
        <v>127</v>
      </c>
      <c r="C1" s="4" t="s">
        <v>124</v>
      </c>
      <c r="D1" s="5" t="s">
        <v>2</v>
      </c>
      <c r="E1" s="6" t="s">
        <v>3</v>
      </c>
      <c r="F1" s="7" t="s">
        <v>4</v>
      </c>
      <c r="G1" s="8" t="s">
        <v>5</v>
      </c>
      <c r="H1" s="8" t="s">
        <v>6</v>
      </c>
      <c r="I1" s="8" t="s">
        <v>7</v>
      </c>
      <c r="J1" s="8" t="s">
        <v>8</v>
      </c>
      <c r="K1" s="8" t="s">
        <v>9</v>
      </c>
      <c r="L1" s="8" t="s">
        <v>10</v>
      </c>
      <c r="M1" s="99" t="s">
        <v>11</v>
      </c>
      <c r="N1" s="99" t="s">
        <v>12</v>
      </c>
      <c r="O1" s="99" t="s">
        <v>13</v>
      </c>
      <c r="P1" s="99" t="s">
        <v>14</v>
      </c>
      <c r="Q1" s="100" t="s">
        <v>15</v>
      </c>
      <c r="R1" s="101"/>
      <c r="S1" s="102" t="s">
        <v>16</v>
      </c>
    </row>
    <row r="2" spans="1:19" ht="16.5" thickBot="1" x14ac:dyDescent="0.3">
      <c r="A2" s="60" t="s">
        <v>78</v>
      </c>
      <c r="B2" s="86"/>
      <c r="C2" s="61"/>
      <c r="D2" s="91" t="s">
        <v>17</v>
      </c>
      <c r="E2" s="92"/>
      <c r="F2" s="106"/>
      <c r="G2" s="57"/>
      <c r="H2" s="88"/>
      <c r="I2" s="57"/>
      <c r="J2" s="57"/>
      <c r="K2" s="88"/>
      <c r="L2" s="57"/>
      <c r="M2" s="57"/>
      <c r="N2" s="88"/>
      <c r="O2" s="57"/>
      <c r="P2" s="88"/>
      <c r="Q2" s="57"/>
      <c r="R2" s="87"/>
      <c r="S2" s="63"/>
    </row>
    <row r="3" spans="1:19" ht="15.75" x14ac:dyDescent="0.25">
      <c r="A3" s="94" t="s">
        <v>150</v>
      </c>
      <c r="B3" s="58"/>
      <c r="C3" s="59">
        <v>140510.54999999999</v>
      </c>
      <c r="D3" s="89">
        <f>SUM(F3:Q3)</f>
        <v>140000</v>
      </c>
      <c r="E3" s="90">
        <f>B3+C3-D3</f>
        <v>510.54999999998836</v>
      </c>
      <c r="F3" s="53"/>
      <c r="G3" s="53"/>
      <c r="H3" s="53"/>
      <c r="I3" s="53">
        <v>140000</v>
      </c>
      <c r="J3" s="53"/>
      <c r="K3" s="53"/>
      <c r="L3" s="53"/>
      <c r="M3" s="53"/>
      <c r="N3" s="53"/>
      <c r="O3" s="53"/>
      <c r="P3" s="53"/>
      <c r="Q3" s="53"/>
      <c r="R3" s="31"/>
      <c r="S3" s="31">
        <f>SUM(F3:R3)</f>
        <v>140000</v>
      </c>
    </row>
    <row r="4" spans="1:19" ht="15.75" x14ac:dyDescent="0.25">
      <c r="A4" s="13"/>
      <c r="B4" s="15"/>
      <c r="C4" s="16"/>
      <c r="D4" s="89">
        <f>SUM(F4:Q4)</f>
        <v>0</v>
      </c>
      <c r="E4" s="90">
        <f>B4+C4-D4</f>
        <v>0</v>
      </c>
      <c r="F4" s="19"/>
      <c r="G4" s="19"/>
      <c r="H4" s="19"/>
      <c r="I4" s="19"/>
      <c r="J4" s="19"/>
      <c r="K4" s="19"/>
      <c r="L4" s="19"/>
      <c r="M4" s="19"/>
      <c r="N4" s="19"/>
      <c r="O4" s="19"/>
      <c r="P4" s="19"/>
      <c r="Q4" s="19"/>
      <c r="R4" s="31"/>
      <c r="S4" s="31">
        <f>SUM(F4:R4)</f>
        <v>0</v>
      </c>
    </row>
    <row r="5" spans="1:19" ht="16.5" thickBot="1" x14ac:dyDescent="0.3">
      <c r="A5" s="25"/>
      <c r="B5" s="27">
        <f t="shared" ref="B5:Q5" si="0">SUM(B3:B4)</f>
        <v>0</v>
      </c>
      <c r="C5" s="27">
        <f t="shared" si="0"/>
        <v>140510.54999999999</v>
      </c>
      <c r="D5" s="27">
        <f t="shared" si="0"/>
        <v>140000</v>
      </c>
      <c r="E5" s="27">
        <f t="shared" si="0"/>
        <v>510.54999999998836</v>
      </c>
      <c r="F5" s="27">
        <f t="shared" si="0"/>
        <v>0</v>
      </c>
      <c r="G5" s="27">
        <f t="shared" si="0"/>
        <v>0</v>
      </c>
      <c r="H5" s="27">
        <f t="shared" si="0"/>
        <v>0</v>
      </c>
      <c r="I5" s="27">
        <f t="shared" si="0"/>
        <v>140000</v>
      </c>
      <c r="J5" s="27">
        <f t="shared" si="0"/>
        <v>0</v>
      </c>
      <c r="K5" s="27">
        <f t="shared" si="0"/>
        <v>0</v>
      </c>
      <c r="L5" s="27">
        <f t="shared" si="0"/>
        <v>0</v>
      </c>
      <c r="M5" s="27">
        <f t="shared" si="0"/>
        <v>0</v>
      </c>
      <c r="N5" s="27">
        <f t="shared" si="0"/>
        <v>0</v>
      </c>
      <c r="O5" s="27">
        <f t="shared" si="0"/>
        <v>0</v>
      </c>
      <c r="P5" s="27">
        <f t="shared" si="0"/>
        <v>0</v>
      </c>
      <c r="Q5" s="27">
        <f t="shared" si="0"/>
        <v>0</v>
      </c>
      <c r="R5" s="26" t="s">
        <v>25</v>
      </c>
      <c r="S5" s="67">
        <f>SUM(F5:Q5)</f>
        <v>140000</v>
      </c>
    </row>
    <row r="6" spans="1:19" x14ac:dyDescent="0.25">
      <c r="C6" t="s">
        <v>151</v>
      </c>
    </row>
    <row r="9" spans="1:19" ht="37.5" x14ac:dyDescent="0.5">
      <c r="A9" s="30"/>
      <c r="B9" s="32"/>
    </row>
    <row r="12" spans="1:19" ht="15.75" customHeight="1" x14ac:dyDescent="0.25">
      <c r="B12" s="30"/>
      <c r="D12" t="s">
        <v>20</v>
      </c>
    </row>
    <row r="13" spans="1:19" x14ac:dyDescent="0.25">
      <c r="D13" t="s">
        <v>68</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ED5A2-7C5A-442E-AE6E-169F981540D1}">
  <dimension ref="A1:S33"/>
  <sheetViews>
    <sheetView workbookViewId="0">
      <selection activeCell="R22" sqref="R22"/>
    </sheetView>
  </sheetViews>
  <sheetFormatPr defaultRowHeight="15" x14ac:dyDescent="0.25"/>
  <cols>
    <col min="1" max="1" width="36.140625" customWidth="1"/>
    <col min="2" max="2" width="14.42578125" hidden="1" customWidth="1"/>
    <col min="3" max="3" width="16.28515625" customWidth="1"/>
    <col min="4" max="4" width="14.5703125" customWidth="1"/>
    <col min="5" max="5" width="18" customWidth="1"/>
    <col min="6" max="6" width="13.5703125" customWidth="1"/>
    <col min="7" max="7" width="12.140625" customWidth="1"/>
    <col min="8" max="8" width="13.28515625" customWidth="1"/>
    <col min="9" max="9" width="14.7109375" customWidth="1"/>
    <col min="10" max="10" width="11.28515625" customWidth="1"/>
    <col min="11" max="12" width="10.28515625" customWidth="1"/>
    <col min="13" max="13" width="13" customWidth="1"/>
    <col min="14" max="14" width="11.28515625" bestFit="1" customWidth="1"/>
    <col min="15" max="15" width="10.5703125" customWidth="1"/>
    <col min="16" max="16" width="11.5703125" customWidth="1"/>
    <col min="17" max="17" width="10.42578125" customWidth="1"/>
    <col min="18" max="18" width="11.140625" customWidth="1"/>
    <col min="19" max="19" width="13.85546875" customWidth="1"/>
  </cols>
  <sheetData>
    <row r="1" spans="1:19" ht="72.75" customHeight="1" thickBot="1" x14ac:dyDescent="0.3">
      <c r="A1" s="1"/>
      <c r="B1" s="3" t="s">
        <v>122</v>
      </c>
      <c r="C1" s="4" t="s">
        <v>124</v>
      </c>
      <c r="D1" s="5" t="s">
        <v>2</v>
      </c>
      <c r="E1" s="6" t="s">
        <v>3</v>
      </c>
      <c r="F1" s="7" t="s">
        <v>4</v>
      </c>
      <c r="G1" s="8" t="s">
        <v>5</v>
      </c>
      <c r="H1" s="8" t="s">
        <v>6</v>
      </c>
      <c r="I1" s="8" t="s">
        <v>7</v>
      </c>
      <c r="J1" s="8" t="s">
        <v>8</v>
      </c>
      <c r="K1" s="8" t="s">
        <v>9</v>
      </c>
      <c r="L1" s="8" t="s">
        <v>10</v>
      </c>
      <c r="M1" s="8" t="s">
        <v>11</v>
      </c>
      <c r="N1" s="8" t="s">
        <v>12</v>
      </c>
      <c r="O1" s="8" t="s">
        <v>13</v>
      </c>
      <c r="P1" s="8" t="s">
        <v>14</v>
      </c>
      <c r="Q1" s="64" t="s">
        <v>15</v>
      </c>
      <c r="R1" s="79"/>
      <c r="S1" s="78" t="s">
        <v>16</v>
      </c>
    </row>
    <row r="2" spans="1:19" ht="16.5" thickBot="1" x14ac:dyDescent="0.3">
      <c r="A2" s="60" t="s">
        <v>80</v>
      </c>
      <c r="B2" s="86"/>
      <c r="C2" s="61"/>
      <c r="D2" s="91" t="s">
        <v>17</v>
      </c>
      <c r="E2" s="92"/>
      <c r="F2" s="106"/>
      <c r="G2" s="57"/>
      <c r="H2" s="88"/>
      <c r="I2" s="57"/>
      <c r="J2" s="88"/>
      <c r="K2" s="57"/>
      <c r="L2" s="88"/>
      <c r="M2" s="57"/>
      <c r="N2" s="88"/>
      <c r="O2" s="57"/>
      <c r="P2" s="88"/>
      <c r="Q2" s="57"/>
      <c r="R2" s="109"/>
      <c r="S2" s="57"/>
    </row>
    <row r="3" spans="1:19" ht="15.75" x14ac:dyDescent="0.25">
      <c r="A3" s="13" t="s">
        <v>103</v>
      </c>
      <c r="B3" s="15"/>
      <c r="C3" s="16">
        <v>50000</v>
      </c>
      <c r="D3" s="89">
        <f>SUM(F3:Q3)</f>
        <v>11430</v>
      </c>
      <c r="E3" s="90">
        <f>B3+C3-D3</f>
        <v>38570</v>
      </c>
      <c r="F3" s="19"/>
      <c r="G3" s="19">
        <f>1150+830+1150</f>
        <v>3130</v>
      </c>
      <c r="H3" s="19"/>
      <c r="I3" s="19"/>
      <c r="J3" s="19"/>
      <c r="K3" s="19"/>
      <c r="L3" s="19"/>
      <c r="M3" s="19"/>
      <c r="N3" s="19"/>
      <c r="O3" s="19">
        <f>4150+4150</f>
        <v>8300</v>
      </c>
      <c r="P3" s="19"/>
      <c r="Q3" s="19"/>
      <c r="R3" s="54"/>
      <c r="S3" s="19">
        <f t="shared" ref="S3:S12" si="0">SUM(F3:R3)</f>
        <v>11430</v>
      </c>
    </row>
    <row r="4" spans="1:19" ht="15.75" x14ac:dyDescent="0.25">
      <c r="A4" s="13" t="s">
        <v>110</v>
      </c>
      <c r="B4" s="15"/>
      <c r="C4" s="16">
        <v>20000</v>
      </c>
      <c r="D4" s="89">
        <f t="shared" ref="D4:D12" si="1">SUM(F4:Q4)</f>
        <v>8000</v>
      </c>
      <c r="E4" s="90">
        <f t="shared" ref="E4:E12" si="2">B4+C4-D4</f>
        <v>12000</v>
      </c>
      <c r="F4" s="19"/>
      <c r="G4" s="19"/>
      <c r="H4" s="19"/>
      <c r="I4" s="19"/>
      <c r="J4" s="19"/>
      <c r="K4" s="19"/>
      <c r="L4" s="19"/>
      <c r="M4" s="19"/>
      <c r="N4" s="19"/>
      <c r="O4" s="19">
        <f>4000+4000</f>
        <v>8000</v>
      </c>
      <c r="P4" s="19"/>
      <c r="Q4" s="19"/>
      <c r="R4" s="54"/>
      <c r="S4" s="19">
        <f t="shared" si="0"/>
        <v>8000</v>
      </c>
    </row>
    <row r="5" spans="1:19" ht="15.75" x14ac:dyDescent="0.25">
      <c r="A5" s="13" t="s">
        <v>38</v>
      </c>
      <c r="B5" s="15"/>
      <c r="C5" s="16">
        <v>250000</v>
      </c>
      <c r="D5" s="89">
        <f t="shared" si="1"/>
        <v>0</v>
      </c>
      <c r="E5" s="90">
        <f t="shared" si="2"/>
        <v>250000</v>
      </c>
      <c r="F5" s="19"/>
      <c r="G5" s="19"/>
      <c r="H5" s="19"/>
      <c r="I5" s="19"/>
      <c r="J5" s="19"/>
      <c r="K5" s="19"/>
      <c r="L5" s="19"/>
      <c r="M5" s="19"/>
      <c r="N5" s="19"/>
      <c r="O5" s="19"/>
      <c r="P5" s="19"/>
      <c r="Q5" s="19"/>
      <c r="R5" s="80"/>
      <c r="S5" s="19">
        <f t="shared" si="0"/>
        <v>0</v>
      </c>
    </row>
    <row r="6" spans="1:19" ht="15.75" x14ac:dyDescent="0.25">
      <c r="A6" s="13" t="s">
        <v>105</v>
      </c>
      <c r="B6" s="15"/>
      <c r="C6" s="16">
        <v>310000</v>
      </c>
      <c r="D6" s="89">
        <f t="shared" si="1"/>
        <v>2490</v>
      </c>
      <c r="E6" s="90">
        <f t="shared" si="2"/>
        <v>307510</v>
      </c>
      <c r="F6" s="19">
        <v>675</v>
      </c>
      <c r="G6" s="19">
        <v>830</v>
      </c>
      <c r="H6" s="19"/>
      <c r="I6" s="19"/>
      <c r="J6" s="19">
        <f>985</f>
        <v>985</v>
      </c>
      <c r="K6" s="19"/>
      <c r="L6" s="19"/>
      <c r="M6" s="19"/>
      <c r="N6" s="19"/>
      <c r="O6" s="19"/>
      <c r="P6" s="19"/>
      <c r="Q6" s="19"/>
      <c r="R6" s="54"/>
      <c r="S6" s="19">
        <f t="shared" si="0"/>
        <v>2490</v>
      </c>
    </row>
    <row r="7" spans="1:19" ht="15.75" x14ac:dyDescent="0.25">
      <c r="A7" s="20" t="s">
        <v>81</v>
      </c>
      <c r="B7" s="15"/>
      <c r="C7" s="16">
        <v>300000</v>
      </c>
      <c r="D7" s="89">
        <f t="shared" si="1"/>
        <v>0</v>
      </c>
      <c r="E7" s="90">
        <f t="shared" si="2"/>
        <v>300000</v>
      </c>
      <c r="F7" s="19"/>
      <c r="G7" s="19"/>
      <c r="H7" s="19"/>
      <c r="I7" s="19"/>
      <c r="J7" s="19"/>
      <c r="K7" s="19"/>
      <c r="L7" s="19"/>
      <c r="M7" s="19"/>
      <c r="N7" s="19"/>
      <c r="O7" s="19"/>
      <c r="P7" s="19"/>
      <c r="Q7" s="19"/>
      <c r="R7" s="54"/>
      <c r="S7" s="19">
        <f t="shared" si="0"/>
        <v>0</v>
      </c>
    </row>
    <row r="8" spans="1:19" ht="15.75" x14ac:dyDescent="0.25">
      <c r="A8" s="20" t="s">
        <v>804</v>
      </c>
      <c r="B8" s="41"/>
      <c r="C8" s="16">
        <v>450000</v>
      </c>
      <c r="D8" s="89">
        <f t="shared" si="1"/>
        <v>322487.11</v>
      </c>
      <c r="E8" s="90">
        <f t="shared" si="2"/>
        <v>127512.89000000001</v>
      </c>
      <c r="F8" s="42">
        <f>13653.33+15974.98</f>
        <v>29628.309999999998</v>
      </c>
      <c r="G8" s="42">
        <f>14367.55+14317.15</f>
        <v>28684.699999999997</v>
      </c>
      <c r="H8" s="42">
        <f>12145+12369.2</f>
        <v>24514.2</v>
      </c>
      <c r="I8" s="42">
        <f>14828.55+17367.7</f>
        <v>32196.25</v>
      </c>
      <c r="J8" s="42">
        <f>19246.85+24993.05</f>
        <v>44239.899999999994</v>
      </c>
      <c r="K8" s="42">
        <f>22932.75+18329.6</f>
        <v>41262.35</v>
      </c>
      <c r="L8" s="42">
        <f>27486+24010.15</f>
        <v>51496.15</v>
      </c>
      <c r="M8" s="42">
        <f>13634.05+19145</f>
        <v>32779.050000000003</v>
      </c>
      <c r="N8" s="42">
        <f>20405.65</f>
        <v>20405.650000000001</v>
      </c>
      <c r="O8" s="42">
        <f>17280.55</f>
        <v>17280.55</v>
      </c>
      <c r="P8" s="42"/>
      <c r="Q8" s="42"/>
      <c r="R8" s="80"/>
      <c r="S8" s="19">
        <f t="shared" si="0"/>
        <v>322487.11</v>
      </c>
    </row>
    <row r="9" spans="1:19" ht="15.75" x14ac:dyDescent="0.25">
      <c r="A9" s="20" t="s">
        <v>19</v>
      </c>
      <c r="B9" s="41"/>
      <c r="C9" s="16"/>
      <c r="D9" s="89">
        <f t="shared" si="1"/>
        <v>816</v>
      </c>
      <c r="E9" s="90">
        <f t="shared" si="2"/>
        <v>-816</v>
      </c>
      <c r="F9" s="42"/>
      <c r="G9" s="42"/>
      <c r="H9" s="42"/>
      <c r="I9" s="42"/>
      <c r="J9" s="42">
        <f>816</f>
        <v>816</v>
      </c>
      <c r="K9" s="42"/>
      <c r="L9" s="42"/>
      <c r="M9" s="42"/>
      <c r="N9" s="42"/>
      <c r="O9" s="42"/>
      <c r="P9" s="42"/>
      <c r="Q9" s="42"/>
      <c r="R9" s="80"/>
      <c r="S9" s="19">
        <f t="shared" si="0"/>
        <v>816</v>
      </c>
    </row>
    <row r="10" spans="1:19" ht="15.75" x14ac:dyDescent="0.25">
      <c r="A10" s="20" t="s">
        <v>34</v>
      </c>
      <c r="B10" s="41"/>
      <c r="C10" s="16"/>
      <c r="D10" s="89">
        <f t="shared" si="1"/>
        <v>4739.95</v>
      </c>
      <c r="E10" s="90">
        <f t="shared" si="2"/>
        <v>-4739.95</v>
      </c>
      <c r="F10" s="42"/>
      <c r="G10" s="42"/>
      <c r="H10" s="42">
        <v>1573</v>
      </c>
      <c r="I10" s="42"/>
      <c r="J10" s="42">
        <f>2877.95</f>
        <v>2877.95</v>
      </c>
      <c r="K10" s="42"/>
      <c r="L10" s="42"/>
      <c r="M10" s="42">
        <f>289</f>
        <v>289</v>
      </c>
      <c r="N10" s="42"/>
      <c r="O10" s="42"/>
      <c r="P10" s="42"/>
      <c r="Q10" s="42"/>
      <c r="R10" s="80"/>
      <c r="S10" s="19">
        <f t="shared" si="0"/>
        <v>4739.95</v>
      </c>
    </row>
    <row r="11" spans="1:19" ht="15.75" x14ac:dyDescent="0.25">
      <c r="A11" s="20" t="s">
        <v>21</v>
      </c>
      <c r="B11" s="41"/>
      <c r="C11" s="16">
        <v>20000</v>
      </c>
      <c r="D11" s="89">
        <f t="shared" si="1"/>
        <v>450</v>
      </c>
      <c r="E11" s="90">
        <f t="shared" si="2"/>
        <v>19550</v>
      </c>
      <c r="F11" s="42"/>
      <c r="G11" s="42"/>
      <c r="H11" s="42"/>
      <c r="I11" s="42"/>
      <c r="J11" s="42"/>
      <c r="K11" s="42"/>
      <c r="L11" s="42"/>
      <c r="M11" s="42">
        <f>450</f>
        <v>450</v>
      </c>
      <c r="N11" s="42"/>
      <c r="O11" s="42"/>
      <c r="P11" s="42"/>
      <c r="Q11" s="42"/>
      <c r="R11" s="80"/>
      <c r="S11" s="19">
        <f t="shared" si="0"/>
        <v>450</v>
      </c>
    </row>
    <row r="12" spans="1:19" ht="15.75" x14ac:dyDescent="0.25">
      <c r="A12" s="20" t="s">
        <v>142</v>
      </c>
      <c r="B12" s="41"/>
      <c r="C12" s="72"/>
      <c r="D12" s="89">
        <f t="shared" si="1"/>
        <v>589972.4</v>
      </c>
      <c r="E12" s="90">
        <f t="shared" si="2"/>
        <v>-589972.4</v>
      </c>
      <c r="F12" s="42"/>
      <c r="G12" s="42"/>
      <c r="H12" s="42"/>
      <c r="I12" s="42"/>
      <c r="J12" s="42">
        <f>589972.4</f>
        <v>589972.4</v>
      </c>
      <c r="K12" s="42"/>
      <c r="L12" s="42"/>
      <c r="M12" s="42"/>
      <c r="N12" s="42"/>
      <c r="O12" s="42"/>
      <c r="P12" s="42"/>
      <c r="Q12" s="42"/>
      <c r="R12" s="160"/>
      <c r="S12" s="19">
        <f t="shared" si="0"/>
        <v>589972.4</v>
      </c>
    </row>
    <row r="13" spans="1:19" ht="16.5" thickBot="1" x14ac:dyDescent="0.3">
      <c r="A13" s="25"/>
      <c r="B13" s="27">
        <f>SUM(B3:B11)</f>
        <v>0</v>
      </c>
      <c r="C13" s="27">
        <f>SUM(C3:C11)</f>
        <v>1400000</v>
      </c>
      <c r="D13" s="27">
        <f>SUM(D3:D12)</f>
        <v>940385.46</v>
      </c>
      <c r="E13" s="27">
        <f>SUM(E3:E12)</f>
        <v>459614.53999999992</v>
      </c>
      <c r="F13" s="27">
        <f t="shared" ref="F13:Q13" si="3">SUM(F3:F12)</f>
        <v>30303.309999999998</v>
      </c>
      <c r="G13" s="27">
        <f t="shared" si="3"/>
        <v>32644.699999999997</v>
      </c>
      <c r="H13" s="27">
        <f t="shared" si="3"/>
        <v>26087.200000000001</v>
      </c>
      <c r="I13" s="27">
        <f t="shared" si="3"/>
        <v>32196.25</v>
      </c>
      <c r="J13" s="27">
        <f t="shared" si="3"/>
        <v>638891.25</v>
      </c>
      <c r="K13" s="27">
        <f t="shared" si="3"/>
        <v>41262.35</v>
      </c>
      <c r="L13" s="27">
        <f t="shared" si="3"/>
        <v>51496.15</v>
      </c>
      <c r="M13" s="27">
        <f t="shared" si="3"/>
        <v>33518.050000000003</v>
      </c>
      <c r="N13" s="27">
        <f t="shared" si="3"/>
        <v>20405.650000000001</v>
      </c>
      <c r="O13" s="27">
        <f t="shared" si="3"/>
        <v>33580.550000000003</v>
      </c>
      <c r="P13" s="27">
        <f t="shared" si="3"/>
        <v>0</v>
      </c>
      <c r="Q13" s="27">
        <f t="shared" si="3"/>
        <v>0</v>
      </c>
      <c r="R13" s="27" t="s">
        <v>25</v>
      </c>
      <c r="S13" s="70">
        <f>SUM(S3:S12)</f>
        <v>940385.46</v>
      </c>
    </row>
    <row r="17" spans="1:9" ht="15.75" thickBot="1" x14ac:dyDescent="0.3"/>
    <row r="18" spans="1:9" ht="16.5" thickBot="1" x14ac:dyDescent="0.3">
      <c r="A18" s="136" t="s">
        <v>261</v>
      </c>
      <c r="B18" s="299" t="s">
        <v>341</v>
      </c>
      <c r="C18" s="300"/>
      <c r="D18" s="300"/>
      <c r="E18" s="301"/>
      <c r="F18" s="299" t="s">
        <v>114</v>
      </c>
      <c r="G18" s="301"/>
      <c r="H18" s="302" t="s">
        <v>113</v>
      </c>
      <c r="I18" s="303"/>
    </row>
    <row r="19" spans="1:9" ht="36" customHeight="1" x14ac:dyDescent="0.25">
      <c r="A19" s="168" t="s">
        <v>142</v>
      </c>
      <c r="B19" s="316" t="s">
        <v>262</v>
      </c>
      <c r="C19" s="317"/>
      <c r="D19" s="317"/>
      <c r="E19" s="318"/>
      <c r="F19" s="309" t="s">
        <v>263</v>
      </c>
      <c r="G19" s="310"/>
      <c r="H19" s="307">
        <v>589972.4</v>
      </c>
      <c r="I19" s="308"/>
    </row>
    <row r="20" spans="1:9" ht="18.75" customHeight="1" x14ac:dyDescent="0.25">
      <c r="A20" s="162"/>
      <c r="B20" s="350"/>
      <c r="C20" s="351"/>
      <c r="D20" s="351"/>
      <c r="E20" s="352"/>
      <c r="F20" s="377"/>
      <c r="G20" s="413"/>
      <c r="H20" s="441"/>
      <c r="I20" s="443"/>
    </row>
    <row r="21" spans="1:9" x14ac:dyDescent="0.25">
      <c r="A21" s="156"/>
      <c r="B21" s="322"/>
      <c r="C21" s="323"/>
      <c r="D21" s="323"/>
      <c r="E21" s="324"/>
      <c r="F21" s="284"/>
      <c r="G21" s="285"/>
      <c r="H21" s="286"/>
      <c r="I21" s="287"/>
    </row>
    <row r="22" spans="1:9" ht="15.75" thickBot="1" x14ac:dyDescent="0.3">
      <c r="A22" s="156"/>
      <c r="B22" s="353"/>
      <c r="C22" s="369"/>
      <c r="D22" s="369"/>
      <c r="E22" s="354"/>
      <c r="F22" s="353"/>
      <c r="G22" s="354"/>
      <c r="H22" s="353"/>
      <c r="I22" s="354"/>
    </row>
    <row r="23" spans="1:9" ht="15.75" thickBot="1" x14ac:dyDescent="0.3">
      <c r="A23" s="85"/>
      <c r="B23" s="269"/>
      <c r="C23" s="270"/>
      <c r="D23" s="270"/>
      <c r="E23" s="271"/>
      <c r="F23" s="272" t="s">
        <v>116</v>
      </c>
      <c r="G23" s="273"/>
      <c r="H23" s="274">
        <f>SUM(H19:I22)</f>
        <v>589972.4</v>
      </c>
      <c r="I23" s="275"/>
    </row>
    <row r="25" spans="1:9" ht="15.75" thickBot="1" x14ac:dyDescent="0.3"/>
    <row r="26" spans="1:9" ht="16.5" thickBot="1" x14ac:dyDescent="0.3">
      <c r="A26" s="136" t="s">
        <v>342</v>
      </c>
      <c r="B26" s="299" t="s">
        <v>306</v>
      </c>
      <c r="C26" s="300"/>
      <c r="D26" s="300"/>
      <c r="E26" s="301"/>
      <c r="F26" s="299" t="s">
        <v>114</v>
      </c>
      <c r="G26" s="301"/>
      <c r="H26" s="302" t="s">
        <v>113</v>
      </c>
      <c r="I26" s="303"/>
    </row>
    <row r="27" spans="1:9" ht="30" customHeight="1" x14ac:dyDescent="0.25">
      <c r="A27" s="168" t="s">
        <v>343</v>
      </c>
      <c r="B27" s="316" t="s">
        <v>345</v>
      </c>
      <c r="C27" s="317"/>
      <c r="D27" s="317"/>
      <c r="E27" s="318"/>
      <c r="F27" s="309" t="s">
        <v>344</v>
      </c>
      <c r="G27" s="310"/>
      <c r="H27" s="307">
        <v>1150</v>
      </c>
      <c r="I27" s="308"/>
    </row>
    <row r="28" spans="1:9" ht="76.5" customHeight="1" x14ac:dyDescent="0.25">
      <c r="A28" s="162" t="s">
        <v>972</v>
      </c>
      <c r="B28" s="350" t="s">
        <v>973</v>
      </c>
      <c r="C28" s="351"/>
      <c r="D28" s="351"/>
      <c r="E28" s="352"/>
      <c r="F28" s="377" t="s">
        <v>974</v>
      </c>
      <c r="G28" s="413"/>
      <c r="H28" s="441">
        <v>8150</v>
      </c>
      <c r="I28" s="443"/>
    </row>
    <row r="29" spans="1:9" ht="75" customHeight="1" x14ac:dyDescent="0.25">
      <c r="A29" s="156" t="s">
        <v>343</v>
      </c>
      <c r="B29" s="350" t="s">
        <v>973</v>
      </c>
      <c r="C29" s="351"/>
      <c r="D29" s="351"/>
      <c r="E29" s="352"/>
      <c r="F29" s="377" t="s">
        <v>974</v>
      </c>
      <c r="G29" s="413"/>
      <c r="H29" s="441">
        <v>8150</v>
      </c>
      <c r="I29" s="443"/>
    </row>
    <row r="30" spans="1:9" x14ac:dyDescent="0.25">
      <c r="A30" s="156"/>
      <c r="B30" s="140"/>
      <c r="C30" s="369"/>
      <c r="D30" s="369"/>
      <c r="E30" s="354"/>
      <c r="F30" s="581"/>
      <c r="G30" s="582"/>
      <c r="H30" s="583"/>
      <c r="I30" s="584"/>
    </row>
    <row r="31" spans="1:9" x14ac:dyDescent="0.25">
      <c r="A31" s="156"/>
      <c r="B31" s="140"/>
      <c r="C31" s="369"/>
      <c r="D31" s="369"/>
      <c r="E31" s="354"/>
      <c r="F31" s="581"/>
      <c r="G31" s="582"/>
      <c r="H31" s="583"/>
      <c r="I31" s="584"/>
    </row>
    <row r="32" spans="1:9" ht="15.75" thickBot="1" x14ac:dyDescent="0.3">
      <c r="A32" s="156"/>
      <c r="B32" s="353"/>
      <c r="C32" s="369"/>
      <c r="D32" s="369"/>
      <c r="E32" s="354"/>
      <c r="F32" s="353"/>
      <c r="G32" s="354"/>
      <c r="H32" s="353"/>
      <c r="I32" s="354"/>
    </row>
    <row r="33" spans="1:9" ht="15.75" thickBot="1" x14ac:dyDescent="0.3">
      <c r="A33" s="85"/>
      <c r="B33" s="269"/>
      <c r="C33" s="270"/>
      <c r="D33" s="270"/>
      <c r="E33" s="271"/>
      <c r="F33" s="272" t="s">
        <v>116</v>
      </c>
      <c r="G33" s="273"/>
      <c r="H33" s="274">
        <f>SUM(H27:I32)</f>
        <v>17450</v>
      </c>
      <c r="I33" s="275"/>
    </row>
  </sheetData>
  <mergeCells count="42">
    <mergeCell ref="C30:E30"/>
    <mergeCell ref="C31:E31"/>
    <mergeCell ref="F30:G30"/>
    <mergeCell ref="F31:G31"/>
    <mergeCell ref="H30:I30"/>
    <mergeCell ref="H31:I31"/>
    <mergeCell ref="B32:E32"/>
    <mergeCell ref="F32:G32"/>
    <mergeCell ref="H32:I32"/>
    <mergeCell ref="B33:E33"/>
    <mergeCell ref="F33:G33"/>
    <mergeCell ref="H33:I33"/>
    <mergeCell ref="B28:E28"/>
    <mergeCell ref="F28:G28"/>
    <mergeCell ref="H28:I28"/>
    <mergeCell ref="B29:E29"/>
    <mergeCell ref="F29:G29"/>
    <mergeCell ref="H29:I29"/>
    <mergeCell ref="B26:E26"/>
    <mergeCell ref="F26:G26"/>
    <mergeCell ref="H26:I26"/>
    <mergeCell ref="B27:E27"/>
    <mergeCell ref="F27:G27"/>
    <mergeCell ref="H27:I27"/>
    <mergeCell ref="B22:E22"/>
    <mergeCell ref="B23:E23"/>
    <mergeCell ref="F23:G23"/>
    <mergeCell ref="H23:I23"/>
    <mergeCell ref="F22:G22"/>
    <mergeCell ref="H22:I22"/>
    <mergeCell ref="B20:E20"/>
    <mergeCell ref="F20:G20"/>
    <mergeCell ref="H20:I20"/>
    <mergeCell ref="B21:E21"/>
    <mergeCell ref="F21:G21"/>
    <mergeCell ref="H21:I21"/>
    <mergeCell ref="B18:E18"/>
    <mergeCell ref="F18:G18"/>
    <mergeCell ref="H18:I18"/>
    <mergeCell ref="B19:E19"/>
    <mergeCell ref="H19:I19"/>
    <mergeCell ref="F19:G19"/>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9BD4-6780-42AA-B275-2FFACC0781C6}">
  <dimension ref="A1:S47"/>
  <sheetViews>
    <sheetView workbookViewId="0">
      <selection activeCell="O7" sqref="O7"/>
    </sheetView>
  </sheetViews>
  <sheetFormatPr defaultRowHeight="15" x14ac:dyDescent="0.25"/>
  <cols>
    <col min="1" max="1" width="39.7109375" customWidth="1"/>
    <col min="2" max="2" width="16.7109375" hidden="1" customWidth="1"/>
    <col min="3" max="3" width="19.42578125" customWidth="1"/>
    <col min="4" max="4" width="15.42578125" customWidth="1"/>
    <col min="5" max="5" width="15.5703125" customWidth="1"/>
    <col min="6" max="6" width="12.5703125" customWidth="1"/>
    <col min="7" max="7" width="10.28515625" customWidth="1"/>
    <col min="8" max="8" width="11.28515625" customWidth="1"/>
    <col min="9" max="9" width="10.28515625" customWidth="1"/>
    <col min="10" max="10" width="11.28515625" customWidth="1"/>
    <col min="11" max="11" width="12.42578125" customWidth="1"/>
    <col min="12" max="12" width="10.28515625" customWidth="1"/>
    <col min="13" max="13" width="9.28515625" bestFit="1" customWidth="1"/>
    <col min="14" max="14" width="11.85546875" customWidth="1"/>
    <col min="15" max="15" width="12.5703125" customWidth="1"/>
    <col min="16" max="16" width="12.28515625" customWidth="1"/>
    <col min="17" max="18" width="12" customWidth="1"/>
    <col min="19" max="19" width="14" customWidth="1"/>
  </cols>
  <sheetData>
    <row r="1" spans="1:19" ht="72.75" customHeight="1" thickBot="1" x14ac:dyDescent="0.3">
      <c r="A1" s="1"/>
      <c r="B1" s="3" t="s">
        <v>127</v>
      </c>
      <c r="C1" s="4" t="s">
        <v>124</v>
      </c>
      <c r="D1" s="5" t="s">
        <v>814</v>
      </c>
      <c r="E1" s="6" t="s">
        <v>3</v>
      </c>
      <c r="F1" s="7" t="s">
        <v>4</v>
      </c>
      <c r="G1" s="8" t="s">
        <v>5</v>
      </c>
      <c r="H1" s="8" t="s">
        <v>6</v>
      </c>
      <c r="I1" s="8" t="s">
        <v>7</v>
      </c>
      <c r="J1" s="8" t="s">
        <v>8</v>
      </c>
      <c r="K1" s="8" t="s">
        <v>9</v>
      </c>
      <c r="L1" s="8" t="s">
        <v>10</v>
      </c>
      <c r="M1" s="8" t="s">
        <v>11</v>
      </c>
      <c r="N1" s="8" t="s">
        <v>12</v>
      </c>
      <c r="O1" s="8" t="s">
        <v>13</v>
      </c>
      <c r="P1" s="8" t="s">
        <v>14</v>
      </c>
      <c r="Q1" s="9" t="s">
        <v>15</v>
      </c>
      <c r="R1" s="66"/>
      <c r="S1" s="10" t="s">
        <v>16</v>
      </c>
    </row>
    <row r="2" spans="1:19" ht="16.5" thickBot="1" x14ac:dyDescent="0.3">
      <c r="A2" s="60" t="s">
        <v>82</v>
      </c>
      <c r="B2" s="86"/>
      <c r="C2" s="86"/>
      <c r="D2" s="91" t="s">
        <v>17</v>
      </c>
      <c r="E2" s="92"/>
      <c r="F2" s="106"/>
      <c r="G2" s="57"/>
      <c r="H2" s="88"/>
      <c r="I2" s="57"/>
      <c r="J2" s="88"/>
      <c r="K2" s="57"/>
      <c r="L2" s="88"/>
      <c r="M2" s="57"/>
      <c r="N2" s="88"/>
      <c r="O2" s="57"/>
      <c r="P2" s="88"/>
      <c r="Q2" s="106"/>
      <c r="R2" s="57"/>
      <c r="S2" s="12"/>
    </row>
    <row r="3" spans="1:19" ht="15.75" x14ac:dyDescent="0.25">
      <c r="A3" s="94" t="s">
        <v>29</v>
      </c>
      <c r="B3" s="58"/>
      <c r="C3" s="59">
        <v>52100</v>
      </c>
      <c r="D3" s="89">
        <f>SUM(F3:Q3)</f>
        <v>19730</v>
      </c>
      <c r="E3" s="90">
        <f>B3+C3-D3</f>
        <v>32370</v>
      </c>
      <c r="F3" s="53"/>
      <c r="G3" s="53"/>
      <c r="H3" s="53"/>
      <c r="I3" s="53"/>
      <c r="J3" s="53"/>
      <c r="K3" s="53"/>
      <c r="L3" s="53">
        <f>16850+2880</f>
        <v>19730</v>
      </c>
      <c r="M3" s="53"/>
      <c r="N3" s="53"/>
      <c r="O3" s="53"/>
      <c r="P3" s="53"/>
      <c r="Q3" s="39"/>
      <c r="R3" s="53"/>
      <c r="S3" s="31">
        <f>SUM(F3:Q3)</f>
        <v>19730</v>
      </c>
    </row>
    <row r="4" spans="1:19" ht="15.75" x14ac:dyDescent="0.25">
      <c r="A4" s="13" t="s">
        <v>34</v>
      </c>
      <c r="B4" s="15"/>
      <c r="C4" s="16">
        <v>39000</v>
      </c>
      <c r="D4" s="89">
        <f t="shared" ref="D4:D10" si="0">SUM(F4:Q4)</f>
        <v>0</v>
      </c>
      <c r="E4" s="90">
        <f t="shared" ref="E4:E10" si="1">B4+C4-D4</f>
        <v>39000</v>
      </c>
      <c r="F4" s="19"/>
      <c r="G4" s="19"/>
      <c r="H4" s="19"/>
      <c r="I4" s="19"/>
      <c r="J4" s="19"/>
      <c r="K4" s="19"/>
      <c r="L4" s="19"/>
      <c r="M4" s="19"/>
      <c r="N4" s="19"/>
      <c r="O4" s="19"/>
      <c r="P4" s="19"/>
      <c r="Q4" s="42"/>
      <c r="R4" s="53"/>
      <c r="S4" s="31">
        <f t="shared" ref="S4:S10" si="2">SUM(F4:Q4)</f>
        <v>0</v>
      </c>
    </row>
    <row r="5" spans="1:19" ht="15.75" x14ac:dyDescent="0.25">
      <c r="A5" s="13" t="s">
        <v>108</v>
      </c>
      <c r="B5" s="15"/>
      <c r="C5" s="16">
        <v>70000</v>
      </c>
      <c r="D5" s="89">
        <f t="shared" si="0"/>
        <v>30000</v>
      </c>
      <c r="E5" s="90">
        <f t="shared" si="1"/>
        <v>40000</v>
      </c>
      <c r="F5" s="19"/>
      <c r="G5" s="19"/>
      <c r="H5" s="19"/>
      <c r="I5" s="19"/>
      <c r="J5" s="19"/>
      <c r="K5" s="19">
        <f>6000+6000+6000+6000</f>
        <v>24000</v>
      </c>
      <c r="L5" s="19">
        <f>6000</f>
        <v>6000</v>
      </c>
      <c r="M5" s="19"/>
      <c r="N5" s="19"/>
      <c r="O5" s="19"/>
      <c r="P5" s="19"/>
      <c r="Q5" s="42"/>
      <c r="R5" s="53"/>
      <c r="S5" s="31">
        <f t="shared" si="2"/>
        <v>30000</v>
      </c>
    </row>
    <row r="6" spans="1:19" ht="15.75" x14ac:dyDescent="0.25">
      <c r="A6" s="13" t="s">
        <v>109</v>
      </c>
      <c r="B6" s="15"/>
      <c r="C6" s="16">
        <v>70000</v>
      </c>
      <c r="D6" s="89">
        <f t="shared" si="0"/>
        <v>45774</v>
      </c>
      <c r="E6" s="90">
        <f t="shared" si="1"/>
        <v>24226</v>
      </c>
      <c r="F6" s="19"/>
      <c r="G6" s="19"/>
      <c r="H6" s="19"/>
      <c r="I6" s="19"/>
      <c r="J6" s="19"/>
      <c r="K6" s="19">
        <f>8115+8115+8115+8115</f>
        <v>32460</v>
      </c>
      <c r="L6" s="19">
        <f>6614</f>
        <v>6614</v>
      </c>
      <c r="M6" s="19"/>
      <c r="N6" s="19">
        <f>1000+1000+1000</f>
        <v>3000</v>
      </c>
      <c r="O6" s="19">
        <f>1850+850+1000</f>
        <v>3700</v>
      </c>
      <c r="P6" s="19"/>
      <c r="Q6" s="42"/>
      <c r="R6" s="53"/>
      <c r="S6" s="31">
        <f t="shared" si="2"/>
        <v>45774</v>
      </c>
    </row>
    <row r="7" spans="1:19" ht="15.75" x14ac:dyDescent="0.25">
      <c r="A7" s="13" t="s">
        <v>83</v>
      </c>
      <c r="B7" s="15"/>
      <c r="C7" s="16">
        <v>60000</v>
      </c>
      <c r="D7" s="89">
        <f t="shared" si="0"/>
        <v>0</v>
      </c>
      <c r="E7" s="90">
        <f t="shared" si="1"/>
        <v>60000</v>
      </c>
      <c r="F7" s="19"/>
      <c r="G7" s="19"/>
      <c r="H7" s="19"/>
      <c r="I7" s="19"/>
      <c r="J7" s="19"/>
      <c r="K7" s="19"/>
      <c r="L7" s="19"/>
      <c r="M7" s="19"/>
      <c r="N7" s="19"/>
      <c r="O7" s="19"/>
      <c r="P7" s="19"/>
      <c r="Q7" s="42"/>
      <c r="R7" s="53"/>
      <c r="S7" s="31">
        <f t="shared" si="2"/>
        <v>0</v>
      </c>
    </row>
    <row r="8" spans="1:19" ht="15.75" x14ac:dyDescent="0.25">
      <c r="A8" s="20" t="s">
        <v>31</v>
      </c>
      <c r="B8" s="15"/>
      <c r="C8" s="16">
        <v>21000</v>
      </c>
      <c r="D8" s="89">
        <f t="shared" si="0"/>
        <v>0</v>
      </c>
      <c r="E8" s="90">
        <f t="shared" si="1"/>
        <v>21000</v>
      </c>
      <c r="F8" s="19"/>
      <c r="G8" s="19"/>
      <c r="H8" s="19"/>
      <c r="I8" s="19"/>
      <c r="J8" s="19"/>
      <c r="K8" s="19"/>
      <c r="L8" s="19"/>
      <c r="M8" s="19"/>
      <c r="N8" s="19"/>
      <c r="O8" s="19"/>
      <c r="P8" s="19"/>
      <c r="Q8" s="42"/>
      <c r="R8" s="53"/>
      <c r="S8" s="31">
        <f t="shared" si="2"/>
        <v>0</v>
      </c>
    </row>
    <row r="9" spans="1:19" ht="15.75" x14ac:dyDescent="0.25">
      <c r="A9" s="20" t="s">
        <v>21</v>
      </c>
      <c r="B9" s="41"/>
      <c r="C9" s="72"/>
      <c r="D9" s="89">
        <f t="shared" si="0"/>
        <v>850</v>
      </c>
      <c r="E9" s="90">
        <f t="shared" si="1"/>
        <v>-850</v>
      </c>
      <c r="F9" s="42"/>
      <c r="G9" s="42"/>
      <c r="H9" s="42"/>
      <c r="I9" s="42"/>
      <c r="J9" s="42"/>
      <c r="K9" s="42"/>
      <c r="L9" s="42"/>
      <c r="M9" s="42">
        <f>850</f>
        <v>850</v>
      </c>
      <c r="N9" s="42"/>
      <c r="O9" s="42"/>
      <c r="P9" s="42"/>
      <c r="Q9" s="42"/>
      <c r="R9" s="53"/>
      <c r="S9" s="31">
        <f t="shared" si="2"/>
        <v>850</v>
      </c>
    </row>
    <row r="10" spans="1:19" ht="15.75" x14ac:dyDescent="0.25">
      <c r="A10" s="20" t="s">
        <v>44</v>
      </c>
      <c r="B10" s="41"/>
      <c r="C10" s="72">
        <v>400000</v>
      </c>
      <c r="D10" s="89">
        <f t="shared" si="0"/>
        <v>416075</v>
      </c>
      <c r="E10" s="90">
        <f t="shared" si="1"/>
        <v>-16075</v>
      </c>
      <c r="F10" s="42">
        <v>174000</v>
      </c>
      <c r="G10" s="42"/>
      <c r="H10" s="42"/>
      <c r="I10" s="42">
        <f>19600</f>
        <v>19600</v>
      </c>
      <c r="J10" s="42"/>
      <c r="K10" s="42">
        <v>202000</v>
      </c>
      <c r="L10" s="42"/>
      <c r="M10" s="42"/>
      <c r="N10" s="42">
        <v>20475</v>
      </c>
      <c r="O10" s="42"/>
      <c r="P10" s="42"/>
      <c r="Q10" s="42"/>
      <c r="R10" s="19"/>
      <c r="S10" s="31">
        <f t="shared" si="2"/>
        <v>416075</v>
      </c>
    </row>
    <row r="11" spans="1:19" ht="16.5" thickBot="1" x14ac:dyDescent="0.3">
      <c r="A11" s="25"/>
      <c r="B11" s="27">
        <f>SUM(B3:B8)</f>
        <v>0</v>
      </c>
      <c r="C11" s="27">
        <f>SUM(C3:C10)</f>
        <v>712100</v>
      </c>
      <c r="D11" s="27">
        <f t="shared" ref="D11:E11" si="3">SUM(D3:D10)</f>
        <v>512429</v>
      </c>
      <c r="E11" s="27">
        <f t="shared" si="3"/>
        <v>199671</v>
      </c>
      <c r="F11" s="27">
        <f>SUM(F3:F10)</f>
        <v>174000</v>
      </c>
      <c r="G11" s="27">
        <f t="shared" ref="G11:J11" si="4">SUM(G3:G10)</f>
        <v>0</v>
      </c>
      <c r="H11" s="27">
        <f t="shared" si="4"/>
        <v>0</v>
      </c>
      <c r="I11" s="27">
        <f t="shared" si="4"/>
        <v>19600</v>
      </c>
      <c r="J11" s="27">
        <f t="shared" si="4"/>
        <v>0</v>
      </c>
      <c r="K11" s="27">
        <f t="shared" ref="K11:Q11" si="5">SUM(K3:K8)</f>
        <v>56460</v>
      </c>
      <c r="L11" s="27">
        <f t="shared" si="5"/>
        <v>32344</v>
      </c>
      <c r="M11" s="27">
        <f t="shared" si="5"/>
        <v>0</v>
      </c>
      <c r="N11" s="27">
        <f t="shared" si="5"/>
        <v>3000</v>
      </c>
      <c r="O11" s="27">
        <f t="shared" si="5"/>
        <v>3700</v>
      </c>
      <c r="P11" s="27">
        <f t="shared" si="5"/>
        <v>0</v>
      </c>
      <c r="Q11" s="27">
        <f t="shared" si="5"/>
        <v>0</v>
      </c>
      <c r="R11" s="84" t="s">
        <v>25</v>
      </c>
      <c r="S11" s="83">
        <f>SUM(S3:S10)</f>
        <v>512429</v>
      </c>
    </row>
    <row r="13" spans="1:19" ht="15.75" thickBot="1" x14ac:dyDescent="0.3"/>
    <row r="14" spans="1:19" ht="16.5" thickBot="1" x14ac:dyDescent="0.3">
      <c r="A14" s="136" t="s">
        <v>261</v>
      </c>
      <c r="B14" s="299" t="s">
        <v>341</v>
      </c>
      <c r="C14" s="300"/>
      <c r="D14" s="300"/>
      <c r="E14" s="301"/>
      <c r="F14" s="299" t="s">
        <v>114</v>
      </c>
      <c r="G14" s="301"/>
      <c r="H14" s="302" t="s">
        <v>113</v>
      </c>
      <c r="I14" s="303"/>
    </row>
    <row r="15" spans="1:19" ht="30.75" customHeight="1" x14ac:dyDescent="0.25">
      <c r="A15" s="168" t="s">
        <v>19</v>
      </c>
      <c r="B15" s="316" t="s">
        <v>237</v>
      </c>
      <c r="C15" s="317"/>
      <c r="D15" s="317"/>
      <c r="E15" s="318"/>
      <c r="F15" s="316" t="s">
        <v>783</v>
      </c>
      <c r="G15" s="310"/>
      <c r="H15" s="307">
        <v>16850</v>
      </c>
      <c r="I15" s="308"/>
    </row>
    <row r="16" spans="1:19" ht="33" customHeight="1" x14ac:dyDescent="0.25">
      <c r="A16" s="163" t="s">
        <v>19</v>
      </c>
      <c r="B16" s="276" t="s">
        <v>237</v>
      </c>
      <c r="C16" s="277"/>
      <c r="D16" s="277"/>
      <c r="E16" s="278"/>
      <c r="F16" s="276" t="s">
        <v>784</v>
      </c>
      <c r="G16" s="278"/>
      <c r="H16" s="279">
        <v>2880</v>
      </c>
      <c r="I16" s="280"/>
    </row>
    <row r="17" spans="1:9" ht="29.25" customHeight="1" x14ac:dyDescent="0.25">
      <c r="A17" s="162" t="s">
        <v>780</v>
      </c>
      <c r="B17" s="561" t="s">
        <v>781</v>
      </c>
      <c r="C17" s="562"/>
      <c r="D17" s="562"/>
      <c r="E17" s="563"/>
      <c r="F17" s="350" t="s">
        <v>782</v>
      </c>
      <c r="G17" s="413"/>
      <c r="H17" s="441">
        <v>7600</v>
      </c>
      <c r="I17" s="443"/>
    </row>
    <row r="18" spans="1:9" x14ac:dyDescent="0.25">
      <c r="A18" s="156"/>
      <c r="B18" s="322"/>
      <c r="C18" s="323"/>
      <c r="D18" s="323"/>
      <c r="E18" s="324"/>
      <c r="F18" s="284"/>
      <c r="G18" s="285"/>
      <c r="H18" s="286"/>
      <c r="I18" s="287"/>
    </row>
    <row r="19" spans="1:9" ht="15.75" thickBot="1" x14ac:dyDescent="0.3">
      <c r="A19" s="156"/>
      <c r="B19" s="353"/>
      <c r="C19" s="369"/>
      <c r="D19" s="369"/>
      <c r="E19" s="354"/>
      <c r="F19" s="353"/>
      <c r="G19" s="354"/>
      <c r="H19" s="353"/>
      <c r="I19" s="354"/>
    </row>
    <row r="20" spans="1:9" ht="15.75" thickBot="1" x14ac:dyDescent="0.3">
      <c r="A20" s="85"/>
      <c r="B20" s="269"/>
      <c r="C20" s="270"/>
      <c r="D20" s="270"/>
      <c r="E20" s="271"/>
      <c r="F20" s="272" t="s">
        <v>116</v>
      </c>
      <c r="G20" s="273"/>
      <c r="H20" s="274">
        <f>SUM(H15:I19)</f>
        <v>27330</v>
      </c>
      <c r="I20" s="275"/>
    </row>
    <row r="24" spans="1:9" ht="38.25" thickBot="1" x14ac:dyDescent="0.55000000000000004">
      <c r="A24" s="30"/>
      <c r="B24" s="32"/>
    </row>
    <row r="25" spans="1:9" ht="16.5" thickBot="1" x14ac:dyDescent="0.3">
      <c r="A25" s="136" t="s">
        <v>112</v>
      </c>
      <c r="B25" s="299" t="s">
        <v>315</v>
      </c>
      <c r="C25" s="300"/>
      <c r="D25" s="300"/>
      <c r="E25" s="301"/>
      <c r="F25" s="299" t="s">
        <v>114</v>
      </c>
      <c r="G25" s="301"/>
      <c r="H25" s="302" t="s">
        <v>113</v>
      </c>
      <c r="I25" s="303"/>
    </row>
    <row r="26" spans="1:9" ht="31.5" customHeight="1" x14ac:dyDescent="0.25">
      <c r="A26" s="162" t="s">
        <v>386</v>
      </c>
      <c r="B26" s="276" t="s">
        <v>588</v>
      </c>
      <c r="C26" s="277"/>
      <c r="D26" s="277"/>
      <c r="E26" s="278"/>
      <c r="F26" s="276" t="s">
        <v>589</v>
      </c>
      <c r="G26" s="278"/>
      <c r="H26" s="279">
        <v>14115</v>
      </c>
      <c r="I26" s="280"/>
    </row>
    <row r="27" spans="1:9" ht="30" customHeight="1" x14ac:dyDescent="0.25">
      <c r="A27" s="156" t="s">
        <v>489</v>
      </c>
      <c r="B27" s="276" t="s">
        <v>588</v>
      </c>
      <c r="C27" s="277"/>
      <c r="D27" s="277"/>
      <c r="E27" s="278"/>
      <c r="F27" s="276" t="s">
        <v>589</v>
      </c>
      <c r="G27" s="278"/>
      <c r="H27" s="279">
        <v>14115</v>
      </c>
      <c r="I27" s="280"/>
    </row>
    <row r="28" spans="1:9" ht="30" customHeight="1" x14ac:dyDescent="0.25">
      <c r="A28" s="156" t="s">
        <v>590</v>
      </c>
      <c r="B28" s="276" t="s">
        <v>588</v>
      </c>
      <c r="C28" s="277"/>
      <c r="D28" s="277"/>
      <c r="E28" s="278"/>
      <c r="F28" s="276" t="s">
        <v>589</v>
      </c>
      <c r="G28" s="278"/>
      <c r="H28" s="279">
        <v>14115</v>
      </c>
      <c r="I28" s="280"/>
    </row>
    <row r="29" spans="1:9" ht="30" customHeight="1" x14ac:dyDescent="0.25">
      <c r="A29" s="156" t="s">
        <v>591</v>
      </c>
      <c r="B29" s="276" t="s">
        <v>588</v>
      </c>
      <c r="C29" s="277"/>
      <c r="D29" s="277"/>
      <c r="E29" s="278"/>
      <c r="F29" s="276" t="s">
        <v>589</v>
      </c>
      <c r="G29" s="278"/>
      <c r="H29" s="279">
        <v>14115</v>
      </c>
      <c r="I29" s="280"/>
    </row>
    <row r="30" spans="1:9" ht="29.25" customHeight="1" x14ac:dyDescent="0.25">
      <c r="A30" s="156" t="s">
        <v>687</v>
      </c>
      <c r="B30" s="288" t="s">
        <v>588</v>
      </c>
      <c r="C30" s="289"/>
      <c r="D30" s="289"/>
      <c r="E30" s="290"/>
      <c r="F30" s="276" t="s">
        <v>589</v>
      </c>
      <c r="G30" s="278"/>
      <c r="H30" s="311">
        <v>12614</v>
      </c>
      <c r="I30" s="312"/>
    </row>
    <row r="31" spans="1:9" ht="30" customHeight="1" x14ac:dyDescent="0.25">
      <c r="A31" s="156" t="s">
        <v>702</v>
      </c>
      <c r="B31" s="288" t="s">
        <v>703</v>
      </c>
      <c r="C31" s="289"/>
      <c r="D31" s="289"/>
      <c r="E31" s="290"/>
      <c r="F31" s="349" t="s">
        <v>704</v>
      </c>
      <c r="G31" s="265"/>
      <c r="H31" s="311">
        <v>1000</v>
      </c>
      <c r="I31" s="312"/>
    </row>
    <row r="32" spans="1:9" ht="30.75" customHeight="1" x14ac:dyDescent="0.25">
      <c r="A32" s="156" t="s">
        <v>489</v>
      </c>
      <c r="B32" s="288" t="s">
        <v>703</v>
      </c>
      <c r="C32" s="289"/>
      <c r="D32" s="289"/>
      <c r="E32" s="290"/>
      <c r="F32" s="349" t="s">
        <v>704</v>
      </c>
      <c r="G32" s="265"/>
      <c r="H32" s="311">
        <v>1000</v>
      </c>
      <c r="I32" s="312"/>
    </row>
    <row r="33" spans="1:9" ht="30" customHeight="1" x14ac:dyDescent="0.25">
      <c r="A33" s="156" t="s">
        <v>705</v>
      </c>
      <c r="B33" s="288" t="s">
        <v>703</v>
      </c>
      <c r="C33" s="289"/>
      <c r="D33" s="289"/>
      <c r="E33" s="290"/>
      <c r="F33" s="349" t="s">
        <v>704</v>
      </c>
      <c r="G33" s="265"/>
      <c r="H33" s="311">
        <v>1000</v>
      </c>
      <c r="I33" s="312"/>
    </row>
    <row r="34" spans="1:9" s="115" customFormat="1" ht="30" customHeight="1" x14ac:dyDescent="0.25">
      <c r="A34" s="162" t="s">
        <v>386</v>
      </c>
      <c r="B34" s="263" t="s">
        <v>703</v>
      </c>
      <c r="C34" s="319"/>
      <c r="D34" s="319"/>
      <c r="E34" s="294"/>
      <c r="F34" s="349" t="s">
        <v>704</v>
      </c>
      <c r="G34" s="265"/>
      <c r="H34" s="311">
        <v>1000</v>
      </c>
      <c r="I34" s="312"/>
    </row>
    <row r="35" spans="1:9" s="115" customFormat="1" ht="30.75" customHeight="1" x14ac:dyDescent="0.25">
      <c r="A35" s="162" t="s">
        <v>590</v>
      </c>
      <c r="B35" s="263" t="s">
        <v>703</v>
      </c>
      <c r="C35" s="319"/>
      <c r="D35" s="319"/>
      <c r="E35" s="294"/>
      <c r="F35" s="349" t="s">
        <v>704</v>
      </c>
      <c r="G35" s="265"/>
      <c r="H35" s="311">
        <v>1000</v>
      </c>
      <c r="I35" s="312"/>
    </row>
    <row r="36" spans="1:9" ht="30" customHeight="1" x14ac:dyDescent="0.25">
      <c r="A36" s="156" t="s">
        <v>681</v>
      </c>
      <c r="B36" s="263" t="s">
        <v>703</v>
      </c>
      <c r="C36" s="319"/>
      <c r="D36" s="319"/>
      <c r="E36" s="294"/>
      <c r="F36" s="349" t="s">
        <v>704</v>
      </c>
      <c r="G36" s="265"/>
      <c r="H36" s="311">
        <v>1000</v>
      </c>
      <c r="I36" s="312"/>
    </row>
    <row r="37" spans="1:9" ht="30.75" customHeight="1" x14ac:dyDescent="0.25">
      <c r="A37" s="156" t="s">
        <v>591</v>
      </c>
      <c r="B37" s="263" t="s">
        <v>703</v>
      </c>
      <c r="C37" s="319"/>
      <c r="D37" s="319"/>
      <c r="E37" s="294"/>
      <c r="F37" s="349" t="s">
        <v>704</v>
      </c>
      <c r="G37" s="265"/>
      <c r="H37" s="311">
        <v>1000</v>
      </c>
      <c r="I37" s="312"/>
    </row>
    <row r="38" spans="1:9" x14ac:dyDescent="0.25">
      <c r="A38" s="156"/>
      <c r="B38" s="212"/>
      <c r="C38" s="369"/>
      <c r="D38" s="369"/>
      <c r="E38" s="354"/>
      <c r="F38" s="353"/>
      <c r="G38" s="354"/>
      <c r="H38" s="261"/>
      <c r="I38" s="262"/>
    </row>
    <row r="39" spans="1:9" x14ac:dyDescent="0.25">
      <c r="A39" s="156"/>
      <c r="B39" s="212"/>
      <c r="C39" s="369"/>
      <c r="D39" s="369"/>
      <c r="E39" s="354"/>
      <c r="F39" s="353"/>
      <c r="G39" s="354"/>
      <c r="H39" s="261"/>
      <c r="I39" s="262"/>
    </row>
    <row r="40" spans="1:9" x14ac:dyDescent="0.25">
      <c r="A40" s="156"/>
      <c r="B40" s="212"/>
      <c r="C40" s="369"/>
      <c r="D40" s="369"/>
      <c r="E40" s="354"/>
      <c r="F40" s="353"/>
      <c r="G40" s="354"/>
      <c r="H40" s="261"/>
      <c r="I40" s="262"/>
    </row>
    <row r="41" spans="1:9" x14ac:dyDescent="0.25">
      <c r="A41" s="156"/>
      <c r="B41" s="212"/>
      <c r="C41" s="369"/>
      <c r="D41" s="369"/>
      <c r="E41" s="354"/>
      <c r="F41" s="353"/>
      <c r="G41" s="354"/>
      <c r="H41" s="261"/>
      <c r="I41" s="262"/>
    </row>
    <row r="42" spans="1:9" x14ac:dyDescent="0.25">
      <c r="A42" s="156"/>
      <c r="B42" s="212"/>
      <c r="C42" s="369"/>
      <c r="D42" s="369"/>
      <c r="E42" s="354"/>
      <c r="F42" s="353"/>
      <c r="G42" s="354"/>
      <c r="H42" s="261"/>
      <c r="I42" s="262"/>
    </row>
    <row r="43" spans="1:9" x14ac:dyDescent="0.25">
      <c r="A43" s="156"/>
      <c r="B43" s="212"/>
      <c r="C43" s="369"/>
      <c r="D43" s="369"/>
      <c r="E43" s="354"/>
      <c r="F43" s="353"/>
      <c r="G43" s="354"/>
      <c r="H43" s="261"/>
      <c r="I43" s="262"/>
    </row>
    <row r="44" spans="1:9" x14ac:dyDescent="0.25">
      <c r="A44" s="156"/>
      <c r="B44" s="353"/>
      <c r="C44" s="369"/>
      <c r="D44" s="369"/>
      <c r="E44" s="354"/>
      <c r="F44" s="353"/>
      <c r="G44" s="354"/>
      <c r="H44" s="261"/>
      <c r="I44" s="262"/>
    </row>
    <row r="45" spans="1:9" x14ac:dyDescent="0.25">
      <c r="A45" s="156"/>
      <c r="B45" s="353"/>
      <c r="C45" s="369"/>
      <c r="D45" s="369"/>
      <c r="E45" s="354"/>
      <c r="F45" s="266"/>
      <c r="G45" s="268"/>
      <c r="H45" s="261"/>
      <c r="I45" s="262"/>
    </row>
    <row r="46" spans="1:9" ht="15.75" thickBot="1" x14ac:dyDescent="0.3">
      <c r="A46" s="120"/>
      <c r="B46" s="411"/>
      <c r="C46" s="541"/>
      <c r="D46" s="541"/>
      <c r="E46" s="412"/>
      <c r="F46" s="291"/>
      <c r="G46" s="293"/>
      <c r="H46" s="297"/>
      <c r="I46" s="298"/>
    </row>
    <row r="47" spans="1:9" ht="15.75" thickBot="1" x14ac:dyDescent="0.3">
      <c r="A47" s="85"/>
      <c r="B47" s="269"/>
      <c r="C47" s="270"/>
      <c r="D47" s="270"/>
      <c r="E47" s="271"/>
      <c r="F47" s="272" t="s">
        <v>116</v>
      </c>
      <c r="G47" s="273"/>
      <c r="H47" s="274">
        <f>SUM(H26:I46)</f>
        <v>76074</v>
      </c>
      <c r="I47" s="275"/>
    </row>
  </sheetData>
  <mergeCells count="90">
    <mergeCell ref="F42:G42"/>
    <mergeCell ref="F43:G43"/>
    <mergeCell ref="H38:I38"/>
    <mergeCell ref="H39:I39"/>
    <mergeCell ref="H40:I40"/>
    <mergeCell ref="H41:I41"/>
    <mergeCell ref="H42:I42"/>
    <mergeCell ref="H43:I43"/>
    <mergeCell ref="H44:I44"/>
    <mergeCell ref="F37:G37"/>
    <mergeCell ref="F44:G44"/>
    <mergeCell ref="B36:E36"/>
    <mergeCell ref="B37:E37"/>
    <mergeCell ref="B44:E44"/>
    <mergeCell ref="C38:E38"/>
    <mergeCell ref="C39:E39"/>
    <mergeCell ref="C41:E41"/>
    <mergeCell ref="C40:E40"/>
    <mergeCell ref="C42:E42"/>
    <mergeCell ref="C43:E43"/>
    <mergeCell ref="F38:G38"/>
    <mergeCell ref="F39:G39"/>
    <mergeCell ref="F40:G40"/>
    <mergeCell ref="F41:G41"/>
    <mergeCell ref="H46:I46"/>
    <mergeCell ref="B47:E47"/>
    <mergeCell ref="F47:G47"/>
    <mergeCell ref="H47:I47"/>
    <mergeCell ref="B32:E32"/>
    <mergeCell ref="B46:E46"/>
    <mergeCell ref="F32:G32"/>
    <mergeCell ref="F46:G46"/>
    <mergeCell ref="F33:G33"/>
    <mergeCell ref="H33:I33"/>
    <mergeCell ref="H34:I34"/>
    <mergeCell ref="H45:I45"/>
    <mergeCell ref="F34:G34"/>
    <mergeCell ref="F45:G45"/>
    <mergeCell ref="B33:E33"/>
    <mergeCell ref="B34:E34"/>
    <mergeCell ref="B25:E25"/>
    <mergeCell ref="F25:G25"/>
    <mergeCell ref="H25:I25"/>
    <mergeCell ref="B26:E26"/>
    <mergeCell ref="F26:G26"/>
    <mergeCell ref="H26:I26"/>
    <mergeCell ref="B27:E27"/>
    <mergeCell ref="F27:G27"/>
    <mergeCell ref="H27:I27"/>
    <mergeCell ref="B28:E28"/>
    <mergeCell ref="B29:E29"/>
    <mergeCell ref="F28:G28"/>
    <mergeCell ref="F29:G29"/>
    <mergeCell ref="B45:E45"/>
    <mergeCell ref="H28:I28"/>
    <mergeCell ref="H29:I29"/>
    <mergeCell ref="H30:I30"/>
    <mergeCell ref="H31:I31"/>
    <mergeCell ref="B30:E30"/>
    <mergeCell ref="B31:E31"/>
    <mergeCell ref="F30:G30"/>
    <mergeCell ref="F31:G31"/>
    <mergeCell ref="H32:I32"/>
    <mergeCell ref="B35:E35"/>
    <mergeCell ref="F35:G35"/>
    <mergeCell ref="F36:G36"/>
    <mergeCell ref="H35:I35"/>
    <mergeCell ref="H36:I36"/>
    <mergeCell ref="H37:I37"/>
    <mergeCell ref="B14:E14"/>
    <mergeCell ref="F14:G14"/>
    <mergeCell ref="H14:I14"/>
    <mergeCell ref="B15:E15"/>
    <mergeCell ref="F15:G15"/>
    <mergeCell ref="H15:I15"/>
    <mergeCell ref="B20:E20"/>
    <mergeCell ref="F20:G20"/>
    <mergeCell ref="H20:I20"/>
    <mergeCell ref="B17:E17"/>
    <mergeCell ref="F17:G17"/>
    <mergeCell ref="H17:I17"/>
    <mergeCell ref="B18:E18"/>
    <mergeCell ref="F18:G18"/>
    <mergeCell ref="H18:I18"/>
    <mergeCell ref="B16:E16"/>
    <mergeCell ref="F16:G16"/>
    <mergeCell ref="H16:I16"/>
    <mergeCell ref="B19:E19"/>
    <mergeCell ref="F19:G19"/>
    <mergeCell ref="H19:I19"/>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B3E1-8F67-4E9C-B01D-25E143346477}">
  <dimension ref="A1:ER52"/>
  <sheetViews>
    <sheetView workbookViewId="0">
      <selection activeCell="M17" sqref="M17"/>
    </sheetView>
  </sheetViews>
  <sheetFormatPr defaultRowHeight="15" x14ac:dyDescent="0.25"/>
  <cols>
    <col min="1" max="1" width="43.7109375" customWidth="1"/>
    <col min="2" max="2" width="16.7109375" hidden="1" customWidth="1"/>
    <col min="3" max="3" width="19.140625" customWidth="1"/>
    <col min="4" max="4" width="16.5703125" customWidth="1"/>
    <col min="5" max="5" width="16.85546875" customWidth="1"/>
    <col min="6" max="6" width="10.140625" customWidth="1"/>
    <col min="7" max="7" width="10.28515625" customWidth="1"/>
    <col min="8" max="8" width="11.85546875" customWidth="1"/>
    <col min="9" max="9" width="10.28515625" customWidth="1"/>
    <col min="10" max="10" width="12.140625" customWidth="1"/>
    <col min="11" max="11" width="13.5703125" customWidth="1"/>
    <col min="12" max="12" width="11.85546875" customWidth="1"/>
    <col min="13" max="14" width="10.28515625" bestFit="1" customWidth="1"/>
    <col min="15" max="15" width="10.7109375" customWidth="1"/>
    <col min="16" max="16" width="11.5703125" customWidth="1"/>
    <col min="17" max="17" width="10.42578125" customWidth="1"/>
    <col min="18" max="18" width="11.28515625" customWidth="1"/>
    <col min="19" max="19" width="16" customWidth="1"/>
  </cols>
  <sheetData>
    <row r="1" spans="1:148" ht="72.75" customHeight="1" thickBot="1" x14ac:dyDescent="0.3">
      <c r="A1" s="1"/>
      <c r="B1" s="3" t="s">
        <v>122</v>
      </c>
      <c r="C1" s="4" t="s">
        <v>124</v>
      </c>
      <c r="D1" s="5" t="s">
        <v>2</v>
      </c>
      <c r="E1" s="6" t="s">
        <v>3</v>
      </c>
      <c r="F1" s="7" t="s">
        <v>4</v>
      </c>
      <c r="G1" s="8" t="s">
        <v>5</v>
      </c>
      <c r="H1" s="8" t="s">
        <v>6</v>
      </c>
      <c r="I1" s="8" t="s">
        <v>7</v>
      </c>
      <c r="J1" s="8" t="s">
        <v>8</v>
      </c>
      <c r="K1" s="8" t="s">
        <v>9</v>
      </c>
      <c r="L1" s="8" t="s">
        <v>10</v>
      </c>
      <c r="M1" s="8" t="s">
        <v>11</v>
      </c>
      <c r="N1" s="8" t="s">
        <v>12</v>
      </c>
      <c r="O1" s="8" t="s">
        <v>13</v>
      </c>
      <c r="P1" s="8" t="s">
        <v>14</v>
      </c>
      <c r="Q1" s="9" t="s">
        <v>15</v>
      </c>
      <c r="R1" s="66"/>
      <c r="S1" s="10" t="s">
        <v>16</v>
      </c>
    </row>
    <row r="2" spans="1:148" ht="16.5" thickBot="1" x14ac:dyDescent="0.3">
      <c r="A2" s="60" t="s">
        <v>84</v>
      </c>
      <c r="B2" s="86"/>
      <c r="C2" s="61"/>
      <c r="D2" s="91" t="s">
        <v>17</v>
      </c>
      <c r="E2" s="92"/>
      <c r="F2" s="106"/>
      <c r="G2" s="57"/>
      <c r="H2" s="88"/>
      <c r="I2" s="57"/>
      <c r="J2" s="88"/>
      <c r="K2" s="57"/>
      <c r="L2" s="88"/>
      <c r="M2" s="57"/>
      <c r="N2" s="88"/>
      <c r="O2" s="57"/>
      <c r="P2" s="88"/>
      <c r="Q2" s="57"/>
      <c r="R2" s="57"/>
      <c r="S2" s="57"/>
    </row>
    <row r="3" spans="1:148" ht="15.75" x14ac:dyDescent="0.25">
      <c r="A3" s="94" t="s">
        <v>29</v>
      </c>
      <c r="B3" s="58"/>
      <c r="C3" s="59">
        <v>45610</v>
      </c>
      <c r="D3" s="89">
        <f>SUM(F3:Q3)</f>
        <v>21433</v>
      </c>
      <c r="E3" s="90">
        <f>B3+C3-D3</f>
        <v>24177</v>
      </c>
      <c r="F3" s="53"/>
      <c r="G3" s="53"/>
      <c r="H3" s="53"/>
      <c r="I3" s="53"/>
      <c r="J3" s="53">
        <f>8013</f>
        <v>8013</v>
      </c>
      <c r="K3" s="53"/>
      <c r="L3" s="53">
        <f>9300</f>
        <v>9300</v>
      </c>
      <c r="M3" s="53"/>
      <c r="N3" s="53"/>
      <c r="O3" s="53">
        <f>1690+2430</f>
        <v>4120</v>
      </c>
      <c r="P3" s="53"/>
      <c r="Q3" s="53"/>
      <c r="R3" s="81"/>
      <c r="S3" s="31">
        <f>SUM(F3:Q3)</f>
        <v>21433</v>
      </c>
    </row>
    <row r="4" spans="1:148" ht="15.75" x14ac:dyDescent="0.25">
      <c r="A4" s="13" t="s">
        <v>34</v>
      </c>
      <c r="B4" s="15"/>
      <c r="C4" s="16">
        <v>2300</v>
      </c>
      <c r="D4" s="89">
        <f t="shared" ref="D4:D13" si="0">SUM(F4:Q4)</f>
        <v>14455</v>
      </c>
      <c r="E4" s="90">
        <f t="shared" ref="E4:E13" si="1">B4+C4-D4</f>
        <v>-12155</v>
      </c>
      <c r="F4" s="19"/>
      <c r="G4" s="19"/>
      <c r="H4" s="19"/>
      <c r="I4" s="19"/>
      <c r="J4" s="19"/>
      <c r="K4" s="19"/>
      <c r="L4" s="19"/>
      <c r="M4" s="19"/>
      <c r="N4" s="19"/>
      <c r="O4" s="19">
        <f>206+5050+3900+99+5200</f>
        <v>14455</v>
      </c>
      <c r="P4" s="19"/>
      <c r="Q4" s="48"/>
      <c r="R4" s="19"/>
      <c r="S4" s="31">
        <f t="shared" ref="S4:S13" si="2">SUM(F4:Q4)</f>
        <v>14455</v>
      </c>
    </row>
    <row r="5" spans="1:148" ht="15.75" x14ac:dyDescent="0.25">
      <c r="A5" s="34" t="s">
        <v>103</v>
      </c>
      <c r="B5" s="15"/>
      <c r="C5" s="16"/>
      <c r="D5" s="89">
        <f t="shared" si="0"/>
        <v>3600</v>
      </c>
      <c r="E5" s="90">
        <f t="shared" si="1"/>
        <v>-3600</v>
      </c>
      <c r="F5" s="37"/>
      <c r="G5" s="37">
        <f>1000</f>
        <v>1000</v>
      </c>
      <c r="H5" s="37"/>
      <c r="I5" s="37">
        <f>1000</f>
        <v>1000</v>
      </c>
      <c r="J5" s="37">
        <f>1600</f>
        <v>1600</v>
      </c>
      <c r="K5" s="37"/>
      <c r="L5" s="37"/>
      <c r="M5" s="37"/>
      <c r="N5" s="37"/>
      <c r="O5" s="37"/>
      <c r="P5" s="37"/>
      <c r="Q5" s="48"/>
      <c r="R5" s="19"/>
      <c r="S5" s="31">
        <f t="shared" si="2"/>
        <v>3600</v>
      </c>
    </row>
    <row r="6" spans="1:148" ht="15.75" x14ac:dyDescent="0.25">
      <c r="A6" s="34" t="s">
        <v>804</v>
      </c>
      <c r="B6" s="15"/>
      <c r="C6" s="16">
        <v>150000</v>
      </c>
      <c r="D6" s="89">
        <f t="shared" si="0"/>
        <v>156974.5</v>
      </c>
      <c r="E6" s="90">
        <f t="shared" si="1"/>
        <v>-6974.5</v>
      </c>
      <c r="F6" s="37">
        <f>9385.46+5520.34</f>
        <v>14905.8</v>
      </c>
      <c r="G6" s="37">
        <f>503</f>
        <v>503</v>
      </c>
      <c r="H6" s="37">
        <f>9986.5+10474.8</f>
        <v>20461.3</v>
      </c>
      <c r="I6" s="37">
        <f>7543.95+9508.7</f>
        <v>17052.650000000001</v>
      </c>
      <c r="J6" s="37">
        <f>7466.25+10233.8</f>
        <v>17700.05</v>
      </c>
      <c r="K6" s="37">
        <f>10026.4+7272.5</f>
        <v>17298.900000000001</v>
      </c>
      <c r="L6" s="37">
        <f>12032.1+10525.2</f>
        <v>22557.300000000003</v>
      </c>
      <c r="M6" s="37">
        <f>7042+10519.95</f>
        <v>17561.95</v>
      </c>
      <c r="N6" s="37">
        <f>10515.75</f>
        <v>10515.75</v>
      </c>
      <c r="O6" s="37">
        <f>18417.8</f>
        <v>18417.8</v>
      </c>
      <c r="P6" s="37"/>
      <c r="Q6" s="48"/>
      <c r="R6" s="146"/>
      <c r="S6" s="31">
        <f t="shared" si="2"/>
        <v>156974.5</v>
      </c>
    </row>
    <row r="7" spans="1:148" ht="15.75" x14ac:dyDescent="0.25">
      <c r="A7" s="43" t="s">
        <v>21</v>
      </c>
      <c r="B7" s="15"/>
      <c r="C7" s="16">
        <v>240000</v>
      </c>
      <c r="D7" s="89">
        <f t="shared" si="0"/>
        <v>122903.5</v>
      </c>
      <c r="E7" s="90">
        <f t="shared" si="1"/>
        <v>117096.5</v>
      </c>
      <c r="F7" s="37"/>
      <c r="G7" s="37"/>
      <c r="H7" s="37"/>
      <c r="I7" s="37"/>
      <c r="J7" s="37"/>
      <c r="K7" s="37">
        <f>48000+66998.5</f>
        <v>114998.5</v>
      </c>
      <c r="L7" s="37">
        <f>4005</f>
        <v>4005</v>
      </c>
      <c r="M7" s="37"/>
      <c r="N7" s="37"/>
      <c r="O7" s="37">
        <f>3900</f>
        <v>3900</v>
      </c>
      <c r="P7" s="37"/>
      <c r="Q7" s="19"/>
      <c r="R7" s="48"/>
      <c r="S7" s="31">
        <f t="shared" si="2"/>
        <v>122903.5</v>
      </c>
    </row>
    <row r="8" spans="1:148" s="44" customFormat="1" ht="15.75" x14ac:dyDescent="0.25">
      <c r="A8" s="45" t="s">
        <v>85</v>
      </c>
      <c r="B8" s="58"/>
      <c r="C8" s="16">
        <v>506378.5</v>
      </c>
      <c r="D8" s="89">
        <f t="shared" si="0"/>
        <v>661260.5</v>
      </c>
      <c r="E8" s="90">
        <f t="shared" si="1"/>
        <v>-154882</v>
      </c>
      <c r="F8" s="49"/>
      <c r="G8" s="19"/>
      <c r="H8" s="49"/>
      <c r="I8" s="19"/>
      <c r="J8" s="49">
        <f>24347+10000+39230+9180+190000+64500+77800+76705+54500+48000+66998.5</f>
        <v>661260.5</v>
      </c>
      <c r="K8" s="19"/>
      <c r="L8" s="49"/>
      <c r="M8" s="19"/>
      <c r="N8" s="49"/>
      <c r="O8" s="19"/>
      <c r="P8" s="49"/>
      <c r="Q8" s="19"/>
      <c r="R8" s="19"/>
      <c r="S8" s="31">
        <f t="shared" si="2"/>
        <v>661260.5</v>
      </c>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s="46"/>
    </row>
    <row r="9" spans="1:148" s="44" customFormat="1" ht="15.75" x14ac:dyDescent="0.25">
      <c r="A9" s="45" t="s">
        <v>38</v>
      </c>
      <c r="B9" s="15"/>
      <c r="C9" s="16">
        <v>25000</v>
      </c>
      <c r="D9" s="89">
        <f t="shared" si="0"/>
        <v>0</v>
      </c>
      <c r="E9" s="90">
        <f t="shared" si="1"/>
        <v>25000</v>
      </c>
      <c r="F9" s="49"/>
      <c r="G9" s="19"/>
      <c r="H9" s="49"/>
      <c r="I9" s="19"/>
      <c r="J9" s="49"/>
      <c r="K9" s="19"/>
      <c r="L9" s="49"/>
      <c r="M9" s="19"/>
      <c r="N9" s="49"/>
      <c r="O9" s="19"/>
      <c r="P9" s="49"/>
      <c r="Q9" s="19"/>
      <c r="R9" s="19"/>
      <c r="S9" s="31">
        <f t="shared" si="2"/>
        <v>0</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s="46"/>
    </row>
    <row r="10" spans="1:148" s="44" customFormat="1" ht="15.75" x14ac:dyDescent="0.25">
      <c r="A10" s="45" t="s">
        <v>86</v>
      </c>
      <c r="B10" s="15"/>
      <c r="C10" s="16">
        <v>5000</v>
      </c>
      <c r="D10" s="89">
        <f t="shared" si="0"/>
        <v>0</v>
      </c>
      <c r="E10" s="90">
        <f t="shared" si="1"/>
        <v>5000</v>
      </c>
      <c r="F10" s="49"/>
      <c r="G10" s="19"/>
      <c r="H10" s="49"/>
      <c r="I10" s="19"/>
      <c r="J10" s="49"/>
      <c r="K10" s="19"/>
      <c r="L10" s="49"/>
      <c r="M10" s="19"/>
      <c r="N10" s="49"/>
      <c r="O10" s="19"/>
      <c r="P10" s="49"/>
      <c r="Q10" s="19"/>
      <c r="R10" s="19"/>
      <c r="S10" s="31">
        <f t="shared" si="2"/>
        <v>0</v>
      </c>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s="46"/>
    </row>
    <row r="11" spans="1:148" s="44" customFormat="1" ht="15.75" x14ac:dyDescent="0.25">
      <c r="A11" s="45" t="s">
        <v>87</v>
      </c>
      <c r="B11" s="15"/>
      <c r="C11" s="16">
        <v>101025</v>
      </c>
      <c r="D11" s="89">
        <f t="shared" si="0"/>
        <v>0</v>
      </c>
      <c r="E11" s="90">
        <f t="shared" si="1"/>
        <v>101025</v>
      </c>
      <c r="F11" s="49"/>
      <c r="G11" s="19"/>
      <c r="H11" s="49"/>
      <c r="I11" s="19"/>
      <c r="J11" s="49"/>
      <c r="K11" s="19"/>
      <c r="L11" s="49"/>
      <c r="M11" s="19"/>
      <c r="N11" s="49"/>
      <c r="O11" s="19"/>
      <c r="P11" s="49"/>
      <c r="Q11" s="19"/>
      <c r="R11" s="19"/>
      <c r="S11" s="31">
        <f t="shared" si="2"/>
        <v>0</v>
      </c>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s="46"/>
    </row>
    <row r="12" spans="1:148" s="44" customFormat="1" ht="15.75" x14ac:dyDescent="0.25">
      <c r="A12" s="45" t="s">
        <v>88</v>
      </c>
      <c r="B12" s="15"/>
      <c r="C12" s="16">
        <v>447069.5</v>
      </c>
      <c r="D12" s="89">
        <f t="shared" si="0"/>
        <v>0</v>
      </c>
      <c r="E12" s="90">
        <f t="shared" si="1"/>
        <v>447069.5</v>
      </c>
      <c r="F12" s="49"/>
      <c r="G12" s="19"/>
      <c r="H12" s="49"/>
      <c r="I12" s="19"/>
      <c r="J12" s="49"/>
      <c r="K12" s="19"/>
      <c r="L12" s="49"/>
      <c r="M12" s="19"/>
      <c r="N12" s="49"/>
      <c r="O12" s="19"/>
      <c r="P12" s="49"/>
      <c r="Q12" s="19"/>
      <c r="R12" s="19"/>
      <c r="S12" s="31">
        <f t="shared" si="2"/>
        <v>0</v>
      </c>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s="46"/>
    </row>
    <row r="13" spans="1:148" s="44" customFormat="1" ht="15.75" x14ac:dyDescent="0.25">
      <c r="A13" s="45" t="s">
        <v>89</v>
      </c>
      <c r="B13" s="15"/>
      <c r="C13" s="16">
        <v>101025</v>
      </c>
      <c r="D13" s="89">
        <f t="shared" si="0"/>
        <v>0</v>
      </c>
      <c r="E13" s="90">
        <f t="shared" si="1"/>
        <v>101025</v>
      </c>
      <c r="F13" s="49"/>
      <c r="G13" s="19"/>
      <c r="H13" s="49"/>
      <c r="I13" s="19"/>
      <c r="J13" s="49"/>
      <c r="K13" s="19"/>
      <c r="L13" s="49"/>
      <c r="M13" s="19"/>
      <c r="N13" s="49"/>
      <c r="O13" s="19"/>
      <c r="P13" s="49"/>
      <c r="Q13" s="19"/>
      <c r="R13" s="19"/>
      <c r="S13" s="31">
        <f t="shared" si="2"/>
        <v>0</v>
      </c>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s="46"/>
    </row>
    <row r="14" spans="1:148" ht="16.5" thickBot="1" x14ac:dyDescent="0.3">
      <c r="A14" s="25"/>
      <c r="B14" s="27">
        <f>SUM(B3:B13)</f>
        <v>0</v>
      </c>
      <c r="C14" s="27">
        <f>SUM(C3:C13)</f>
        <v>1623408</v>
      </c>
      <c r="D14" s="27">
        <f>SUM(D3:D13)</f>
        <v>980626.5</v>
      </c>
      <c r="E14" s="27">
        <f>SUM(E3:E13)</f>
        <v>642781.5</v>
      </c>
      <c r="F14" s="27">
        <f>SUM(F3:F13)</f>
        <v>14905.8</v>
      </c>
      <c r="G14" s="27">
        <f t="shared" ref="G14:Q14" si="3">SUM(G3:G13)</f>
        <v>1503</v>
      </c>
      <c r="H14" s="27">
        <f t="shared" si="3"/>
        <v>20461.3</v>
      </c>
      <c r="I14" s="27">
        <f t="shared" si="3"/>
        <v>18052.650000000001</v>
      </c>
      <c r="J14" s="27">
        <f t="shared" si="3"/>
        <v>688573.55</v>
      </c>
      <c r="K14" s="27">
        <f t="shared" si="3"/>
        <v>132297.4</v>
      </c>
      <c r="L14" s="27">
        <f t="shared" si="3"/>
        <v>35862.300000000003</v>
      </c>
      <c r="M14" s="27">
        <f t="shared" si="3"/>
        <v>17561.95</v>
      </c>
      <c r="N14" s="27">
        <f t="shared" si="3"/>
        <v>10515.75</v>
      </c>
      <c r="O14" s="27">
        <f t="shared" si="3"/>
        <v>40892.800000000003</v>
      </c>
      <c r="P14" s="27">
        <f t="shared" si="3"/>
        <v>0</v>
      </c>
      <c r="Q14" s="27">
        <f t="shared" si="3"/>
        <v>0</v>
      </c>
      <c r="R14" s="84" t="s">
        <v>25</v>
      </c>
      <c r="S14" s="83">
        <f>SUM(F14:Q14)</f>
        <v>980626.50000000012</v>
      </c>
    </row>
    <row r="16" spans="1:148" ht="15.75" thickBot="1" x14ac:dyDescent="0.3"/>
    <row r="17" spans="1:10" ht="16.5" thickBot="1" x14ac:dyDescent="0.3">
      <c r="A17" s="136" t="s">
        <v>175</v>
      </c>
      <c r="B17" s="299" t="s">
        <v>188</v>
      </c>
      <c r="C17" s="300"/>
      <c r="D17" s="300"/>
      <c r="E17" s="301"/>
      <c r="F17" s="299" t="s">
        <v>114</v>
      </c>
      <c r="G17" s="300"/>
      <c r="H17" s="301"/>
      <c r="I17" s="137" t="s">
        <v>113</v>
      </c>
      <c r="J17" s="138"/>
    </row>
    <row r="18" spans="1:10" ht="33.75" customHeight="1" x14ac:dyDescent="0.25">
      <c r="A18" s="162" t="s">
        <v>220</v>
      </c>
      <c r="B18" s="316" t="s">
        <v>282</v>
      </c>
      <c r="C18" s="317"/>
      <c r="D18" s="317"/>
      <c r="E18" s="318"/>
      <c r="F18" s="316" t="s">
        <v>221</v>
      </c>
      <c r="G18" s="320"/>
      <c r="H18" s="310"/>
      <c r="I18" s="674">
        <v>24347</v>
      </c>
      <c r="J18" s="675"/>
    </row>
    <row r="19" spans="1:10" ht="34.5" customHeight="1" x14ac:dyDescent="0.25">
      <c r="A19" s="156" t="s">
        <v>220</v>
      </c>
      <c r="B19" s="281" t="s">
        <v>266</v>
      </c>
      <c r="C19" s="323"/>
      <c r="D19" s="323"/>
      <c r="E19" s="324"/>
      <c r="F19" s="276" t="s">
        <v>267</v>
      </c>
      <c r="G19" s="321"/>
      <c r="H19" s="285"/>
      <c r="I19" s="311">
        <v>8013</v>
      </c>
      <c r="J19" s="312"/>
    </row>
    <row r="20" spans="1:10" ht="30.75" customHeight="1" x14ac:dyDescent="0.25">
      <c r="A20" s="156" t="s">
        <v>228</v>
      </c>
      <c r="B20" s="266" t="s">
        <v>283</v>
      </c>
      <c r="C20" s="267"/>
      <c r="D20" s="267"/>
      <c r="E20" s="268"/>
      <c r="F20" s="288" t="s">
        <v>281</v>
      </c>
      <c r="G20" s="267"/>
      <c r="H20" s="268"/>
      <c r="I20" s="261">
        <v>10000</v>
      </c>
      <c r="J20" s="262"/>
    </row>
    <row r="21" spans="1:10" ht="30.75" customHeight="1" x14ac:dyDescent="0.25">
      <c r="A21" s="156" t="s">
        <v>21</v>
      </c>
      <c r="B21" s="266" t="s">
        <v>284</v>
      </c>
      <c r="C21" s="267"/>
      <c r="D21" s="267"/>
      <c r="E21" s="268"/>
      <c r="F21" s="288" t="s">
        <v>285</v>
      </c>
      <c r="G21" s="289"/>
      <c r="H21" s="290"/>
      <c r="I21" s="261">
        <v>39230</v>
      </c>
      <c r="J21" s="262"/>
    </row>
    <row r="22" spans="1:10" ht="30.75" customHeight="1" x14ac:dyDescent="0.25">
      <c r="A22" s="156" t="s">
        <v>21</v>
      </c>
      <c r="B22" s="266" t="s">
        <v>287</v>
      </c>
      <c r="C22" s="267"/>
      <c r="D22" s="267"/>
      <c r="E22" s="268"/>
      <c r="F22" s="288" t="s">
        <v>286</v>
      </c>
      <c r="G22" s="289"/>
      <c r="H22" s="290"/>
      <c r="I22" s="261">
        <v>9180</v>
      </c>
      <c r="J22" s="262"/>
    </row>
    <row r="23" spans="1:10" ht="45" customHeight="1" x14ac:dyDescent="0.25">
      <c r="A23" s="156" t="s">
        <v>21</v>
      </c>
      <c r="B23" s="288" t="s">
        <v>290</v>
      </c>
      <c r="C23" s="289"/>
      <c r="D23" s="289"/>
      <c r="E23" s="290"/>
      <c r="F23" s="263" t="s">
        <v>291</v>
      </c>
      <c r="G23" s="264"/>
      <c r="H23" s="265"/>
      <c r="I23" s="261">
        <v>190000</v>
      </c>
      <c r="J23" s="262"/>
    </row>
    <row r="24" spans="1:10" ht="30" customHeight="1" x14ac:dyDescent="0.25">
      <c r="A24" s="156" t="s">
        <v>21</v>
      </c>
      <c r="B24" s="266" t="s">
        <v>293</v>
      </c>
      <c r="C24" s="267"/>
      <c r="D24" s="267"/>
      <c r="E24" s="268"/>
      <c r="F24" s="288" t="s">
        <v>294</v>
      </c>
      <c r="G24" s="267"/>
      <c r="H24" s="268"/>
      <c r="I24" s="344">
        <v>64500</v>
      </c>
      <c r="J24" s="345"/>
    </row>
    <row r="25" spans="1:10" ht="30" customHeight="1" x14ac:dyDescent="0.25">
      <c r="A25" s="156" t="s">
        <v>21</v>
      </c>
      <c r="B25" s="288" t="s">
        <v>297</v>
      </c>
      <c r="C25" s="289"/>
      <c r="D25" s="289"/>
      <c r="E25" s="290"/>
      <c r="F25" s="288" t="s">
        <v>298</v>
      </c>
      <c r="G25" s="267"/>
      <c r="H25" s="268"/>
      <c r="I25" s="344">
        <v>77800</v>
      </c>
      <c r="J25" s="345"/>
    </row>
    <row r="26" spans="1:10" ht="30" customHeight="1" x14ac:dyDescent="0.25">
      <c r="A26" s="156" t="s">
        <v>21</v>
      </c>
      <c r="B26" s="266" t="s">
        <v>299</v>
      </c>
      <c r="C26" s="267"/>
      <c r="D26" s="267"/>
      <c r="E26" s="268"/>
      <c r="F26" s="288" t="s">
        <v>300</v>
      </c>
      <c r="G26" s="267"/>
      <c r="H26" s="268"/>
      <c r="I26" s="344">
        <v>76705</v>
      </c>
      <c r="J26" s="345"/>
    </row>
    <row r="27" spans="1:10" ht="30" customHeight="1" x14ac:dyDescent="0.25">
      <c r="A27" s="156" t="s">
        <v>21</v>
      </c>
      <c r="B27" s="266" t="s">
        <v>301</v>
      </c>
      <c r="C27" s="267"/>
      <c r="D27" s="267"/>
      <c r="E27" s="268"/>
      <c r="F27" s="288" t="s">
        <v>302</v>
      </c>
      <c r="G27" s="267"/>
      <c r="H27" s="268"/>
      <c r="I27" s="344">
        <v>54500</v>
      </c>
      <c r="J27" s="345"/>
    </row>
    <row r="28" spans="1:10" ht="30.75" customHeight="1" x14ac:dyDescent="0.25">
      <c r="A28" s="178" t="s">
        <v>21</v>
      </c>
      <c r="B28" s="266" t="s">
        <v>558</v>
      </c>
      <c r="C28" s="267"/>
      <c r="D28" s="267"/>
      <c r="E28" s="268"/>
      <c r="F28" s="288" t="s">
        <v>559</v>
      </c>
      <c r="G28" s="267"/>
      <c r="H28" s="268"/>
      <c r="I28" s="344">
        <v>48000</v>
      </c>
      <c r="J28" s="345"/>
    </row>
    <row r="29" spans="1:10" ht="42.75" customHeight="1" x14ac:dyDescent="0.25">
      <c r="A29" s="156" t="s">
        <v>21</v>
      </c>
      <c r="B29" s="288" t="s">
        <v>560</v>
      </c>
      <c r="C29" s="289"/>
      <c r="D29" s="289"/>
      <c r="E29" s="290"/>
      <c r="F29" s="263" t="s">
        <v>561</v>
      </c>
      <c r="G29" s="264"/>
      <c r="H29" s="265"/>
      <c r="I29" s="344">
        <v>66998.5</v>
      </c>
      <c r="J29" s="345"/>
    </row>
    <row r="30" spans="1:10" ht="29.25" customHeight="1" x14ac:dyDescent="0.25">
      <c r="A30" s="156" t="s">
        <v>220</v>
      </c>
      <c r="B30" s="263" t="s">
        <v>877</v>
      </c>
      <c r="C30" s="319"/>
      <c r="D30" s="319"/>
      <c r="E30" s="294"/>
      <c r="F30" s="288" t="s">
        <v>770</v>
      </c>
      <c r="G30" s="289"/>
      <c r="H30" s="290"/>
      <c r="I30" s="261">
        <v>2000</v>
      </c>
      <c r="J30" s="262"/>
    </row>
    <row r="31" spans="1:10" ht="30" customHeight="1" x14ac:dyDescent="0.25">
      <c r="A31" s="156" t="s">
        <v>220</v>
      </c>
      <c r="B31" s="266" t="s">
        <v>878</v>
      </c>
      <c r="C31" s="267"/>
      <c r="D31" s="267"/>
      <c r="E31" s="268"/>
      <c r="F31" s="288" t="s">
        <v>773</v>
      </c>
      <c r="G31" s="267"/>
      <c r="H31" s="268"/>
      <c r="I31" s="261">
        <v>800</v>
      </c>
      <c r="J31" s="262"/>
    </row>
    <row r="32" spans="1:10" ht="30" customHeight="1" x14ac:dyDescent="0.25">
      <c r="A32" s="156" t="s">
        <v>909</v>
      </c>
      <c r="B32" s="288" t="s">
        <v>911</v>
      </c>
      <c r="C32" s="267"/>
      <c r="D32" s="267"/>
      <c r="E32" s="268"/>
      <c r="F32" s="288" t="s">
        <v>910</v>
      </c>
      <c r="G32" s="267"/>
      <c r="H32" s="268"/>
      <c r="I32" s="261">
        <v>1690</v>
      </c>
      <c r="J32" s="262"/>
    </row>
    <row r="33" spans="1:10" ht="29.25" customHeight="1" x14ac:dyDescent="0.25">
      <c r="A33" s="156" t="s">
        <v>912</v>
      </c>
      <c r="B33" s="266" t="s">
        <v>913</v>
      </c>
      <c r="C33" s="267"/>
      <c r="D33" s="267"/>
      <c r="E33" s="268"/>
      <c r="F33" s="288" t="s">
        <v>914</v>
      </c>
      <c r="G33" s="267"/>
      <c r="H33" s="268"/>
      <c r="I33" s="261">
        <v>206</v>
      </c>
      <c r="J33" s="262"/>
    </row>
    <row r="34" spans="1:10" ht="30" customHeight="1" x14ac:dyDescent="0.25">
      <c r="A34" s="156" t="s">
        <v>915</v>
      </c>
      <c r="B34" s="288" t="s">
        <v>916</v>
      </c>
      <c r="C34" s="289"/>
      <c r="D34" s="289"/>
      <c r="E34" s="290"/>
      <c r="F34" s="288" t="s">
        <v>917</v>
      </c>
      <c r="G34" s="267"/>
      <c r="H34" s="268"/>
      <c r="I34" s="261">
        <v>5050</v>
      </c>
      <c r="J34" s="262"/>
    </row>
    <row r="35" spans="1:10" ht="30.75" customHeight="1" x14ac:dyDescent="0.25">
      <c r="A35" s="156" t="s">
        <v>918</v>
      </c>
      <c r="B35" s="288" t="s">
        <v>919</v>
      </c>
      <c r="C35" s="289"/>
      <c r="D35" s="289"/>
      <c r="E35" s="290"/>
      <c r="F35" s="288" t="s">
        <v>920</v>
      </c>
      <c r="G35" s="267"/>
      <c r="H35" s="268"/>
      <c r="I35" s="261">
        <v>3900</v>
      </c>
      <c r="J35" s="262"/>
    </row>
    <row r="36" spans="1:10" ht="30.75" customHeight="1" x14ac:dyDescent="0.25">
      <c r="A36" s="156" t="s">
        <v>921</v>
      </c>
      <c r="B36" s="220"/>
      <c r="C36" s="289" t="s">
        <v>922</v>
      </c>
      <c r="D36" s="289"/>
      <c r="E36" s="290"/>
      <c r="F36" s="288" t="s">
        <v>923</v>
      </c>
      <c r="G36" s="267"/>
      <c r="H36" s="268"/>
      <c r="I36" s="261">
        <v>2529</v>
      </c>
      <c r="J36" s="262"/>
    </row>
    <row r="37" spans="1:10" ht="30" customHeight="1" x14ac:dyDescent="0.25">
      <c r="A37" s="156" t="s">
        <v>843</v>
      </c>
      <c r="B37" s="220"/>
      <c r="C37" s="289" t="s">
        <v>924</v>
      </c>
      <c r="D37" s="289"/>
      <c r="E37" s="290"/>
      <c r="F37" s="288" t="s">
        <v>925</v>
      </c>
      <c r="G37" s="267"/>
      <c r="H37" s="268"/>
      <c r="I37" s="261">
        <v>5200</v>
      </c>
      <c r="J37" s="262"/>
    </row>
    <row r="38" spans="1:10" x14ac:dyDescent="0.25">
      <c r="A38" s="156"/>
      <c r="B38" s="220"/>
      <c r="C38" s="289"/>
      <c r="D38" s="289"/>
      <c r="E38" s="290"/>
      <c r="F38" s="266"/>
      <c r="G38" s="267"/>
      <c r="H38" s="268"/>
      <c r="I38" s="261"/>
      <c r="J38" s="262"/>
    </row>
    <row r="39" spans="1:10" x14ac:dyDescent="0.25">
      <c r="A39" s="156"/>
      <c r="B39" s="220"/>
      <c r="C39" s="289"/>
      <c r="D39" s="289"/>
      <c r="E39" s="290"/>
      <c r="F39" s="266"/>
      <c r="G39" s="267"/>
      <c r="H39" s="268"/>
      <c r="I39" s="261"/>
      <c r="J39" s="262"/>
    </row>
    <row r="40" spans="1:10" x14ac:dyDescent="0.25">
      <c r="A40" s="156"/>
      <c r="B40" s="288"/>
      <c r="C40" s="289"/>
      <c r="D40" s="289"/>
      <c r="E40" s="290"/>
      <c r="F40" s="266"/>
      <c r="G40" s="267"/>
      <c r="H40" s="268"/>
      <c r="I40" s="344"/>
      <c r="J40" s="345"/>
    </row>
    <row r="41" spans="1:10" ht="15.75" thickBot="1" x14ac:dyDescent="0.3">
      <c r="A41" s="120"/>
      <c r="B41" s="671"/>
      <c r="C41" s="672"/>
      <c r="D41" s="672"/>
      <c r="E41" s="673"/>
      <c r="F41" s="291"/>
      <c r="G41" s="292"/>
      <c r="H41" s="293"/>
      <c r="I41" s="375"/>
      <c r="J41" s="376"/>
    </row>
    <row r="42" spans="1:10" ht="15.75" thickBot="1" x14ac:dyDescent="0.3">
      <c r="A42" s="85"/>
      <c r="B42" s="269"/>
      <c r="C42" s="270"/>
      <c r="D42" s="270"/>
      <c r="E42" s="271"/>
      <c r="F42" s="272" t="s">
        <v>116</v>
      </c>
      <c r="G42" s="273"/>
      <c r="H42" s="391"/>
      <c r="I42" s="274">
        <f>SUM(I18:K41)</f>
        <v>690648.5</v>
      </c>
      <c r="J42" s="275"/>
    </row>
    <row r="44" spans="1:10" ht="15.75" thickBot="1" x14ac:dyDescent="0.3"/>
    <row r="45" spans="1:10" ht="16.5" thickBot="1" x14ac:dyDescent="0.3">
      <c r="A45" s="136" t="s">
        <v>112</v>
      </c>
      <c r="B45" s="299" t="s">
        <v>306</v>
      </c>
      <c r="C45" s="300"/>
      <c r="D45" s="300"/>
      <c r="E45" s="301"/>
      <c r="F45" s="299" t="s">
        <v>114</v>
      </c>
      <c r="G45" s="300"/>
      <c r="H45" s="301"/>
      <c r="I45" s="137" t="s">
        <v>113</v>
      </c>
      <c r="J45" s="138"/>
    </row>
    <row r="46" spans="1:10" ht="33.75" customHeight="1" x14ac:dyDescent="0.25">
      <c r="A46" s="162" t="s">
        <v>380</v>
      </c>
      <c r="B46" s="316" t="s">
        <v>381</v>
      </c>
      <c r="C46" s="317"/>
      <c r="D46" s="317"/>
      <c r="E46" s="318"/>
      <c r="F46" s="316" t="s">
        <v>368</v>
      </c>
      <c r="G46" s="320"/>
      <c r="H46" s="310"/>
      <c r="I46" s="674">
        <v>1000</v>
      </c>
      <c r="J46" s="675"/>
    </row>
    <row r="47" spans="1:10" ht="47.25" customHeight="1" x14ac:dyDescent="0.25">
      <c r="A47" s="156" t="s">
        <v>380</v>
      </c>
      <c r="B47" s="281" t="s">
        <v>466</v>
      </c>
      <c r="C47" s="282"/>
      <c r="D47" s="282"/>
      <c r="E47" s="283"/>
      <c r="F47" s="276" t="s">
        <v>462</v>
      </c>
      <c r="G47" s="321"/>
      <c r="H47" s="285"/>
      <c r="I47" s="311">
        <v>1000</v>
      </c>
      <c r="J47" s="312"/>
    </row>
    <row r="48" spans="1:10" ht="31.5" customHeight="1" x14ac:dyDescent="0.25">
      <c r="A48" s="156" t="s">
        <v>380</v>
      </c>
      <c r="B48" s="288" t="s">
        <v>501</v>
      </c>
      <c r="C48" s="289"/>
      <c r="D48" s="289"/>
      <c r="E48" s="290"/>
      <c r="F48" s="288" t="s">
        <v>502</v>
      </c>
      <c r="G48" s="267"/>
      <c r="H48" s="268"/>
      <c r="I48" s="261">
        <v>1600</v>
      </c>
      <c r="J48" s="262"/>
    </row>
    <row r="49" spans="1:10" ht="15" customHeight="1" x14ac:dyDescent="0.25">
      <c r="A49" s="156"/>
      <c r="B49" s="353"/>
      <c r="C49" s="369"/>
      <c r="D49" s="369"/>
      <c r="E49" s="354"/>
      <c r="F49" s="676"/>
      <c r="G49" s="512"/>
      <c r="H49" s="513"/>
      <c r="I49" s="261"/>
      <c r="J49" s="262"/>
    </row>
    <row r="50" spans="1:10" ht="15" customHeight="1" x14ac:dyDescent="0.25">
      <c r="A50" s="156"/>
      <c r="B50" s="353"/>
      <c r="C50" s="369"/>
      <c r="D50" s="369"/>
      <c r="E50" s="354"/>
      <c r="F50" s="676"/>
      <c r="G50" s="512"/>
      <c r="H50" s="513"/>
      <c r="I50" s="261"/>
      <c r="J50" s="262"/>
    </row>
    <row r="51" spans="1:10" ht="14.25" customHeight="1" thickBot="1" x14ac:dyDescent="0.3">
      <c r="A51" s="156"/>
      <c r="B51" s="266"/>
      <c r="C51" s="267"/>
      <c r="D51" s="267"/>
      <c r="E51" s="268"/>
      <c r="F51" s="288"/>
      <c r="G51" s="289"/>
      <c r="H51" s="290"/>
      <c r="I51" s="261"/>
      <c r="J51" s="262"/>
    </row>
    <row r="52" spans="1:10" ht="15.75" thickBot="1" x14ac:dyDescent="0.3">
      <c r="A52" s="85"/>
      <c r="B52" s="269"/>
      <c r="C52" s="270"/>
      <c r="D52" s="270"/>
      <c r="E52" s="271"/>
      <c r="F52" s="272" t="s">
        <v>116</v>
      </c>
      <c r="G52" s="273"/>
      <c r="H52" s="391"/>
      <c r="I52" s="274">
        <f>SUM(I46:K51)</f>
        <v>3600</v>
      </c>
      <c r="J52" s="275"/>
    </row>
  </sheetData>
  <mergeCells count="100">
    <mergeCell ref="I35:J35"/>
    <mergeCell ref="I30:J30"/>
    <mergeCell ref="I31:J31"/>
    <mergeCell ref="I32:J32"/>
    <mergeCell ref="I33:J33"/>
    <mergeCell ref="I34:J34"/>
    <mergeCell ref="F33:H33"/>
    <mergeCell ref="F32:H32"/>
    <mergeCell ref="F34:H34"/>
    <mergeCell ref="F35:H35"/>
    <mergeCell ref="B49:E49"/>
    <mergeCell ref="B47:E47"/>
    <mergeCell ref="F47:H47"/>
    <mergeCell ref="F41:H41"/>
    <mergeCell ref="B33:E33"/>
    <mergeCell ref="B34:E34"/>
    <mergeCell ref="B35:E35"/>
    <mergeCell ref="C36:E36"/>
    <mergeCell ref="C37:E37"/>
    <mergeCell ref="C38:E38"/>
    <mergeCell ref="C39:E39"/>
    <mergeCell ref="F36:H36"/>
    <mergeCell ref="B50:E50"/>
    <mergeCell ref="F49:H49"/>
    <mergeCell ref="F50:H50"/>
    <mergeCell ref="I49:J49"/>
    <mergeCell ref="I50:J50"/>
    <mergeCell ref="B52:E52"/>
    <mergeCell ref="F52:H52"/>
    <mergeCell ref="I52:J52"/>
    <mergeCell ref="B51:E51"/>
    <mergeCell ref="F51:H51"/>
    <mergeCell ref="I51:J51"/>
    <mergeCell ref="I47:J47"/>
    <mergeCell ref="B48:E48"/>
    <mergeCell ref="F48:H48"/>
    <mergeCell ref="I48:J48"/>
    <mergeCell ref="B45:E45"/>
    <mergeCell ref="F45:H45"/>
    <mergeCell ref="B46:E46"/>
    <mergeCell ref="F46:H46"/>
    <mergeCell ref="I46:J46"/>
    <mergeCell ref="B19:E19"/>
    <mergeCell ref="F19:H19"/>
    <mergeCell ref="I19:J19"/>
    <mergeCell ref="B20:E20"/>
    <mergeCell ref="B23:E23"/>
    <mergeCell ref="F20:H20"/>
    <mergeCell ref="F23:H23"/>
    <mergeCell ref="I20:J20"/>
    <mergeCell ref="B21:E21"/>
    <mergeCell ref="B22:E22"/>
    <mergeCell ref="F21:H21"/>
    <mergeCell ref="F22:H22"/>
    <mergeCell ref="I21:J21"/>
    <mergeCell ref="I22:J22"/>
    <mergeCell ref="B17:E17"/>
    <mergeCell ref="F17:H17"/>
    <mergeCell ref="B18:E18"/>
    <mergeCell ref="F18:H18"/>
    <mergeCell ref="I18:J18"/>
    <mergeCell ref="I41:J41"/>
    <mergeCell ref="I23:J23"/>
    <mergeCell ref="B42:E42"/>
    <mergeCell ref="F42:H42"/>
    <mergeCell ref="I42:J42"/>
    <mergeCell ref="B41:E41"/>
    <mergeCell ref="B25:E25"/>
    <mergeCell ref="B24:E24"/>
    <mergeCell ref="B26:E26"/>
    <mergeCell ref="B27:E27"/>
    <mergeCell ref="B28:E28"/>
    <mergeCell ref="B29:E29"/>
    <mergeCell ref="B40:E40"/>
    <mergeCell ref="B30:E30"/>
    <mergeCell ref="B31:E31"/>
    <mergeCell ref="B32:E32"/>
    <mergeCell ref="F29:H29"/>
    <mergeCell ref="F40:H40"/>
    <mergeCell ref="I24:J24"/>
    <mergeCell ref="I25:J25"/>
    <mergeCell ref="I26:J26"/>
    <mergeCell ref="I27:J27"/>
    <mergeCell ref="I28:J28"/>
    <mergeCell ref="I29:J29"/>
    <mergeCell ref="I40:J40"/>
    <mergeCell ref="F24:H24"/>
    <mergeCell ref="F25:H25"/>
    <mergeCell ref="F26:H26"/>
    <mergeCell ref="F27:H27"/>
    <mergeCell ref="F28:H28"/>
    <mergeCell ref="F30:H30"/>
    <mergeCell ref="F31:H31"/>
    <mergeCell ref="F37:H37"/>
    <mergeCell ref="F38:H38"/>
    <mergeCell ref="F39:H39"/>
    <mergeCell ref="I36:J36"/>
    <mergeCell ref="I37:J37"/>
    <mergeCell ref="I38:J38"/>
    <mergeCell ref="I39:J3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5797-3B91-4503-928C-DB7987D09BEE}">
  <dimension ref="A1:ER40"/>
  <sheetViews>
    <sheetView workbookViewId="0">
      <selection activeCell="O8" sqref="O8"/>
    </sheetView>
  </sheetViews>
  <sheetFormatPr defaultRowHeight="15" x14ac:dyDescent="0.25"/>
  <cols>
    <col min="1" max="1" width="35.5703125" customWidth="1"/>
    <col min="2" max="2" width="16.7109375" hidden="1" customWidth="1"/>
    <col min="3" max="3" width="19" customWidth="1"/>
    <col min="4" max="4" width="18.42578125" customWidth="1"/>
    <col min="5" max="5" width="15.85546875" customWidth="1"/>
    <col min="6" max="6" width="9.7109375" customWidth="1"/>
    <col min="7" max="9" width="10.28515625" customWidth="1"/>
    <col min="10" max="10" width="11.7109375" customWidth="1"/>
    <col min="11" max="12" width="10.28515625" customWidth="1"/>
    <col min="13" max="13" width="9.28515625" bestFit="1" customWidth="1"/>
    <col min="14" max="14" width="11.85546875" customWidth="1"/>
    <col min="15" max="15" width="10.28515625" bestFit="1" customWidth="1"/>
    <col min="16" max="16" width="12.7109375" customWidth="1"/>
    <col min="17" max="18" width="12.28515625" customWidth="1"/>
    <col min="19" max="19" width="15.28515625" customWidth="1"/>
  </cols>
  <sheetData>
    <row r="1" spans="1:148" ht="72.75" customHeight="1" thickBot="1" x14ac:dyDescent="0.3">
      <c r="A1" s="1"/>
      <c r="B1" s="3" t="s">
        <v>127</v>
      </c>
      <c r="C1" s="4" t="s">
        <v>124</v>
      </c>
      <c r="D1" s="5" t="s">
        <v>2</v>
      </c>
      <c r="E1" s="6" t="s">
        <v>3</v>
      </c>
      <c r="F1" s="7" t="s">
        <v>4</v>
      </c>
      <c r="G1" s="8" t="s">
        <v>5</v>
      </c>
      <c r="H1" s="8" t="s">
        <v>6</v>
      </c>
      <c r="I1" s="8" t="s">
        <v>7</v>
      </c>
      <c r="J1" s="8" t="s">
        <v>8</v>
      </c>
      <c r="K1" s="8" t="s">
        <v>9</v>
      </c>
      <c r="L1" s="8" t="s">
        <v>10</v>
      </c>
      <c r="M1" s="8" t="s">
        <v>11</v>
      </c>
      <c r="N1" s="8" t="s">
        <v>12</v>
      </c>
      <c r="O1" s="8" t="s">
        <v>13</v>
      </c>
      <c r="P1" s="8" t="s">
        <v>14</v>
      </c>
      <c r="Q1" s="9" t="s">
        <v>15</v>
      </c>
      <c r="R1" s="66"/>
      <c r="S1" s="10" t="s">
        <v>16</v>
      </c>
    </row>
    <row r="2" spans="1:148" ht="16.5" thickBot="1" x14ac:dyDescent="0.3">
      <c r="A2" s="60" t="s">
        <v>90</v>
      </c>
      <c r="B2" s="86"/>
      <c r="C2" s="86"/>
      <c r="D2" s="91" t="s">
        <v>17</v>
      </c>
      <c r="E2" s="92"/>
      <c r="F2" s="106"/>
      <c r="G2" s="106"/>
      <c r="H2" s="57"/>
      <c r="I2" s="57"/>
      <c r="J2" s="88"/>
      <c r="K2" s="57"/>
      <c r="L2" s="88"/>
      <c r="M2" s="57"/>
      <c r="N2" s="88"/>
      <c r="O2" s="57"/>
      <c r="P2" s="57"/>
      <c r="Q2" s="12"/>
      <c r="R2" s="106"/>
      <c r="S2" s="57"/>
    </row>
    <row r="3" spans="1:148" ht="15.75" x14ac:dyDescent="0.25">
      <c r="A3" s="94" t="s">
        <v>29</v>
      </c>
      <c r="B3" s="58"/>
      <c r="C3" s="59">
        <v>27398</v>
      </c>
      <c r="D3" s="89">
        <f>SUM(F3:Q3)</f>
        <v>8824</v>
      </c>
      <c r="E3" s="145">
        <f>B3+C3-D3</f>
        <v>18574</v>
      </c>
      <c r="F3" s="31"/>
      <c r="G3" s="39"/>
      <c r="H3" s="53"/>
      <c r="I3" s="39"/>
      <c r="J3" s="81">
        <f>1500+1657+4039+1628</f>
        <v>8824</v>
      </c>
      <c r="K3" s="39"/>
      <c r="L3" s="81"/>
      <c r="M3" s="39"/>
      <c r="N3" s="81"/>
      <c r="O3" s="39"/>
      <c r="P3" s="81"/>
      <c r="Q3" s="39"/>
      <c r="R3" s="81"/>
      <c r="S3" s="53">
        <f>SUM(F3:Q3)</f>
        <v>8824</v>
      </c>
    </row>
    <row r="4" spans="1:148" ht="15.75" x14ac:dyDescent="0.25">
      <c r="A4" s="144" t="s">
        <v>44</v>
      </c>
      <c r="B4" s="29"/>
      <c r="C4" s="59">
        <v>2500</v>
      </c>
      <c r="D4" s="89">
        <f t="shared" ref="D4:D10" si="0">SUM(F4:Q4)</f>
        <v>0</v>
      </c>
      <c r="E4" s="18">
        <f t="shared" ref="E4:E10" si="1">B4+C4-D4</f>
        <v>2500</v>
      </c>
      <c r="F4" s="82"/>
      <c r="G4" s="69"/>
      <c r="H4" s="146"/>
      <c r="I4" s="69"/>
      <c r="J4" s="146"/>
      <c r="K4" s="69"/>
      <c r="L4" s="146"/>
      <c r="M4" s="69"/>
      <c r="N4" s="146"/>
      <c r="O4" s="69"/>
      <c r="P4" s="146"/>
      <c r="Q4" s="39"/>
      <c r="R4" s="146"/>
      <c r="S4" s="53">
        <f t="shared" ref="S4:S10" si="2">SUM(F4:Q4)</f>
        <v>0</v>
      </c>
    </row>
    <row r="5" spans="1:148" ht="15.75" x14ac:dyDescent="0.25">
      <c r="A5" s="34" t="s">
        <v>103</v>
      </c>
      <c r="B5" s="36"/>
      <c r="C5" s="16">
        <v>6000</v>
      </c>
      <c r="D5" s="89">
        <f t="shared" si="0"/>
        <v>4913</v>
      </c>
      <c r="E5" s="18">
        <f t="shared" si="1"/>
        <v>1087</v>
      </c>
      <c r="F5" s="51"/>
      <c r="G5" s="37"/>
      <c r="H5" s="48"/>
      <c r="I5" s="37">
        <f>4313</f>
        <v>4313</v>
      </c>
      <c r="J5" s="48">
        <f>200</f>
        <v>200</v>
      </c>
      <c r="K5" s="37"/>
      <c r="L5" s="48"/>
      <c r="M5" s="37"/>
      <c r="N5" s="48">
        <v>400</v>
      </c>
      <c r="O5" s="37"/>
      <c r="P5" s="48"/>
      <c r="Q5" s="42"/>
      <c r="R5" s="19"/>
      <c r="S5" s="53">
        <f t="shared" si="2"/>
        <v>4913</v>
      </c>
    </row>
    <row r="6" spans="1:148" ht="15.75" x14ac:dyDescent="0.25">
      <c r="A6" s="34" t="s">
        <v>108</v>
      </c>
      <c r="B6" s="36"/>
      <c r="C6" s="16">
        <v>15000</v>
      </c>
      <c r="D6" s="89">
        <f t="shared" si="0"/>
        <v>12000</v>
      </c>
      <c r="E6" s="18">
        <f t="shared" si="1"/>
        <v>3000</v>
      </c>
      <c r="F6" s="51"/>
      <c r="G6" s="37"/>
      <c r="H6" s="48"/>
      <c r="I6" s="37">
        <f>5500</f>
        <v>5500</v>
      </c>
      <c r="J6" s="48"/>
      <c r="K6" s="37"/>
      <c r="L6" s="48"/>
      <c r="M6" s="37"/>
      <c r="N6" s="48">
        <v>6500</v>
      </c>
      <c r="O6" s="37"/>
      <c r="P6" s="48"/>
      <c r="Q6" s="42"/>
      <c r="R6" s="19"/>
      <c r="S6" s="53">
        <f t="shared" si="2"/>
        <v>12000</v>
      </c>
    </row>
    <row r="7" spans="1:148" ht="15.75" x14ac:dyDescent="0.25">
      <c r="A7" s="34" t="s">
        <v>132</v>
      </c>
      <c r="B7" s="36"/>
      <c r="C7" s="16">
        <v>2100</v>
      </c>
      <c r="D7" s="89">
        <f t="shared" si="0"/>
        <v>80323</v>
      </c>
      <c r="E7" s="18">
        <f t="shared" si="1"/>
        <v>-78223</v>
      </c>
      <c r="F7" s="51"/>
      <c r="G7" s="37"/>
      <c r="H7" s="48"/>
      <c r="I7" s="37"/>
      <c r="J7" s="48">
        <f>600+530</f>
        <v>1130</v>
      </c>
      <c r="K7" s="37"/>
      <c r="L7" s="48"/>
      <c r="M7" s="37"/>
      <c r="N7" s="48">
        <f>49900</f>
        <v>49900</v>
      </c>
      <c r="O7" s="37">
        <f>18500+7298+3495</f>
        <v>29293</v>
      </c>
      <c r="P7" s="48"/>
      <c r="Q7" s="42"/>
      <c r="R7" s="146"/>
      <c r="S7" s="53">
        <f t="shared" si="2"/>
        <v>80323</v>
      </c>
    </row>
    <row r="8" spans="1:148" ht="15.75" x14ac:dyDescent="0.25">
      <c r="A8" s="43" t="s">
        <v>21</v>
      </c>
      <c r="B8" s="36"/>
      <c r="C8" s="16">
        <v>12500</v>
      </c>
      <c r="D8" s="89">
        <f t="shared" si="0"/>
        <v>5500</v>
      </c>
      <c r="E8" s="18">
        <f t="shared" si="1"/>
        <v>7000</v>
      </c>
      <c r="F8" s="51"/>
      <c r="G8" s="37"/>
      <c r="H8" s="48"/>
      <c r="I8" s="37"/>
      <c r="J8" s="48"/>
      <c r="K8" s="37"/>
      <c r="L8" s="48"/>
      <c r="M8" s="37"/>
      <c r="N8" s="48"/>
      <c r="O8" s="37">
        <v>5500</v>
      </c>
      <c r="P8" s="48"/>
      <c r="Q8" s="42"/>
      <c r="R8" s="48"/>
      <c r="S8" s="53">
        <f t="shared" si="2"/>
        <v>5500</v>
      </c>
    </row>
    <row r="9" spans="1:148" s="44" customFormat="1" ht="15.75" x14ac:dyDescent="0.25">
      <c r="A9" s="45" t="s">
        <v>31</v>
      </c>
      <c r="B9" s="15"/>
      <c r="C9" s="16">
        <v>65500</v>
      </c>
      <c r="D9" s="89">
        <f t="shared" si="0"/>
        <v>0</v>
      </c>
      <c r="E9" s="18">
        <f t="shared" si="1"/>
        <v>65500</v>
      </c>
      <c r="F9" s="49"/>
      <c r="G9" s="42"/>
      <c r="H9" s="19"/>
      <c r="I9" s="42"/>
      <c r="J9" s="19"/>
      <c r="K9" s="42"/>
      <c r="L9" s="19"/>
      <c r="M9" s="42"/>
      <c r="N9" s="19"/>
      <c r="O9" s="42"/>
      <c r="P9" s="19"/>
      <c r="Q9" s="42"/>
      <c r="R9" s="19"/>
      <c r="S9" s="53">
        <f t="shared" si="2"/>
        <v>0</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s="46"/>
    </row>
    <row r="10" spans="1:148" ht="15.75" x14ac:dyDescent="0.25">
      <c r="A10" s="71" t="s">
        <v>804</v>
      </c>
      <c r="B10" s="41"/>
      <c r="C10" s="72">
        <v>150000</v>
      </c>
      <c r="D10" s="89">
        <f t="shared" si="0"/>
        <v>87252.81</v>
      </c>
      <c r="E10" s="90">
        <f t="shared" si="1"/>
        <v>62747.19</v>
      </c>
      <c r="F10" s="49">
        <f>9466.31</f>
        <v>9466.31</v>
      </c>
      <c r="G10" s="42">
        <f>4012.45+5017.4</f>
        <v>9029.8499999999985</v>
      </c>
      <c r="H10" s="19">
        <f>5001.65+5523.55</f>
        <v>10525.2</v>
      </c>
      <c r="I10" s="42">
        <f>3009.6+4518.6</f>
        <v>7528.2000000000007</v>
      </c>
      <c r="J10" s="19">
        <f>4506+4466.1</f>
        <v>8972.1</v>
      </c>
      <c r="K10" s="42">
        <f>4009.3</f>
        <v>4009.3</v>
      </c>
      <c r="L10" s="19">
        <f>6036+9054</f>
        <v>15090</v>
      </c>
      <c r="M10" s="42">
        <f>3018+5533</f>
        <v>8551</v>
      </c>
      <c r="N10" s="19">
        <v>5030</v>
      </c>
      <c r="O10" s="42">
        <f>9050.85</f>
        <v>9050.85</v>
      </c>
      <c r="P10" s="19"/>
      <c r="Q10" s="42"/>
      <c r="R10" s="19"/>
      <c r="S10" s="53">
        <f t="shared" si="2"/>
        <v>87252.81</v>
      </c>
    </row>
    <row r="11" spans="1:148" ht="16.5" thickBot="1" x14ac:dyDescent="0.3">
      <c r="A11" s="25"/>
      <c r="B11" s="27">
        <f>SUM(B3:B9)</f>
        <v>0</v>
      </c>
      <c r="C11" s="27">
        <f>SUM(C3:C10)</f>
        <v>280998</v>
      </c>
      <c r="D11" s="27">
        <f t="shared" ref="D11:E11" si="3">SUM(D3:D10)</f>
        <v>198812.81</v>
      </c>
      <c r="E11" s="70">
        <f t="shared" si="3"/>
        <v>82185.19</v>
      </c>
      <c r="F11" s="27">
        <f>SUM(F3:F10)</f>
        <v>9466.31</v>
      </c>
      <c r="G11" s="27">
        <f t="shared" ref="G11" si="4">SUM(G3:G10)</f>
        <v>9029.8499999999985</v>
      </c>
      <c r="H11" s="27">
        <f>SUM(H3:H10)</f>
        <v>10525.2</v>
      </c>
      <c r="I11" s="27">
        <f>SUM(I3:I10)</f>
        <v>17341.2</v>
      </c>
      <c r="J11" s="70">
        <f>SUM(J3:J10)</f>
        <v>19126.099999999999</v>
      </c>
      <c r="K11" s="70">
        <f>SUM(K3:K10)</f>
        <v>4009.3</v>
      </c>
      <c r="L11" s="70">
        <f t="shared" ref="L11:M11" si="5">SUM(L3:L10)</f>
        <v>15090</v>
      </c>
      <c r="M11" s="70">
        <f t="shared" si="5"/>
        <v>8551</v>
      </c>
      <c r="N11" s="70">
        <f>SUM(N3:N10)</f>
        <v>61830</v>
      </c>
      <c r="O11" s="70">
        <f t="shared" ref="O11:Q11" si="6">SUM(O3:O10)</f>
        <v>43843.85</v>
      </c>
      <c r="P11" s="70">
        <f t="shared" si="6"/>
        <v>0</v>
      </c>
      <c r="Q11" s="70">
        <f t="shared" si="6"/>
        <v>0</v>
      </c>
      <c r="R11" s="84" t="s">
        <v>25</v>
      </c>
      <c r="S11" s="47">
        <f>SUM(F11:Q11)</f>
        <v>198812.81</v>
      </c>
    </row>
    <row r="13" spans="1:148" ht="15.75" thickBot="1" x14ac:dyDescent="0.3"/>
    <row r="14" spans="1:148" ht="16.5" thickBot="1" x14ac:dyDescent="0.3">
      <c r="A14" s="299" t="s">
        <v>175</v>
      </c>
      <c r="B14" s="301"/>
      <c r="C14" s="299" t="s">
        <v>188</v>
      </c>
      <c r="D14" s="300"/>
      <c r="E14" s="300"/>
      <c r="F14" s="300"/>
      <c r="G14" s="301"/>
      <c r="H14" s="299" t="s">
        <v>114</v>
      </c>
      <c r="I14" s="300"/>
      <c r="J14" s="301"/>
      <c r="K14" s="387" t="s">
        <v>113</v>
      </c>
      <c r="L14" s="539"/>
      <c r="M14" s="388"/>
    </row>
    <row r="15" spans="1:148" x14ac:dyDescent="0.25">
      <c r="A15" s="542" t="s">
        <v>222</v>
      </c>
      <c r="B15" s="543"/>
      <c r="C15" s="577" t="s">
        <v>223</v>
      </c>
      <c r="D15" s="578"/>
      <c r="E15" s="578"/>
      <c r="F15" s="578"/>
      <c r="G15" s="579"/>
      <c r="H15" s="577" t="s">
        <v>224</v>
      </c>
      <c r="I15" s="677"/>
      <c r="J15" s="543"/>
      <c r="K15" s="564">
        <v>600</v>
      </c>
      <c r="L15" s="565"/>
      <c r="M15" s="566"/>
    </row>
    <row r="16" spans="1:148" x14ac:dyDescent="0.25">
      <c r="A16" s="377"/>
      <c r="B16" s="413"/>
      <c r="C16" s="350"/>
      <c r="D16" s="351"/>
      <c r="E16" s="351"/>
      <c r="F16" s="351"/>
      <c r="G16" s="352"/>
      <c r="H16" s="377"/>
      <c r="I16" s="370"/>
      <c r="J16" s="413"/>
      <c r="K16" s="407"/>
      <c r="L16" s="540"/>
      <c r="M16" s="408"/>
    </row>
    <row r="17" spans="1:13" x14ac:dyDescent="0.25">
      <c r="A17" s="678" t="s">
        <v>19</v>
      </c>
      <c r="B17" s="679"/>
      <c r="C17" s="680" t="s">
        <v>238</v>
      </c>
      <c r="D17" s="681"/>
      <c r="E17" s="681"/>
      <c r="F17" s="681"/>
      <c r="G17" s="682"/>
      <c r="H17" s="680" t="s">
        <v>239</v>
      </c>
      <c r="I17" s="683"/>
      <c r="J17" s="679"/>
      <c r="K17" s="684">
        <v>1500</v>
      </c>
      <c r="L17" s="655"/>
      <c r="M17" s="685"/>
    </row>
    <row r="18" spans="1:13" x14ac:dyDescent="0.25">
      <c r="A18" s="377"/>
      <c r="B18" s="413"/>
      <c r="C18" s="350"/>
      <c r="D18" s="351"/>
      <c r="E18" s="351"/>
      <c r="F18" s="351"/>
      <c r="G18" s="352"/>
      <c r="H18" s="377"/>
      <c r="I18" s="370"/>
      <c r="J18" s="413"/>
      <c r="K18" s="407"/>
      <c r="L18" s="540"/>
      <c r="M18" s="408"/>
    </row>
    <row r="19" spans="1:13" ht="30.75" customHeight="1" x14ac:dyDescent="0.25">
      <c r="A19" s="322" t="s">
        <v>19</v>
      </c>
      <c r="B19" s="324"/>
      <c r="C19" s="686" t="s">
        <v>240</v>
      </c>
      <c r="D19" s="687"/>
      <c r="E19" s="687"/>
      <c r="F19" s="687"/>
      <c r="G19" s="688"/>
      <c r="H19" s="686" t="s">
        <v>241</v>
      </c>
      <c r="I19" s="689"/>
      <c r="J19" s="690"/>
      <c r="K19" s="691">
        <v>1657</v>
      </c>
      <c r="L19" s="692"/>
      <c r="M19" s="693"/>
    </row>
    <row r="20" spans="1:13" ht="30.75" customHeight="1" x14ac:dyDescent="0.25">
      <c r="A20" s="322" t="s">
        <v>222</v>
      </c>
      <c r="B20" s="324"/>
      <c r="C20" s="281" t="s">
        <v>247</v>
      </c>
      <c r="D20" s="282"/>
      <c r="E20" s="282"/>
      <c r="F20" s="282"/>
      <c r="G20" s="283"/>
      <c r="H20" s="686" t="s">
        <v>248</v>
      </c>
      <c r="I20" s="689"/>
      <c r="J20" s="690"/>
      <c r="K20" s="567">
        <v>530</v>
      </c>
      <c r="L20" s="568"/>
      <c r="M20" s="569"/>
    </row>
    <row r="21" spans="1:13" ht="30.75" customHeight="1" x14ac:dyDescent="0.25">
      <c r="A21" s="266" t="s">
        <v>19</v>
      </c>
      <c r="B21" s="268"/>
      <c r="C21" s="288" t="s">
        <v>237</v>
      </c>
      <c r="D21" s="289"/>
      <c r="E21" s="289"/>
      <c r="F21" s="289"/>
      <c r="G21" s="290"/>
      <c r="H21" s="288" t="s">
        <v>274</v>
      </c>
      <c r="I21" s="289"/>
      <c r="J21" s="290"/>
      <c r="K21" s="261">
        <v>4039</v>
      </c>
      <c r="L21" s="381"/>
      <c r="M21" s="262"/>
    </row>
    <row r="22" spans="1:13" ht="31.5" customHeight="1" x14ac:dyDescent="0.25">
      <c r="A22" s="266" t="s">
        <v>19</v>
      </c>
      <c r="B22" s="268"/>
      <c r="C22" s="288" t="s">
        <v>275</v>
      </c>
      <c r="D22" s="289"/>
      <c r="E22" s="289"/>
      <c r="F22" s="289"/>
      <c r="G22" s="290"/>
      <c r="H22" s="288" t="s">
        <v>276</v>
      </c>
      <c r="I22" s="289"/>
      <c r="J22" s="290"/>
      <c r="K22" s="261">
        <v>1628</v>
      </c>
      <c r="L22" s="381"/>
      <c r="M22" s="262"/>
    </row>
    <row r="23" spans="1:13" ht="28.5" customHeight="1" x14ac:dyDescent="0.25">
      <c r="A23" s="266" t="s">
        <v>763</v>
      </c>
      <c r="B23" s="268"/>
      <c r="C23" s="288" t="s">
        <v>764</v>
      </c>
      <c r="D23" s="289"/>
      <c r="E23" s="289"/>
      <c r="F23" s="289"/>
      <c r="G23" s="290"/>
      <c r="H23" s="288" t="s">
        <v>765</v>
      </c>
      <c r="I23" s="289"/>
      <c r="J23" s="290"/>
      <c r="K23" s="261">
        <v>49900</v>
      </c>
      <c r="L23" s="381"/>
      <c r="M23" s="262"/>
    </row>
    <row r="24" spans="1:13" ht="29.25" customHeight="1" x14ac:dyDescent="0.25">
      <c r="A24" s="266" t="s">
        <v>977</v>
      </c>
      <c r="B24" s="268"/>
      <c r="C24" s="288" t="s">
        <v>978</v>
      </c>
      <c r="D24" s="289"/>
      <c r="E24" s="289"/>
      <c r="F24" s="289"/>
      <c r="G24" s="290"/>
      <c r="H24" s="288" t="s">
        <v>982</v>
      </c>
      <c r="I24" s="289"/>
      <c r="J24" s="290"/>
      <c r="K24" s="261">
        <v>18500</v>
      </c>
      <c r="L24" s="381"/>
      <c r="M24" s="262"/>
    </row>
    <row r="25" spans="1:13" ht="30" customHeight="1" x14ac:dyDescent="0.25">
      <c r="A25" s="266" t="s">
        <v>979</v>
      </c>
      <c r="B25" s="268"/>
      <c r="C25" s="288" t="s">
        <v>980</v>
      </c>
      <c r="D25" s="289"/>
      <c r="E25" s="289"/>
      <c r="F25" s="289"/>
      <c r="G25" s="290"/>
      <c r="H25" s="288" t="s">
        <v>981</v>
      </c>
      <c r="I25" s="289"/>
      <c r="J25" s="290"/>
      <c r="K25" s="261">
        <v>7298</v>
      </c>
      <c r="L25" s="381"/>
      <c r="M25" s="262"/>
    </row>
    <row r="26" spans="1:13" ht="30.75" customHeight="1" x14ac:dyDescent="0.25">
      <c r="A26" s="266" t="s">
        <v>983</v>
      </c>
      <c r="B26" s="268"/>
      <c r="C26" s="288" t="s">
        <v>984</v>
      </c>
      <c r="D26" s="289"/>
      <c r="E26" s="289"/>
      <c r="F26" s="289"/>
      <c r="G26" s="290"/>
      <c r="H26" s="288" t="s">
        <v>985</v>
      </c>
      <c r="I26" s="289"/>
      <c r="J26" s="290"/>
      <c r="K26" s="261">
        <v>3495</v>
      </c>
      <c r="L26" s="381"/>
      <c r="M26" s="262"/>
    </row>
    <row r="27" spans="1:13" ht="31.5" customHeight="1" x14ac:dyDescent="0.25">
      <c r="A27" s="266" t="s">
        <v>1019</v>
      </c>
      <c r="B27" s="268"/>
      <c r="C27" s="288" t="s">
        <v>1020</v>
      </c>
      <c r="D27" s="289"/>
      <c r="E27" s="289"/>
      <c r="F27" s="289"/>
      <c r="G27" s="290"/>
      <c r="H27" s="288" t="s">
        <v>1021</v>
      </c>
      <c r="I27" s="289"/>
      <c r="J27" s="290"/>
      <c r="K27" s="261">
        <v>5500</v>
      </c>
      <c r="L27" s="381"/>
      <c r="M27" s="262"/>
    </row>
    <row r="28" spans="1:13" ht="20.25" customHeight="1" x14ac:dyDescent="0.25">
      <c r="A28" s="248"/>
      <c r="B28" s="247"/>
      <c r="C28" s="676"/>
      <c r="D28" s="512"/>
      <c r="E28" s="512"/>
      <c r="F28" s="512"/>
      <c r="G28" s="513"/>
      <c r="H28" s="676"/>
      <c r="I28" s="512"/>
      <c r="J28" s="513"/>
      <c r="K28" s="261"/>
      <c r="L28" s="381"/>
      <c r="M28" s="262"/>
    </row>
    <row r="29" spans="1:13" ht="17.25" customHeight="1" x14ac:dyDescent="0.25">
      <c r="A29" s="248"/>
      <c r="B29" s="247"/>
      <c r="C29" s="676"/>
      <c r="D29" s="512"/>
      <c r="E29" s="512"/>
      <c r="F29" s="512"/>
      <c r="G29" s="513"/>
      <c r="H29" s="676"/>
      <c r="I29" s="512"/>
      <c r="J29" s="513"/>
      <c r="K29" s="261"/>
      <c r="L29" s="381"/>
      <c r="M29" s="262"/>
    </row>
    <row r="30" spans="1:13" ht="15.75" thickBot="1" x14ac:dyDescent="0.3">
      <c r="A30" s="291"/>
      <c r="B30" s="293"/>
      <c r="C30" s="291"/>
      <c r="D30" s="292"/>
      <c r="E30" s="292"/>
      <c r="F30" s="292"/>
      <c r="G30" s="293"/>
      <c r="H30" s="291"/>
      <c r="I30" s="292"/>
      <c r="J30" s="293"/>
      <c r="K30" s="411"/>
      <c r="L30" s="541"/>
      <c r="M30" s="412"/>
    </row>
    <row r="31" spans="1:13" ht="15.75" thickBot="1" x14ac:dyDescent="0.3">
      <c r="A31" s="499"/>
      <c r="B31" s="501"/>
      <c r="C31" s="269"/>
      <c r="D31" s="270"/>
      <c r="E31" s="270"/>
      <c r="F31" s="270"/>
      <c r="G31" s="271"/>
      <c r="H31" s="272" t="s">
        <v>118</v>
      </c>
      <c r="I31" s="273"/>
      <c r="J31" s="391"/>
      <c r="K31" s="694">
        <f>SUM(K15:M30)</f>
        <v>94647</v>
      </c>
      <c r="L31" s="695"/>
      <c r="M31" s="696"/>
    </row>
    <row r="33" spans="1:13" ht="15.75" thickBot="1" x14ac:dyDescent="0.3"/>
    <row r="34" spans="1:13" ht="18" customHeight="1" thickBot="1" x14ac:dyDescent="0.3">
      <c r="A34" s="299" t="s">
        <v>175</v>
      </c>
      <c r="B34" s="301"/>
      <c r="C34" s="299" t="s">
        <v>315</v>
      </c>
      <c r="D34" s="300"/>
      <c r="E34" s="300"/>
      <c r="F34" s="300"/>
      <c r="G34" s="301"/>
      <c r="H34" s="299" t="s">
        <v>114</v>
      </c>
      <c r="I34" s="300"/>
      <c r="J34" s="301"/>
      <c r="K34" s="387" t="s">
        <v>113</v>
      </c>
      <c r="L34" s="539"/>
      <c r="M34" s="388"/>
    </row>
    <row r="35" spans="1:13" ht="32.25" customHeight="1" x14ac:dyDescent="0.25">
      <c r="A35" s="377" t="s">
        <v>460</v>
      </c>
      <c r="B35" s="413"/>
      <c r="C35" s="350" t="s">
        <v>461</v>
      </c>
      <c r="D35" s="351"/>
      <c r="E35" s="351"/>
      <c r="F35" s="351"/>
      <c r="G35" s="352"/>
      <c r="H35" s="377" t="s">
        <v>462</v>
      </c>
      <c r="I35" s="370"/>
      <c r="J35" s="413"/>
      <c r="K35" s="407">
        <v>9813</v>
      </c>
      <c r="L35" s="540"/>
      <c r="M35" s="408"/>
    </row>
    <row r="36" spans="1:13" x14ac:dyDescent="0.25">
      <c r="A36" s="349" t="s">
        <v>460</v>
      </c>
      <c r="B36" s="265"/>
      <c r="C36" s="263" t="s">
        <v>529</v>
      </c>
      <c r="D36" s="319"/>
      <c r="E36" s="319"/>
      <c r="F36" s="319"/>
      <c r="G36" s="294"/>
      <c r="H36" s="263" t="s">
        <v>185</v>
      </c>
      <c r="I36" s="319"/>
      <c r="J36" s="294"/>
      <c r="K36" s="311">
        <v>200</v>
      </c>
      <c r="L36" s="424"/>
      <c r="M36" s="312"/>
    </row>
    <row r="37" spans="1:13" ht="44.25" customHeight="1" x14ac:dyDescent="0.25">
      <c r="A37" s="349" t="s">
        <v>460</v>
      </c>
      <c r="B37" s="265"/>
      <c r="C37" s="304" t="s">
        <v>768</v>
      </c>
      <c r="D37" s="305"/>
      <c r="E37" s="305"/>
      <c r="F37" s="305"/>
      <c r="G37" s="306"/>
      <c r="H37" s="392" t="s">
        <v>769</v>
      </c>
      <c r="I37" s="393"/>
      <c r="J37" s="657"/>
      <c r="K37" s="588">
        <v>6900</v>
      </c>
      <c r="L37" s="702"/>
      <c r="M37" s="589"/>
    </row>
    <row r="38" spans="1:13" x14ac:dyDescent="0.25">
      <c r="A38" s="322"/>
      <c r="B38" s="324"/>
      <c r="C38" s="697"/>
      <c r="D38" s="698"/>
      <c r="E38" s="698"/>
      <c r="F38" s="698"/>
      <c r="G38" s="699"/>
      <c r="H38" s="697"/>
      <c r="I38" s="700"/>
      <c r="J38" s="701"/>
      <c r="K38" s="691"/>
      <c r="L38" s="692"/>
      <c r="M38" s="693"/>
    </row>
    <row r="39" spans="1:13" ht="15.75" thickBot="1" x14ac:dyDescent="0.3">
      <c r="A39" s="322"/>
      <c r="B39" s="324"/>
      <c r="C39" s="671"/>
      <c r="D39" s="672"/>
      <c r="E39" s="672"/>
      <c r="F39" s="672"/>
      <c r="G39" s="673"/>
      <c r="H39" s="697"/>
      <c r="I39" s="700"/>
      <c r="J39" s="701"/>
      <c r="K39" s="567"/>
      <c r="L39" s="568"/>
      <c r="M39" s="569"/>
    </row>
    <row r="40" spans="1:13" ht="15.75" thickBot="1" x14ac:dyDescent="0.3">
      <c r="A40" s="499"/>
      <c r="B40" s="501"/>
      <c r="C40" s="269"/>
      <c r="D40" s="270"/>
      <c r="E40" s="270"/>
      <c r="F40" s="270"/>
      <c r="G40" s="271"/>
      <c r="H40" s="272" t="s">
        <v>118</v>
      </c>
      <c r="I40" s="273"/>
      <c r="J40" s="391"/>
      <c r="K40" s="694">
        <f>SUM(K35:M39)</f>
        <v>16913</v>
      </c>
      <c r="L40" s="695"/>
      <c r="M40" s="696"/>
    </row>
  </sheetData>
  <mergeCells count="90">
    <mergeCell ref="C28:G28"/>
    <mergeCell ref="C29:G29"/>
    <mergeCell ref="H28:J28"/>
    <mergeCell ref="H29:J29"/>
    <mergeCell ref="K28:M28"/>
    <mergeCell ref="K29:M29"/>
    <mergeCell ref="H26:J26"/>
    <mergeCell ref="H27:J27"/>
    <mergeCell ref="K26:M26"/>
    <mergeCell ref="K27:M27"/>
    <mergeCell ref="H35:J35"/>
    <mergeCell ref="K35:M35"/>
    <mergeCell ref="K36:M36"/>
    <mergeCell ref="A40:B40"/>
    <mergeCell ref="C40:G40"/>
    <mergeCell ref="H40:J40"/>
    <mergeCell ref="K40:M40"/>
    <mergeCell ref="A38:B38"/>
    <mergeCell ref="C38:G38"/>
    <mergeCell ref="H38:J38"/>
    <mergeCell ref="K38:M38"/>
    <mergeCell ref="A39:B39"/>
    <mergeCell ref="C39:G39"/>
    <mergeCell ref="H39:J39"/>
    <mergeCell ref="K39:M39"/>
    <mergeCell ref="K37:M37"/>
    <mergeCell ref="A37:B37"/>
    <mergeCell ref="C36:G36"/>
    <mergeCell ref="A31:B31"/>
    <mergeCell ref="C31:G31"/>
    <mergeCell ref="H31:J31"/>
    <mergeCell ref="K31:M31"/>
    <mergeCell ref="A34:B34"/>
    <mergeCell ref="C34:G34"/>
    <mergeCell ref="H34:J34"/>
    <mergeCell ref="K34:M34"/>
    <mergeCell ref="C37:G37"/>
    <mergeCell ref="H36:J36"/>
    <mergeCell ref="H37:J37"/>
    <mergeCell ref="A35:B35"/>
    <mergeCell ref="C35:G35"/>
    <mergeCell ref="A36:B36"/>
    <mergeCell ref="A24:B24"/>
    <mergeCell ref="C24:G24"/>
    <mergeCell ref="H24:J24"/>
    <mergeCell ref="K24:M24"/>
    <mergeCell ref="A30:B30"/>
    <mergeCell ref="C30:G30"/>
    <mergeCell ref="H30:J30"/>
    <mergeCell ref="K30:M30"/>
    <mergeCell ref="A25:B25"/>
    <mergeCell ref="C25:G25"/>
    <mergeCell ref="H25:J25"/>
    <mergeCell ref="K25:M25"/>
    <mergeCell ref="A26:B26"/>
    <mergeCell ref="A27:B27"/>
    <mergeCell ref="C26:G26"/>
    <mergeCell ref="C27:G27"/>
    <mergeCell ref="A22:B22"/>
    <mergeCell ref="C22:G22"/>
    <mergeCell ref="H22:J22"/>
    <mergeCell ref="K22:M22"/>
    <mergeCell ref="A23:B23"/>
    <mergeCell ref="C23:G23"/>
    <mergeCell ref="H23:J23"/>
    <mergeCell ref="K23:M23"/>
    <mergeCell ref="A20:B20"/>
    <mergeCell ref="C20:G20"/>
    <mergeCell ref="H20:J20"/>
    <mergeCell ref="K20:M20"/>
    <mergeCell ref="A21:B21"/>
    <mergeCell ref="C21:G21"/>
    <mergeCell ref="H21:J21"/>
    <mergeCell ref="K21:M21"/>
    <mergeCell ref="A17:B18"/>
    <mergeCell ref="C17:G18"/>
    <mergeCell ref="H17:J18"/>
    <mergeCell ref="K17:M18"/>
    <mergeCell ref="A19:B19"/>
    <mergeCell ref="C19:G19"/>
    <mergeCell ref="H19:J19"/>
    <mergeCell ref="K19:M19"/>
    <mergeCell ref="A14:B14"/>
    <mergeCell ref="C14:G14"/>
    <mergeCell ref="H14:J14"/>
    <mergeCell ref="K14:M14"/>
    <mergeCell ref="A15:B16"/>
    <mergeCell ref="C15:G16"/>
    <mergeCell ref="H15:J16"/>
    <mergeCell ref="K15:M1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E0DA-06A8-4A03-AB14-C8691246EA0A}">
  <dimension ref="A1:ES27"/>
  <sheetViews>
    <sheetView workbookViewId="0">
      <selection activeCell="J3" sqref="J3:O8"/>
    </sheetView>
  </sheetViews>
  <sheetFormatPr defaultRowHeight="15" x14ac:dyDescent="0.25"/>
  <cols>
    <col min="1" max="1" width="45.5703125" customWidth="1"/>
    <col min="2" max="2" width="3.42578125" hidden="1" customWidth="1"/>
    <col min="3" max="3" width="14.42578125" hidden="1" customWidth="1"/>
    <col min="4" max="4" width="18.28515625" customWidth="1"/>
    <col min="5" max="5" width="15.7109375" customWidth="1"/>
    <col min="6" max="6" width="16.85546875" customWidth="1"/>
    <col min="7" max="7" width="10" customWidth="1"/>
    <col min="8" max="8" width="10.28515625" bestFit="1" customWidth="1"/>
    <col min="9" max="9" width="13.28515625" customWidth="1"/>
    <col min="10" max="10" width="10.28515625" bestFit="1" customWidth="1"/>
    <col min="11" max="11" width="11.28515625" bestFit="1" customWidth="1"/>
    <col min="12" max="14" width="10.28515625" bestFit="1" customWidth="1"/>
    <col min="15" max="15" width="11.7109375" customWidth="1"/>
    <col min="16" max="16" width="10.7109375" customWidth="1"/>
    <col min="17" max="17" width="11.28515625" customWidth="1"/>
    <col min="18" max="18" width="13.5703125" customWidth="1"/>
    <col min="19" max="19" width="11" customWidth="1"/>
    <col min="20" max="20" width="15.140625" customWidth="1"/>
  </cols>
  <sheetData>
    <row r="1" spans="1:149" ht="72.75" customHeight="1" thickBot="1" x14ac:dyDescent="0.3">
      <c r="A1" s="1"/>
      <c r="B1" s="2" t="s">
        <v>0</v>
      </c>
      <c r="C1" s="3" t="s">
        <v>122</v>
      </c>
      <c r="D1" s="4" t="s">
        <v>124</v>
      </c>
      <c r="E1" s="5" t="s">
        <v>2</v>
      </c>
      <c r="F1" s="6" t="s">
        <v>3</v>
      </c>
      <c r="G1" s="7" t="s">
        <v>4</v>
      </c>
      <c r="H1" s="8" t="s">
        <v>5</v>
      </c>
      <c r="I1" s="8" t="s">
        <v>6</v>
      </c>
      <c r="J1" s="8" t="s">
        <v>7</v>
      </c>
      <c r="K1" s="8" t="s">
        <v>8</v>
      </c>
      <c r="L1" s="8" t="s">
        <v>9</v>
      </c>
      <c r="M1" s="8" t="s">
        <v>10</v>
      </c>
      <c r="N1" s="8" t="s">
        <v>11</v>
      </c>
      <c r="O1" s="8" t="s">
        <v>12</v>
      </c>
      <c r="P1" s="8" t="s">
        <v>13</v>
      </c>
      <c r="Q1" s="8" t="s">
        <v>14</v>
      </c>
      <c r="R1" s="9" t="s">
        <v>15</v>
      </c>
      <c r="S1" s="66"/>
      <c r="T1" s="10" t="s">
        <v>16</v>
      </c>
    </row>
    <row r="2" spans="1:149" ht="16.5" thickBot="1" x14ac:dyDescent="0.3">
      <c r="A2" s="60" t="s">
        <v>92</v>
      </c>
      <c r="B2" s="104"/>
      <c r="C2" s="86"/>
      <c r="D2" s="61"/>
      <c r="E2" s="91" t="s">
        <v>17</v>
      </c>
      <c r="F2" s="92"/>
      <c r="G2" s="106"/>
      <c r="H2" s="57"/>
      <c r="I2" s="88"/>
      <c r="J2" s="57"/>
      <c r="K2" s="88"/>
      <c r="L2" s="57"/>
      <c r="M2" s="88"/>
      <c r="N2" s="57"/>
      <c r="O2" s="88"/>
      <c r="P2" s="57"/>
      <c r="Q2" s="88"/>
      <c r="R2" s="57"/>
      <c r="S2" s="106"/>
      <c r="T2" s="57"/>
    </row>
    <row r="3" spans="1:149" ht="15.75" x14ac:dyDescent="0.25">
      <c r="A3" s="94" t="s">
        <v>29</v>
      </c>
      <c r="B3" s="107" t="s">
        <v>18</v>
      </c>
      <c r="C3" s="58"/>
      <c r="D3" s="59">
        <v>26684</v>
      </c>
      <c r="E3" s="89">
        <f>SUM(G3:R3)</f>
        <v>2800</v>
      </c>
      <c r="F3" s="90">
        <f>C3+D3-E3</f>
        <v>23884</v>
      </c>
      <c r="G3" s="53"/>
      <c r="H3" s="53"/>
      <c r="I3" s="53"/>
      <c r="J3" s="53"/>
      <c r="K3" s="53"/>
      <c r="L3" s="53"/>
      <c r="M3" s="53"/>
      <c r="N3" s="53"/>
      <c r="O3" s="53">
        <f>2000+800</f>
        <v>2800</v>
      </c>
      <c r="P3" s="53"/>
      <c r="Q3" s="53"/>
      <c r="R3" s="53"/>
      <c r="S3" s="31"/>
      <c r="T3" s="53">
        <f>SUM(G3:R3)</f>
        <v>2800</v>
      </c>
    </row>
    <row r="4" spans="1:149" ht="15.75" x14ac:dyDescent="0.25">
      <c r="A4" s="34" t="s">
        <v>34</v>
      </c>
      <c r="B4" s="55"/>
      <c r="C4" s="36"/>
      <c r="D4" s="16">
        <v>38500</v>
      </c>
      <c r="E4" s="89">
        <f>SUM(G4:R4)</f>
        <v>0</v>
      </c>
      <c r="F4" s="90">
        <f t="shared" ref="F4:F9" si="0">C4+D4-E4</f>
        <v>38500</v>
      </c>
      <c r="G4" s="37"/>
      <c r="H4" s="37"/>
      <c r="I4" s="37"/>
      <c r="J4" s="37"/>
      <c r="K4" s="37"/>
      <c r="L4" s="37"/>
      <c r="M4" s="37"/>
      <c r="N4" s="37"/>
      <c r="O4" s="37"/>
      <c r="P4" s="37"/>
      <c r="Q4" s="37"/>
      <c r="R4" s="19"/>
      <c r="S4" s="19"/>
      <c r="T4" s="33">
        <f t="shared" ref="T4:T9" si="1">SUM(G4:R4)</f>
        <v>0</v>
      </c>
    </row>
    <row r="5" spans="1:149" ht="15.75" x14ac:dyDescent="0.25">
      <c r="A5" s="34" t="s">
        <v>103</v>
      </c>
      <c r="B5" s="55"/>
      <c r="C5" s="36"/>
      <c r="D5" s="16"/>
      <c r="E5" s="89">
        <f t="shared" ref="E5:E9" si="2">SUM(G5:R5)</f>
        <v>51203</v>
      </c>
      <c r="F5" s="90">
        <f t="shared" si="0"/>
        <v>-51203</v>
      </c>
      <c r="G5" s="37"/>
      <c r="H5" s="37"/>
      <c r="I5" s="37"/>
      <c r="J5" s="37">
        <f>46260+4943</f>
        <v>51203</v>
      </c>
      <c r="K5" s="37"/>
      <c r="L5" s="37"/>
      <c r="M5" s="37"/>
      <c r="N5" s="37"/>
      <c r="O5" s="37"/>
      <c r="P5" s="37"/>
      <c r="Q5" s="37"/>
      <c r="R5" s="19"/>
      <c r="S5" s="82"/>
      <c r="T5" s="48">
        <f t="shared" si="1"/>
        <v>51203</v>
      </c>
    </row>
    <row r="6" spans="1:149" ht="15.75" x14ac:dyDescent="0.25">
      <c r="A6" s="43" t="s">
        <v>93</v>
      </c>
      <c r="B6" s="35"/>
      <c r="C6" s="36"/>
      <c r="D6" s="16">
        <v>115000</v>
      </c>
      <c r="E6" s="89">
        <f t="shared" si="2"/>
        <v>0</v>
      </c>
      <c r="F6" s="90">
        <f t="shared" si="0"/>
        <v>115000</v>
      </c>
      <c r="G6" s="37"/>
      <c r="H6" s="37"/>
      <c r="I6" s="37"/>
      <c r="J6" s="37"/>
      <c r="K6" s="37"/>
      <c r="L6" s="37"/>
      <c r="M6" s="37"/>
      <c r="N6" s="37"/>
      <c r="O6" s="37"/>
      <c r="P6" s="37"/>
      <c r="Q6" s="37"/>
      <c r="R6" s="19"/>
      <c r="S6" s="51"/>
      <c r="T6" s="48">
        <f t="shared" si="1"/>
        <v>0</v>
      </c>
    </row>
    <row r="7" spans="1:149" s="44" customFormat="1" ht="15.75" x14ac:dyDescent="0.25">
      <c r="A7" s="20" t="s">
        <v>38</v>
      </c>
      <c r="B7" s="21"/>
      <c r="C7" s="50"/>
      <c r="D7" s="16"/>
      <c r="E7" s="89">
        <f t="shared" si="2"/>
        <v>0</v>
      </c>
      <c r="F7" s="90">
        <f t="shared" si="0"/>
        <v>0</v>
      </c>
      <c r="G7" s="49"/>
      <c r="H7" s="19"/>
      <c r="I7" s="49"/>
      <c r="J7" s="19"/>
      <c r="K7" s="49"/>
      <c r="L7" s="19"/>
      <c r="M7" s="49"/>
      <c r="N7" s="19"/>
      <c r="O7" s="49"/>
      <c r="P7" s="19"/>
      <c r="Q7" s="49"/>
      <c r="R7" s="19"/>
      <c r="S7" s="49"/>
      <c r="T7" s="48">
        <f t="shared" si="1"/>
        <v>0</v>
      </c>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s="46"/>
    </row>
    <row r="8" spans="1:149" s="44" customFormat="1" ht="15.75" x14ac:dyDescent="0.25">
      <c r="A8" s="20" t="s">
        <v>30</v>
      </c>
      <c r="B8" s="21"/>
      <c r="C8" s="50"/>
      <c r="D8" s="16">
        <v>70000</v>
      </c>
      <c r="E8" s="89">
        <f t="shared" si="2"/>
        <v>46100</v>
      </c>
      <c r="F8" s="90">
        <f t="shared" si="0"/>
        <v>23900</v>
      </c>
      <c r="G8" s="51"/>
      <c r="H8" s="19"/>
      <c r="I8" s="51"/>
      <c r="J8" s="19">
        <f>46100</f>
        <v>46100</v>
      </c>
      <c r="K8" s="51"/>
      <c r="L8" s="19"/>
      <c r="M8" s="51"/>
      <c r="N8" s="19"/>
      <c r="O8" s="51"/>
      <c r="P8" s="19"/>
      <c r="Q8" s="51"/>
      <c r="R8" s="19"/>
      <c r="S8" s="19"/>
      <c r="T8" s="19">
        <f t="shared" si="1"/>
        <v>46100</v>
      </c>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s="46"/>
    </row>
    <row r="9" spans="1:149" ht="15.75" x14ac:dyDescent="0.25">
      <c r="A9" s="52" t="s">
        <v>21</v>
      </c>
      <c r="B9" s="38"/>
      <c r="C9" s="15"/>
      <c r="D9" s="16">
        <v>218000</v>
      </c>
      <c r="E9" s="89">
        <f t="shared" si="2"/>
        <v>0</v>
      </c>
      <c r="F9" s="90">
        <f t="shared" si="0"/>
        <v>218000</v>
      </c>
      <c r="G9" s="19"/>
      <c r="H9" s="39"/>
      <c r="I9" s="19"/>
      <c r="J9" s="39"/>
      <c r="K9" s="19"/>
      <c r="L9" s="39"/>
      <c r="M9" s="19"/>
      <c r="N9" s="39"/>
      <c r="O9" s="19"/>
      <c r="P9" s="39"/>
      <c r="Q9" s="19"/>
      <c r="R9" s="39"/>
      <c r="S9" s="39"/>
      <c r="T9" s="19">
        <f t="shared" si="1"/>
        <v>0</v>
      </c>
    </row>
    <row r="10" spans="1:149" ht="16.5" thickBot="1" x14ac:dyDescent="0.3">
      <c r="A10" s="25"/>
      <c r="B10" s="26" t="s">
        <v>24</v>
      </c>
      <c r="C10" s="27">
        <f>SUM(C3:C9)</f>
        <v>0</v>
      </c>
      <c r="D10" s="27">
        <f>SUM(D3:D9)</f>
        <v>468184</v>
      </c>
      <c r="E10" s="27">
        <f>SUM(E3:E9)</f>
        <v>100103</v>
      </c>
      <c r="F10" s="27">
        <f>SUM(F3:F9)</f>
        <v>368081</v>
      </c>
      <c r="G10" s="27">
        <f>SUM(G3:G9)</f>
        <v>0</v>
      </c>
      <c r="H10" s="27">
        <f t="shared" ref="H10:R10" si="3">SUM(H3:H9)</f>
        <v>0</v>
      </c>
      <c r="I10" s="27">
        <f t="shared" si="3"/>
        <v>0</v>
      </c>
      <c r="J10" s="27">
        <f t="shared" si="3"/>
        <v>97303</v>
      </c>
      <c r="K10" s="27">
        <f t="shared" si="3"/>
        <v>0</v>
      </c>
      <c r="L10" s="27">
        <f t="shared" si="3"/>
        <v>0</v>
      </c>
      <c r="M10" s="27">
        <f t="shared" si="3"/>
        <v>0</v>
      </c>
      <c r="N10" s="27">
        <f t="shared" si="3"/>
        <v>0</v>
      </c>
      <c r="O10" s="27">
        <f t="shared" si="3"/>
        <v>2800</v>
      </c>
      <c r="P10" s="27">
        <f t="shared" si="3"/>
        <v>0</v>
      </c>
      <c r="Q10" s="27">
        <f t="shared" si="3"/>
        <v>0</v>
      </c>
      <c r="R10" s="27">
        <f t="shared" si="3"/>
        <v>0</v>
      </c>
      <c r="S10" s="26" t="s">
        <v>25</v>
      </c>
      <c r="T10" s="47">
        <f>SUM(G10:R10)</f>
        <v>100103</v>
      </c>
    </row>
    <row r="12" spans="1:149" ht="15.75" thickBot="1" x14ac:dyDescent="0.3"/>
    <row r="13" spans="1:149" ht="16.5" thickBot="1" x14ac:dyDescent="0.3">
      <c r="A13" s="136" t="s">
        <v>175</v>
      </c>
      <c r="B13" s="299" t="s">
        <v>188</v>
      </c>
      <c r="C13" s="300"/>
      <c r="D13" s="300"/>
      <c r="E13" s="301"/>
      <c r="F13" s="299" t="s">
        <v>114</v>
      </c>
      <c r="G13" s="301"/>
      <c r="H13" s="302" t="s">
        <v>113</v>
      </c>
      <c r="I13" s="303"/>
    </row>
    <row r="14" spans="1:149" ht="33.75" customHeight="1" x14ac:dyDescent="0.25">
      <c r="A14" s="168" t="s">
        <v>19</v>
      </c>
      <c r="B14" s="316" t="s">
        <v>189</v>
      </c>
      <c r="C14" s="317"/>
      <c r="D14" s="317"/>
      <c r="E14" s="318"/>
      <c r="F14" s="316" t="s">
        <v>770</v>
      </c>
      <c r="G14" s="310"/>
      <c r="H14" s="327">
        <v>2000</v>
      </c>
      <c r="I14" s="328"/>
    </row>
    <row r="15" spans="1:149" ht="31.5" customHeight="1" x14ac:dyDescent="0.25">
      <c r="A15" s="163" t="s">
        <v>19</v>
      </c>
      <c r="B15" s="350" t="s">
        <v>19</v>
      </c>
      <c r="C15" s="351"/>
      <c r="D15" s="351"/>
      <c r="E15" s="352"/>
      <c r="F15" s="350" t="s">
        <v>773</v>
      </c>
      <c r="G15" s="413"/>
      <c r="H15" s="342">
        <v>800</v>
      </c>
      <c r="I15" s="343"/>
      <c r="N15" t="s">
        <v>119</v>
      </c>
    </row>
    <row r="16" spans="1:149" ht="15.75" thickBot="1" x14ac:dyDescent="0.3">
      <c r="A16" s="156"/>
      <c r="B16" s="322"/>
      <c r="C16" s="323"/>
      <c r="D16" s="323"/>
      <c r="E16" s="324"/>
      <c r="F16" s="284"/>
      <c r="G16" s="285"/>
      <c r="H16" s="286"/>
      <c r="I16" s="287"/>
    </row>
    <row r="17" spans="1:9" ht="15.75" thickBot="1" x14ac:dyDescent="0.3">
      <c r="A17" s="85"/>
      <c r="B17" s="269"/>
      <c r="C17" s="270"/>
      <c r="D17" s="270"/>
      <c r="E17" s="271"/>
      <c r="F17" s="272" t="s">
        <v>116</v>
      </c>
      <c r="G17" s="273"/>
      <c r="H17" s="274">
        <f>SUM(H14:I16)</f>
        <v>2800</v>
      </c>
      <c r="I17" s="275"/>
    </row>
    <row r="19" spans="1:9" ht="15.75" thickBot="1" x14ac:dyDescent="0.3"/>
    <row r="20" spans="1:9" ht="16.5" thickBot="1" x14ac:dyDescent="0.3">
      <c r="A20" s="136" t="s">
        <v>112</v>
      </c>
      <c r="B20" s="299" t="s">
        <v>315</v>
      </c>
      <c r="C20" s="300"/>
      <c r="D20" s="300"/>
      <c r="E20" s="301"/>
      <c r="F20" s="299" t="s">
        <v>114</v>
      </c>
      <c r="G20" s="301"/>
      <c r="H20" s="302" t="s">
        <v>113</v>
      </c>
      <c r="I20" s="303"/>
    </row>
    <row r="21" spans="1:9" ht="45" x14ac:dyDescent="0.25">
      <c r="A21" s="194" t="s">
        <v>446</v>
      </c>
      <c r="B21" s="316" t="s">
        <v>447</v>
      </c>
      <c r="C21" s="317"/>
      <c r="D21" s="317"/>
      <c r="E21" s="318"/>
      <c r="F21" s="309" t="s">
        <v>448</v>
      </c>
      <c r="G21" s="310"/>
      <c r="H21" s="307">
        <v>92360</v>
      </c>
      <c r="I21" s="308"/>
    </row>
    <row r="22" spans="1:9" ht="45" x14ac:dyDescent="0.25">
      <c r="A22" s="179" t="s">
        <v>463</v>
      </c>
      <c r="B22" s="281" t="s">
        <v>464</v>
      </c>
      <c r="C22" s="282"/>
      <c r="D22" s="282"/>
      <c r="E22" s="283"/>
      <c r="F22" s="284" t="s">
        <v>465</v>
      </c>
      <c r="G22" s="285"/>
      <c r="H22" s="286">
        <v>4943</v>
      </c>
      <c r="I22" s="287"/>
    </row>
    <row r="23" spans="1:9" x14ac:dyDescent="0.25">
      <c r="A23" s="156"/>
      <c r="B23" s="322"/>
      <c r="C23" s="323"/>
      <c r="D23" s="323"/>
      <c r="E23" s="324"/>
      <c r="F23" s="284"/>
      <c r="G23" s="285"/>
      <c r="H23" s="329"/>
      <c r="I23" s="330"/>
    </row>
    <row r="24" spans="1:9" x14ac:dyDescent="0.25">
      <c r="A24" s="178"/>
      <c r="B24" s="195"/>
      <c r="C24" s="369"/>
      <c r="D24" s="369"/>
      <c r="E24" s="354"/>
      <c r="F24" s="581"/>
      <c r="G24" s="582"/>
      <c r="H24" s="705"/>
      <c r="I24" s="706"/>
    </row>
    <row r="25" spans="1:9" x14ac:dyDescent="0.25">
      <c r="A25" s="156"/>
      <c r="B25" s="140"/>
      <c r="C25" s="369"/>
      <c r="D25" s="369"/>
      <c r="E25" s="354"/>
      <c r="F25" s="581"/>
      <c r="G25" s="582"/>
      <c r="H25" s="583"/>
      <c r="I25" s="584"/>
    </row>
    <row r="26" spans="1:9" ht="15.75" thickBot="1" x14ac:dyDescent="0.3">
      <c r="A26" s="119"/>
      <c r="B26" s="116"/>
      <c r="C26" s="541"/>
      <c r="D26" s="541"/>
      <c r="E26" s="412"/>
      <c r="F26" s="703"/>
      <c r="G26" s="704"/>
      <c r="H26" s="707"/>
      <c r="I26" s="708"/>
    </row>
    <row r="27" spans="1:9" ht="15.75" thickBot="1" x14ac:dyDescent="0.3">
      <c r="A27" s="85"/>
      <c r="B27" s="269"/>
      <c r="C27" s="270"/>
      <c r="D27" s="270"/>
      <c r="E27" s="271"/>
      <c r="F27" s="272" t="s">
        <v>116</v>
      </c>
      <c r="G27" s="273"/>
      <c r="H27" s="274">
        <f>SUM(H21:I23)</f>
        <v>97303</v>
      </c>
      <c r="I27" s="275"/>
    </row>
  </sheetData>
  <mergeCells count="39">
    <mergeCell ref="B27:E27"/>
    <mergeCell ref="F27:G27"/>
    <mergeCell ref="H27:I27"/>
    <mergeCell ref="C24:E24"/>
    <mergeCell ref="C25:E25"/>
    <mergeCell ref="F24:G24"/>
    <mergeCell ref="F25:G25"/>
    <mergeCell ref="F26:G26"/>
    <mergeCell ref="H24:I24"/>
    <mergeCell ref="H25:I25"/>
    <mergeCell ref="H26:I26"/>
    <mergeCell ref="C26:E26"/>
    <mergeCell ref="B22:E22"/>
    <mergeCell ref="F22:G22"/>
    <mergeCell ref="H22:I22"/>
    <mergeCell ref="B23:E23"/>
    <mergeCell ref="F23:G23"/>
    <mergeCell ref="H23:I23"/>
    <mergeCell ref="B20:E20"/>
    <mergeCell ref="F20:G20"/>
    <mergeCell ref="H20:I20"/>
    <mergeCell ref="B21:E21"/>
    <mergeCell ref="F21:G21"/>
    <mergeCell ref="H21:I21"/>
    <mergeCell ref="B13:E13"/>
    <mergeCell ref="F13:G13"/>
    <mergeCell ref="H13:I13"/>
    <mergeCell ref="B14:E14"/>
    <mergeCell ref="H14:I14"/>
    <mergeCell ref="B17:E17"/>
    <mergeCell ref="F17:G17"/>
    <mergeCell ref="H17:I17"/>
    <mergeCell ref="F14:G14"/>
    <mergeCell ref="B15:E15"/>
    <mergeCell ref="F15:G15"/>
    <mergeCell ref="H15:I15"/>
    <mergeCell ref="B16:E16"/>
    <mergeCell ref="F16:G16"/>
    <mergeCell ref="H16:I1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D90E9-03E6-4C47-A6D4-F354B10F8AD6}">
  <dimension ref="A1:ES20"/>
  <sheetViews>
    <sheetView workbookViewId="0">
      <selection activeCell="A25" sqref="A25"/>
    </sheetView>
  </sheetViews>
  <sheetFormatPr defaultRowHeight="15" x14ac:dyDescent="0.25"/>
  <cols>
    <col min="1" max="1" width="36.42578125" customWidth="1"/>
    <col min="2" max="2" width="18.7109375" hidden="1" customWidth="1"/>
    <col min="3" max="3" width="15.5703125" hidden="1" customWidth="1"/>
    <col min="4" max="4" width="21.140625" customWidth="1"/>
    <col min="5" max="5" width="27.42578125" customWidth="1"/>
    <col min="6" max="6" width="14.5703125" customWidth="1"/>
    <col min="7" max="7" width="10" customWidth="1"/>
    <col min="8" max="10" width="10.28515625" bestFit="1" customWidth="1"/>
    <col min="11" max="11" width="9.42578125" customWidth="1"/>
    <col min="12" max="13" width="10.28515625" bestFit="1" customWidth="1"/>
    <col min="14" max="14" width="9.28515625" bestFit="1" customWidth="1"/>
    <col min="15" max="15" width="11.140625" customWidth="1"/>
    <col min="16" max="16" width="10.85546875" customWidth="1"/>
    <col min="17" max="17" width="11.5703125" customWidth="1"/>
    <col min="18" max="19" width="12.140625" customWidth="1"/>
    <col min="20" max="20" width="13.5703125" customWidth="1"/>
  </cols>
  <sheetData>
    <row r="1" spans="1:149" ht="72.75" customHeight="1" thickBot="1" x14ac:dyDescent="0.3">
      <c r="A1" s="1"/>
      <c r="B1" s="2" t="s">
        <v>0</v>
      </c>
      <c r="C1" s="3" t="s">
        <v>122</v>
      </c>
      <c r="D1" s="4" t="s">
        <v>124</v>
      </c>
      <c r="E1" s="5" t="s">
        <v>2</v>
      </c>
      <c r="F1" s="6" t="s">
        <v>3</v>
      </c>
      <c r="G1" s="7" t="s">
        <v>4</v>
      </c>
      <c r="H1" s="8" t="s">
        <v>5</v>
      </c>
      <c r="I1" s="8" t="s">
        <v>6</v>
      </c>
      <c r="J1" s="8" t="s">
        <v>7</v>
      </c>
      <c r="K1" s="8" t="s">
        <v>8</v>
      </c>
      <c r="L1" s="8" t="s">
        <v>9</v>
      </c>
      <c r="M1" s="8" t="s">
        <v>10</v>
      </c>
      <c r="N1" s="8" t="s">
        <v>11</v>
      </c>
      <c r="O1" s="8" t="s">
        <v>12</v>
      </c>
      <c r="P1" s="8" t="s">
        <v>13</v>
      </c>
      <c r="Q1" s="8" t="s">
        <v>14</v>
      </c>
      <c r="R1" s="9" t="s">
        <v>15</v>
      </c>
      <c r="S1" s="66"/>
      <c r="T1" s="10" t="s">
        <v>16</v>
      </c>
    </row>
    <row r="2" spans="1:149" ht="16.5" thickBot="1" x14ac:dyDescent="0.3">
      <c r="A2" s="60" t="s">
        <v>94</v>
      </c>
      <c r="B2" s="104"/>
      <c r="C2" s="86"/>
      <c r="D2" s="61"/>
      <c r="E2" s="91" t="s">
        <v>17</v>
      </c>
      <c r="F2" s="92"/>
      <c r="G2" s="106"/>
      <c r="H2" s="57"/>
      <c r="I2" s="88"/>
      <c r="J2" s="57"/>
      <c r="K2" s="88"/>
      <c r="L2" s="57"/>
      <c r="M2" s="88"/>
      <c r="N2" s="57"/>
      <c r="O2" s="88"/>
      <c r="P2" s="57"/>
      <c r="Q2" s="88"/>
      <c r="R2" s="57"/>
      <c r="S2" s="106"/>
      <c r="T2" s="57"/>
    </row>
    <row r="3" spans="1:149" ht="15.75" x14ac:dyDescent="0.25">
      <c r="A3" s="94" t="s">
        <v>29</v>
      </c>
      <c r="B3" s="107" t="s">
        <v>18</v>
      </c>
      <c r="C3" s="58"/>
      <c r="D3" s="59">
        <v>9950</v>
      </c>
      <c r="E3" s="89">
        <f>SUM(G3:R3)</f>
        <v>0</v>
      </c>
      <c r="F3" s="90">
        <f>C3+D3-E3</f>
        <v>9950</v>
      </c>
      <c r="G3" s="53"/>
      <c r="H3" s="53"/>
      <c r="I3" s="53"/>
      <c r="J3" s="53"/>
      <c r="K3" s="53"/>
      <c r="L3" s="53"/>
      <c r="M3" s="53"/>
      <c r="N3" s="53"/>
      <c r="O3" s="53"/>
      <c r="P3" s="53"/>
      <c r="Q3" s="53"/>
      <c r="R3" s="53"/>
      <c r="S3" s="74"/>
      <c r="T3" s="81">
        <f>SUM(G3:R3)</f>
        <v>0</v>
      </c>
    </row>
    <row r="4" spans="1:149" ht="15.75" x14ac:dyDescent="0.25">
      <c r="A4" s="144" t="s">
        <v>132</v>
      </c>
      <c r="B4" s="147"/>
      <c r="C4" s="29"/>
      <c r="D4" s="59">
        <v>3250</v>
      </c>
      <c r="E4" s="89">
        <f t="shared" ref="E4:E10" si="0">SUM(G4:R4)</f>
        <v>31672</v>
      </c>
      <c r="F4" s="90">
        <f t="shared" ref="F4:F10" si="1">C4+D4-E4</f>
        <v>-28422</v>
      </c>
      <c r="G4" s="69"/>
      <c r="H4" s="69"/>
      <c r="I4" s="69"/>
      <c r="J4" s="69"/>
      <c r="K4" s="69"/>
      <c r="L4" s="69"/>
      <c r="M4" s="69"/>
      <c r="N4" s="69"/>
      <c r="O4" s="69"/>
      <c r="P4" s="69">
        <f>7002+230+24440</f>
        <v>31672</v>
      </c>
      <c r="Q4" s="69"/>
      <c r="R4" s="53"/>
      <c r="S4" s="82"/>
      <c r="T4" s="19"/>
    </row>
    <row r="5" spans="1:149" ht="31.5" x14ac:dyDescent="0.25">
      <c r="A5" s="148" t="s">
        <v>138</v>
      </c>
      <c r="B5" s="35"/>
      <c r="C5" s="36"/>
      <c r="D5" s="16">
        <v>235200</v>
      </c>
      <c r="E5" s="89">
        <f t="shared" si="0"/>
        <v>0</v>
      </c>
      <c r="F5" s="90">
        <f t="shared" si="1"/>
        <v>235200</v>
      </c>
      <c r="G5" s="37"/>
      <c r="H5" s="37"/>
      <c r="I5" s="37"/>
      <c r="J5" s="37"/>
      <c r="K5" s="37"/>
      <c r="L5" s="37"/>
      <c r="M5" s="37"/>
      <c r="N5" s="37"/>
      <c r="O5" s="37"/>
      <c r="P5" s="37"/>
      <c r="Q5" s="37"/>
      <c r="R5" s="19"/>
      <c r="S5" s="51"/>
      <c r="T5" s="53">
        <f t="shared" ref="T5:T10" si="2">SUM(G5:R5)</f>
        <v>0</v>
      </c>
    </row>
    <row r="6" spans="1:149" s="44" customFormat="1" ht="15.75" x14ac:dyDescent="0.25">
      <c r="A6" s="45" t="s">
        <v>32</v>
      </c>
      <c r="B6" s="21"/>
      <c r="C6" s="15"/>
      <c r="D6" s="16">
        <v>140000</v>
      </c>
      <c r="E6" s="89">
        <f t="shared" si="0"/>
        <v>0</v>
      </c>
      <c r="F6" s="90">
        <f t="shared" si="1"/>
        <v>140000</v>
      </c>
      <c r="G6" s="49"/>
      <c r="H6" s="19"/>
      <c r="I6" s="49"/>
      <c r="J6" s="19"/>
      <c r="K6" s="49"/>
      <c r="L6" s="19"/>
      <c r="M6" s="49"/>
      <c r="N6" s="19"/>
      <c r="O6" s="49"/>
      <c r="P6" s="19"/>
      <c r="Q6" s="49"/>
      <c r="R6" s="19"/>
      <c r="S6" s="49"/>
      <c r="T6" s="53">
        <f t="shared" si="2"/>
        <v>0</v>
      </c>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s="46"/>
    </row>
    <row r="7" spans="1:149" s="44" customFormat="1" ht="15.75" x14ac:dyDescent="0.25">
      <c r="A7" s="45" t="s">
        <v>103</v>
      </c>
      <c r="B7" s="21"/>
      <c r="C7" s="68"/>
      <c r="D7" s="16">
        <v>53800</v>
      </c>
      <c r="E7" s="89">
        <f t="shared" si="0"/>
        <v>0</v>
      </c>
      <c r="F7" s="90">
        <f t="shared" si="1"/>
        <v>53800</v>
      </c>
      <c r="G7" s="51"/>
      <c r="H7" s="19"/>
      <c r="I7" s="51"/>
      <c r="J7" s="19"/>
      <c r="K7" s="51"/>
      <c r="L7" s="19"/>
      <c r="M7" s="51"/>
      <c r="N7" s="19"/>
      <c r="O7" s="51"/>
      <c r="P7" s="19"/>
      <c r="Q7" s="51"/>
      <c r="R7" s="19"/>
      <c r="S7" s="51"/>
      <c r="T7" s="53">
        <f t="shared" si="2"/>
        <v>0</v>
      </c>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s="46"/>
    </row>
    <row r="8" spans="1:149" s="44" customFormat="1" ht="15.75" x14ac:dyDescent="0.25">
      <c r="A8" s="45" t="s">
        <v>108</v>
      </c>
      <c r="B8" s="21"/>
      <c r="C8" s="68"/>
      <c r="D8" s="16">
        <v>156200</v>
      </c>
      <c r="E8" s="89">
        <f t="shared" si="0"/>
        <v>0</v>
      </c>
      <c r="F8" s="90">
        <f t="shared" si="1"/>
        <v>156200</v>
      </c>
      <c r="G8" s="51"/>
      <c r="H8" s="19"/>
      <c r="I8" s="51"/>
      <c r="J8" s="19"/>
      <c r="K8" s="51"/>
      <c r="L8" s="19"/>
      <c r="M8" s="51"/>
      <c r="N8" s="19"/>
      <c r="O8" s="51"/>
      <c r="P8" s="19"/>
      <c r="Q8" s="51"/>
      <c r="R8" s="19"/>
      <c r="S8" s="19"/>
      <c r="T8" s="53">
        <f t="shared" si="2"/>
        <v>0</v>
      </c>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s="46"/>
    </row>
    <row r="9" spans="1:149" ht="15.75" x14ac:dyDescent="0.25">
      <c r="A9" s="52" t="s">
        <v>21</v>
      </c>
      <c r="B9" s="38"/>
      <c r="C9" s="15"/>
      <c r="D9" s="16">
        <v>257336.98</v>
      </c>
      <c r="E9" s="89">
        <f t="shared" si="0"/>
        <v>0</v>
      </c>
      <c r="F9" s="90">
        <f t="shared" si="1"/>
        <v>257336.98</v>
      </c>
      <c r="G9" s="19"/>
      <c r="H9" s="39"/>
      <c r="I9" s="19"/>
      <c r="J9" s="39"/>
      <c r="K9" s="19"/>
      <c r="L9" s="39"/>
      <c r="M9" s="19"/>
      <c r="N9" s="39"/>
      <c r="O9" s="19"/>
      <c r="P9" s="39"/>
      <c r="Q9" s="19"/>
      <c r="R9" s="39"/>
      <c r="S9" s="39"/>
      <c r="T9" s="19">
        <f t="shared" si="2"/>
        <v>0</v>
      </c>
    </row>
    <row r="10" spans="1:149" ht="15.75" x14ac:dyDescent="0.25">
      <c r="A10" s="71" t="s">
        <v>139</v>
      </c>
      <c r="B10" s="40"/>
      <c r="C10" s="41"/>
      <c r="D10" s="72">
        <v>81000</v>
      </c>
      <c r="E10" s="89">
        <f t="shared" si="0"/>
        <v>0</v>
      </c>
      <c r="F10" s="90">
        <f t="shared" si="1"/>
        <v>81000</v>
      </c>
      <c r="G10" s="42"/>
      <c r="H10" s="42"/>
      <c r="I10" s="42"/>
      <c r="J10" s="42"/>
      <c r="K10" s="42"/>
      <c r="L10" s="42"/>
      <c r="M10" s="42"/>
      <c r="N10" s="42"/>
      <c r="O10" s="42"/>
      <c r="P10" s="42"/>
      <c r="Q10" s="42"/>
      <c r="R10" s="42"/>
      <c r="S10" s="42"/>
      <c r="T10" s="19">
        <f t="shared" si="2"/>
        <v>0</v>
      </c>
    </row>
    <row r="11" spans="1:149" ht="16.5" thickBot="1" x14ac:dyDescent="0.3">
      <c r="A11" s="25"/>
      <c r="B11" s="26" t="s">
        <v>24</v>
      </c>
      <c r="C11" s="27">
        <f>SUM(C3:C8)</f>
        <v>0</v>
      </c>
      <c r="D11" s="27">
        <f>SUM(D3:D10)</f>
        <v>936736.98</v>
      </c>
      <c r="E11" s="27">
        <f>D11</f>
        <v>936736.98</v>
      </c>
      <c r="F11" s="27">
        <f>D11-G11-H11-I11-J11-K11-L11-M11-N11-O11-P11-Q11-R11</f>
        <v>905064.98</v>
      </c>
      <c r="G11" s="27">
        <f t="shared" ref="G11:R11" si="3">SUM(G3:G9)</f>
        <v>0</v>
      </c>
      <c r="H11" s="27">
        <f t="shared" si="3"/>
        <v>0</v>
      </c>
      <c r="I11" s="27">
        <f t="shared" si="3"/>
        <v>0</v>
      </c>
      <c r="J11" s="27">
        <f t="shared" si="3"/>
        <v>0</v>
      </c>
      <c r="K11" s="27">
        <f t="shared" si="3"/>
        <v>0</v>
      </c>
      <c r="L11" s="27">
        <f t="shared" si="3"/>
        <v>0</v>
      </c>
      <c r="M11" s="27">
        <f t="shared" si="3"/>
        <v>0</v>
      </c>
      <c r="N11" s="27">
        <f t="shared" si="3"/>
        <v>0</v>
      </c>
      <c r="O11" s="27">
        <f t="shared" si="3"/>
        <v>0</v>
      </c>
      <c r="P11" s="27">
        <f t="shared" si="3"/>
        <v>31672</v>
      </c>
      <c r="Q11" s="27">
        <f t="shared" si="3"/>
        <v>0</v>
      </c>
      <c r="R11" s="27">
        <f t="shared" si="3"/>
        <v>0</v>
      </c>
      <c r="S11" s="26" t="s">
        <v>25</v>
      </c>
      <c r="T11" s="47">
        <f>SUM(G11:R11)</f>
        <v>31672</v>
      </c>
    </row>
    <row r="13" spans="1:149" ht="15.75" thickBot="1" x14ac:dyDescent="0.3"/>
    <row r="14" spans="1:149" ht="16.5" thickBot="1" x14ac:dyDescent="0.3">
      <c r="A14" s="136" t="s">
        <v>175</v>
      </c>
      <c r="B14" s="299" t="s">
        <v>188</v>
      </c>
      <c r="C14" s="300"/>
      <c r="D14" s="300"/>
      <c r="E14" s="301"/>
      <c r="F14" s="299" t="s">
        <v>1032</v>
      </c>
      <c r="G14" s="301"/>
      <c r="H14" s="302" t="s">
        <v>113</v>
      </c>
      <c r="I14" s="303"/>
      <c r="O14" t="s">
        <v>140</v>
      </c>
    </row>
    <row r="15" spans="1:149" ht="46.5" customHeight="1" x14ac:dyDescent="0.25">
      <c r="A15" s="168" t="s">
        <v>1033</v>
      </c>
      <c r="B15" s="316" t="s">
        <v>1034</v>
      </c>
      <c r="C15" s="317"/>
      <c r="D15" s="317"/>
      <c r="E15" s="318"/>
      <c r="F15" s="316" t="s">
        <v>1035</v>
      </c>
      <c r="G15" s="310"/>
      <c r="H15" s="307">
        <v>7002</v>
      </c>
      <c r="I15" s="308"/>
    </row>
    <row r="16" spans="1:149" x14ac:dyDescent="0.25">
      <c r="A16" s="163" t="s">
        <v>1036</v>
      </c>
      <c r="B16" s="350" t="s">
        <v>1037</v>
      </c>
      <c r="C16" s="351"/>
      <c r="D16" s="351"/>
      <c r="E16" s="352"/>
      <c r="F16" s="350" t="s">
        <v>1038</v>
      </c>
      <c r="G16" s="413"/>
      <c r="H16" s="279">
        <v>230</v>
      </c>
      <c r="I16" s="280"/>
    </row>
    <row r="17" spans="1:9" x14ac:dyDescent="0.25">
      <c r="A17" s="156" t="s">
        <v>578</v>
      </c>
      <c r="B17" s="322" t="s">
        <v>1039</v>
      </c>
      <c r="C17" s="323"/>
      <c r="D17" s="323"/>
      <c r="E17" s="324"/>
      <c r="F17" s="276" t="s">
        <v>1040</v>
      </c>
      <c r="G17" s="285"/>
      <c r="H17" s="329">
        <v>24440</v>
      </c>
      <c r="I17" s="330"/>
    </row>
    <row r="18" spans="1:9" x14ac:dyDescent="0.25">
      <c r="A18" s="156"/>
      <c r="B18" s="140"/>
      <c r="C18" s="369"/>
      <c r="D18" s="369"/>
      <c r="E18" s="354"/>
      <c r="F18" s="353"/>
      <c r="G18" s="354"/>
      <c r="H18" s="353"/>
      <c r="I18" s="354"/>
    </row>
    <row r="19" spans="1:9" ht="15.75" thickBot="1" x14ac:dyDescent="0.3">
      <c r="A19" s="120"/>
      <c r="B19" s="117"/>
      <c r="C19" s="541"/>
      <c r="D19" s="541"/>
      <c r="E19" s="412"/>
      <c r="F19" s="411"/>
      <c r="G19" s="412"/>
      <c r="H19" s="411"/>
      <c r="I19" s="412"/>
    </row>
    <row r="20" spans="1:9" ht="15.75" thickBot="1" x14ac:dyDescent="0.3">
      <c r="A20" s="85"/>
      <c r="B20" s="269"/>
      <c r="C20" s="270"/>
      <c r="D20" s="270"/>
      <c r="E20" s="271"/>
      <c r="F20" s="272" t="s">
        <v>116</v>
      </c>
      <c r="G20" s="273"/>
      <c r="H20" s="274">
        <f>SUM(H15:I19)</f>
        <v>31672</v>
      </c>
      <c r="I20" s="275"/>
    </row>
  </sheetData>
  <mergeCells count="21">
    <mergeCell ref="B20:E20"/>
    <mergeCell ref="F20:G20"/>
    <mergeCell ref="H20:I20"/>
    <mergeCell ref="B16:E16"/>
    <mergeCell ref="F16:G16"/>
    <mergeCell ref="H16:I16"/>
    <mergeCell ref="B17:E17"/>
    <mergeCell ref="F17:G17"/>
    <mergeCell ref="H17:I17"/>
    <mergeCell ref="C18:E18"/>
    <mergeCell ref="C19:E19"/>
    <mergeCell ref="F18:G18"/>
    <mergeCell ref="H18:I18"/>
    <mergeCell ref="F19:G19"/>
    <mergeCell ref="H19:I19"/>
    <mergeCell ref="B14:E14"/>
    <mergeCell ref="F14:G14"/>
    <mergeCell ref="H14:I14"/>
    <mergeCell ref="B15:E15"/>
    <mergeCell ref="F15:G15"/>
    <mergeCell ref="H15:I1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A4561-A737-46B0-82ED-1917F8C5E7B3}">
  <dimension ref="A1:ES15"/>
  <sheetViews>
    <sheetView workbookViewId="0">
      <selection activeCell="M22" sqref="M22"/>
    </sheetView>
  </sheetViews>
  <sheetFormatPr defaultRowHeight="15" x14ac:dyDescent="0.25"/>
  <cols>
    <col min="1" max="1" width="32.42578125" customWidth="1"/>
    <col min="2" max="2" width="18.7109375" hidden="1" customWidth="1"/>
    <col min="3" max="3" width="16.7109375" hidden="1" customWidth="1"/>
    <col min="4" max="4" width="21" customWidth="1"/>
    <col min="5" max="5" width="19.140625" customWidth="1"/>
    <col min="6" max="6" width="20.7109375" customWidth="1"/>
    <col min="7" max="7" width="11.85546875" customWidth="1"/>
    <col min="8" max="10" width="10.28515625" bestFit="1" customWidth="1"/>
    <col min="11" max="11" width="11.28515625" bestFit="1" customWidth="1"/>
    <col min="12" max="13" width="10.28515625" bestFit="1" customWidth="1"/>
    <col min="14" max="14" width="9.28515625" bestFit="1" customWidth="1"/>
    <col min="15" max="15" width="11.42578125" customWidth="1"/>
    <col min="16" max="16" width="12.140625" customWidth="1"/>
    <col min="17" max="17" width="11.42578125" customWidth="1"/>
    <col min="18" max="18" width="13.5703125" customWidth="1"/>
    <col min="19" max="19" width="10.28515625" customWidth="1"/>
    <col min="20" max="20" width="14.5703125" customWidth="1"/>
  </cols>
  <sheetData>
    <row r="1" spans="1:149" ht="72.75" customHeight="1" thickBot="1" x14ac:dyDescent="0.3">
      <c r="A1" s="1"/>
      <c r="B1" s="2" t="s">
        <v>0</v>
      </c>
      <c r="C1" s="3" t="s">
        <v>27</v>
      </c>
      <c r="D1" s="4" t="s">
        <v>1</v>
      </c>
      <c r="E1" s="5" t="s">
        <v>2</v>
      </c>
      <c r="F1" s="6" t="s">
        <v>3</v>
      </c>
      <c r="G1" s="7" t="s">
        <v>4</v>
      </c>
      <c r="H1" s="8" t="s">
        <v>5</v>
      </c>
      <c r="I1" s="8" t="s">
        <v>6</v>
      </c>
      <c r="J1" s="8" t="s">
        <v>7</v>
      </c>
      <c r="K1" s="8" t="s">
        <v>8</v>
      </c>
      <c r="L1" s="8" t="s">
        <v>9</v>
      </c>
      <c r="M1" s="8" t="s">
        <v>10</v>
      </c>
      <c r="N1" s="8" t="s">
        <v>11</v>
      </c>
      <c r="O1" s="8" t="s">
        <v>12</v>
      </c>
      <c r="P1" s="8" t="s">
        <v>13</v>
      </c>
      <c r="Q1" s="8" t="s">
        <v>14</v>
      </c>
      <c r="R1" s="9" t="s">
        <v>15</v>
      </c>
      <c r="S1" s="66"/>
      <c r="T1" s="10" t="s">
        <v>16</v>
      </c>
    </row>
    <row r="2" spans="1:149" ht="16.5" thickBot="1" x14ac:dyDescent="0.3">
      <c r="A2" s="60" t="s">
        <v>100</v>
      </c>
      <c r="B2" s="104"/>
      <c r="C2" s="86"/>
      <c r="D2" s="61"/>
      <c r="E2" s="91" t="s">
        <v>17</v>
      </c>
      <c r="F2" s="92"/>
      <c r="G2" s="106"/>
      <c r="H2" s="57"/>
      <c r="I2" s="88"/>
      <c r="J2" s="57"/>
      <c r="K2" s="88"/>
      <c r="L2" s="57"/>
      <c r="M2" s="88"/>
      <c r="N2" s="57"/>
      <c r="O2" s="88"/>
      <c r="P2" s="57"/>
      <c r="Q2" s="88"/>
      <c r="R2" s="57"/>
      <c r="S2" s="57"/>
      <c r="T2" s="57"/>
    </row>
    <row r="3" spans="1:149" ht="15.75" x14ac:dyDescent="0.25">
      <c r="A3" s="94" t="s">
        <v>29</v>
      </c>
      <c r="B3" s="110" t="s">
        <v>18</v>
      </c>
      <c r="C3" s="58">
        <v>7550</v>
      </c>
      <c r="D3" s="219">
        <f t="shared" ref="D3:D5" si="0">C3</f>
        <v>7550</v>
      </c>
      <c r="E3" s="89">
        <f t="shared" ref="E3:E5" si="1">D3-G3-H3-I3-J3-K3-L3-M3-N3-O3-P3-Q3-R3</f>
        <v>7550</v>
      </c>
      <c r="F3" s="90">
        <f t="shared" ref="F3:F5" si="2">D3-G3-H3-I3-J3-K3-L3-M3-N3-O3-P3-Q3-R3</f>
        <v>7550</v>
      </c>
      <c r="G3" s="53"/>
      <c r="H3" s="53"/>
      <c r="I3" s="53"/>
      <c r="J3" s="53"/>
      <c r="K3" s="53"/>
      <c r="L3" s="53"/>
      <c r="M3" s="53"/>
      <c r="N3" s="53"/>
      <c r="O3" s="53"/>
      <c r="P3" s="53"/>
      <c r="Q3" s="53"/>
      <c r="R3" s="53"/>
      <c r="S3" s="31"/>
      <c r="T3" s="33">
        <f>SUM(G3:R3)</f>
        <v>0</v>
      </c>
    </row>
    <row r="4" spans="1:149" ht="15.75" x14ac:dyDescent="0.25">
      <c r="A4" s="43" t="s">
        <v>31</v>
      </c>
      <c r="B4" s="35"/>
      <c r="C4" s="68">
        <v>30000</v>
      </c>
      <c r="D4" s="16">
        <f t="shared" si="0"/>
        <v>30000</v>
      </c>
      <c r="E4" s="17">
        <f t="shared" si="1"/>
        <v>30000</v>
      </c>
      <c r="F4" s="18">
        <f t="shared" si="2"/>
        <v>30000</v>
      </c>
      <c r="G4" s="37"/>
      <c r="H4" s="37"/>
      <c r="I4" s="37"/>
      <c r="J4" s="37"/>
      <c r="K4" s="37"/>
      <c r="L4" s="37"/>
      <c r="M4" s="37"/>
      <c r="N4" s="37"/>
      <c r="O4" s="37"/>
      <c r="P4" s="37"/>
      <c r="Q4" s="37"/>
      <c r="R4" s="19"/>
      <c r="S4" s="51"/>
      <c r="T4" s="19">
        <f t="shared" ref="T4:T5" si="3">SUM(G4:R4)</f>
        <v>0</v>
      </c>
    </row>
    <row r="5" spans="1:149" s="44" customFormat="1" ht="15.75" x14ac:dyDescent="0.25">
      <c r="A5" s="45" t="s">
        <v>101</v>
      </c>
      <c r="B5" s="40"/>
      <c r="C5" s="15">
        <v>211500</v>
      </c>
      <c r="D5" s="16">
        <f t="shared" si="0"/>
        <v>211500</v>
      </c>
      <c r="E5" s="17">
        <f t="shared" si="1"/>
        <v>211500</v>
      </c>
      <c r="F5" s="18">
        <f t="shared" si="2"/>
        <v>211500</v>
      </c>
      <c r="G5" s="19"/>
      <c r="H5" s="19"/>
      <c r="I5" s="49"/>
      <c r="J5" s="19"/>
      <c r="K5" s="49"/>
      <c r="L5" s="19"/>
      <c r="M5" s="49"/>
      <c r="N5" s="19"/>
      <c r="O5" s="49"/>
      <c r="P5" s="19"/>
      <c r="Q5" s="49"/>
      <c r="R5" s="19"/>
      <c r="S5" s="49"/>
      <c r="T5" s="19">
        <f t="shared" si="3"/>
        <v>0</v>
      </c>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s="46"/>
    </row>
    <row r="6" spans="1:149" ht="16.5" thickBot="1" x14ac:dyDescent="0.3">
      <c r="A6" s="25"/>
      <c r="B6" s="26" t="s">
        <v>24</v>
      </c>
      <c r="C6" s="70">
        <f>SUM(C3:C5)</f>
        <v>249050</v>
      </c>
      <c r="D6" s="70">
        <f>C6</f>
        <v>249050</v>
      </c>
      <c r="E6" s="27">
        <f>D6</f>
        <v>249050</v>
      </c>
      <c r="F6" s="27">
        <f>E6</f>
        <v>249050</v>
      </c>
      <c r="G6" s="27">
        <f>SUM(G3:G5)</f>
        <v>0</v>
      </c>
      <c r="H6" s="27">
        <f t="shared" ref="H6:R6" si="4">SUM(H3:H5)</f>
        <v>0</v>
      </c>
      <c r="I6" s="27">
        <f t="shared" si="4"/>
        <v>0</v>
      </c>
      <c r="J6" s="27">
        <f t="shared" si="4"/>
        <v>0</v>
      </c>
      <c r="K6" s="27">
        <f t="shared" si="4"/>
        <v>0</v>
      </c>
      <c r="L6" s="27">
        <f t="shared" si="4"/>
        <v>0</v>
      </c>
      <c r="M6" s="27">
        <f t="shared" si="4"/>
        <v>0</v>
      </c>
      <c r="N6" s="27">
        <f t="shared" si="4"/>
        <v>0</v>
      </c>
      <c r="O6" s="27">
        <f t="shared" si="4"/>
        <v>0</v>
      </c>
      <c r="P6" s="27">
        <f t="shared" si="4"/>
        <v>0</v>
      </c>
      <c r="Q6" s="27">
        <f t="shared" si="4"/>
        <v>0</v>
      </c>
      <c r="R6" s="27">
        <f t="shared" si="4"/>
        <v>0</v>
      </c>
      <c r="S6" s="26" t="s">
        <v>25</v>
      </c>
      <c r="T6" s="47">
        <f>SUM(G6:R6)</f>
        <v>0</v>
      </c>
    </row>
    <row r="8" spans="1:149" ht="15.75" thickBot="1" x14ac:dyDescent="0.3"/>
    <row r="9" spans="1:149" ht="16.5" thickBot="1" x14ac:dyDescent="0.3">
      <c r="A9" s="136" t="s">
        <v>112</v>
      </c>
      <c r="B9" s="299" t="s">
        <v>115</v>
      </c>
      <c r="C9" s="300"/>
      <c r="D9" s="300"/>
      <c r="E9" s="301"/>
      <c r="F9" s="299" t="s">
        <v>114</v>
      </c>
      <c r="G9" s="301"/>
      <c r="H9" s="302" t="s">
        <v>113</v>
      </c>
      <c r="I9" s="303"/>
      <c r="O9" t="s">
        <v>140</v>
      </c>
    </row>
    <row r="10" spans="1:149" ht="15.75" customHeight="1" x14ac:dyDescent="0.25">
      <c r="A10" s="121"/>
      <c r="B10" s="316"/>
      <c r="C10" s="317"/>
      <c r="D10" s="317"/>
      <c r="E10" s="318"/>
      <c r="F10" s="309"/>
      <c r="G10" s="310"/>
      <c r="H10" s="307"/>
      <c r="I10" s="308"/>
    </row>
    <row r="11" spans="1:149" x14ac:dyDescent="0.25">
      <c r="A11" s="133"/>
      <c r="B11" s="350"/>
      <c r="C11" s="351"/>
      <c r="D11" s="351"/>
      <c r="E11" s="352"/>
      <c r="F11" s="377"/>
      <c r="G11" s="413"/>
      <c r="H11" s="279"/>
      <c r="I11" s="280"/>
    </row>
    <row r="12" spans="1:149" x14ac:dyDescent="0.25">
      <c r="A12" s="127"/>
      <c r="B12" s="322"/>
      <c r="C12" s="323"/>
      <c r="D12" s="323"/>
      <c r="E12" s="324"/>
      <c r="F12" s="284"/>
      <c r="G12" s="285"/>
      <c r="H12" s="329"/>
      <c r="I12" s="330"/>
    </row>
    <row r="13" spans="1:149" x14ac:dyDescent="0.25">
      <c r="A13" s="156"/>
      <c r="B13" s="140"/>
      <c r="C13" s="369"/>
      <c r="D13" s="369"/>
      <c r="E13" s="354"/>
      <c r="F13" s="353"/>
      <c r="G13" s="354"/>
      <c r="H13" s="353"/>
      <c r="I13" s="354"/>
    </row>
    <row r="14" spans="1:149" ht="15.75" thickBot="1" x14ac:dyDescent="0.3">
      <c r="A14" s="120"/>
      <c r="B14" s="117"/>
      <c r="C14" s="541"/>
      <c r="D14" s="541"/>
      <c r="E14" s="412"/>
      <c r="F14" s="411"/>
      <c r="G14" s="412"/>
      <c r="H14" s="411"/>
      <c r="I14" s="412"/>
    </row>
    <row r="15" spans="1:149" ht="15.75" thickBot="1" x14ac:dyDescent="0.3">
      <c r="A15" s="85"/>
      <c r="B15" s="269"/>
      <c r="C15" s="270"/>
      <c r="D15" s="270"/>
      <c r="E15" s="271"/>
      <c r="F15" s="272" t="s">
        <v>116</v>
      </c>
      <c r="G15" s="273"/>
      <c r="H15" s="274">
        <f>SUM(H10:I14)</f>
        <v>0</v>
      </c>
      <c r="I15" s="275"/>
    </row>
  </sheetData>
  <mergeCells count="21">
    <mergeCell ref="B15:E15"/>
    <mergeCell ref="F15:G15"/>
    <mergeCell ref="H15:I15"/>
    <mergeCell ref="C13:E13"/>
    <mergeCell ref="F13:G13"/>
    <mergeCell ref="H13:I13"/>
    <mergeCell ref="C14:E14"/>
    <mergeCell ref="F14:G14"/>
    <mergeCell ref="H14:I14"/>
    <mergeCell ref="B11:E11"/>
    <mergeCell ref="F11:G11"/>
    <mergeCell ref="H11:I11"/>
    <mergeCell ref="B12:E12"/>
    <mergeCell ref="F12:G12"/>
    <mergeCell ref="H12:I12"/>
    <mergeCell ref="B9:E9"/>
    <mergeCell ref="F9:G9"/>
    <mergeCell ref="H9:I9"/>
    <mergeCell ref="B10:E10"/>
    <mergeCell ref="F10:G10"/>
    <mergeCell ref="H10:I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Campus Director</vt:lpstr>
      <vt:lpstr>Admin</vt:lpstr>
      <vt:lpstr>Admin II</vt:lpstr>
      <vt:lpstr>BM Department</vt:lpstr>
      <vt:lpstr>CS Department</vt:lpstr>
      <vt:lpstr>Industrial Tech Dept.</vt:lpstr>
      <vt:lpstr>Engineering Dept.</vt:lpstr>
      <vt:lpstr>Teacher Education Dept.</vt:lpstr>
      <vt:lpstr>ICT Office</vt:lpstr>
      <vt:lpstr> Extension Services</vt:lpstr>
      <vt:lpstr>Quality Assurance</vt:lpstr>
      <vt:lpstr>Accounting Office</vt:lpstr>
      <vt:lpstr>Research</vt:lpstr>
      <vt:lpstr>Medical Dental</vt:lpstr>
      <vt:lpstr>Cashier and Disbursing Office</vt:lpstr>
      <vt:lpstr>Budget Office</vt:lpstr>
      <vt:lpstr>Records</vt:lpstr>
      <vt:lpstr>BAC Procurement</vt:lpstr>
      <vt:lpstr>Human Resource Dev't. Office</vt:lpstr>
      <vt:lpstr> PMO Supply Office</vt:lpstr>
      <vt:lpstr>Registrar</vt:lpstr>
      <vt:lpstr>MESO</vt:lpstr>
      <vt:lpstr>IPDO</vt:lpstr>
      <vt:lpstr> IGP Production</vt:lpstr>
      <vt:lpstr>Sports Dev't Office</vt:lpstr>
      <vt:lpstr>Culture and the Arts</vt:lpstr>
      <vt:lpstr>SCUAA</vt:lpstr>
      <vt:lpstr>Library</vt:lpstr>
      <vt:lpstr>NSTP</vt:lpstr>
      <vt:lpstr>SASO</vt:lpstr>
      <vt:lpstr>Guidance</vt:lpstr>
      <vt:lpstr>SSG</vt:lpstr>
      <vt:lpstr>SPO</vt:lpstr>
      <vt:lpstr>GAD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2025-10-08T05:55:19Z</cp:lastPrinted>
  <dcterms:created xsi:type="dcterms:W3CDTF">2024-09-19T00:29:47Z</dcterms:created>
  <dcterms:modified xsi:type="dcterms:W3CDTF">2025-11-26T06:11:17Z</dcterms:modified>
</cp:coreProperties>
</file>