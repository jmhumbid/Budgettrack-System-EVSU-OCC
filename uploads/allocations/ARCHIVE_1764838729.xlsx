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4.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4" activeTab="5"/>
  </bookViews>
  <sheets>
    <sheet sheetId="1" name="Campus Director" state="visible" r:id="rId4"/>
    <sheet sheetId="2" name="Admin" state="visible" r:id="rId5"/>
    <sheet sheetId="5" name="BM Department" state="visible" r:id="rId6"/>
    <sheet sheetId="6" name="CS Department" state="visible" r:id="rId7"/>
    <sheet sheetId="8" name="Industrial Tech Dept." state="visible" r:id="rId8"/>
    <sheet sheetId="9" name="Engineering Dept." state="visible" r:id="rId9"/>
    <sheet sheetId="10" name="Teacher Education Dept." state="visible" r:id="rId10"/>
    <sheet sheetId="7" name="ICT Office" state="visible" r:id="rId11"/>
    <sheet sheetId="12" name=" Extension Services" state="visible" r:id="rId12"/>
    <sheet sheetId="11" name="Quality Assurance" state="visible" r:id="rId13"/>
    <sheet sheetId="13" name="Accounting Office" state="visible" r:id="rId14"/>
    <sheet sheetId="3" name="Research" state="visible" r:id="rId15"/>
    <sheet sheetId="30" name="Medical Dental" state="visible" r:id="rId16"/>
    <sheet sheetId="14" name="Cashier and Disbursing Office" state="visible" r:id="rId17"/>
    <sheet sheetId="15" name="Budget Office" state="visible" r:id="rId18"/>
    <sheet sheetId="34" name="Records" state="visible" r:id="rId19"/>
    <sheet sheetId="16" name="BAC Procurement" state="visible" r:id="rId20"/>
    <sheet sheetId="17" name="Human Resource Dev't. Office" state="visible" r:id="rId21"/>
    <sheet sheetId="18" name=" PMO Supply Office" state="visible" r:id="rId22"/>
    <sheet sheetId="19" name="Registrar" state="visible" r:id="rId23"/>
    <sheet sheetId="20" name="MESO" state="visible" r:id="rId24"/>
    <sheet sheetId="21" name="IPDO" state="visible" r:id="rId25"/>
    <sheet sheetId="22" name=" IGP Production" state="visible" r:id="rId26"/>
    <sheet sheetId="23" name="Sports Dev't Office" state="visible" r:id="rId27"/>
    <sheet sheetId="25" name="Culture and the Arts" state="visible" r:id="rId28"/>
    <sheet sheetId="24" name="SCUAA" state="visible" r:id="rId29"/>
    <sheet sheetId="26" name="Library" state="visible" r:id="rId30"/>
    <sheet sheetId="27" name="NSTP" state="visible" r:id="rId31"/>
    <sheet sheetId="28" name="SASO" state="visible" r:id="rId32"/>
    <sheet sheetId="29" name="Guidance" state="visible" r:id="rId33"/>
    <sheet sheetId="31" name="SSG" state="visible" r:id="rId34"/>
    <sheet sheetId="32" name="SPO" state="visible" r:id="rId35"/>
    <sheet sheetId="33" name="GAD" state="visible" r:id="rId36"/>
  </sheets>
  <calcPr calcId="171027"/>
</workbook>
</file>

<file path=xl/sharedStrings.xml><?xml version="1.0" encoding="utf-8"?>
<sst xmlns="http://schemas.openxmlformats.org/spreadsheetml/2006/main" count="21935" uniqueCount="2312">
  <si>
    <t/>
  </si>
  <si>
    <t>BUDGET FORWADED</t>
  </si>
  <si>
    <t xml:space="preserve">ALLOCATED BUDGET 
2025 B</t>
  </si>
  <si>
    <t xml:space="preserve">TOTAL EXPENDITURES
C</t>
  </si>
  <si>
    <t xml:space="preserve">TOTAL BALANCES
D=B-C</t>
  </si>
  <si>
    <t>January</t>
  </si>
  <si>
    <t>February</t>
  </si>
  <si>
    <t>March</t>
  </si>
  <si>
    <t>April</t>
  </si>
  <si>
    <t>May</t>
  </si>
  <si>
    <t>June</t>
  </si>
  <si>
    <t>July</t>
  </si>
  <si>
    <t>August</t>
  </si>
  <si>
    <t>September</t>
  </si>
  <si>
    <t>October</t>
  </si>
  <si>
    <t>November</t>
  </si>
  <si>
    <t>December</t>
  </si>
  <si>
    <t>AMOUNT</t>
  </si>
  <si>
    <t>CAMPUS DIRECTOR</t>
  </si>
  <si>
    <t>Office Supplies Expenses</t>
  </si>
  <si>
    <t>141,580</t>
  </si>
  <si>
    <t>Travelling Expenses</t>
  </si>
  <si>
    <t>1,000,000</t>
  </si>
  <si>
    <t>23,000</t>
  </si>
  <si>
    <t>977,000</t>
  </si>
  <si>
    <t>2,100</t>
  </si>
  <si>
    <t>2,250</t>
  </si>
  <si>
    <t>12,550</t>
  </si>
  <si>
    <t>1,900</t>
  </si>
  <si>
    <t>2,550</t>
  </si>
  <si>
    <t>1,650</t>
  </si>
  <si>
    <t>Seminars and Trainings</t>
  </si>
  <si>
    <t>1,700,000</t>
  </si>
  <si>
    <t>Other MOOE</t>
  </si>
  <si>
    <t>6,235,000</t>
  </si>
  <si>
    <t>57,750</t>
  </si>
  <si>
    <t>6,177,250</t>
  </si>
  <si>
    <t>8,750</t>
  </si>
  <si>
    <t>49,000</t>
  </si>
  <si>
    <t>Janitorial Services</t>
  </si>
  <si>
    <t>425,000</t>
  </si>
  <si>
    <t>ICT Equipment</t>
  </si>
  <si>
    <t>78,000</t>
  </si>
  <si>
    <t>Other Supplies and Materials</t>
  </si>
  <si>
    <t>34,900</t>
  </si>
  <si>
    <t>Labor &amp; Wages (COS)</t>
  </si>
  <si>
    <t>175,283.75</t>
  </si>
  <si>
    <t>-175,283.75</t>
  </si>
  <si>
    <t>10,255.6</t>
  </si>
  <si>
    <t>10,060</t>
  </si>
  <si>
    <t>8,475.4</t>
  </si>
  <si>
    <t>16,018.3</t>
  </si>
  <si>
    <t>18,359.5</t>
  </si>
  <si>
    <t>18,091.2</t>
  </si>
  <si>
    <t>19,821.25</t>
  </si>
  <si>
    <t>17,503.15</t>
  </si>
  <si>
    <t>10,524.15</t>
  </si>
  <si>
    <t>18,561.65</t>
  </si>
  <si>
    <t>17,566.15</t>
  </si>
  <si>
    <t>10,047.4</t>
  </si>
  <si>
    <t>Office Equipment</t>
  </si>
  <si>
    <t>1,537,000</t>
  </si>
  <si>
    <t>Motor Vehicles</t>
  </si>
  <si>
    <t>6,750,000</t>
  </si>
  <si>
    <t>17,901,480</t>
  </si>
  <si>
    <t>256,033.75</t>
  </si>
  <si>
    <t>17,645,446.25</t>
  </si>
  <si>
    <t>12,160</t>
  </si>
  <si>
    <t>20,341.2</t>
  </si>
  <si>
    <t>41,121.25</t>
  </si>
  <si>
    <t>68,403.15</t>
  </si>
  <si>
    <t>13,074.15</t>
  </si>
  <si>
    <t>20,211.65</t>
  </si>
  <si>
    <t>TOTAL</t>
  </si>
  <si>
    <t>Travelled</t>
  </si>
  <si>
    <t xml:space="preserve">Event </t>
  </si>
  <si>
    <t>Date</t>
  </si>
  <si>
    <t>Amount</t>
  </si>
  <si>
    <t>Cherly Hernandez</t>
  </si>
  <si>
    <t>To attend the Non-teaching general assembly at Mimi's Resort and events place, Brgy. Dampigan Sta. Rita, Samar.</t>
  </si>
  <si>
    <t>February 28, 2025</t>
  </si>
  <si>
    <t>Morley O. Mullaned</t>
  </si>
  <si>
    <t>To pick-up and drop off the campus director and attend commencement exercise at Dulag Campus and EVSU Main</t>
  </si>
  <si>
    <t>June 17-18, 20, 24, 26, 27, 2025</t>
  </si>
  <si>
    <t>Maricel A. Gomez</t>
  </si>
  <si>
    <t xml:space="preserve">To attend the second batch training on Republic Act (RA 9184) and its recent amendments under RA 12009 at Radiant Hotel, Dadison Street, Tacloban City </t>
  </si>
  <si>
    <t>July 29-31, 2025</t>
  </si>
  <si>
    <t>To pick-up and drop off the campus director at the EVSU Main</t>
  </si>
  <si>
    <t>August 5, 2025</t>
  </si>
  <si>
    <t>To attend a dialogue with senator Paolo Benigno "Bam" Aquino V at Saint Paul School of Professional Studies in Palo Leyte.</t>
  </si>
  <si>
    <t>July 24, 2025</t>
  </si>
  <si>
    <t xml:space="preserve">TO PARTICIPATE IN THE "TABO HA EVSU 2025 (KADIWA TRADE FAIR) AT EVSU MAIN.
TO ATTEND THE EVSUNISTA AWARDS NIGHT AT LEYTE ACADEMIC CENTER, PALO LEYTE.
TO PARTICIPATE IN THE "HIMIG HANDOG TRIBUTE TO A ORIGINAL PILIPINO MUSIC AT EVSU   MAIN..</t>
  </si>
  <si>
    <t>AUGUST 28, 2025. AUGUST 29, 2025 &amp; SEPTEMBER 4, 2025</t>
  </si>
  <si>
    <t>Morley O. Mullaneda</t>
  </si>
  <si>
    <t>August 18, 22, 27 and September 9, 2025</t>
  </si>
  <si>
    <t>September 16, 2025</t>
  </si>
  <si>
    <t>Total</t>
  </si>
  <si>
    <t>Beginning Balance</t>
  </si>
  <si>
    <t xml:space="preserve">ALLOCATED BUDGET 
2025
B</t>
  </si>
  <si>
    <t xml:space="preserve">TOTAL BALANCES
D = B - C</t>
  </si>
  <si>
    <t>ADMINISTRATIVE AND FINANCE SERVICES</t>
  </si>
  <si>
    <t>23,900</t>
  </si>
  <si>
    <t>78,121</t>
  </si>
  <si>
    <t>-54,221</t>
  </si>
  <si>
    <t>8,276</t>
  </si>
  <si>
    <t>23,094</t>
  </si>
  <si>
    <t>46,751</t>
  </si>
  <si>
    <t>30,000</t>
  </si>
  <si>
    <t>54,854</t>
  </si>
  <si>
    <t>-24,854</t>
  </si>
  <si>
    <t>1,759</t>
  </si>
  <si>
    <t>9,995</t>
  </si>
  <si>
    <t>29,150</t>
  </si>
  <si>
    <t>13,950</t>
  </si>
  <si>
    <t>Travel Expenses</t>
  </si>
  <si>
    <t>3,550</t>
  </si>
  <si>
    <t>33,350</t>
  </si>
  <si>
    <t>35,902</t>
  </si>
  <si>
    <t>8,000</t>
  </si>
  <si>
    <t>1,000</t>
  </si>
  <si>
    <t>1,150</t>
  </si>
  <si>
    <t>9,276</t>
  </si>
  <si>
    <t>92,228</t>
  </si>
  <si>
    <t>Training/Seminar Expenses</t>
  </si>
  <si>
    <t>200,000</t>
  </si>
  <si>
    <t>32,400</t>
  </si>
  <si>
    <t>167,600</t>
  </si>
  <si>
    <t>24,000</t>
  </si>
  <si>
    <t>8,400</t>
  </si>
  <si>
    <t>R&amp;M School Building</t>
  </si>
  <si>
    <t>13,340,000</t>
  </si>
  <si>
    <t>R&amp;M Motor Vehicle</t>
  </si>
  <si>
    <t>515,000</t>
  </si>
  <si>
    <t>7,500</t>
  </si>
  <si>
    <t>507,500</t>
  </si>
  <si>
    <t>R&amp;M Office Equipmet</t>
  </si>
  <si>
    <t>3,245</t>
  </si>
  <si>
    <t>Water Expenses</t>
  </si>
  <si>
    <t>Electricity Expenses</t>
  </si>
  <si>
    <t>12,780.37</t>
  </si>
  <si>
    <t>-12,780.37</t>
  </si>
  <si>
    <t>Fuel</t>
  </si>
  <si>
    <t>91,875</t>
  </si>
  <si>
    <t>Telephone Expenses-Mobile</t>
  </si>
  <si>
    <t>Security Services</t>
  </si>
  <si>
    <t>2,500,000</t>
  </si>
  <si>
    <t>1,063,483.48</t>
  </si>
  <si>
    <t>1,436,516.52</t>
  </si>
  <si>
    <t>904,779.96</t>
  </si>
  <si>
    <t>158,703.52</t>
  </si>
  <si>
    <t>50,000</t>
  </si>
  <si>
    <t>293,582</t>
  </si>
  <si>
    <t>-243,582</t>
  </si>
  <si>
    <t>70,031</t>
  </si>
  <si>
    <t>33,000</t>
  </si>
  <si>
    <t>69,950</t>
  </si>
  <si>
    <t>7,000</t>
  </si>
  <si>
    <t>3,090</t>
  </si>
  <si>
    <t>110,511</t>
  </si>
  <si>
    <t>6,000,000</t>
  </si>
  <si>
    <t>119,373.29</t>
  </si>
  <si>
    <t>5,880,626.71</t>
  </si>
  <si>
    <t>10,410.54</t>
  </si>
  <si>
    <t>9,528.65</t>
  </si>
  <si>
    <t>10,022.4</t>
  </si>
  <si>
    <t>8,777.3</t>
  </si>
  <si>
    <t>10,048.45</t>
  </si>
  <si>
    <t>9,054</t>
  </si>
  <si>
    <t>11,554.3</t>
  </si>
  <si>
    <t>9,046.65</t>
  </si>
  <si>
    <t>5,533</t>
  </si>
  <si>
    <t>21,322.4</t>
  </si>
  <si>
    <t>9,050.85</t>
  </si>
  <si>
    <t>5,024.75</t>
  </si>
  <si>
    <t>Power Supply System</t>
  </si>
  <si>
    <t>8,500,000</t>
  </si>
  <si>
    <t>School Building</t>
  </si>
  <si>
    <t>60,000,000</t>
  </si>
  <si>
    <t>Other Structure</t>
  </si>
  <si>
    <t>25,500,000</t>
  </si>
  <si>
    <t>Office Equipment Expenses</t>
  </si>
  <si>
    <t>100,000</t>
  </si>
  <si>
    <t>ICT Expenses</t>
  </si>
  <si>
    <t>80,000</t>
  </si>
  <si>
    <t>84,500</t>
  </si>
  <si>
    <t>-4,500</t>
  </si>
  <si>
    <t>Furnitures, Fixtures Expenses</t>
  </si>
  <si>
    <t>117,868,900</t>
  </si>
  <si>
    <t>1,746,594.14</t>
  </si>
  <si>
    <t>116,122,305.86</t>
  </si>
  <si>
    <t>64,850</t>
  </si>
  <si>
    <t>1,023,992.96</t>
  </si>
  <si>
    <t>57,094</t>
  </si>
  <si>
    <t>13,930.37</t>
  </si>
  <si>
    <t>17,676</t>
  </si>
  <si>
    <t>228,653.52</t>
  </si>
  <si>
    <t>16,995</t>
  </si>
  <si>
    <t>32,240</t>
  </si>
  <si>
    <t>124,461</t>
  </si>
  <si>
    <t>1,933,942.14</t>
  </si>
  <si>
    <t>Purchase Request</t>
  </si>
  <si>
    <t>Particulars</t>
  </si>
  <si>
    <t>Van Rental</t>
  </si>
  <si>
    <t>Van Rental Ormoc City to Merida</t>
  </si>
  <si>
    <t>March 21-22, 2025</t>
  </si>
  <si>
    <t>Meals</t>
  </si>
  <si>
    <t>Harampang and Campus Visitation</t>
  </si>
  <si>
    <t>March 24, 2025</t>
  </si>
  <si>
    <t>Office Supplies</t>
  </si>
  <si>
    <t xml:space="preserve">1 pc printer head black and 1 pc printer head colored </t>
  </si>
  <si>
    <t xml:space="preserve">P.R. No.:2025-02-038
P.O. No.:2025-03-024</t>
  </si>
  <si>
    <t>Meals 60 pax lunch and 60 pax snacks for admin council</t>
  </si>
  <si>
    <t xml:space="preserve">P.R. No.:2025-04-122
P.O. No.:2025-04-075</t>
  </si>
  <si>
    <t xml:space="preserve">2 pcs scissors, 2 boxes sign pen, 3 pcs logbook, 8 pcs correction tape, 
2 boxes fastener, 4 boxes staple wire </t>
  </si>
  <si>
    <t xml:space="preserve">P.R. No.:2025-02-026
P.O. No.:2025-03-045</t>
  </si>
  <si>
    <t>Various office supplies</t>
  </si>
  <si>
    <t xml:space="preserve">P.R. No.:2025-02-033
P.O. No.:2025-03-048</t>
  </si>
  <si>
    <t xml:space="preserve">P.R. No.:2025-02-033
P.O. No.:2025-03-047</t>
  </si>
  <si>
    <t>Fuel/Oil</t>
  </si>
  <si>
    <t>1,500 liters of fuel (petrolium, oil, lubricant (POL))</t>
  </si>
  <si>
    <t xml:space="preserve">P.R. No.:2025-03-049
P.O. No.:2025-06-105</t>
  </si>
  <si>
    <t>Meal 20 pax dinner for evsunistas awards on August 29, 2025 at Leyte Academic Center, Palo Leyte</t>
  </si>
  <si>
    <t xml:space="preserve">P.R. No.:2025-07-190
P.O. No.:2025-08-140</t>
  </si>
  <si>
    <t>Meals and Snacks</t>
  </si>
  <si>
    <t>Meals 35 pax lunch and 70 pax am &amp; pm snacks</t>
  </si>
  <si>
    <t xml:space="preserve">P.R. No.:2025-07-153
P.O. No.:2025-08-133</t>
  </si>
  <si>
    <t xml:space="preserve">P.R. No.:2025-07-173
P.O. No.:2025-08-131</t>
  </si>
  <si>
    <t>Meals 140 pax lunch for the turn over ceremony of the new appointed campus director on August 8, 2025</t>
  </si>
  <si>
    <t xml:space="preserve">P.R. No.:2025-07-162
P.O. No.:2025-08-132</t>
  </si>
  <si>
    <t>Polo Shirts</t>
  </si>
  <si>
    <t xml:space="preserve">Purchase of Charter Day Polo Shirt 2025 for the Charter Day 2025 Celebration </t>
  </si>
  <si>
    <t xml:space="preserve">P.R. No.:2025-04-090
P.O. No.:2025-07-114</t>
  </si>
  <si>
    <t>Water Dispenser</t>
  </si>
  <si>
    <t xml:space="preserve">
Payment for the Purchase of 1 unit water dispenser
</t>
  </si>
  <si>
    <t xml:space="preserve">P.R. No.:2025-04-118
P.O. No.:2025-08-123</t>
  </si>
  <si>
    <t>Office chair</t>
  </si>
  <si>
    <t xml:space="preserve">10 units office chair </t>
  </si>
  <si>
    <t xml:space="preserve">P.R. No.:2025-08-183
P.O. No.:2025-10-193</t>
  </si>
  <si>
    <t>Event/Activity/Purpose</t>
  </si>
  <si>
    <t>Ma. Ederlina S. Duallo</t>
  </si>
  <si>
    <t>To submit document and pick-up from Records Office, EVSU Main</t>
  </si>
  <si>
    <t>January 7,17,21, 2025</t>
  </si>
  <si>
    <t>To submit document and pick-up from the Vice-President for academic affais, Office of University President and Records Office, EVSU Main</t>
  </si>
  <si>
    <t>January 28, 2025</t>
  </si>
  <si>
    <t>Richard P. Impas</t>
  </si>
  <si>
    <t>To attend the DBM onsite validation of capital outlay projects and programs across campuses at EVSU Main.</t>
  </si>
  <si>
    <t>January 20, 2025</t>
  </si>
  <si>
    <t>To attend the re-orientation assessment and strategic planning on the university's financial management at Hotel de Fedis, Tacloban City.</t>
  </si>
  <si>
    <t>April 22-23, 2025</t>
  </si>
  <si>
    <t>To attend the 1st quarter performance management team at EVSU Main</t>
  </si>
  <si>
    <t>May 30, 2025</t>
  </si>
  <si>
    <t>To attend the Scientific career system SCS orientation and Mentoring "Be a career scientist" in Central Visayas in Partnership of Department of Science and Technology (DOST) in Cebu City</t>
  </si>
  <si>
    <t>June 25-26, 2025</t>
  </si>
  <si>
    <t>To attend the second batch training on Republic Act (RA 9184) and its recent amendments under RA 12009 at Radiant Hotel, Dadison Street, Tacloban City</t>
  </si>
  <si>
    <t xml:space="preserve">PRIOR YEARS </t>
  </si>
  <si>
    <t>BALANCE FORWARDED</t>
  </si>
  <si>
    <t>Faculty Dev't</t>
  </si>
  <si>
    <t>Curriculum Dev't</t>
  </si>
  <si>
    <t>Student Dev't</t>
  </si>
  <si>
    <t>Facilities Dev't.</t>
  </si>
  <si>
    <t>Laboratory Fee</t>
  </si>
  <si>
    <t>Development Fee</t>
  </si>
  <si>
    <t>Computer Fee</t>
  </si>
  <si>
    <t xml:space="preserve">ALLOCATED BUDGET 
2025
C</t>
  </si>
  <si>
    <t xml:space="preserve">TOTAL EXPENDITURES
D</t>
  </si>
  <si>
    <t xml:space="preserve">TOTAL BALANCES
E = D - E</t>
  </si>
  <si>
    <t>B&amp;M Department</t>
  </si>
  <si>
    <t>Student Development</t>
  </si>
  <si>
    <t>25,000</t>
  </si>
  <si>
    <t>Honoraria-Part time</t>
  </si>
  <si>
    <t>83,675</t>
  </si>
  <si>
    <t>-83,675</t>
  </si>
  <si>
    <t>60,275</t>
  </si>
  <si>
    <t>23,400</t>
  </si>
  <si>
    <t>Honoraria-Overload</t>
  </si>
  <si>
    <t>Curriculum Development</t>
  </si>
  <si>
    <t>Faculty Development</t>
  </si>
  <si>
    <t>99,000</t>
  </si>
  <si>
    <t>Traveling Expenses</t>
  </si>
  <si>
    <t>20,000</t>
  </si>
  <si>
    <t>60,000</t>
  </si>
  <si>
    <t>Training Expenses</t>
  </si>
  <si>
    <t>10,000</t>
  </si>
  <si>
    <t>44,000</t>
  </si>
  <si>
    <t>Scholarship Grants</t>
  </si>
  <si>
    <t>29,710.25</t>
  </si>
  <si>
    <t>Textbook &amp; Instructional Material</t>
  </si>
  <si>
    <t>70,000</t>
  </si>
  <si>
    <t>340,000</t>
  </si>
  <si>
    <t>Award/Rewatrds Expenses</t>
  </si>
  <si>
    <t>5,150</t>
  </si>
  <si>
    <t>Award/Praise</t>
  </si>
  <si>
    <t>15,000</t>
  </si>
  <si>
    <t>5,000</t>
  </si>
  <si>
    <t>54,250</t>
  </si>
  <si>
    <t>119,250</t>
  </si>
  <si>
    <t>Telephone Expenses</t>
  </si>
  <si>
    <t>8,200</t>
  </si>
  <si>
    <t>5,891.77</t>
  </si>
  <si>
    <t>19,091.77</t>
  </si>
  <si>
    <t>AIOSELL Service Fee</t>
  </si>
  <si>
    <t>48,000</t>
  </si>
  <si>
    <t>14,944.56</t>
  </si>
  <si>
    <t>33,055.44</t>
  </si>
  <si>
    <t>3,049.99</t>
  </si>
  <si>
    <t>3,046.61</t>
  </si>
  <si>
    <t>3,022.86</t>
  </si>
  <si>
    <t>2,912.55</t>
  </si>
  <si>
    <t>Quality Assurance (COPC, ISO, Accreditation)</t>
  </si>
  <si>
    <t>107,264.09</t>
  </si>
  <si>
    <t>40,000</t>
  </si>
  <si>
    <t>40,220.32</t>
  </si>
  <si>
    <t>5,500</t>
  </si>
  <si>
    <t>415,720.32</t>
  </si>
  <si>
    <t>270,000</t>
  </si>
  <si>
    <t>215,295.36</t>
  </si>
  <si>
    <t>540,295.36</t>
  </si>
  <si>
    <t>140,000</t>
  </si>
  <si>
    <t>32,000</t>
  </si>
  <si>
    <t>150,000</t>
  </si>
  <si>
    <t>56,337.89</t>
  </si>
  <si>
    <t>93,662.11</t>
  </si>
  <si>
    <t>10,564.89</t>
  </si>
  <si>
    <t>9,808.5</t>
  </si>
  <si>
    <t>8,802.5</t>
  </si>
  <si>
    <t>8,048</t>
  </si>
  <si>
    <t>407,910.25</t>
  </si>
  <si>
    <t>440,445.36</t>
  </si>
  <si>
    <t>105,000</t>
  </si>
  <si>
    <t>175,000</t>
  </si>
  <si>
    <t>405,891.77</t>
  </si>
  <si>
    <t>67,220.32</t>
  </si>
  <si>
    <t>17,000</t>
  </si>
  <si>
    <t>682,014.09</t>
  </si>
  <si>
    <t>205,957.45</t>
  </si>
  <si>
    <t>2,094,524.34</t>
  </si>
  <si>
    <t>73,889.88</t>
  </si>
  <si>
    <t>37,255.11</t>
  </si>
  <si>
    <t>13,082.86</t>
  </si>
  <si>
    <t>60,960.55</t>
  </si>
  <si>
    <t>11,966.55</t>
  </si>
  <si>
    <t>Part</t>
  </si>
  <si>
    <t>PRIOR YEARS</t>
  </si>
  <si>
    <t>Student Dev't.</t>
  </si>
  <si>
    <t>Curriculum Dev't.</t>
  </si>
  <si>
    <t xml:space="preserve">TOTAL BALANCES
D = B - C</t>
  </si>
  <si>
    <t>Computer Studies Department</t>
  </si>
  <si>
    <t>Seminars and Training Expenses</t>
  </si>
  <si>
    <t>550,000</t>
  </si>
  <si>
    <t>594,000</t>
  </si>
  <si>
    <t>580,425</t>
  </si>
  <si>
    <t>-580,425</t>
  </si>
  <si>
    <t>84,200</t>
  </si>
  <si>
    <t>44,550</t>
  </si>
  <si>
    <t>103,900</t>
  </si>
  <si>
    <t>174,900</t>
  </si>
  <si>
    <t>84,975</t>
  </si>
  <si>
    <t>57,300</t>
  </si>
  <si>
    <t>30,600</t>
  </si>
  <si>
    <t>373,689.79</t>
  </si>
  <si>
    <t>-373,689.79</t>
  </si>
  <si>
    <t>157,222.06</t>
  </si>
  <si>
    <t>83,793.14</t>
  </si>
  <si>
    <t>52,400.61</t>
  </si>
  <si>
    <t>80,273.98</t>
  </si>
  <si>
    <t>Textbook &amp; Instructional Materials</t>
  </si>
  <si>
    <t>280,000</t>
  </si>
  <si>
    <t>Scholarship Grants Expenses</t>
  </si>
  <si>
    <t>36,716</t>
  </si>
  <si>
    <t>20,036</t>
  </si>
  <si>
    <t>81,680</t>
  </si>
  <si>
    <t>Award/Rewads Expenses</t>
  </si>
  <si>
    <t>525,000</t>
  </si>
  <si>
    <t>232,879</t>
  </si>
  <si>
    <t>857,416.36</t>
  </si>
  <si>
    <t>161,329</t>
  </si>
  <si>
    <t>65,000</t>
  </si>
  <si>
    <t>6,550</t>
  </si>
  <si>
    <t>1,800</t>
  </si>
  <si>
    <t>-78,200</t>
  </si>
  <si>
    <t>Telephone Mobile</t>
  </si>
  <si>
    <t>557,775</t>
  </si>
  <si>
    <t>122,200</t>
  </si>
  <si>
    <t>819,975</t>
  </si>
  <si>
    <t>Repair and Maintenance-Other Structure</t>
  </si>
  <si>
    <t>600,000</t>
  </si>
  <si>
    <t>211,907.03</t>
  </si>
  <si>
    <t>-211,907.03</t>
  </si>
  <si>
    <t>20,883.03</t>
  </si>
  <si>
    <t>19,321.4</t>
  </si>
  <si>
    <t>20,607.25</t>
  </si>
  <si>
    <t>17,076.8</t>
  </si>
  <si>
    <t>17,475.85</t>
  </si>
  <si>
    <t>17,563</t>
  </si>
  <si>
    <t>23,107.55</t>
  </si>
  <si>
    <t>17,850.2</t>
  </si>
  <si>
    <t>10,794.55</t>
  </si>
  <si>
    <t>19,579.2</t>
  </si>
  <si>
    <t>18,105.9</t>
  </si>
  <si>
    <t>9,542.3</t>
  </si>
  <si>
    <t>Laboratory Fee/Computer Fee</t>
  </si>
  <si>
    <t>2,024,000</t>
  </si>
  <si>
    <t>8,871</t>
  </si>
  <si>
    <t>419,091.32</t>
  </si>
  <si>
    <t>574,775</t>
  </si>
  <si>
    <t>3,868,587</t>
  </si>
  <si>
    <t>1,498,936.82</t>
  </si>
  <si>
    <t>4,545,892.88</t>
  </si>
  <si>
    <t>105,083.03</t>
  </si>
  <si>
    <t>221,093.46</t>
  </si>
  <si>
    <t>369,629.39</t>
  </si>
  <si>
    <t>244,377.41</t>
  </si>
  <si>
    <t>122,486.85</t>
  </si>
  <si>
    <t>139,863</t>
  </si>
  <si>
    <t>53,707.55</t>
  </si>
  <si>
    <t>104,674.18</t>
  </si>
  <si>
    <t>99,579.2</t>
  </si>
  <si>
    <t>Meals &amp; Accommodation</t>
  </si>
  <si>
    <t>Budget Planning &amp; Preparation for 2026, Faculty and Staff Dev't. &amp; Curriculum Review on March 21-22, 2025</t>
  </si>
  <si>
    <t xml:space="preserve">P.R. No.:2025-02-024
P.O. No.:2025-03-006</t>
  </si>
  <si>
    <t xml:space="preserve">P.R. No.:2025-03-064
P.O. No.:2025-03-004</t>
  </si>
  <si>
    <t>For Training/Workshop Vision 2025: Crafting Strategic Planning Curriculum Review for BSIT, BSIS, BMMA Program Blueprint on March 27, 2025</t>
  </si>
  <si>
    <t xml:space="preserve">P.R. No.:2025-03-051
P.O. No.:2025-03-007</t>
  </si>
  <si>
    <t xml:space="preserve">Syllabi Revision </t>
  </si>
  <si>
    <t xml:space="preserve">P.R. No.:2025-03-052
P.O. No.:2025-03-008</t>
  </si>
  <si>
    <t>30pcs file folder A4, 30pcs file folder long, 2 boxex paper fastener metal</t>
  </si>
  <si>
    <t xml:space="preserve">P.R. No.:2025-04-042
P.O. No.:2025-03-019</t>
  </si>
  <si>
    <t>Various Office Supplies</t>
  </si>
  <si>
    <t xml:space="preserve">P.R. No.:2025-04-042
P.O. No.:2025-03-018</t>
  </si>
  <si>
    <t>Meals &amp; Snacks</t>
  </si>
  <si>
    <t>Meals, lunch, am snacks and om snacksfor stakeholders meeting on proposed curriculum for BSIT and drafting BSIS curriculum</t>
  </si>
  <si>
    <t>Dinner meals for evsunistas awards and fellowship night on August 29, 2025 at Leyte Academic Center, Palo Leyte</t>
  </si>
  <si>
    <t>Charter Day Polo Shirt</t>
  </si>
  <si>
    <t xml:space="preserve">Purchase of Charter Day Polo Shirt 2025 for the Charter Day Celebration </t>
  </si>
  <si>
    <t>Air Condition</t>
  </si>
  <si>
    <t>2HP Airconditioner with free installation</t>
  </si>
  <si>
    <t xml:space="preserve">P.R. No.:2025-05-130
P.O. No.:2025-08-137</t>
  </si>
  <si>
    <t>Event/Activity</t>
  </si>
  <si>
    <t>ESTIMATED BUDGET</t>
  </si>
  <si>
    <t>Developmen Fee</t>
  </si>
  <si>
    <t>Industrial Technology Department</t>
  </si>
  <si>
    <t>Curiculum Development</t>
  </si>
  <si>
    <t>2,042,900</t>
  </si>
  <si>
    <t>-2,042,900</t>
  </si>
  <si>
    <t>192,425</t>
  </si>
  <si>
    <t>50,600</t>
  </si>
  <si>
    <t>539,750</t>
  </si>
  <si>
    <t>427,350</t>
  </si>
  <si>
    <t>395,800</t>
  </si>
  <si>
    <t>313,000</t>
  </si>
  <si>
    <t>27,975</t>
  </si>
  <si>
    <t>63,600</t>
  </si>
  <si>
    <t>603,748.92</t>
  </si>
  <si>
    <t>-603,748.92</t>
  </si>
  <si>
    <t>224,032.25</t>
  </si>
  <si>
    <t>185,333.92</t>
  </si>
  <si>
    <t>134,178</t>
  </si>
  <si>
    <t>60,204.75</t>
  </si>
  <si>
    <t>1,850</t>
  </si>
  <si>
    <t>148,150</t>
  </si>
  <si>
    <t>Textbook and Instructional Materials</t>
  </si>
  <si>
    <t>431,488</t>
  </si>
  <si>
    <t>-151,488</t>
  </si>
  <si>
    <t>33,288</t>
  </si>
  <si>
    <t>318,200</t>
  </si>
  <si>
    <t>Seminar/Trainings</t>
  </si>
  <si>
    <t>1,500</t>
  </si>
  <si>
    <t>42,500</t>
  </si>
  <si>
    <t>R&amp;M Tech Bldg./Other Structure</t>
  </si>
  <si>
    <t>42,346</t>
  </si>
  <si>
    <t>107,654</t>
  </si>
  <si>
    <t>26,396</t>
  </si>
  <si>
    <t>6,200</t>
  </si>
  <si>
    <t>9,750</t>
  </si>
  <si>
    <t>R&amp;M Office Equipment</t>
  </si>
  <si>
    <t>-6,200</t>
  </si>
  <si>
    <t>30,642</t>
  </si>
  <si>
    <t>29,358</t>
  </si>
  <si>
    <t>9,550</t>
  </si>
  <si>
    <t>1,950</t>
  </si>
  <si>
    <t>2,000</t>
  </si>
  <si>
    <t>10,742</t>
  </si>
  <si>
    <t>6,400</t>
  </si>
  <si>
    <t>Awards &amp; Rewards Expenses</t>
  </si>
  <si>
    <t>152,695</t>
  </si>
  <si>
    <t>50,149</t>
  </si>
  <si>
    <t>167,546</t>
  </si>
  <si>
    <t>22,230</t>
  </si>
  <si>
    <t>27,919</t>
  </si>
  <si>
    <t>Culinary Arts Lab Equipment</t>
  </si>
  <si>
    <t>450,450</t>
  </si>
  <si>
    <t>Electronics Lab Equipment</t>
  </si>
  <si>
    <t>1,295,470</t>
  </si>
  <si>
    <t>Furniture and Fixtures</t>
  </si>
  <si>
    <t>62,070</t>
  </si>
  <si>
    <t>348,150.32</t>
  </si>
  <si>
    <t>19,990</t>
  </si>
  <si>
    <t>42,080</t>
  </si>
  <si>
    <t>87,696.06</t>
  </si>
  <si>
    <t>-87,696.06</t>
  </si>
  <si>
    <t>6,952.96</t>
  </si>
  <si>
    <t>9,296.6</t>
  </si>
  <si>
    <t>10,563</t>
  </si>
  <si>
    <t>7,520.85</t>
  </si>
  <si>
    <t>3,982</t>
  </si>
  <si>
    <t>10,997.75</t>
  </si>
  <si>
    <t>9,027.75</t>
  </si>
  <si>
    <t>9,738.15</t>
  </si>
  <si>
    <t>5,030</t>
  </si>
  <si>
    <t>22,000</t>
  </si>
  <si>
    <t>659,000</t>
  </si>
  <si>
    <t>-519,000</t>
  </si>
  <si>
    <t>330,000</t>
  </si>
  <si>
    <t>146,118.18</t>
  </si>
  <si>
    <t>749,177.18</t>
  </si>
  <si>
    <t>124,829</t>
  </si>
  <si>
    <t>5,938.48</t>
  </si>
  <si>
    <t>9,450.48</t>
  </si>
  <si>
    <t>5,900.22</t>
  </si>
  <si>
    <t>2,580,615</t>
  </si>
  <si>
    <t>4,165,708.16</t>
  </si>
  <si>
    <t>33,374.54</t>
  </si>
  <si>
    <t>199,377.96</t>
  </si>
  <si>
    <t>293,478.85</t>
  </si>
  <si>
    <t>735,646.92</t>
  </si>
  <si>
    <t>695,827.85</t>
  </si>
  <si>
    <t>447,940.48</t>
  </si>
  <si>
    <t>1,033,684</t>
  </si>
  <si>
    <t>397,333.75</t>
  </si>
  <si>
    <t>153,162.98</t>
  </si>
  <si>
    <t>81,533</t>
  </si>
  <si>
    <t>103,888.37</t>
  </si>
  <si>
    <t>18,804</t>
  </si>
  <si>
    <t xml:space="preserve">Budget Planning &amp; Preparation for 2026, Faculty and Staff Dev't. &amp; Curriculum Review </t>
  </si>
  <si>
    <t>March 28-29, 2025</t>
  </si>
  <si>
    <t>3pcs photocopier toner</t>
  </si>
  <si>
    <t xml:space="preserve">P.R. No.:2025-02-018
P.O. No.:2025-03-021</t>
  </si>
  <si>
    <t>Other Supplies</t>
  </si>
  <si>
    <t xml:space="preserve">10 units ceiling fan </t>
  </si>
  <si>
    <t xml:space="preserve">P.R. No.:2025-02-016
P.O. No.:2025-03-021</t>
  </si>
  <si>
    <t>Accreditation</t>
  </si>
  <si>
    <t>Online accreditation survey conducted for Bachelor of Science in Hospitality Management  Program 3rd Survey</t>
  </si>
  <si>
    <t>April 21-23, 2025</t>
  </si>
  <si>
    <t>LPG Gas</t>
  </si>
  <si>
    <t>15 unit LPG Gas Tank Refill (15kls)</t>
  </si>
  <si>
    <t xml:space="preserve">P.R. No.:2025-03-083
P.O. No.:2025-05-083</t>
  </si>
  <si>
    <t>Desktop</t>
  </si>
  <si>
    <t>10 unit desktop computer (all in one)</t>
  </si>
  <si>
    <t xml:space="preserve">P.R. No.:2025-02-014
P.O. No.:2025-04-072</t>
  </si>
  <si>
    <t>Printer Ink</t>
  </si>
  <si>
    <t>Varius printer ink</t>
  </si>
  <si>
    <t xml:space="preserve">P.R. No.:2025-02-045
P.O. No.:2025-05-097</t>
  </si>
  <si>
    <t>Printer ink 3 bottles cyan, 3 magenta, 3 bottles yellow</t>
  </si>
  <si>
    <t xml:space="preserve">P.R. No.:2025-02-045
P.O. No.:2025-05-096</t>
  </si>
  <si>
    <t>Dinner meals for evsunistas awards and fellowship night at Leyte Academic Center, Palo Leyte on August 29,2025.</t>
  </si>
  <si>
    <t>Various Supplies</t>
  </si>
  <si>
    <t>Paint 4 pail chocolate brown, 5 pail bone ivory, 2 pail white, 10pcs masking tape No. 2, 8pcs ruler No. 7, 8 pcs paint brush No. 3, 6pcs paint tray</t>
  </si>
  <si>
    <t xml:space="preserve">P.R. No.:2025-07-147
P.O. No.:2025-08-135</t>
  </si>
  <si>
    <t>Air condition repair &amp; maintenance</t>
  </si>
  <si>
    <t>4 units ACU cleaning (window type) and 1 unit system reprocess, charging refrigerant 410 (for 1ACU)</t>
  </si>
  <si>
    <t xml:space="preserve">P.R. NO.:2025-09-208
P.O. NO.:2025-09-174</t>
  </si>
  <si>
    <t>Industrial Blender</t>
  </si>
  <si>
    <t xml:space="preserve">2 sets Industrial blender waring </t>
  </si>
  <si>
    <t xml:space="preserve">P.R. No.:2025-02-015
P.O.No.:2025-08-126</t>
  </si>
  <si>
    <t>Event /Activity</t>
  </si>
  <si>
    <t>Alan Mabitad</t>
  </si>
  <si>
    <t>Attended the ASEAN University Network (AUN) quality assurance training on workload based curriculum planning and implementation with authentic assessment integration at EVSU Main</t>
  </si>
  <si>
    <t>February 11-13, 2025</t>
  </si>
  <si>
    <t>Glenn Mar Jess C. Baltonado</t>
  </si>
  <si>
    <t>To attend the DOST Visayas Cluster call conference at EVSU Main</t>
  </si>
  <si>
    <t>January 17, 2025</t>
  </si>
  <si>
    <t>Lyra C. Rodriguez</t>
  </si>
  <si>
    <t>To attend the meeting with VPAA about the plan of restructuring the department of EVSU-OC at EVSU Main</t>
  </si>
  <si>
    <t>January 6, 2025</t>
  </si>
  <si>
    <t>Rosita Lariosa</t>
  </si>
  <si>
    <t>Conduct monitoring and assessment of interns in Boracay and Cebu City</t>
  </si>
  <si>
    <t>February 24-26, 2025 and February 26-27, 2025</t>
  </si>
  <si>
    <t>Mary Joy Baltonado</t>
  </si>
  <si>
    <t>February 24-27, 2025</t>
  </si>
  <si>
    <t>Conduct monitoring and assessment of interns in Cebu City</t>
  </si>
  <si>
    <t>March 17-19, 2025</t>
  </si>
  <si>
    <t>To attend the capacity development on futures thinking and strategic foresight program-Module 1: Framing the futures" at EVSU-Main.</t>
  </si>
  <si>
    <t>March 17-18, 2025</t>
  </si>
  <si>
    <t>To attend the parangal 2025 at convention center, Tacloban City</t>
  </si>
  <si>
    <t>February 20, 2025</t>
  </si>
  <si>
    <t>To submit several essential documents related to the upcoming educational tour for the BSHM Program at EVSU Main</t>
  </si>
  <si>
    <t>June 11, 2025</t>
  </si>
  <si>
    <t>Alvijean S. Weti</t>
  </si>
  <si>
    <t>To participate in a training on menu design and revenue management at Fuente Hotel de Cebu.</t>
  </si>
  <si>
    <t>June 28, 2025</t>
  </si>
  <si>
    <t xml:space="preserve">To attend as evaluator for COPC issuance of Bachelor Industrial Technology Programs of Palompon Institute of Technology Main Campus and Palompon Institute of Technology Tabango Campus </t>
  </si>
  <si>
    <t>June 23-25, 2025</t>
  </si>
  <si>
    <t xml:space="preserve">To attend the grand opening of EVSU charter day at EVSU Main.
To attend the EVSUNISTA awards and fellowship night at Leyte Academic Center, Palo, Leyte.</t>
  </si>
  <si>
    <t>August 27 &amp; 28, 2025</t>
  </si>
  <si>
    <t>To attend the EVSUNISTA awards night at Leyte Academic Center, Palo Leyte</t>
  </si>
  <si>
    <t>August 29, 2025</t>
  </si>
  <si>
    <t>Rustico B. Badilla</t>
  </si>
  <si>
    <t xml:space="preserve">To attend the EVSU grand opening celebration at EVSU Main.
To attend the EVSUNISTA Award and Fellowship Night at Leyte Academic Center, Palo, Leyte.</t>
  </si>
  <si>
    <t>August 27 &amp; 29, 2025</t>
  </si>
  <si>
    <t>Jesiel T. Arcillas</t>
  </si>
  <si>
    <t>To attend the EVSUNISTA Award and Fellowship Night at Leyte Academic Center, Palo, Leyte.</t>
  </si>
  <si>
    <t>FORWARDED BALANCE</t>
  </si>
  <si>
    <t>Faculty Dev't.</t>
  </si>
  <si>
    <t>Facilities Dev't</t>
  </si>
  <si>
    <t>Engineering Department</t>
  </si>
  <si>
    <t>471,845</t>
  </si>
  <si>
    <t>91,591</t>
  </si>
  <si>
    <t>445,254</t>
  </si>
  <si>
    <t>2,220,189.44</t>
  </si>
  <si>
    <t>-2,220,189.44</t>
  </si>
  <si>
    <t>46,700</t>
  </si>
  <si>
    <t>231,000</t>
  </si>
  <si>
    <t>554,600</t>
  </si>
  <si>
    <t>333,600</t>
  </si>
  <si>
    <t>559,000</t>
  </si>
  <si>
    <t>83,750</t>
  </si>
  <si>
    <t>230,050</t>
  </si>
  <si>
    <t>106,200</t>
  </si>
  <si>
    <t>43,489.44</t>
  </si>
  <si>
    <t>31,800</t>
  </si>
  <si>
    <t>819,506.28</t>
  </si>
  <si>
    <t>-819,506.28</t>
  </si>
  <si>
    <t>458,605.43</t>
  </si>
  <si>
    <t>117,293.27</t>
  </si>
  <si>
    <t>72,333.56</t>
  </si>
  <si>
    <t>171,274.02</t>
  </si>
  <si>
    <t>35,600</t>
  </si>
  <si>
    <t>81,050</t>
  </si>
  <si>
    <t>-21,050</t>
  </si>
  <si>
    <t>17,100</t>
  </si>
  <si>
    <t>2,150</t>
  </si>
  <si>
    <t>11,350</t>
  </si>
  <si>
    <t>8,190</t>
  </si>
  <si>
    <t>41,410</t>
  </si>
  <si>
    <t>87,355</t>
  </si>
  <si>
    <t>497,575.32</t>
  </si>
  <si>
    <t>Awards &amp; Rewards Incentives</t>
  </si>
  <si>
    <t>R&amp;M Technical &amp; Scientific Equipment</t>
  </si>
  <si>
    <t>ICT Supplies</t>
  </si>
  <si>
    <t>86,000</t>
  </si>
  <si>
    <t>Telco Internet Subcriptions</t>
  </si>
  <si>
    <t>120,000</t>
  </si>
  <si>
    <t>218,859.16</t>
  </si>
  <si>
    <t>-218,859.16</t>
  </si>
  <si>
    <t>10,048.16</t>
  </si>
  <si>
    <t>27,795.25</t>
  </si>
  <si>
    <t>27,905.65</t>
  </si>
  <si>
    <t>16,457.25</t>
  </si>
  <si>
    <t>20,075.9</t>
  </si>
  <si>
    <t>18,590</t>
  </si>
  <si>
    <t>22,496.4</t>
  </si>
  <si>
    <t>17,600.8</t>
  </si>
  <si>
    <t>11,035.55</t>
  </si>
  <si>
    <t>19,345.1</t>
  </si>
  <si>
    <t>17,657</t>
  </si>
  <si>
    <t>9,852.1</t>
  </si>
  <si>
    <t>760,000</t>
  </si>
  <si>
    <t>331,379</t>
  </si>
  <si>
    <t>993,916.36</t>
  </si>
  <si>
    <t>98,000</t>
  </si>
  <si>
    <t>Laboratory Equipment/Apparatus</t>
  </si>
  <si>
    <t>1,600,000</t>
  </si>
  <si>
    <t>597,000</t>
  </si>
  <si>
    <t>543,000</t>
  </si>
  <si>
    <t>Technical &amp; Scientific Equipment</t>
  </si>
  <si>
    <t>Other Machinery Equipment</t>
  </si>
  <si>
    <t>166,666.67</t>
  </si>
  <si>
    <t>234,000</t>
  </si>
  <si>
    <t>300,000</t>
  </si>
  <si>
    <t>399,200</t>
  </si>
  <si>
    <t>180,800</t>
  </si>
  <si>
    <t>341,666.67</t>
  </si>
  <si>
    <t>4,659,200</t>
  </si>
  <si>
    <t>4,767,174.88</t>
  </si>
  <si>
    <t>1,677,159.49</t>
  </si>
  <si>
    <t>56,748.16</t>
  </si>
  <si>
    <t>832,500.68</t>
  </si>
  <si>
    <t>826,777.92</t>
  </si>
  <si>
    <t>422,390.81</t>
  </si>
  <si>
    <t>590,425.9</t>
  </si>
  <si>
    <t>1,106,730</t>
  </si>
  <si>
    <t>302,356.4</t>
  </si>
  <si>
    <t>393,215.82</t>
  </si>
  <si>
    <t>84,524.99</t>
  </si>
  <si>
    <t>73,995.1</t>
  </si>
  <si>
    <t>67,657</t>
  </si>
  <si>
    <t xml:space="preserve">Budget Planning &amp; Preparation for 2026, Faculty and Staff Dev't. 
&amp; Curriculum Review </t>
  </si>
  <si>
    <t>Accommodations, Food, Token, Tarp Layout and Printing</t>
  </si>
  <si>
    <t xml:space="preserve">Assesesment conducted by CHED and Regional Quality Assurance Team (RQAT, for the issuance of certificate of program compliance (COPC))of the three engineering programs </t>
  </si>
  <si>
    <t>February 3, 2025</t>
  </si>
  <si>
    <t>Smart and Android TV</t>
  </si>
  <si>
    <t xml:space="preserve">8 units 65 inches smart/android TV with wall bracket </t>
  </si>
  <si>
    <t xml:space="preserve">P.R. No.:2025-02-012
P.O. No.:2025-04-067</t>
  </si>
  <si>
    <t>Computer Set</t>
  </si>
  <si>
    <t xml:space="preserve">12 desktop computer set with complete accessories </t>
  </si>
  <si>
    <t xml:space="preserve">P.R. No.:2025-02-010
P.O. No.:2025-04-071</t>
  </si>
  <si>
    <t>Dinner meals for EVSUNISTAS Awards and Fellowship Night at Leyte Academic Center, Palo Leyte on August 29, 2025</t>
  </si>
  <si>
    <t>10pcs photo copier toner and various printer ink</t>
  </si>
  <si>
    <t xml:space="preserve">P.R. No.:2025-03-058
P.O. No.:2025-06-106</t>
  </si>
  <si>
    <t>Charter day polo shirt for EVSU charter day 2025</t>
  </si>
  <si>
    <t>40 packs meals and snacks for Worlf Teacher's Day on October 10, 2025</t>
  </si>
  <si>
    <t xml:space="preserve">P.R. No.:2025-10-248
P.O. No.:2025-10-007CO</t>
  </si>
  <si>
    <t>Joel M. Capala</t>
  </si>
  <si>
    <t xml:space="preserve">Discussed with VPAA Lydia Morante the planned restructuring of the department in EVSU-OC at EVSU main.
To observe the CHED and RQAT visit for BSME COPC validation at EVSU Main.</t>
  </si>
  <si>
    <t>January 6, 2025 &amp; January 15, 2025</t>
  </si>
  <si>
    <t>Jomar G. Navarro</t>
  </si>
  <si>
    <t>Attended the meeting with VPAA Lydia morante regarding the department's application for COPC and the propose departmentalization of engineering department at EVSU Main</t>
  </si>
  <si>
    <t>Robert G. Navarro</t>
  </si>
  <si>
    <t xml:space="preserve">Discussed with VPAA Lydia Morante the planned restructuring of the department in EVSU-OC at EVSU Main.
To drop off and pick-up faculty at EVSU Main
</t>
  </si>
  <si>
    <t>January 6, 2025 &amp; January 8, 2025</t>
  </si>
  <si>
    <t>Michael Mendoza, Jr.</t>
  </si>
  <si>
    <t>To submit and present the evaluation report to VPAA Lydia M. Morante and Dean Vinyl Oquiño at EVSU Main</t>
  </si>
  <si>
    <t>March 10, 2025</t>
  </si>
  <si>
    <t>To submit the compliance report to VPAA Lydia M. Morante and Dean of Engineering Dr. Vinyl H. Oquino for further correction and additional documents at EVSU Main</t>
  </si>
  <si>
    <t>March 28, 2025</t>
  </si>
  <si>
    <t>Antonio E. Naboya, Jr.</t>
  </si>
  <si>
    <t xml:space="preserve">To observe the RQAT visit for BSME COPC validation at EVSU Main.
To present and submit the evaluation report to VPAA Lydia M. Morante and Dean Dr. Vinyl H. Oquino at EVSU Main.
To submit the compliance report to VPAA Lydia M. Morante and Dean Engineering Dr. Vinyl H. Oquino for further correction and additional documents at EVSU Main</t>
  </si>
  <si>
    <t>January 15, 2025, March 10, 2025 and March 28, 2028</t>
  </si>
  <si>
    <t xml:space="preserve">To present and submit the evaluation report to VPAA Lydia M. Morante and Dean Dr. Vinyl H. Oquino at EVSU Main.
To submit the compliance report to VPAA Lydia M. Morante and Dean Engineering Dr. Vinyl H. Oquino for further correction and additional documents at EVSU Main</t>
  </si>
  <si>
    <t>March 10 &amp; 28, 2025</t>
  </si>
  <si>
    <t>Rechel O. Caliwan</t>
  </si>
  <si>
    <t>To conduct benchmarking for the best practices of their program in BSME, BSEE, and BSCE at Biliran Province State University Main Campus</t>
  </si>
  <si>
    <t>April 8, 2025</t>
  </si>
  <si>
    <t>Phoebe S. Lanzaderas</t>
  </si>
  <si>
    <t>John Albert A. Laboga</t>
  </si>
  <si>
    <t xml:space="preserve">To attend the re-echo training at EVSU Main </t>
  </si>
  <si>
    <t>April 29-30, 2025, May 2, 5-7, 28-30, 2025</t>
  </si>
  <si>
    <t>To attend the EVSUNISTA Awards and Fellowship Night at Leyte Academic Center, Palo, Leyte.</t>
  </si>
  <si>
    <t xml:space="preserve">ACCOUNT 
CODE</t>
  </si>
  <si>
    <t xml:space="preserve">TOTAL EXPENDITURES
C</t>
  </si>
  <si>
    <t>Teacher Education Department</t>
  </si>
  <si>
    <t>5,020,201,000</t>
  </si>
  <si>
    <t>350,000</t>
  </si>
  <si>
    <t>22,400</t>
  </si>
  <si>
    <t>364,600</t>
  </si>
  <si>
    <t>11,400</t>
  </si>
  <si>
    <t>6,000</t>
  </si>
  <si>
    <t>3,302,499.89</t>
  </si>
  <si>
    <t>-3,302,499.89</t>
  </si>
  <si>
    <t>294,475</t>
  </si>
  <si>
    <t>255,775</t>
  </si>
  <si>
    <t>837,749.89</t>
  </si>
  <si>
    <t>729,175</t>
  </si>
  <si>
    <t>596,075</t>
  </si>
  <si>
    <t>371,400</t>
  </si>
  <si>
    <t>212,150</t>
  </si>
  <si>
    <t>5,700</t>
  </si>
  <si>
    <t>836,821.49</t>
  </si>
  <si>
    <t>-836,821.49</t>
  </si>
  <si>
    <t>358,765.1</t>
  </si>
  <si>
    <t>184,074.19</t>
  </si>
  <si>
    <t>251,103.56</t>
  </si>
  <si>
    <t>42,878.64</t>
  </si>
  <si>
    <t>182,606.92</t>
  </si>
  <si>
    <t>-122,606.92</t>
  </si>
  <si>
    <t>14,700</t>
  </si>
  <si>
    <t>4,200</t>
  </si>
  <si>
    <t>2,950</t>
  </si>
  <si>
    <t>29,310</t>
  </si>
  <si>
    <t>12,886</t>
  </si>
  <si>
    <t>37,873</t>
  </si>
  <si>
    <t>14,550</t>
  </si>
  <si>
    <t>64,987.92</t>
  </si>
  <si>
    <t>5-01-02-100-01</t>
  </si>
  <si>
    <t>205,800</t>
  </si>
  <si>
    <t>77,150</t>
  </si>
  <si>
    <t>193,650</t>
  </si>
  <si>
    <t>76,000</t>
  </si>
  <si>
    <t>Educational Software</t>
  </si>
  <si>
    <t>5,020,999,099</t>
  </si>
  <si>
    <t>84,715.06</t>
  </si>
  <si>
    <t>103,388</t>
  </si>
  <si>
    <t>391,547.38</t>
  </si>
  <si>
    <t>3,790</t>
  </si>
  <si>
    <t>99,598</t>
  </si>
  <si>
    <t>R &amp; M Structure</t>
  </si>
  <si>
    <t>5,060,407,001</t>
  </si>
  <si>
    <t>783,500</t>
  </si>
  <si>
    <t>25,646</t>
  </si>
  <si>
    <t>757,854</t>
  </si>
  <si>
    <t>5,060,405,003</t>
  </si>
  <si>
    <t>1,025,000</t>
  </si>
  <si>
    <t>1,165,000</t>
  </si>
  <si>
    <t>Rewards and Incentives</t>
  </si>
  <si>
    <t>-24,850</t>
  </si>
  <si>
    <t>5-02-99-990-99</t>
  </si>
  <si>
    <t>1,100,000</t>
  </si>
  <si>
    <t>454,513</t>
  </si>
  <si>
    <t>1,210,782.36</t>
  </si>
  <si>
    <t>129,029</t>
  </si>
  <si>
    <t>43,000</t>
  </si>
  <si>
    <t>54,300</t>
  </si>
  <si>
    <t>145,184</t>
  </si>
  <si>
    <t>Laboratory Supplies, Materials and Equipment</t>
  </si>
  <si>
    <t>1,125,000</t>
  </si>
  <si>
    <t>Textbook &amp; Instructional Materialls</t>
  </si>
  <si>
    <t>268,917.5</t>
  </si>
  <si>
    <t>131,082.5</t>
  </si>
  <si>
    <t>397,792</t>
  </si>
  <si>
    <t>209,121.28</t>
  </si>
  <si>
    <t>188,670.72</t>
  </si>
  <si>
    <t>20,995.38</t>
  </si>
  <si>
    <t>20,001.35</t>
  </si>
  <si>
    <t>21,049.35</t>
  </si>
  <si>
    <t>13,091.15</t>
  </si>
  <si>
    <t>18,362.15</t>
  </si>
  <si>
    <t>17,919</t>
  </si>
  <si>
    <t>21,508.8</t>
  </si>
  <si>
    <t>17,858.1</t>
  </si>
  <si>
    <t>10,942.1</t>
  </si>
  <si>
    <t>16,775.45</t>
  </si>
  <si>
    <t>20,766.35</t>
  </si>
  <si>
    <t>60,220.32</t>
  </si>
  <si>
    <t>5,271,807.06</t>
  </si>
  <si>
    <t>5,513,064.08</t>
  </si>
  <si>
    <t>1,370,210.68</t>
  </si>
  <si>
    <t>315,470.38</t>
  </si>
  <si>
    <t>649,241.45</t>
  </si>
  <si>
    <t>1,176,102.43</t>
  </si>
  <si>
    <t>1,029,319.71</t>
  </si>
  <si>
    <t>997,100.65</t>
  </si>
  <si>
    <t>478,205</t>
  </si>
  <si>
    <t>282,931.8</t>
  </si>
  <si>
    <t>140,586.74</t>
  </si>
  <si>
    <t>110,540.1</t>
  </si>
  <si>
    <t>91,625.45</t>
  </si>
  <si>
    <t>232,088.27</t>
  </si>
  <si>
    <t>Laboratory Equipment</t>
  </si>
  <si>
    <t>Various Laboratory Equipment</t>
  </si>
  <si>
    <t xml:space="preserve">P.R. No.:2025-02-034
P.O. No.:2025-03-010</t>
  </si>
  <si>
    <t>1 trash bin, 24 rolls bathroom tissue paper, btls air freshener, 1 btl insect spray, 2 pcs disinfectant spray</t>
  </si>
  <si>
    <t xml:space="preserve">P.R. No.:2025-02-037
P.O. No.:2025-03-041</t>
  </si>
  <si>
    <t>2pcs hand sanitizer</t>
  </si>
  <si>
    <t xml:space="preserve">P.R. No.:2025-02-037
P.O. No.:2025-03-042</t>
  </si>
  <si>
    <t>1 gallon rubbing alcohol</t>
  </si>
  <si>
    <t xml:space="preserve">P.R. No.:2025-02-037
P.O. No.:2025-03-040</t>
  </si>
  <si>
    <t>Online accreditation survey for Bachelor of Secondary Education Program</t>
  </si>
  <si>
    <t>R&amp;M Other Structure</t>
  </si>
  <si>
    <t xml:space="preserve">6 pail paint, 4pcs ruler #7, 4pcs paint brush #3, 4pcs paint tray </t>
  </si>
  <si>
    <t xml:space="preserve">P.R. No.:2025-03-078
P.O. No.:2025-04-065</t>
  </si>
  <si>
    <t>Meals and snacks for the participants for the consultation of the revised curricula, vision, mission, core values, ILO, PEOand PLOs</t>
  </si>
  <si>
    <t xml:space="preserve">P.R. No.:2025-03-088
P.o. No.:2025-04-036</t>
  </si>
  <si>
    <t>4 units photo copier toner (kyocera taskalfa 2020)</t>
  </si>
  <si>
    <t xml:space="preserve">P.R. No.:2025-02-035
P.O. No.:2025-03-011</t>
  </si>
  <si>
    <t>Tarpaulin</t>
  </si>
  <si>
    <t>Tarpaulin printing 4x8 for seminar workshop on syllabi unification across program, TOS and TES unification  on August 1-2, 2025</t>
  </si>
  <si>
    <t xml:space="preserve">P.R. No.:2025-07-160
P.O. No.:2025-07-118</t>
  </si>
  <si>
    <t>Dinner meals for evsunistas awards and fellowship night at Leyte Academic Center, Palo Leyte on August 29, 2025</t>
  </si>
  <si>
    <t>Polo Shirt</t>
  </si>
  <si>
    <t>Charter Day Polo Shirt for charter day 2025</t>
  </si>
  <si>
    <t>Snacks</t>
  </si>
  <si>
    <t xml:space="preserve">90pax am &amp; pm snacks for 2 days for seminar workshop on syllabi unification across program, TOS and TEST unification on August 1-2, 2025 </t>
  </si>
  <si>
    <t xml:space="preserve">P.R. No.:2025-07-159
P.O. No.:2025-07-117</t>
  </si>
  <si>
    <t>2 units high computer set</t>
  </si>
  <si>
    <t xml:space="preserve">P.R. No.:2025-04-125
P.O. No.:2025-08-128</t>
  </si>
  <si>
    <t>Rings</t>
  </si>
  <si>
    <t>1 pc gold ring (18k, size 7.5) 1 pc gold ring (14k size 8) 5 pcs pin (bronze)</t>
  </si>
  <si>
    <t xml:space="preserve">P.R. No.:2025-06-146
P.O. No.:2025-08-141</t>
  </si>
  <si>
    <t>Glenda M. Barquin</t>
  </si>
  <si>
    <t>Attended the course syllabus writing workshop and curriculum review at EVSU Main.</t>
  </si>
  <si>
    <t>January 13, 2025</t>
  </si>
  <si>
    <t>Attended the EVSU-Wide year-end assessment activity at EVSU Main</t>
  </si>
  <si>
    <t>December 20, 2025</t>
  </si>
  <si>
    <t>Attended the Biiennial General assembly for faculty members from state universities and colleges in region 8 at Balay ni Tatay Resort, Babatngon, Leyte</t>
  </si>
  <si>
    <t>December 5, 2024</t>
  </si>
  <si>
    <t>Beatrice D. Mabitad</t>
  </si>
  <si>
    <t>Attended the meeting with quality assurance/college of technology for upcoming accreditation at EVSU Main.</t>
  </si>
  <si>
    <t>January 22, 2025</t>
  </si>
  <si>
    <t>Attended the ASEAN university network (AUN) qaulity assurance training yon network load based curriculum planning and implementation with authentic assessment integration at EVSU Main.</t>
  </si>
  <si>
    <t>Charo D. Angelio</t>
  </si>
  <si>
    <t>Attended the course syllabus writing workshop and curriculum review at EVSU Main</t>
  </si>
  <si>
    <t>Kristine Lovele Navarrete</t>
  </si>
  <si>
    <t>To attend a meeting with all department head of the teacher education department across campuses for curriculum review at EVSU Main</t>
  </si>
  <si>
    <t>February 26, 2025</t>
  </si>
  <si>
    <t>March 20-21, 2025</t>
  </si>
  <si>
    <t>Georgina Orbeta</t>
  </si>
  <si>
    <t xml:space="preserve">To attend the capacity development on futures thinking and strategic foresight program-Module 1: Framing the futures" at EVSU-Main.
To attend the capacity development on futures thinking and strategic foresight program-Module 1: Framing the futures" at EVSU-Main.</t>
  </si>
  <si>
    <t>March 17-18, 2025 &amp; March 20-21, 2025</t>
  </si>
  <si>
    <t>Franz Martin Callano</t>
  </si>
  <si>
    <t>To attend the 2025 National Folk Dance Workshop at Koronadal City, South Cotabato</t>
  </si>
  <si>
    <t>June 17, 2025</t>
  </si>
  <si>
    <t>Arnie M. Cadiente</t>
  </si>
  <si>
    <t>To attend the 2025 Rex higher education roadshow at University of San Jose Recoletos Cebu City.</t>
  </si>
  <si>
    <t>June 5-7, 2025</t>
  </si>
  <si>
    <t>Jeffry V. Ocay</t>
  </si>
  <si>
    <t>To attend the 2025 PASUC midterm convention and general assembly at SMX convention center manila pasay city.</t>
  </si>
  <si>
    <t>July 9-11, 2025</t>
  </si>
  <si>
    <t>Ma. Flordelis L. Arnosa</t>
  </si>
  <si>
    <t>To participate in a training on menu design and revenue management at fuente hotel de Cebu</t>
  </si>
  <si>
    <t>Julito F. Acebron</t>
  </si>
  <si>
    <t>June 1-7, 2025</t>
  </si>
  <si>
    <t>To attend a dialogue with senator Paolo Benigno "Bam" Aquino V at Saint Paul School of Professional Studies in Palo Leyte</t>
  </si>
  <si>
    <t xml:space="preserve">TO ATTEND THE GRAND OPENING OF EVSU CHARTER DAY CELEBRATION AT EVSU MAIN.
TO ATTEND THE EVSUNISTA AWARDS AND GRAND FELLOWSHIP 2025 AT LEYTE ACADEMIC CENTER, PALO, LEYTE.
TO ATTEND THE STATE UNIVERSITY ADDRESS AT EVSU MAIN.</t>
  </si>
  <si>
    <t xml:space="preserve">August 27, 29 &amp; September 1, 2025 </t>
  </si>
  <si>
    <t>Joanah R. Benitez</t>
  </si>
  <si>
    <t>To attend the EVSUNISTA Awards and fellowship night at Leyte Academic Center, Palo, Leyte</t>
  </si>
  <si>
    <t>Maybelle Ricote</t>
  </si>
  <si>
    <t>Joseph Gudelos</t>
  </si>
  <si>
    <t xml:space="preserve">TO ATTEND THE GRAND OPENING OF EVSU CHARTER DAY CELEBRATION AT EVSU MAIN.
TO ATTEND THE EVSUNISTA AWARDS AND GRAND FELLOWSHIP 2025 AT LEYTE ACADEMIC CENTER, PALO, LEYTE.
</t>
  </si>
  <si>
    <t xml:space="preserve">To attend the turnover ceremony of the 2 EVHRDC funded projects at EVSU Main. To attend the research innovation and extension services recognition day at EVSU Main.
To attend the EVSUNISTA Award and Fellowship night at Leyte Academic Center, Palo, Leyte.</t>
  </si>
  <si>
    <t>May 7, 2025, August 28 &amp; 29, 2025</t>
  </si>
  <si>
    <t>To participate and paper presentation in the international conference on Business Education, Science and Technology (ICBEST 2025), via online</t>
  </si>
  <si>
    <t>October 24, 2025</t>
  </si>
  <si>
    <t>Reymon N. Cielo</t>
  </si>
  <si>
    <t xml:space="preserve">TOTAL 
EXPENDITURES
C</t>
  </si>
  <si>
    <t xml:space="preserve">TOTAL BALANCES
D =B-C</t>
  </si>
  <si>
    <t>ICT Office</t>
  </si>
  <si>
    <t>Internet Subscription</t>
  </si>
  <si>
    <t>5,020,503,000</t>
  </si>
  <si>
    <t>584,000</t>
  </si>
  <si>
    <t>244,588.85</t>
  </si>
  <si>
    <t>339,411.15</t>
  </si>
  <si>
    <t>27,318</t>
  </si>
  <si>
    <t>18,618</t>
  </si>
  <si>
    <t>18,220</t>
  </si>
  <si>
    <t>9,520</t>
  </si>
  <si>
    <t>24,404.85</t>
  </si>
  <si>
    <t>87,000</t>
  </si>
  <si>
    <t>671,000</t>
  </si>
  <si>
    <t>426,411.15</t>
  </si>
  <si>
    <t>BUDGET FORWARDED</t>
  </si>
  <si>
    <t xml:space="preserve">TOTAL EXPENDITURES
D</t>
  </si>
  <si>
    <t xml:space="preserve">TOTAL BALANCES
E = D - E</t>
  </si>
  <si>
    <t>Extension Services</t>
  </si>
  <si>
    <t>6,500</t>
  </si>
  <si>
    <t>193,500</t>
  </si>
  <si>
    <t>81,277.84</t>
  </si>
  <si>
    <t>-81,277.84</t>
  </si>
  <si>
    <t>1,270</t>
  </si>
  <si>
    <t>24,026</t>
  </si>
  <si>
    <t>4,500</t>
  </si>
  <si>
    <t>6,280</t>
  </si>
  <si>
    <t>7,150</t>
  </si>
  <si>
    <t>25,001.84</t>
  </si>
  <si>
    <t>Community Engagement Activities</t>
  </si>
  <si>
    <t>1,230,000</t>
  </si>
  <si>
    <t>Rapair &amp; Maintenance</t>
  </si>
  <si>
    <t>3,000</t>
  </si>
  <si>
    <t>15,443</t>
  </si>
  <si>
    <t>-12,443</t>
  </si>
  <si>
    <t>2,129</t>
  </si>
  <si>
    <t>13,314</t>
  </si>
  <si>
    <t>130,140</t>
  </si>
  <si>
    <t>19,860</t>
  </si>
  <si>
    <t>2,500</t>
  </si>
  <si>
    <t>22,500</t>
  </si>
  <si>
    <t>104,500</t>
  </si>
  <si>
    <t>98,483.71</t>
  </si>
  <si>
    <t>-98,483.71</t>
  </si>
  <si>
    <t>9,558.71</t>
  </si>
  <si>
    <t>9,557</t>
  </si>
  <si>
    <t>9,490.85</t>
  </si>
  <si>
    <t>8,697.5</t>
  </si>
  <si>
    <t>8,504.8</t>
  </si>
  <si>
    <t>9,463.55</t>
  </si>
  <si>
    <t>9,746.55</t>
  </si>
  <si>
    <t>5,967.75</t>
  </si>
  <si>
    <t>5,116.65</t>
  </si>
  <si>
    <t>8,297.4</t>
  </si>
  <si>
    <t>5,028.95</t>
  </si>
  <si>
    <t>52,000</t>
  </si>
  <si>
    <t>18,990</t>
  </si>
  <si>
    <t>33,010</t>
  </si>
  <si>
    <t>1,670,000</t>
  </si>
  <si>
    <t>350,834.55</t>
  </si>
  <si>
    <t>1,319,165.45</t>
  </si>
  <si>
    <t>10,707</t>
  </si>
  <si>
    <t>19,880.85</t>
  </si>
  <si>
    <t>33,393.8</t>
  </si>
  <si>
    <t>39,989.55</t>
  </si>
  <si>
    <t>14,246.55</t>
  </si>
  <si>
    <t>34,747.75</t>
  </si>
  <si>
    <t>125,080.65</t>
  </si>
  <si>
    <t>15,447.4</t>
  </si>
  <si>
    <t>34,055.84</t>
  </si>
  <si>
    <t>20 pax am snacks</t>
  </si>
  <si>
    <t xml:space="preserve">P.R. No.:2025-04-100
P.O. No.:2025-04-064</t>
  </si>
  <si>
    <t>10 reams bond paper (long), 10 reams bond paper (A4), 5 boxes binder clip (small) 10 sticky notes, 5 packs certificate paper (A4)</t>
  </si>
  <si>
    <t xml:space="preserve">P.R. No.:2025-03-057
P.O. No.:2025-03-051</t>
  </si>
  <si>
    <t xml:space="preserve">5boxes sign pen (black) 5 boxes sign pen (red) 5 boxes sign pen 
(blue) 5 boxes binder clip (big) 10 pcs epson printer ink (bk 003), 
6pcs epson printer ink (m 003) 6pcs epson printer inl (y 003)</t>
  </si>
  <si>
    <t xml:space="preserve">P.R. No.:2025-03-057
P.O. No.:2025-03-052</t>
  </si>
  <si>
    <t>Meals 50 pax lunch, 50 pax morning snacks, and 50 pax afternoon snacks</t>
  </si>
  <si>
    <t xml:space="preserve">P.R. No.:2025-06-143
P.O. No.:2025-07-112</t>
  </si>
  <si>
    <t>Various other supplies for Extension program</t>
  </si>
  <si>
    <t xml:space="preserve">P.R. No.:2025-04-101
P.O. No.:2025-08-138</t>
  </si>
  <si>
    <t>Meals 50 pax am snacks, 50 pax pm snacks and 50 pax lunch for University-wide extesion services office quarterly accomplishment monitoring and updating on September 12, 2025</t>
  </si>
  <si>
    <t xml:space="preserve">P.R. No.:2025-06-145
P.O. No.:2025-09-003CO</t>
  </si>
  <si>
    <t>MEALS</t>
  </si>
  <si>
    <t>AM &amp; PM SNACKS, LUNCH FOR 2 DAYS FOR SEMINAR ON RESEARCH AND DEVELOPMENT AND EXTENSION SERVIES PROCESS PROPOSAL WRITING, AND RD&amp;E MANUAL UPDATES ON SEPTEMBER 17 &amp; 18, 2025</t>
  </si>
  <si>
    <t xml:space="preserve">P.R. NO.:2025-07-174
P.O. NO.:2025-09-005</t>
  </si>
  <si>
    <t>Event /Activity/Purpose</t>
  </si>
  <si>
    <t>Cherly T. Hernandez</t>
  </si>
  <si>
    <t>To participaate in hosting and take charge of the booth for the "TABO HA EVSU" trade fair at EVSU Main</t>
  </si>
  <si>
    <t>February 18, 2025</t>
  </si>
  <si>
    <t>Erlinda G. Sepe</t>
  </si>
  <si>
    <t>February 19, 2025</t>
  </si>
  <si>
    <t>Junrey Egano</t>
  </si>
  <si>
    <t>Carolina P. Codilla</t>
  </si>
  <si>
    <t>Georgina M. Orbeta</t>
  </si>
  <si>
    <t>February 17-19, 2025</t>
  </si>
  <si>
    <t>February 17 &amp; 18, 2025</t>
  </si>
  <si>
    <t>To attend the "Quarterly Monitoring Extension Accomplishment at Warren Hermano Resort, Burauen Leyte</t>
  </si>
  <si>
    <t>March 14, 2025</t>
  </si>
  <si>
    <t>To participate in the 2025 PAEPI International Extension Congress at Siargao Island in Surigao del Norte</t>
  </si>
  <si>
    <t>June 10-13, 2025</t>
  </si>
  <si>
    <t>To submit the three extension proposals to the office of the director for extension services at EVSU Main.</t>
  </si>
  <si>
    <t>May 15, 2025</t>
  </si>
  <si>
    <t>To attend the extension impact assessment at EVSU Main</t>
  </si>
  <si>
    <t>June 23-24, 2025</t>
  </si>
  <si>
    <t>Romulo Joseph M. Jereza, IV</t>
  </si>
  <si>
    <t>To attend the Phase 3: Training workshop on selected methods for impact assessment of extension project/programs at EVSU Main</t>
  </si>
  <si>
    <t>Ariel C. Morilla</t>
  </si>
  <si>
    <t>To attend the university wide quarterly meeting of the extension services office at Carigara, Leyte</t>
  </si>
  <si>
    <t>June 20, 2025</t>
  </si>
  <si>
    <t xml:space="preserve">To attend the manual revision workshop at EVSU Main.
To attend the president's forum at EVSU Main.
To attend the CHEDRO VIII/Gawad Parangal 2025 at Palo, Leyte
To attend the University Wide Quarterly meeting of the extension services office and attend the Phase 3 of the seminar workshop on extension impact assessment at EVSU Main</t>
  </si>
  <si>
    <t>April 23, 2025, May 9, 27, 2025 and June 20-24, 2025</t>
  </si>
  <si>
    <t>Sarah G. Orge</t>
  </si>
  <si>
    <t>To participate in the "TABO HA EVSU" (Kadiwa Trade Fair) at EVSU Main.</t>
  </si>
  <si>
    <t>August 28, 2025</t>
  </si>
  <si>
    <t>August 27-29, 2025</t>
  </si>
  <si>
    <t>Alviejean S. Weti</t>
  </si>
  <si>
    <t>To attend the joint planning session with dswd sustainable livelihood extension projects at EVSU Main</t>
  </si>
  <si>
    <t>September 2, 2025</t>
  </si>
  <si>
    <t>August 27, 2025</t>
  </si>
  <si>
    <t>To attend the extension activity "foregoing future" a joint planning session between EVSU and DSWD-SLP at EVSU Main</t>
  </si>
  <si>
    <t>Quality Assurance</t>
  </si>
  <si>
    <t>50,500</t>
  </si>
  <si>
    <t>18,175</t>
  </si>
  <si>
    <t>32,325</t>
  </si>
  <si>
    <t>Travel</t>
  </si>
  <si>
    <t>28,560</t>
  </si>
  <si>
    <t>-28,560</t>
  </si>
  <si>
    <t>-8,400</t>
  </si>
  <si>
    <t>29,400</t>
  </si>
  <si>
    <t>-29,000</t>
  </si>
  <si>
    <t>28,790</t>
  </si>
  <si>
    <t>Repair and Maintenance Office Equipment</t>
  </si>
  <si>
    <t>69,100</t>
  </si>
  <si>
    <t>10,138</t>
  </si>
  <si>
    <t>58,962</t>
  </si>
  <si>
    <t>103,510.49</t>
  </si>
  <si>
    <t>-103,510.49</t>
  </si>
  <si>
    <t>10,052.49</t>
  </si>
  <si>
    <t>9,523.45</t>
  </si>
  <si>
    <t>10,323.6</t>
  </si>
  <si>
    <t>8,043.3</t>
  </si>
  <si>
    <t>9,604.3</t>
  </si>
  <si>
    <t>7,612.75</t>
  </si>
  <si>
    <t>10,618.7</t>
  </si>
  <si>
    <t>8,749.5</t>
  </si>
  <si>
    <t>5,395.45</t>
  </si>
  <si>
    <t>9,661.5</t>
  </si>
  <si>
    <t>8,994.15</t>
  </si>
  <si>
    <t>4,931.3</t>
  </si>
  <si>
    <t>198,183.49</t>
  </si>
  <si>
    <t>-48,183.49</t>
  </si>
  <si>
    <t>38,527.3</t>
  </si>
  <si>
    <t>47,578.7</t>
  </si>
  <si>
    <t>38,451.5</t>
  </si>
  <si>
    <t>Various Printer Ink</t>
  </si>
  <si>
    <t xml:space="preserve">P.R. No.:2025-02-043
P.O. No.:2025-03-016</t>
  </si>
  <si>
    <t>Office Supplies &amp; Other Supplies</t>
  </si>
  <si>
    <t>5 bottles alcohol (big) &amp; 2 pcs scissors</t>
  </si>
  <si>
    <t xml:space="preserve">P.R. No.:2025-02-043
P.O. No.:2025-03-015</t>
  </si>
  <si>
    <t>1 kyocera MC-4105, 1pc kyocera parts pulley pick up aasy sp, 1 pc kyocera-meta parts roller retard assy sp, 1pc kyocera-meta pulley feed assy, and service charge</t>
  </si>
  <si>
    <t xml:space="preserve">P.R. No.:2025-02-044
P.O. No.:2025-03-014</t>
  </si>
  <si>
    <t>8 reams bond paperA4, 7 reams bond paper long, 1 pc photocopier ink kyocera</t>
  </si>
  <si>
    <t xml:space="preserve">P.R. No.:2025-03-079
P.O. No.:2025-04-074</t>
  </si>
  <si>
    <t>Steel Cabinet</t>
  </si>
  <si>
    <t xml:space="preserve">2 units horizontal steel cabinet </t>
  </si>
  <si>
    <t xml:space="preserve">P.R. No.:2025-08-174
P.O. No.:2025-10-189</t>
  </si>
  <si>
    <t>Joseph Jaymel S. Morpos</t>
  </si>
  <si>
    <t>To attend the onsite seminar-workshop on outcome based quality assurance: an overview for new accreditors, internal quality assurance and non-academic personnel at century park hotel, 599 P. Ocampo Street, Malate Manila.</t>
  </si>
  <si>
    <t>Jereco Jims J. Agapito</t>
  </si>
  <si>
    <t>Accounting Office</t>
  </si>
  <si>
    <t>94,280</t>
  </si>
  <si>
    <t>44,625</t>
  </si>
  <si>
    <t>49,655</t>
  </si>
  <si>
    <t>35,000</t>
  </si>
  <si>
    <t>50,290</t>
  </si>
  <si>
    <t>-15,290</t>
  </si>
  <si>
    <t>6,350</t>
  </si>
  <si>
    <t>1,450</t>
  </si>
  <si>
    <t>2,450</t>
  </si>
  <si>
    <t>1,200</t>
  </si>
  <si>
    <t>4,400</t>
  </si>
  <si>
    <t>-5,000</t>
  </si>
  <si>
    <t>Accountable Forms Expenses</t>
  </si>
  <si>
    <t>450,000</t>
  </si>
  <si>
    <t xml:space="preserve">R&amp;M-Machinery &amp; Equipment-Office 
Equipment</t>
  </si>
  <si>
    <t>199,837.45</t>
  </si>
  <si>
    <t>100,162.55</t>
  </si>
  <si>
    <t>26,930.3</t>
  </si>
  <si>
    <t>12,354</t>
  </si>
  <si>
    <t>19,003.3</t>
  </si>
  <si>
    <t>15,535.3</t>
  </si>
  <si>
    <t>15,470.2</t>
  </si>
  <si>
    <t>17,602.95</t>
  </si>
  <si>
    <t>20,840.45</t>
  </si>
  <si>
    <t>16,706.7</t>
  </si>
  <si>
    <t>10,306.8</t>
  </si>
  <si>
    <t>18,210.45</t>
  </si>
  <si>
    <t>17,545.2</t>
  </si>
  <si>
    <t>9,331.8</t>
  </si>
  <si>
    <t>28,900</t>
  </si>
  <si>
    <t>10,900</t>
  </si>
  <si>
    <t>45,000</t>
  </si>
  <si>
    <t>1,099,080</t>
  </si>
  <si>
    <t>314,752.45</t>
  </si>
  <si>
    <t>784,327.55</t>
  </si>
  <si>
    <t>18,704</t>
  </si>
  <si>
    <t>20,003.3</t>
  </si>
  <si>
    <t>67,710.2</t>
  </si>
  <si>
    <t>63,677.95</t>
  </si>
  <si>
    <t>23,290.45</t>
  </si>
  <si>
    <t>17,906.7</t>
  </si>
  <si>
    <t>14,706.8</t>
  </si>
  <si>
    <t>19,410.45</t>
  </si>
  <si>
    <t xml:space="preserve">P.R. No.:2025-03-082
P.O. No.:2025-05-089</t>
  </si>
  <si>
    <t>Various Office supplies</t>
  </si>
  <si>
    <t xml:space="preserve">P.R. No.:2025-03-082
P.O. No.:2025-05-090</t>
  </si>
  <si>
    <t>Angela M. Coquilla</t>
  </si>
  <si>
    <t>Attended the accounting workshop to work on the compliance of annual financial reporting, previous COA, AOMS, general ledges and subsidiary ledger's (all funds) and make proposals for adjusting entries at EVSU Main.</t>
  </si>
  <si>
    <t>January 30-31, 2025</t>
  </si>
  <si>
    <t>Geralyn L. Oracion</t>
  </si>
  <si>
    <t>To submit GL &amp; SL additional journal entry vouchers and adjustments and other year-end financial reports for EVSU-accunting Main and COA at EVSU Main</t>
  </si>
  <si>
    <t>February 6, 2025</t>
  </si>
  <si>
    <t>Sarah Orge</t>
  </si>
  <si>
    <t xml:space="preserve">To submit the schedule of accounts payable, due to officers and employees and advances account to the EVSU Main accounting office as part of the year end report submission </t>
  </si>
  <si>
    <t>February 11, 2025</t>
  </si>
  <si>
    <t>Angela M. Coquilla, Sarah Orge, Daniel Dalaguit</t>
  </si>
  <si>
    <t>Attended the COA Exit conference on compliane audit  at EVSU Main</t>
  </si>
  <si>
    <t>March 11, 2025</t>
  </si>
  <si>
    <t>To submit Purchase Orders to COA and other documents to the office of the VPs and the University President and Pick up approved documents from OUP at EVSU Main</t>
  </si>
  <si>
    <t>April 10, 2025</t>
  </si>
  <si>
    <t>To attend the re-orientation assessment and strategic planning on the university's finance management at the hotel de fedis, tacloban city</t>
  </si>
  <si>
    <t>Angel Coquilla &amp; Sarah Orge</t>
  </si>
  <si>
    <t>To attend the Philippine Institute of Public Accountants (PICPA) Inc. 5th National Summit on Government Procurement at Ilo-ilo Grand Hotel, Iloilo City.</t>
  </si>
  <si>
    <t>June 3-4, 2025</t>
  </si>
  <si>
    <t>To attend the the COA-EXIT conference at EVSU Main</t>
  </si>
  <si>
    <t>May 5, 2025</t>
  </si>
  <si>
    <t>Daniel M. Dalaguit</t>
  </si>
  <si>
    <t>To submit the monthly report for the month of May 2025</t>
  </si>
  <si>
    <t>June 3, 2025</t>
  </si>
  <si>
    <t xml:space="preserve">To submit the required document by the accounting office, as an attachment to the voucher related to February 2025 report for submission to COA, submit documents to HRMDO, submit DTR to COED, and pick up March report to van-vans station at EVSU Main.
To pick-up document in the COA office and submit monthly financial report month of April &amp; June 2025 at EVSU Main</t>
  </si>
  <si>
    <t>April 21, 2025, May 5, 2025 and July 3, 2025</t>
  </si>
  <si>
    <t>Morley Mullaneda</t>
  </si>
  <si>
    <t>To accompany the admi personnel to submit the monthly financial report in the accounting office for the month of July 2025 at EVSU Main</t>
  </si>
  <si>
    <t>To submit monthly financial report in the accounting office for the month of July 2025 at EVSU Main.</t>
  </si>
  <si>
    <t>To submit documents needed for the monthly financial report for the month of August 2025 at EVSU Main</t>
  </si>
  <si>
    <t>September 5, 2025</t>
  </si>
  <si>
    <t>ANGELA M. COQUILLA</t>
  </si>
  <si>
    <t xml:space="preserve">TO ATTEND THE COA ENTRANCE CONFERENCE AT EVSU MAIN.
TO ATTEND THE WORK AND FINANCIAL PLANNNG WORKSHOP AT EVSU  MAIN</t>
  </si>
  <si>
    <t>SEPTEMBER 9, 2025 &amp; SEPTEMBER 10-11, 2025</t>
  </si>
  <si>
    <t>To submit documents needed for the monthly financial report for the month of September 2025 at EVSU Main</t>
  </si>
  <si>
    <t>October 3, 2025</t>
  </si>
  <si>
    <t>RESEARCH</t>
  </si>
  <si>
    <t>49,900</t>
  </si>
  <si>
    <t>34,329</t>
  </si>
  <si>
    <t>15,571</t>
  </si>
  <si>
    <t>33,448</t>
  </si>
  <si>
    <t>2,170.6</t>
  </si>
  <si>
    <t>78,879</t>
  </si>
  <si>
    <t>81,974.6</t>
  </si>
  <si>
    <t>Travel Foreign</t>
  </si>
  <si>
    <t>34,608.7</t>
  </si>
  <si>
    <t>33,600</t>
  </si>
  <si>
    <t>11,200</t>
  </si>
  <si>
    <t>12,800</t>
  </si>
  <si>
    <t>62,100</t>
  </si>
  <si>
    <t>Travel Local</t>
  </si>
  <si>
    <t>33,695</t>
  </si>
  <si>
    <t>7,050</t>
  </si>
  <si>
    <t>4,700</t>
  </si>
  <si>
    <t>7,700</t>
  </si>
  <si>
    <t>4,600</t>
  </si>
  <si>
    <t>103,820</t>
  </si>
  <si>
    <t>2,300</t>
  </si>
  <si>
    <t>9,450</t>
  </si>
  <si>
    <t>23,978</t>
  </si>
  <si>
    <t>198,443</t>
  </si>
  <si>
    <t>10,185.25</t>
  </si>
  <si>
    <t>9,404.75</t>
  </si>
  <si>
    <t>8,611.4</t>
  </si>
  <si>
    <t>7,756.6</t>
  </si>
  <si>
    <t>9,022.5</t>
  </si>
  <si>
    <t>8,779.4</t>
  </si>
  <si>
    <t>4,516</t>
  </si>
  <si>
    <t>11,046.05</t>
  </si>
  <si>
    <t>10,561.95</t>
  </si>
  <si>
    <t>9,526.55</t>
  </si>
  <si>
    <t>9,043.5</t>
  </si>
  <si>
    <t>4,527</t>
  </si>
  <si>
    <t>102,980.95</t>
  </si>
  <si>
    <t>MOOE</t>
  </si>
  <si>
    <t>1,282,000</t>
  </si>
  <si>
    <t>248,038.85</t>
  </si>
  <si>
    <t>1,033,961.15</t>
  </si>
  <si>
    <t>82,500</t>
  </si>
  <si>
    <t>7,038.85</t>
  </si>
  <si>
    <t>93,500</t>
  </si>
  <si>
    <t>Computer Software</t>
  </si>
  <si>
    <t>180,000</t>
  </si>
  <si>
    <t>1,511,900</t>
  </si>
  <si>
    <t>282,367.85</t>
  </si>
  <si>
    <t>1,229,532.15</t>
  </si>
  <si>
    <t>77,708.45</t>
  </si>
  <si>
    <t>15,661.4</t>
  </si>
  <si>
    <t>12,456.6</t>
  </si>
  <si>
    <t>100,222.5</t>
  </si>
  <si>
    <t>58,379.4</t>
  </si>
  <si>
    <t>141,936</t>
  </si>
  <si>
    <t>23,436.5</t>
  </si>
  <si>
    <t>65,584.95</t>
  </si>
  <si>
    <t>218,683.55</t>
  </si>
  <si>
    <t>34,693.5</t>
  </si>
  <si>
    <t>763,475.1</t>
  </si>
  <si>
    <t>Meals 150 pax lunch &amp; 300 pax am &amp; pm snacks for 3 days</t>
  </si>
  <si>
    <t xml:space="preserve">P.R. No.:2025-04-089
P.O. No.:2025-04-063</t>
  </si>
  <si>
    <t>Meals and snacks 50 pax for 2 days for university ethics board finalization an May 29 &amp; 30, 2025</t>
  </si>
  <si>
    <t xml:space="preserve">P.R. No.:2025-04-124
P.O. No.:2025-05-101</t>
  </si>
  <si>
    <t xml:space="preserve">Various Office Supplies and 5 packs tissue paper </t>
  </si>
  <si>
    <t xml:space="preserve">P.R. No.:2025-04-123
P.O. No.:2025-08-144</t>
  </si>
  <si>
    <t>Various supplies and 10 bottles of alcohol</t>
  </si>
  <si>
    <t xml:space="preserve">P.R. No.:2025-04-123
P.O. No.:2025-08-145</t>
  </si>
  <si>
    <t>Sofa set</t>
  </si>
  <si>
    <t>1 unit sofa set (Cazaro L-shape with out center table</t>
  </si>
  <si>
    <t xml:space="preserve">P.R. No.:2025-08-179
P.O. No.:2025-10-196</t>
  </si>
  <si>
    <t>2 units steel cabinet (vertical steel cabinet)</t>
  </si>
  <si>
    <t xml:space="preserve">P.R. No.:2025-08-178
P.O. No.:2025-10-197</t>
  </si>
  <si>
    <t>Other supplies</t>
  </si>
  <si>
    <t>Various other supplies (hand sanitizer with anti bac 500ml, 10 btls toilet cleaner liquid 20 pcs bathroom tissue paper, 1 gallon rubbing alcohol.</t>
  </si>
  <si>
    <t xml:space="preserve">P.R. No.:2025-08-180
P.O. No.:2025-10-194</t>
  </si>
  <si>
    <t>3 btls air freshener (350ml) 3btls insect spray btl 600ml, and 2 btls disinfectant spray 340g</t>
  </si>
  <si>
    <t xml:space="preserve">P.R. NO.:2025-08-180
P.O. No.:2025-10-195</t>
  </si>
  <si>
    <t>Snacks and meals</t>
  </si>
  <si>
    <t>85 pax am and pm snacks and 85 pax lunch for 2 days</t>
  </si>
  <si>
    <t xml:space="preserve">P.R. No.:2025-08-196
P.O. No.:2025-10-008OC</t>
  </si>
  <si>
    <t>Genelyn M. Calzada</t>
  </si>
  <si>
    <t>To participate in a two-day activity entitled : "EVSU Scopus Journey" with the theme expanding scopus research: diversity publications, preparing manuscript for successful publications: at EVSU Main.</t>
  </si>
  <si>
    <t>February 4-5, 2025</t>
  </si>
  <si>
    <t>To attend the research writeshop on GAA funded research 2024 at Cebu Grand Hotel, Cebu City</t>
  </si>
  <si>
    <t>December 17-23, 2024</t>
  </si>
  <si>
    <t>Mary Joy B. Baltonado</t>
  </si>
  <si>
    <t>To attend the Part III of the International Dean's Course (IDC) at Hanoi, Vietnam</t>
  </si>
  <si>
    <t>February 24-28, 2025</t>
  </si>
  <si>
    <t xml:space="preserve">Beatrice D. Mabitad </t>
  </si>
  <si>
    <t>Franz Martin S. Callano</t>
  </si>
  <si>
    <t>Mary Ann B. Osores</t>
  </si>
  <si>
    <t>Kristine Lovele E. Navarrete</t>
  </si>
  <si>
    <t>To attend the ASEAN University Network (AUN) Quality Assurance at EVSU Main</t>
  </si>
  <si>
    <t>February 12-13, 2025</t>
  </si>
  <si>
    <t>To attend the two-day QLR seminar workshop at EVSU Main</t>
  </si>
  <si>
    <t>April 3-4, 2025</t>
  </si>
  <si>
    <t>Wilferd Jude A. Perante</t>
  </si>
  <si>
    <t>Roxy Bandejo</t>
  </si>
  <si>
    <t>To attend the research and creative works seminar-workshop at EVSU Main</t>
  </si>
  <si>
    <t>March 18-19, 2025</t>
  </si>
  <si>
    <t>March 19, 2025</t>
  </si>
  <si>
    <t>To participate on the ceremonial turnover of research funds and pre-implementation orientation at EVSU Main.</t>
  </si>
  <si>
    <t>May 7, 2025</t>
  </si>
  <si>
    <t>To attend the upcoming Public forum at EVSU Main</t>
  </si>
  <si>
    <t>May 9, 2025</t>
  </si>
  <si>
    <t>Cheryl Sabal</t>
  </si>
  <si>
    <t>Charlene Pita</t>
  </si>
  <si>
    <t>To attend the BEST 2025 International Conference on Business, Education, Social Sciences, and Technology, as Research presenter at La Carmela de Boracay Hotel, Boracay, Islan Aklan</t>
  </si>
  <si>
    <t>July 17-19, 2025</t>
  </si>
  <si>
    <t>Edward B. Bertulfo</t>
  </si>
  <si>
    <t>Joseph T. Gudelos</t>
  </si>
  <si>
    <t>To submit EVHRDC-Funded research related documents to Main-Tacloban and DOST Region 8 at EVSU Main</t>
  </si>
  <si>
    <t>August 6, 2025</t>
  </si>
  <si>
    <t>To present a research paper entitled "effectiveness of peer tutoring in enhancing academic performance among first year students at Eastern Visayas State University 2025 International Conference on Multidisciplinary Action Research (ICMAR) at Biliran State University, Naval Biliran.</t>
  </si>
  <si>
    <t>September 16-19, 2025</t>
  </si>
  <si>
    <t>To attend the awarding ceremony for the Publication and Citation Paper at EVSU Main</t>
  </si>
  <si>
    <t xml:space="preserve">To participate in IPOVCON 2025 at BIPSU as oral research presenter </t>
  </si>
  <si>
    <t>October 8-9, 2025</t>
  </si>
  <si>
    <t xml:space="preserve">TO ATTEND THE AWARDing ceremony for the Publication and Citation Paper at EVSU Main.
TO ATTEND THE GRAND OPENING OF EVSU CHARTER DAY CELEBRATION AT EVSU MAIN.
ATTENDED THE EVSUNISTA AWARDS AND FELLOWSHIP NIGHT AT LEYTE ACADEMIC CENTER, PALO, LEYTE.</t>
  </si>
  <si>
    <t>AUUST 27, 28, &amp; 29, 2025</t>
  </si>
  <si>
    <t>To attend the awarding ceremony of RIE publication and citation in Ordex at EVSU Main.</t>
  </si>
  <si>
    <t>Gilbert Anthony O. Abano</t>
  </si>
  <si>
    <t>To present research at the philippine nurses association national annual convention with registration fee at SMX Convention center, Lanang, Davao City.</t>
  </si>
  <si>
    <t>October 21-23, 2025</t>
  </si>
  <si>
    <t>To participate and paper presentation in the international conference  on business education science and technology (ICBEST 2025) via online</t>
  </si>
  <si>
    <t>Medical Clinic</t>
  </si>
  <si>
    <t>19,463</t>
  </si>
  <si>
    <t>31,816</t>
  </si>
  <si>
    <t>-12,353</t>
  </si>
  <si>
    <t>24,498</t>
  </si>
  <si>
    <t>1,336</t>
  </si>
  <si>
    <t>26,750</t>
  </si>
  <si>
    <t>Medical and Dental Laboratory Supplies</t>
  </si>
  <si>
    <t>124,218</t>
  </si>
  <si>
    <t>166,746.75</t>
  </si>
  <si>
    <t>-42,528.75</t>
  </si>
  <si>
    <t>4,150</t>
  </si>
  <si>
    <t>162,596.75</t>
  </si>
  <si>
    <t>23,500</t>
  </si>
  <si>
    <t>8,300</t>
  </si>
  <si>
    <t>12,450</t>
  </si>
  <si>
    <t>52,550</t>
  </si>
  <si>
    <t>Clinic Supplies</t>
  </si>
  <si>
    <t>25,126</t>
  </si>
  <si>
    <t>Furniture &amp; Fixtures</t>
  </si>
  <si>
    <t>5,560</t>
  </si>
  <si>
    <t>Training/Seminar/Symposiums</t>
  </si>
  <si>
    <t>Clinic Equipment</t>
  </si>
  <si>
    <t>64,000</t>
  </si>
  <si>
    <t>61,000</t>
  </si>
  <si>
    <t>97,168.14</t>
  </si>
  <si>
    <t>52,831.86</t>
  </si>
  <si>
    <t>10,487.19</t>
  </si>
  <si>
    <t>9,970.75</t>
  </si>
  <si>
    <t>10,445.4</t>
  </si>
  <si>
    <t>8,720.6</t>
  </si>
  <si>
    <t>6,944.35</t>
  </si>
  <si>
    <t>8,477.5</t>
  </si>
  <si>
    <t>10,980.95</t>
  </si>
  <si>
    <t>8,959.5</t>
  </si>
  <si>
    <t>5,480.5</t>
  </si>
  <si>
    <t>3,238</t>
  </si>
  <si>
    <t>8,461.75</t>
  </si>
  <si>
    <t>5,001.65</t>
  </si>
  <si>
    <t>468,367</t>
  </si>
  <si>
    <t>298,730.89</t>
  </si>
  <si>
    <t>169,636.11</t>
  </si>
  <si>
    <t>14,637.19</t>
  </si>
  <si>
    <t>33,470.75</t>
  </si>
  <si>
    <t>22,661.4</t>
  </si>
  <si>
    <t>12,870.6</t>
  </si>
  <si>
    <t>11,094.35</t>
  </si>
  <si>
    <t>45,425.5</t>
  </si>
  <si>
    <t>42,796.95</t>
  </si>
  <si>
    <t>167,170.75</t>
  </si>
  <si>
    <t>378,030.89</t>
  </si>
  <si>
    <t>Printer</t>
  </si>
  <si>
    <t>1 unit printer 3in1 ink jet multicfunction centre</t>
  </si>
  <si>
    <t xml:space="preserve">P.R. No.:2025-03-069
P.O. No.:2025-04-066</t>
  </si>
  <si>
    <t xml:space="preserve">P.R. No.:2025-03-067
P.O. No.:2025-05-100</t>
  </si>
  <si>
    <t>2 packs cotton buds with wooden stick 400 tips/pack</t>
  </si>
  <si>
    <t xml:space="preserve">P.R. No.:2025-03-068
P.O. No.:2025-08-171</t>
  </si>
  <si>
    <t>Various other supplies</t>
  </si>
  <si>
    <t xml:space="preserve">P.R. No.:2025-03-068
P.O. No.:2025-08-172</t>
  </si>
  <si>
    <t>Med Lab</t>
  </si>
  <si>
    <t>1 pc wheelchair chrome type 100 kilos capacity</t>
  </si>
  <si>
    <t xml:space="preserve">P.R. No.:2025-03-071
P.O. No.:2025-08-170</t>
  </si>
  <si>
    <t>Medicines</t>
  </si>
  <si>
    <t>Various medicines</t>
  </si>
  <si>
    <t xml:space="preserve">P.R. No.:2025-03-070
P.O. No.:2025-08-169</t>
  </si>
  <si>
    <t>Leslie O. Tecson</t>
  </si>
  <si>
    <t xml:space="preserve">Facilitate the continuation of Medical and Dental Services </t>
  </si>
  <si>
    <t>December 2-4, 2025</t>
  </si>
  <si>
    <t>Dina C. Capala</t>
  </si>
  <si>
    <t>To withdraw flu and pneumoccocal vaccines intended for vaccinations and other concers to be communicated to university medical office for the continuation of medical services at EVSU Main</t>
  </si>
  <si>
    <t>To withdraw additional vaccine vials at EVSU Main</t>
  </si>
  <si>
    <t>January 15, 2025</t>
  </si>
  <si>
    <t>To retrieve the issued medical certificates and attached documents of the students from the Teacher Education Department submitted to the University Medical Officer and follow-up the Pneummococcal Vaccines for transport if available at EVSU Main.</t>
  </si>
  <si>
    <t>January 30, 2025</t>
  </si>
  <si>
    <t>Ma. Salud N. Rosillo</t>
  </si>
  <si>
    <t xml:space="preserve">To conduct medical and dental services in EVSU-OC </t>
  </si>
  <si>
    <t>January 22-24, 2025</t>
  </si>
  <si>
    <t>February 18-20, 2025</t>
  </si>
  <si>
    <t>April 23-25, 2025</t>
  </si>
  <si>
    <t>May 21-23, 2025</t>
  </si>
  <si>
    <t>April 23-25, 2025 and May 21-23, 2025</t>
  </si>
  <si>
    <t>Cashier and Disbursing Office</t>
  </si>
  <si>
    <t>98,200</t>
  </si>
  <si>
    <t>7,400</t>
  </si>
  <si>
    <t>31,529</t>
  </si>
  <si>
    <t>-24,129</t>
  </si>
  <si>
    <t>27,500</t>
  </si>
  <si>
    <t>4,029</t>
  </si>
  <si>
    <t>30,140</t>
  </si>
  <si>
    <t>4,900</t>
  </si>
  <si>
    <t>41,740</t>
  </si>
  <si>
    <t>28,530.19</t>
  </si>
  <si>
    <t>15,744.75</t>
  </si>
  <si>
    <t>29,054.85</t>
  </si>
  <si>
    <t>21,329.2</t>
  </si>
  <si>
    <t>27,991.65</t>
  </si>
  <si>
    <t>26,083.55</t>
  </si>
  <si>
    <t>32,016.65</t>
  </si>
  <si>
    <t>26,821.25</t>
  </si>
  <si>
    <t>16,060.3</t>
  </si>
  <si>
    <t>28,106.05</t>
  </si>
  <si>
    <t>26,602.3</t>
  </si>
  <si>
    <t>14,789.15</t>
  </si>
  <si>
    <t>293,129.89</t>
  </si>
  <si>
    <t>Semi Expendable Furniture &amp; Fixtures</t>
  </si>
  <si>
    <t>Telephone Expenses (Mobile)</t>
  </si>
  <si>
    <t>10,800</t>
  </si>
  <si>
    <t>Other Maintenance &amp; Operating Expenses</t>
  </si>
  <si>
    <t>3,600</t>
  </si>
  <si>
    <t>168,471</t>
  </si>
  <si>
    <t>17,844.75</t>
  </si>
  <si>
    <t>78,131.65</t>
  </si>
  <si>
    <t>28,383.55</t>
  </si>
  <si>
    <t>44,710.3</t>
  </si>
  <si>
    <t>37,035.05</t>
  </si>
  <si>
    <t>27,752.3</t>
  </si>
  <si>
    <t>386,398.89</t>
  </si>
  <si>
    <t>Storage Box</t>
  </si>
  <si>
    <t>5 pcs storage box 120L</t>
  </si>
  <si>
    <t xml:space="preserve">P.R. NO.:2025-07-157
P.O. NO.:2025-08-164</t>
  </si>
  <si>
    <t>EXECUTIVE CHAIR</t>
  </si>
  <si>
    <t>2 PCS EXECUTIVE CHAIR, 1 PC EXECUTIVE CHAIR</t>
  </si>
  <si>
    <t xml:space="preserve">P.R. NO.:2025-07-154
P.O. NO.:2025-08-168</t>
  </si>
  <si>
    <t xml:space="preserve">P.R. No.:2025-07-155 
P.O. No.:2025-08-159</t>
  </si>
  <si>
    <t xml:space="preserve">P.R. No.:2025-07-155
P.O. No.:2025-08-160</t>
  </si>
  <si>
    <t>Jeff Marmita &amp; Sara Jane Endriano</t>
  </si>
  <si>
    <t>Rowena E. Ticala</t>
  </si>
  <si>
    <t xml:space="preserve">To attend the GSIS individual account premium reconciliation activity at Leyte Normal University, HRDC Gymnasium, Tacloban City </t>
  </si>
  <si>
    <t>May 16, 2025</t>
  </si>
  <si>
    <t>Sara Jane C. Endriano</t>
  </si>
  <si>
    <t>To attend the "Re-orientation, assessment and strategic planning on the university's financial management at hotel de fedis, tacloban city.</t>
  </si>
  <si>
    <t>Jeff Marmita</t>
  </si>
  <si>
    <t>To conduct cash examination of our cash accounts as requested by the commission on audit (COA) at EVSU Main</t>
  </si>
  <si>
    <t>August 19, 2025</t>
  </si>
  <si>
    <t xml:space="preserve">To conduct cash examination of our cash accounts as requested by the commission on audit (COA) at EVSU Main.
To attend the EVSUNISTA Awards and fellowship night at Leyte Academic Center, Palo, Leyte.
To attend the COA Audit Entrance Conference at EVSU Main.</t>
  </si>
  <si>
    <t>August 19, 29, 2025 and September 9, 2025</t>
  </si>
  <si>
    <t>Ruderico M. Endriano</t>
  </si>
  <si>
    <t>Budget Office</t>
  </si>
  <si>
    <t>94,711</t>
  </si>
  <si>
    <t>48,398</t>
  </si>
  <si>
    <t>46,313</t>
  </si>
  <si>
    <t>20,545</t>
  </si>
  <si>
    <t>19,866</t>
  </si>
  <si>
    <t>7,987</t>
  </si>
  <si>
    <t>18,800</t>
  </si>
  <si>
    <t>31,200</t>
  </si>
  <si>
    <t>6,300</t>
  </si>
  <si>
    <t>3,450</t>
  </si>
  <si>
    <t>41,600</t>
  </si>
  <si>
    <t>Other Supplies Expenses</t>
  </si>
  <si>
    <t>21,289</t>
  </si>
  <si>
    <t>28,084</t>
  </si>
  <si>
    <t>-6,795</t>
  </si>
  <si>
    <t xml:space="preserve">Semi-Expendible Office Equipment 
Expenses</t>
  </si>
  <si>
    <t>Semi-Expendible Furniture &amp; Fixtures, Furnitures, Fixtures Expenses</t>
  </si>
  <si>
    <t>103,682</t>
  </si>
  <si>
    <t>133,118</t>
  </si>
  <si>
    <t>47,355.5</t>
  </si>
  <si>
    <t xml:space="preserve">P.R. No.:2025-02-041
P.O. No.:2025-05-106</t>
  </si>
  <si>
    <t xml:space="preserve">P.R. No.:2025-02-041
P.O. No.:2025-05-107</t>
  </si>
  <si>
    <t xml:space="preserve">P.R. NO.:2025-07-149
P.O. NO.:2025-08-152</t>
  </si>
  <si>
    <t xml:space="preserve">P.R. NO.:2025-07-149
P.O. NO.:2025-08-153</t>
  </si>
  <si>
    <t xml:space="preserve">P.R. No.:2025-06-138
P.O. No.:2025-08-151</t>
  </si>
  <si>
    <t xml:space="preserve">P.R. No.:2025-07-152
P.O. No.:2025-08-154</t>
  </si>
  <si>
    <t>Office Chair</t>
  </si>
  <si>
    <t>2 pcs office chair (high back) and 1 pc offie chair (low back)</t>
  </si>
  <si>
    <t xml:space="preserve">P.R. No.:2025-07-148
P.O. No.:2025-10-198</t>
  </si>
  <si>
    <t>1 unit water dispenser</t>
  </si>
  <si>
    <t xml:space="preserve">P.R. No.:2025-07-148
P.O. No.:2025-10-199</t>
  </si>
  <si>
    <t>Dixie Jean V. Caresosa</t>
  </si>
  <si>
    <t>Attended the DBM onsite validation on capital outlay projects and programs across campuses at EVSU Main.</t>
  </si>
  <si>
    <t>Attended the 69th administrative council meeting at EVSU Main</t>
  </si>
  <si>
    <t>Februar 7, 2025</t>
  </si>
  <si>
    <t>Dixie Jean V. Caresosa, Erlinda Sepe, Lovely Aseo</t>
  </si>
  <si>
    <t xml:space="preserve">To attend the COA entrance conferencce for audit at EVSU Main.
To attend the Parangal 2025 at People Center &amp; Library, Tacloban City</t>
  </si>
  <si>
    <t>February 11, 2025 &amp; February 2025</t>
  </si>
  <si>
    <t>To attend the reorientation, assessment and strategic planning on the university financial management at Hotel de fedis, Tacloban City</t>
  </si>
  <si>
    <t>To attend the 70th Administrative Council Meeting at EVSU Main</t>
  </si>
  <si>
    <t>May 6, 2025</t>
  </si>
  <si>
    <t>To attend the second batch training on Republic Act (RA 9184) and its recent amendments under RA 12009 at Radian Hotel, Dadison Street, Tacloban City</t>
  </si>
  <si>
    <t xml:space="preserve">To attend the grand opening of EVSU Charter day celebration at EVSU Main.
To attend the COA audit entrance conference at EVSU Main.</t>
  </si>
  <si>
    <t>August 27, 2025 and September 9, 2025</t>
  </si>
  <si>
    <t>Records</t>
  </si>
  <si>
    <t>87,365</t>
  </si>
  <si>
    <t>-87,365</t>
  </si>
  <si>
    <t>30,350</t>
  </si>
  <si>
    <t>32,215</t>
  </si>
  <si>
    <t>4,450</t>
  </si>
  <si>
    <t>5,550</t>
  </si>
  <si>
    <t>5,750</t>
  </si>
  <si>
    <t>11,600</t>
  </si>
  <si>
    <t>-11,600</t>
  </si>
  <si>
    <t>5,800</t>
  </si>
  <si>
    <t>98,965</t>
  </si>
  <si>
    <t>-98,965</t>
  </si>
  <si>
    <t>36,150</t>
  </si>
  <si>
    <t>Pick-up Documents at HRMDO EVSU Main</t>
  </si>
  <si>
    <t>Submit and pick-up documents at the office of the President, HRMDO, Records, COA, Research and Development at EVSU Main</t>
  </si>
  <si>
    <t>January 24, 2025</t>
  </si>
  <si>
    <t>Submit documents for the 69th administrative council meeting regarding modification of funds of EVSU-OC at EVSU Main.</t>
  </si>
  <si>
    <t>Attended an orientation/training about the on-going matters, assets, liabilities and personnel of an institution, systematically placed in order to reproduce it promptly for any future reference at EVSU Main.</t>
  </si>
  <si>
    <t>February 4, 2025</t>
  </si>
  <si>
    <t>Junrey Egano &amp; Ronel Valeriano</t>
  </si>
  <si>
    <t>Submit documents to the office of the Vice president for academic affairs, office of the university president, records office at EVSU Main.</t>
  </si>
  <si>
    <t>February 12, 2025</t>
  </si>
  <si>
    <t>Submit documents to the office of the Vice president for academic affairs, office of the university president, HRMDO at EVSU Main.</t>
  </si>
  <si>
    <t>To submit documents at the offices of the university president, HRMDO and to submit syllabus at the office of the VPAA, COA, PRC at EVSU Main.</t>
  </si>
  <si>
    <t>March 5, 12, 14, 19, 26, 2025</t>
  </si>
  <si>
    <t>Submit documents to the office of the university president VPAA, COA, NSTP-CWTS and CHED at EVSU Main</t>
  </si>
  <si>
    <t>April 3 &amp; 10, 2025</t>
  </si>
  <si>
    <t>To attend the government record officers association of the Philippines, Managing electronic records for security accessibility, operational efficiency at La Carmela de Boracay, Station 2, Malay, Aklan</t>
  </si>
  <si>
    <t>April 22-27, 2025</t>
  </si>
  <si>
    <t xml:space="preserve">To submit documents to the office of the University President, VPAA, VPRDE, HRMDO, and COA at EVSU Main.
To submit documents to the office of the board secretary, legal office, VPAA, CHED and other relevant officers at EVSU Main </t>
  </si>
  <si>
    <t>April 15, 2025 and April 28, 2025</t>
  </si>
  <si>
    <t>Junrey V. Egano</t>
  </si>
  <si>
    <t>To pick up the request for certificate of institutional performance and the national passing percentage &amp; summit course syllabus of the education department and other documents at EVSU Main.</t>
  </si>
  <si>
    <t>May 2, 2025</t>
  </si>
  <si>
    <t>Submit documents to the records office, VPAA, VPRDE and other relevant office &amp; pick up approved contract of the COS at EVSU Main</t>
  </si>
  <si>
    <t>To submit the diplomas of the graduating students for signature of the university president and to deliver communication letters to the records office and other relevant offices at EVSU  Main</t>
  </si>
  <si>
    <t>May 14, 2025</t>
  </si>
  <si>
    <t>To pick up the approved percentage of the latin honors and to submit a communication letters to the records office and other relevant offices at EVSU Main</t>
  </si>
  <si>
    <t>Ronel S. Valeriano</t>
  </si>
  <si>
    <t>To submit communication letter to the office of the university presiddent, VPAA, records and other relevant offices and to pick up approved documents includiing the certificate of recognition at EVSU Main.</t>
  </si>
  <si>
    <t>May 21, 2025</t>
  </si>
  <si>
    <t>To submit urgent communication letter to the office of the university president, VPAA, records and other relevant offices and pick up approved documents, including the diplomas of the graduating students at EVSU Main.</t>
  </si>
  <si>
    <t>May 26 &amp; 29, 2025</t>
  </si>
  <si>
    <t>To submit communication letter to the office of the university presiddent, VPAA, records and other relevant offices and to pick up approved documents including the certificate of recognition at EVSU Main.</t>
  </si>
  <si>
    <t>June 5, 11, 19, 25, 2025</t>
  </si>
  <si>
    <t>To submit communication letter to the office of the university president, VPAA, records and other relavant offices and pick-up approved documents at EVSU Main.</t>
  </si>
  <si>
    <t>July 17,23,30,2025</t>
  </si>
  <si>
    <t>To submit communication letter to the office the university president, VPAA, records and other relevant officers and to pick up approved documents and attend other matters at EVSU Main.</t>
  </si>
  <si>
    <t>July 3, 10, 2025</t>
  </si>
  <si>
    <t>To submit documents for signature of the president, vpaa, vpaf and o ther concerned offices at EVSU Main</t>
  </si>
  <si>
    <t>August 6, 14, 20, 2025</t>
  </si>
  <si>
    <t>September 3, 2025</t>
  </si>
  <si>
    <t>TO PARTICIPATE IN THE "HIMIG HANDOG A TRIBUTE TO ORIGINAL PILIPINO MUSIC" AT EVSU MAIN</t>
  </si>
  <si>
    <t>SEPTEMBER 4, 2025</t>
  </si>
  <si>
    <t>September 11,17,24, 2025</t>
  </si>
  <si>
    <t xml:space="preserve">ALLOCATED BUDGET 
2024
C</t>
  </si>
  <si>
    <t>Bids and Awards Committee</t>
  </si>
  <si>
    <t>50,234</t>
  </si>
  <si>
    <t>-50,234</t>
  </si>
  <si>
    <t>22,700</t>
  </si>
  <si>
    <t>-22,700</t>
  </si>
  <si>
    <t>5,100</t>
  </si>
  <si>
    <t>3,400</t>
  </si>
  <si>
    <t>3,700</t>
  </si>
  <si>
    <t>7,650</t>
  </si>
  <si>
    <t>205,122</t>
  </si>
  <si>
    <t>-205,122</t>
  </si>
  <si>
    <t>27,293.6</t>
  </si>
  <si>
    <t>27,419.85</t>
  </si>
  <si>
    <t>26,202.25</t>
  </si>
  <si>
    <t>12,150.8</t>
  </si>
  <si>
    <t>16,377.5</t>
  </si>
  <si>
    <t>17,035.35</t>
  </si>
  <si>
    <t>10,794.05</t>
  </si>
  <si>
    <t>12,479.05</t>
  </si>
  <si>
    <t>9,986.5</t>
  </si>
  <si>
    <t>18,705.55</t>
  </si>
  <si>
    <t>16,939.85</t>
  </si>
  <si>
    <t>9,737.65</t>
  </si>
  <si>
    <t>65,900</t>
  </si>
  <si>
    <t>-65,900</t>
  </si>
  <si>
    <t>130,725</t>
  </si>
  <si>
    <t>-130,725</t>
  </si>
  <si>
    <t>51,500</t>
  </si>
  <si>
    <t>75,980</t>
  </si>
  <si>
    <t>483,081</t>
  </si>
  <si>
    <t>-483,081</t>
  </si>
  <si>
    <t>29,519.85</t>
  </si>
  <si>
    <t>31,302.25</t>
  </si>
  <si>
    <t>15,550.8</t>
  </si>
  <si>
    <t>66,611.5</t>
  </si>
  <si>
    <t>24,579.05</t>
  </si>
  <si>
    <t>62,236.5</t>
  </si>
  <si>
    <t>29,600.55</t>
  </si>
  <si>
    <t>158,819.85</t>
  </si>
  <si>
    <t>Various Offfice Supplies</t>
  </si>
  <si>
    <t xml:space="preserve">P.R. No.:2025-02-001
P.O. No.:2025-03-058</t>
  </si>
  <si>
    <t>10 boxes of Paper Fastener</t>
  </si>
  <si>
    <t xml:space="preserve">P.R. No.:2025-02-001
P.O. No.:2025-03-060</t>
  </si>
  <si>
    <t>10 Packs sticker paper (A4), 50 Reams bond paper (A4) and 100 reams bondpaper (long)</t>
  </si>
  <si>
    <t xml:space="preserve">P.R. No.:2025-02-001
P.O.No.:2025-03-059</t>
  </si>
  <si>
    <t>AIR CONDITION</t>
  </si>
  <si>
    <t>AIRCONDITIONING SYSTEM 2.5HP COUNTER OFFER: CARRIER REMOTE/MODEL: WERRJO24EE</t>
  </si>
  <si>
    <t xml:space="preserve">P.R. NO.:2025-07-168
P.O. NO.:2025-08-165</t>
  </si>
  <si>
    <t>OTHER SUPPLIES</t>
  </si>
  <si>
    <t>5 PCS. OFFICE ORGANIZER, 4 LAYER FILE COPY/FILE HOLDER/METAL/LEGAL AND 5 PCS EXTRA LARGE PLASTIC STORAGE BOX 1600/1600-43L</t>
  </si>
  <si>
    <t xml:space="preserve">P.R. NO.:2025-07-165
P.O. NO.:2025-08-167</t>
  </si>
  <si>
    <t xml:space="preserve">P.R. No.:2025-07-171
P.O. No.:2025-10-188</t>
  </si>
  <si>
    <t>Travelled/Trainings/Seminar</t>
  </si>
  <si>
    <t>Julito Acebron &amp; Ariel Morilla</t>
  </si>
  <si>
    <t>Attended the public procurement specialist certification course level I (basic) via zoom</t>
  </si>
  <si>
    <t>Feb 11-14 and Feb 18-21, 2025</t>
  </si>
  <si>
    <t>To pick-up the approved documents to the office of the Vice President, President's office and Commission on Audit.</t>
  </si>
  <si>
    <t>January 3,7,10,14,17,23, 2025</t>
  </si>
  <si>
    <t>Carolina C. Codilla</t>
  </si>
  <si>
    <t>To submit purchase orders to the office of the commission on audit (COA), other documents to the office of the university president, and pick-up approved documents at EVSU Main.</t>
  </si>
  <si>
    <t>February 7, 10, 17, 26, 2025</t>
  </si>
  <si>
    <t>March 6,12,18,28,2025</t>
  </si>
  <si>
    <t>Ronel P. Mas</t>
  </si>
  <si>
    <t>To submit purchase order and to ensure that these documents are properly received and acknowlegde by the commission on audit (COA) and Attended the 70th administrative council meeting for FY 2025 at EVSU Main</t>
  </si>
  <si>
    <t>April 28, 2025 and May 5, 6, 20, 28, 2025 and June 16, 23, 2025</t>
  </si>
  <si>
    <t>To attend the second batch training on Republic Act (RA 9184) and its recent amendments under RA 12009 at Radiant Hotel, Dadison St., Tacloban City</t>
  </si>
  <si>
    <t>To attend the 70th Administrative Council Meeting for FY 2025  at EVSU Main.</t>
  </si>
  <si>
    <t>To submit purchase orders and to ensure that these documents are propoerly received and acknowledge by the commission on audit (COA) at EVSU Main</t>
  </si>
  <si>
    <t>July 4, 9, 18, 25, 29, 2025 and August 1, 11, 27, 29, 2025</t>
  </si>
  <si>
    <t>Human Resource Dev't. Office</t>
  </si>
  <si>
    <t>95,680</t>
  </si>
  <si>
    <t>49,591</t>
  </si>
  <si>
    <t>46,089</t>
  </si>
  <si>
    <t>29,320</t>
  </si>
  <si>
    <t>168,741</t>
  </si>
  <si>
    <t>-139,421</t>
  </si>
  <si>
    <t>13,400</t>
  </si>
  <si>
    <t>36,600</t>
  </si>
  <si>
    <t>8,900</t>
  </si>
  <si>
    <t>29,650</t>
  </si>
  <si>
    <t>-9,650</t>
  </si>
  <si>
    <t>3,850</t>
  </si>
  <si>
    <t>8,850</t>
  </si>
  <si>
    <t>5,950</t>
  </si>
  <si>
    <t>Maintenance and Repairs</t>
  </si>
  <si>
    <t>123,105.05</t>
  </si>
  <si>
    <t>-123,105.05</t>
  </si>
  <si>
    <t>14,910</t>
  </si>
  <si>
    <t>17,200.75</t>
  </si>
  <si>
    <t>18,104.4</t>
  </si>
  <si>
    <t>7,765</t>
  </si>
  <si>
    <t>9,301.3</t>
  </si>
  <si>
    <t>8,299.5</t>
  </si>
  <si>
    <t>11,052.35</t>
  </si>
  <si>
    <t>8,541.55</t>
  </si>
  <si>
    <t>5,360.8</t>
  </si>
  <si>
    <t>8,388.25</t>
  </si>
  <si>
    <t>4,519.65</t>
  </si>
  <si>
    <t>43,750</t>
  </si>
  <si>
    <t>-43,750</t>
  </si>
  <si>
    <t>400,000</t>
  </si>
  <si>
    <t>384,487.05</t>
  </si>
  <si>
    <t>15,512.95</t>
  </si>
  <si>
    <t>23,500.75</t>
  </si>
  <si>
    <t>16,115</t>
  </si>
  <si>
    <t>27,051.3</t>
  </si>
  <si>
    <t>9,449.5</t>
  </si>
  <si>
    <t>17,002.35</t>
  </si>
  <si>
    <t>227,242.8</t>
  </si>
  <si>
    <t>OFFICE SUPPLIES</t>
  </si>
  <si>
    <t>VARIOUS OFFICE SUPPLIES</t>
  </si>
  <si>
    <t xml:space="preserve">P.R. NO.:2025-04-098
P.O. NO.:2025-08-146</t>
  </si>
  <si>
    <t xml:space="preserve">P.R. NO.:2025-04-098
P.O. NO.:2025-08-147</t>
  </si>
  <si>
    <t xml:space="preserve">P.R. NO.:2025-04-098
P.O. NO.:2025-08-148</t>
  </si>
  <si>
    <t>PHOTOCOPIER TONER</t>
  </si>
  <si>
    <t xml:space="preserve">P.R. NO.:2025-04-095
P.O. NO.:2025-08-121</t>
  </si>
  <si>
    <t xml:space="preserve">P.R. NO.:2025-04-096
P.O. NO.:2025-08-150</t>
  </si>
  <si>
    <t>STEEL CABINET, VERTICAL METAL 4 DRAWER EASY ASSEMBLE AND FILING CABINET</t>
  </si>
  <si>
    <t xml:space="preserve">P.R. NO.:2025-04-097
P.O. NO.:2025-08-186</t>
  </si>
  <si>
    <t>ICT EQUIPMENT</t>
  </si>
  <si>
    <t>2 COMPUTER SET AND 1 SMART PHONE</t>
  </si>
  <si>
    <t xml:space="preserve">P.R. NO.:2025-04-095
P.O. NO.:2025-08-119</t>
  </si>
  <si>
    <t>PRINTER</t>
  </si>
  <si>
    <t>2 UNIT PRINTER 3 IN 1 (PHOTO COPY AND SCAN FOR LEGAL/FOLIO SIZE BOND PAPER)</t>
  </si>
  <si>
    <t xml:space="preserve">P.R. NO.:2025-04-095
P.O. NO.:2025-08-120</t>
  </si>
  <si>
    <t>RUBBING ALCOHOL</t>
  </si>
  <si>
    <t xml:space="preserve">P.R. NO.:2025-04-096
P.O. NO.:2025-08-149</t>
  </si>
  <si>
    <t>Marimel Caagay &amp; Jocelyn Merellos</t>
  </si>
  <si>
    <t>Jocelyn Merellos</t>
  </si>
  <si>
    <t>February 19-20, 2025 &amp; February 21, 2025</t>
  </si>
  <si>
    <t>Melody S. Declaro</t>
  </si>
  <si>
    <t>April 10-11, 2025</t>
  </si>
  <si>
    <t>April 25, 2025 and May 2, 2025</t>
  </si>
  <si>
    <t>April 10-11, 2025, April 22, 2025 and May 2, 2025</t>
  </si>
  <si>
    <t>August 29, 2025 and September 5, 2025</t>
  </si>
  <si>
    <t>August 29, 2025 and September 2, 2025</t>
  </si>
  <si>
    <t>Procurement and Property Management Office</t>
  </si>
  <si>
    <t>29,130</t>
  </si>
  <si>
    <t>Seminar and Trainings</t>
  </si>
  <si>
    <t>22,800</t>
  </si>
  <si>
    <t>-22,800</t>
  </si>
  <si>
    <t>16,800</t>
  </si>
  <si>
    <t>23,850</t>
  </si>
  <si>
    <t>-23,850</t>
  </si>
  <si>
    <t>2,200</t>
  </si>
  <si>
    <t>6,700</t>
  </si>
  <si>
    <t>63,492</t>
  </si>
  <si>
    <t>-56,792</t>
  </si>
  <si>
    <t>49,380</t>
  </si>
  <si>
    <t>14,112</t>
  </si>
  <si>
    <t>29,295.06</t>
  </si>
  <si>
    <t>-29,295.06</t>
  </si>
  <si>
    <t>10,398.99</t>
  </si>
  <si>
    <t>5,388.57</t>
  </si>
  <si>
    <t>3,521</t>
  </si>
  <si>
    <t>S.E. Furniture and Fixture</t>
  </si>
  <si>
    <t>74,170</t>
  </si>
  <si>
    <t>139,437.06</t>
  </si>
  <si>
    <t>10,562.94</t>
  </si>
  <si>
    <t>16,286.5</t>
  </si>
  <si>
    <t>25,100</t>
  </si>
  <si>
    <t>27,162</t>
  </si>
  <si>
    <t>171,837.06</t>
  </si>
  <si>
    <t>Computer &amp; Printer</t>
  </si>
  <si>
    <t xml:space="preserve">P.R. No.:2025-03-074
P.O. No.:2025-05-099</t>
  </si>
  <si>
    <t>Various Other Supplies</t>
  </si>
  <si>
    <t xml:space="preserve">P.R. No.:2025-04-106
P.O. No.:2025-08-127</t>
  </si>
  <si>
    <t>Joel V. Mari, Jan Paredes, Shaina Ompad, Jude Jabilles</t>
  </si>
  <si>
    <t>Joel V. Mari</t>
  </si>
  <si>
    <t>February 5, 2025</t>
  </si>
  <si>
    <t>Shaina Ompad</t>
  </si>
  <si>
    <t>Jan Paredes</t>
  </si>
  <si>
    <t>September 16-18, 2025</t>
  </si>
  <si>
    <t>August 27, 2025 &amp; September 9, 2025</t>
  </si>
  <si>
    <t>Registrar Office</t>
  </si>
  <si>
    <t>191,965</t>
  </si>
  <si>
    <t>138,109</t>
  </si>
  <si>
    <t>53,856</t>
  </si>
  <si>
    <t>2,157</t>
  </si>
  <si>
    <t>135,952</t>
  </si>
  <si>
    <t>4,360</t>
  </si>
  <si>
    <t>199,833</t>
  </si>
  <si>
    <t>-195,473</t>
  </si>
  <si>
    <t>59,837</t>
  </si>
  <si>
    <t>139,996</t>
  </si>
  <si>
    <t>210,000</t>
  </si>
  <si>
    <t>398,376</t>
  </si>
  <si>
    <t>364,517.31</t>
  </si>
  <si>
    <t>33,858.69</t>
  </si>
  <si>
    <t>29,404.46</t>
  </si>
  <si>
    <t>37,516.1</t>
  </si>
  <si>
    <t>40,074.65</t>
  </si>
  <si>
    <t>31,081.05</t>
  </si>
  <si>
    <t>36,812</t>
  </si>
  <si>
    <t>33,512.55</t>
  </si>
  <si>
    <t>44,295</t>
  </si>
  <si>
    <t>32,364.25</t>
  </si>
  <si>
    <t>15,837.7</t>
  </si>
  <si>
    <t>8,965.8</t>
  </si>
  <si>
    <t>35,051.45</t>
  </si>
  <si>
    <t>19,602.3</t>
  </si>
  <si>
    <t>804,701</t>
  </si>
  <si>
    <t>702,459.31</t>
  </si>
  <si>
    <t>102,241.69</t>
  </si>
  <si>
    <t>42,231.65</t>
  </si>
  <si>
    <t>232,601</t>
  </si>
  <si>
    <t>173,508.55</t>
  </si>
  <si>
    <t xml:space="preserve">P.R. No.:2025-02-021
P.O. No.:2025-03-049</t>
  </si>
  <si>
    <t xml:space="preserve">P.R. No.:2025-02-023
P.O. No.:2025-03-034</t>
  </si>
  <si>
    <t>Universal Printer Ink</t>
  </si>
  <si>
    <t>1 Unit Airconditioning System Split Type</t>
  </si>
  <si>
    <t xml:space="preserve">P.R. No.:2025-02-031
P.O. No.:2025-03-023</t>
  </si>
  <si>
    <t>5pcs CZ-005 grey w/ou arm office chair</t>
  </si>
  <si>
    <t xml:space="preserve">P.R. No.:2025-02-030
P.O. No.:2025-03-025</t>
  </si>
  <si>
    <t>3 gallon liquid hand soap, 1 pack soap powder, 2 pcs air freshener (320 ml)</t>
  </si>
  <si>
    <t xml:space="preserve">P.R. No.:2025-02-022
P.O. No.:2025-03-033</t>
  </si>
  <si>
    <t>3 pcs 70% solution alcohol</t>
  </si>
  <si>
    <t xml:space="preserve">P.R. No.:2025-02-022
P.O. No.:2025-03-032</t>
  </si>
  <si>
    <t>Computer</t>
  </si>
  <si>
    <t>2 set desktop computer (all in one) and 1 unit printer (all in one)</t>
  </si>
  <si>
    <t xml:space="preserve">P.R. No.:2025-02-029
P.O. No.:2025-03-043</t>
  </si>
  <si>
    <t xml:space="preserve">BALANCE FORWARDED
B</t>
  </si>
  <si>
    <t>Maitenance and Engineering Services Unit</t>
  </si>
  <si>
    <t>69,510</t>
  </si>
  <si>
    <t>Other Supplies &amp; Expenses</t>
  </si>
  <si>
    <t>120,475</t>
  </si>
  <si>
    <t>24,600</t>
  </si>
  <si>
    <t>95,875</t>
  </si>
  <si>
    <t>-2,100</t>
  </si>
  <si>
    <t>1,310,683.11</t>
  </si>
  <si>
    <t>-1,310,683.11</t>
  </si>
  <si>
    <t>116,199.71</t>
  </si>
  <si>
    <t>114,393.7</t>
  </si>
  <si>
    <t>122,553.55</t>
  </si>
  <si>
    <t>97,742.25</t>
  </si>
  <si>
    <t>119,482</t>
  </si>
  <si>
    <t>112,145.9</t>
  </si>
  <si>
    <t>142,586.35</t>
  </si>
  <si>
    <t>115,976.2</t>
  </si>
  <si>
    <t>67,197.8</t>
  </si>
  <si>
    <t>121,868.4</t>
  </si>
  <si>
    <t>116,121.15</t>
  </si>
  <si>
    <t>64,416.1</t>
  </si>
  <si>
    <t>R&amp;M Motor Vehicles</t>
  </si>
  <si>
    <t>40,597.87</t>
  </si>
  <si>
    <t>73,269.19</t>
  </si>
  <si>
    <t>113,867.06</t>
  </si>
  <si>
    <t>R&amp;M Other Structures</t>
  </si>
  <si>
    <t>424,150</t>
  </si>
  <si>
    <t>Equipment</t>
  </si>
  <si>
    <t>176,000</t>
  </si>
  <si>
    <t>434,900</t>
  </si>
  <si>
    <t>1,225,035</t>
  </si>
  <si>
    <t>1,337,383.11</t>
  </si>
  <si>
    <t>-112,348.11</t>
  </si>
  <si>
    <t>116,493.7</t>
  </si>
  <si>
    <t>132,395.67</t>
  </si>
  <si>
    <t>189,390.34</t>
  </si>
  <si>
    <t>1,451,250.17</t>
  </si>
  <si>
    <t>2 units waterpump (2hp, shallow well)</t>
  </si>
  <si>
    <t xml:space="preserve">P.R. No.:2025-06-157
P.O. No.:2025-08-1222</t>
  </si>
  <si>
    <t>Vehicle Eqp't</t>
  </si>
  <si>
    <t>Vehicle tires, engine and oil filter for toyota vanza, 14c</t>
  </si>
  <si>
    <t xml:space="preserve">P.R. No.:2025-05-132
P.O. No.:2025-08-136</t>
  </si>
  <si>
    <t>Preventive Maintenance Service for EVSU-OC service vehicle (Toyota Avanza)</t>
  </si>
  <si>
    <t xml:space="preserve">P.R. No.:2025-09-225
P.O. No.:2025-09-173</t>
  </si>
  <si>
    <t>IPDO</t>
  </si>
  <si>
    <t>20,750</t>
  </si>
  <si>
    <t>16,557</t>
  </si>
  <si>
    <t>4,193</t>
  </si>
  <si>
    <t>16,000</t>
  </si>
  <si>
    <t>-16,000</t>
  </si>
  <si>
    <t>6,450</t>
  </si>
  <si>
    <t>-6,450</t>
  </si>
  <si>
    <t>Furniture and Fixture</t>
  </si>
  <si>
    <t>46,250</t>
  </si>
  <si>
    <t>388,294.35</t>
  </si>
  <si>
    <t>-388,294.35</t>
  </si>
  <si>
    <t>40,716.26</t>
  </si>
  <si>
    <t>70,758.72</t>
  </si>
  <si>
    <t>61,646.96</t>
  </si>
  <si>
    <t>49,063.79</t>
  </si>
  <si>
    <t>58,304.02</t>
  </si>
  <si>
    <t>54,456.05</t>
  </si>
  <si>
    <t>17,353.5</t>
  </si>
  <si>
    <t>5,197.5</t>
  </si>
  <si>
    <t>8,410.85</t>
  </si>
  <si>
    <t>7,749.8</t>
  </si>
  <si>
    <t>3,842.35</t>
  </si>
  <si>
    <t>Buildings</t>
  </si>
  <si>
    <t>435,701.35</t>
  </si>
  <si>
    <t>-235,701.35</t>
  </si>
  <si>
    <t>71,908.72</t>
  </si>
  <si>
    <t>90,861.02</t>
  </si>
  <si>
    <t>55,606.05</t>
  </si>
  <si>
    <t>29,903.5</t>
  </si>
  <si>
    <t xml:space="preserve">P.R. No.:2025-02-007
P.O. No.:2025-03-053</t>
  </si>
  <si>
    <t>Various EPSON printer ink</t>
  </si>
  <si>
    <t xml:space="preserve">P.R. No.:2025-02-008
P.O. No.:2025-03-028</t>
  </si>
  <si>
    <t>17 reams bond paper (long) 15 reams bond paper (a4)</t>
  </si>
  <si>
    <t xml:space="preserve">P.R. No.:2025-02-007
P.O. No.:2025-03-054</t>
  </si>
  <si>
    <t>2 reams A3 paper</t>
  </si>
  <si>
    <t xml:space="preserve">P.R. No.:2025-02-007
P.O. No.:2025-03-055</t>
  </si>
  <si>
    <t>1 unit steel cabinet</t>
  </si>
  <si>
    <t xml:space="preserve">P.R. No.:2025-02-006
P.O. No.:2025-03-026</t>
  </si>
  <si>
    <t>Attended the DBM onsite validation of capital outlay projects and programs across campuses at EVSU Main.</t>
  </si>
  <si>
    <t>Attended the 1st quarter performance management team meeting at EVSU Main</t>
  </si>
  <si>
    <t>To attend the second batch training on Republic Act (RA 9184) and its recent amendments under RA 12009 at Radiant Hotel, Dadison Street, Tacloban City.</t>
  </si>
  <si>
    <t>IGP/Production</t>
  </si>
  <si>
    <t>214,660</t>
  </si>
  <si>
    <t>141,972</t>
  </si>
  <si>
    <t>72,688</t>
  </si>
  <si>
    <t>8,492</t>
  </si>
  <si>
    <t>133,480</t>
  </si>
  <si>
    <t>53,632</t>
  </si>
  <si>
    <t>-53,632</t>
  </si>
  <si>
    <t>20,152</t>
  </si>
  <si>
    <t>33,480</t>
  </si>
  <si>
    <t>14,382</t>
  </si>
  <si>
    <t>30,618</t>
  </si>
  <si>
    <t>110,182.94</t>
  </si>
  <si>
    <t>-110,182.94</t>
  </si>
  <si>
    <t>10,042.9</t>
  </si>
  <si>
    <t>10,563.99</t>
  </si>
  <si>
    <t>8,241.75</t>
  </si>
  <si>
    <t>9,530.75</t>
  </si>
  <si>
    <t>11,066</t>
  </si>
  <si>
    <t>12,473.7</t>
  </si>
  <si>
    <t>5,005.85</t>
  </si>
  <si>
    <t>599,910</t>
  </si>
  <si>
    <t>3,050</t>
  </si>
  <si>
    <t>546,950</t>
  </si>
  <si>
    <t>1,409,570</t>
  </si>
  <si>
    <t>323,218.94</t>
  </si>
  <si>
    <t>1,086,351.06</t>
  </si>
  <si>
    <t>48,559</t>
  </si>
  <si>
    <t>179,433.7</t>
  </si>
  <si>
    <t>320,168.94</t>
  </si>
  <si>
    <t>P.E. Uniforms</t>
  </si>
  <si>
    <t xml:space="preserve">P.E. uniforms 50pcs small, 60pcs medium 60pcs large, 20pcs XL, 5 pcs 2XL </t>
  </si>
  <si>
    <t>Billing Date: March 6, 2025</t>
  </si>
  <si>
    <t>Various office supplies and 2 pcs computer chair, 5 pcs kitchen towel interfold</t>
  </si>
  <si>
    <t xml:space="preserve">P.R. No.:2025-04-093
P.O. No.:2025-08-143</t>
  </si>
  <si>
    <t xml:space="preserve">VARIOUS OFFICE SUPPLIES AND 2 PCS GLUE GUN, AND 12 PCS TISSUE ROLL </t>
  </si>
  <si>
    <t xml:space="preserve">P.R. NO.:2025-04-093
P.O. NO.:2025-08-142</t>
  </si>
  <si>
    <t>Airconditioner</t>
  </si>
  <si>
    <t>1 unit 2hp inverter window type air condition</t>
  </si>
  <si>
    <t xml:space="preserve">P.R. No.:2025-07-161
P.O. No.:2025-10-190</t>
  </si>
  <si>
    <t>20 pcs ribbons (R5F 2025100 YMCKO Color Ribbon 200prints /rolls)</t>
  </si>
  <si>
    <t xml:space="preserve">P.R. No.:2025-04-094
P.O. No.:2025-08-134</t>
  </si>
  <si>
    <t>Sports Development Office</t>
  </si>
  <si>
    <t>38,725</t>
  </si>
  <si>
    <t>26,640</t>
  </si>
  <si>
    <t>12,085</t>
  </si>
  <si>
    <t>619,499.3</t>
  </si>
  <si>
    <t>-219,499.3</t>
  </si>
  <si>
    <t>611,579.3</t>
  </si>
  <si>
    <t>3,960</t>
  </si>
  <si>
    <t>Honorarium</t>
  </si>
  <si>
    <t>75,000</t>
  </si>
  <si>
    <t>332,000</t>
  </si>
  <si>
    <t>57,940</t>
  </si>
  <si>
    <t>274,060</t>
  </si>
  <si>
    <t>36,495</t>
  </si>
  <si>
    <t>21,000</t>
  </si>
  <si>
    <t>69,547.64</t>
  </si>
  <si>
    <t>80,452.36</t>
  </si>
  <si>
    <t>10,502.84</t>
  </si>
  <si>
    <t>9,973.9</t>
  </si>
  <si>
    <t>4,869.35</t>
  </si>
  <si>
    <t>11,569</t>
  </si>
  <si>
    <t>8,865</t>
  </si>
  <si>
    <t>4,150.55</t>
  </si>
  <si>
    <t>349,380</t>
  </si>
  <si>
    <t>89,240</t>
  </si>
  <si>
    <t>260,140</t>
  </si>
  <si>
    <t>86,640</t>
  </si>
  <si>
    <t>2,600</t>
  </si>
  <si>
    <t>1,405,105</t>
  </si>
  <si>
    <t>862,866.94</t>
  </si>
  <si>
    <t>542,238.06</t>
  </si>
  <si>
    <t>67,095</t>
  </si>
  <si>
    <t>15,529</t>
  </si>
  <si>
    <t>9,310</t>
  </si>
  <si>
    <t>113,173</t>
  </si>
  <si>
    <t>11,654</t>
  </si>
  <si>
    <t>Note: Refer to line item budget 2025</t>
  </si>
  <si>
    <t xml:space="preserve">P.R. No.:2025-02-032
P.O. No.:2025-03-056</t>
  </si>
  <si>
    <t>15 btls computer ink (black) 5 reams bond paper (short), 10 reams bond paper (long) 10 ream bond paper (A4)</t>
  </si>
  <si>
    <t xml:space="preserve">P.R. No.:2025-02-032
P.O. No.:2025-03-057</t>
  </si>
  <si>
    <t xml:space="preserve">Water Dispenser </t>
  </si>
  <si>
    <t xml:space="preserve">P.R. No.:2025-03-047
P.O. No.:2025-03-027</t>
  </si>
  <si>
    <t>AM and PM snacks for intramurals</t>
  </si>
  <si>
    <t xml:space="preserve">P.R. No.:2025-09-233
P.O. No.:2025-09-006CO</t>
  </si>
  <si>
    <t>T-shirt uniform</t>
  </si>
  <si>
    <t xml:space="preserve">Uniform for intramurals </t>
  </si>
  <si>
    <t xml:space="preserve">P.R. No.:2025-09-224
P.O. No.:2025-09-175</t>
  </si>
  <si>
    <t>Tarpaulin for intramurals</t>
  </si>
  <si>
    <t xml:space="preserve">P.R. No.:2025-09-223
P.O. No.:2025-09-179</t>
  </si>
  <si>
    <t>Sports Eqp't.</t>
  </si>
  <si>
    <t>Indoor basketball size 6 and basketball composite leather, fiba approved.</t>
  </si>
  <si>
    <t xml:space="preserve">P.R. No.:2025-07-163
P.O. No.:2025-09-176</t>
  </si>
  <si>
    <t>To submit documents of the athletes who will participate the National SCUAA at EVSU Main</t>
  </si>
  <si>
    <t>March 7, 2025</t>
  </si>
  <si>
    <t xml:space="preserve">To submit the required documents for the athletes who will participate in the national SCUAA games at EVSU Main
Submit the remaining documents of athletes participating in the National SCUAA Games 2025 at EVSU Main</t>
  </si>
  <si>
    <t>March 7 &amp; 14, 2025</t>
  </si>
  <si>
    <t>Wilson A. Pogosa, Bernie Palacio, morley Mullaneda, Ryan Alesna, Brendelle Saso, Vince Jay Centino, Richard Guido, Jr. Hanameel Labiste, Mansueto Songahid, Bryan Yare &amp; Jake Sicsic</t>
  </si>
  <si>
    <t>Cash advance to defray the expenses for the allowances of the faculty coach/trainers in charge in the competitions for the upcoming National SCUAA Games 2025 at Camiguin Polytechnic State College, Province of Camiguin</t>
  </si>
  <si>
    <t>Guillermo M. Sodomia, Fernando Bornasal, Mark Peter Parilla, Maricar Udtohan, Cerilo Soleybar III, Shan Ashley Cormanes, Raina May Pagay, Art Andrew Silvano, Axl Jhon Antigua</t>
  </si>
  <si>
    <t>Reymon Cielo, Renz Aseo, Florentino Cabido, Jr., Zozimo Jayag III, John Norman Cascara, Ann Julia Bianca Aseo, Sunshine Mansueto, Divine Poliquit</t>
  </si>
  <si>
    <t>Joseph Jaymel S. Morpos, Pol Miro, Trisha Ramos, Angel Obien, Jeanne de Guzman, Abigail c. Bagarinao, Celine Gwyneth Abapo, Eljay Debil, Haide Parilla, Diana Paton-og, Daniela Sinday, Sheren  Orellano, Angilina Baylon, Ma. Cassandra M. Paroni, Mary faith Tugonon, Alyssa Nicanor</t>
  </si>
  <si>
    <t>To submit necessary documents for the athletes who won the gold medal in the Regional SCUAA 2025 held in Calbayog City Samar at EVSU Main</t>
  </si>
  <si>
    <t>April 2, 2025</t>
  </si>
  <si>
    <t>To participate in the PASUC National SCUAA Games 2025 at Camiguin Polytechnic State College, Provice of Camiguin</t>
  </si>
  <si>
    <t>Culture and the Arts</t>
  </si>
  <si>
    <t>28,100</t>
  </si>
  <si>
    <t>40,699</t>
  </si>
  <si>
    <t>-12,599</t>
  </si>
  <si>
    <t>19,658</t>
  </si>
  <si>
    <t>21,041</t>
  </si>
  <si>
    <t>56,525</t>
  </si>
  <si>
    <t>-16,525</t>
  </si>
  <si>
    <t>42,900</t>
  </si>
  <si>
    <t>13,625</t>
  </si>
  <si>
    <t>110,000</t>
  </si>
  <si>
    <t>33,050</t>
  </si>
  <si>
    <t>16,950</t>
  </si>
  <si>
    <t>11,850</t>
  </si>
  <si>
    <t>19,350</t>
  </si>
  <si>
    <t>Honoraria</t>
  </si>
  <si>
    <t>Labor &amp; Wages</t>
  </si>
  <si>
    <t>1,007,000</t>
  </si>
  <si>
    <t>547,440</t>
  </si>
  <si>
    <t>459,560</t>
  </si>
  <si>
    <t>53,250</t>
  </si>
  <si>
    <t>106,810</t>
  </si>
  <si>
    <t>24,500</t>
  </si>
  <si>
    <t>362,880</t>
  </si>
  <si>
    <t>1,405,100</t>
  </si>
  <si>
    <t>677,714</t>
  </si>
  <si>
    <t>727,386</t>
  </si>
  <si>
    <t>65,100</t>
  </si>
  <si>
    <t>170,368</t>
  </si>
  <si>
    <t>43,850</t>
  </si>
  <si>
    <t>397,546</t>
  </si>
  <si>
    <t xml:space="preserve">Particulars </t>
  </si>
  <si>
    <t>Dinner meals for EVSUNISTAS awards and fellowship Night at Leyte Academic Center, Palo Leyte on August 29, 2025</t>
  </si>
  <si>
    <t>Aircon</t>
  </si>
  <si>
    <t>1 unit split-type aircon</t>
  </si>
  <si>
    <t xml:space="preserve">P.R. No.:2025-04-116
P.O. No.:2025-08-124</t>
  </si>
  <si>
    <t xml:space="preserve">P.R. NO.:2025-04-117
P.O.NO.:2025-08-158</t>
  </si>
  <si>
    <t xml:space="preserve">P.R. NO.:2025-04-117
P.O.NO.:2025-08-157</t>
  </si>
  <si>
    <t>MEALS 40 PAX (PACK LUNCH) SEPTEMBER 30, 2025 AND OCTOBER 1, 2025. MEALS FOR INTRAMURALS 2025</t>
  </si>
  <si>
    <t xml:space="preserve">P.R. O.:2025-09-209
P.O. NO.:2025-09-004CO</t>
  </si>
  <si>
    <t xml:space="preserve">Tarpaulin Printing 1pc 10ft x 6ft and 2 pcs 4ft x 8ft </t>
  </si>
  <si>
    <t xml:space="preserve">P.R. No.:2025-09-218
P.O. No.:2025-09-178</t>
  </si>
  <si>
    <t>Sound System</t>
  </si>
  <si>
    <t>Sound System Rental for 3 days</t>
  </si>
  <si>
    <t xml:space="preserve">P.R. No.:2025-09-210
P.O. No.:2025-09-181</t>
  </si>
  <si>
    <t xml:space="preserve">P.R. No.:2025-09-217
P.O. No.:2025-09-180</t>
  </si>
  <si>
    <t>Trophy</t>
  </si>
  <si>
    <t>Cup Trophy for intramurals</t>
  </si>
  <si>
    <t xml:space="preserve">P.R. No.:2025-09-219
P.O. No.:2025-09-177</t>
  </si>
  <si>
    <t>Uniform</t>
  </si>
  <si>
    <t>PASUC Uniform Polo Shirt 6 pcs small, 6 pcs medium, 1 pc xl, 1 pc xxl. Full sublimation jacket 6 pcs small, 6 pcs medium, 1 pc xl, 1 pc xxl</t>
  </si>
  <si>
    <t xml:space="preserve">P.R. No.:2025-09-220
P.O. No.:2025-10-208</t>
  </si>
  <si>
    <t>Travel/Training/Seminar</t>
  </si>
  <si>
    <t>Roxy C. Bandejo</t>
  </si>
  <si>
    <t>To attend the meeting to discuss preparation for the upcoming 118th founding anniversary celebration at EVSU Main</t>
  </si>
  <si>
    <t>January 23, 2025</t>
  </si>
  <si>
    <t xml:space="preserve">To attend the upcoming EVSU Charter Day Celebration in the Search for Mr. &amp; Ms. EVSU (Wide) 2025 </t>
  </si>
  <si>
    <t>August 22-23, 26, 29 and September 1-3, 2025</t>
  </si>
  <si>
    <t>To participate in the dance competition for Kanyaw 2025 at EVSU Main</t>
  </si>
  <si>
    <t>Lorraine D. Taypa</t>
  </si>
  <si>
    <t>Jonathan R. Casinillo</t>
  </si>
  <si>
    <t>Mark Angelo Ymas</t>
  </si>
  <si>
    <t>Sonnymon Sobrevilla</t>
  </si>
  <si>
    <t>Mary Jane L. Villanueva</t>
  </si>
  <si>
    <t>Morilla M. Lumanta</t>
  </si>
  <si>
    <t>Jasmin L. Ducena</t>
  </si>
  <si>
    <t>Lindsay T. Hernandez</t>
  </si>
  <si>
    <t xml:space="preserve">To participate in the dance competition for Kanyaw 2025 at EVSU Main.
To attend the capacity bldg and echo seminar on Philipines folk dance "PRO-DUC-Tive: Strengthening Cultural Foundations through Professional Development, Documentation and Visioning at EVSU Main.
</t>
  </si>
  <si>
    <t>August 15 &amp; 27, 2025</t>
  </si>
  <si>
    <t>Rowebb C. Tapao</t>
  </si>
  <si>
    <t>To participate and perform in himig handog: a tribute to original Pilipino Music during the VPAA day at EVSU Main.</t>
  </si>
  <si>
    <t>September 4, 2025</t>
  </si>
  <si>
    <t>Argie T. Polenio</t>
  </si>
  <si>
    <t>SCUAA</t>
  </si>
  <si>
    <t>SCUAA Expenses</t>
  </si>
  <si>
    <t>140,510.55</t>
  </si>
  <si>
    <t>Library</t>
  </si>
  <si>
    <t>12,230</t>
  </si>
  <si>
    <t>37,770</t>
  </si>
  <si>
    <t>3,130</t>
  </si>
  <si>
    <t>12,000</t>
  </si>
  <si>
    <t>250,000</t>
  </si>
  <si>
    <t>News Paper Subscription</t>
  </si>
  <si>
    <t>310,000</t>
  </si>
  <si>
    <t>2,490</t>
  </si>
  <si>
    <t>307,510</t>
  </si>
  <si>
    <t>Textbook And Instructional Materials</t>
  </si>
  <si>
    <t>378,012.46</t>
  </si>
  <si>
    <t>71,987.54</t>
  </si>
  <si>
    <t>29,628.31</t>
  </si>
  <si>
    <t>28,684.7</t>
  </si>
  <si>
    <t>24,514.2</t>
  </si>
  <si>
    <t>32,196.25</t>
  </si>
  <si>
    <t>44,239.9</t>
  </si>
  <si>
    <t>41,262.35</t>
  </si>
  <si>
    <t>51,496.15</t>
  </si>
  <si>
    <t>32,779.05</t>
  </si>
  <si>
    <t>20,405.65</t>
  </si>
  <si>
    <t>17,280.55</t>
  </si>
  <si>
    <t>36,027</t>
  </si>
  <si>
    <t>19,498.35</t>
  </si>
  <si>
    <t>4,739.95</t>
  </si>
  <si>
    <t>-4,739.95</t>
  </si>
  <si>
    <t>1,573</t>
  </si>
  <si>
    <t>2,877.95</t>
  </si>
  <si>
    <t>19,550</t>
  </si>
  <si>
    <t>589,972.4</t>
  </si>
  <si>
    <t>-589,972.4</t>
  </si>
  <si>
    <t>1,400,000</t>
  </si>
  <si>
    <t>996,710.81</t>
  </si>
  <si>
    <t>403,289.19</t>
  </si>
  <si>
    <t>30,303.31</t>
  </si>
  <si>
    <t>32,644.7</t>
  </si>
  <si>
    <t>26,087.2</t>
  </si>
  <si>
    <t>638,891.25</t>
  </si>
  <si>
    <t>33,518.05</t>
  </si>
  <si>
    <t>33,580.55</t>
  </si>
  <si>
    <t>36,827</t>
  </si>
  <si>
    <t>Improvement of the EVSU-OC Library (Painting &amp; Electrical)</t>
  </si>
  <si>
    <t>P.R. No.:2024-09-334</t>
  </si>
  <si>
    <t>To carry out improtant tasks related to our Library operation and to prepare for the upcoming accreditation requirements.</t>
  </si>
  <si>
    <t>Nena Divina Fevidal</t>
  </si>
  <si>
    <t>To attend the 7th PLAI Eastern Visayas Librarians Council Summit with the Theme "Beyond books: Innovation, Security and well being for librarians" with registration fee oat Hotel Costa Brava, San Jose, Tacloban City.</t>
  </si>
  <si>
    <t>October 15-17, 2025</t>
  </si>
  <si>
    <t>NSTP</t>
  </si>
  <si>
    <t>52,100</t>
  </si>
  <si>
    <t>19,730</t>
  </si>
  <si>
    <t>32,370</t>
  </si>
  <si>
    <t>39,000</t>
  </si>
  <si>
    <t>45,774</t>
  </si>
  <si>
    <t>24,226</t>
  </si>
  <si>
    <t>32,460</t>
  </si>
  <si>
    <t>6,614</t>
  </si>
  <si>
    <t>Miscellaneous and other Related Activities</t>
  </si>
  <si>
    <t>416,075</t>
  </si>
  <si>
    <t>-16,075</t>
  </si>
  <si>
    <t>174,000</t>
  </si>
  <si>
    <t>19,600</t>
  </si>
  <si>
    <t>202,000</t>
  </si>
  <si>
    <t>20,475</t>
  </si>
  <si>
    <t>712,100</t>
  </si>
  <si>
    <t>512,429</t>
  </si>
  <si>
    <t>199,671</t>
  </si>
  <si>
    <t>56,460</t>
  </si>
  <si>
    <t>32,344</t>
  </si>
  <si>
    <t xml:space="preserve">P.R. No.:2025-04-092
P.O. No.:2025-05-088</t>
  </si>
  <si>
    <t xml:space="preserve">P.R. No.:2025-04-092
P.O. No.:2025-05-108</t>
  </si>
  <si>
    <t>Instructor's Uniform</t>
  </si>
  <si>
    <t xml:space="preserve">8 pcs uniform set of NSTP instructors 
</t>
  </si>
  <si>
    <t xml:space="preserve">P.R. No.:2025-05-133
P.O. No.:2025-08-133</t>
  </si>
  <si>
    <t>To attend the 19th National Congress  of NSTP Educators and Implementers at Golden Peak Hotel Cebu City</t>
  </si>
  <si>
    <t>July 2-4, 2025</t>
  </si>
  <si>
    <t>Rosita D. Lariosa</t>
  </si>
  <si>
    <t>Glenn Mar Jess Baltonado</t>
  </si>
  <si>
    <t>Guillermo M. Sodomia</t>
  </si>
  <si>
    <t>To attend the first regional NSTP Educator and implementer's congress at EVSU Main</t>
  </si>
  <si>
    <t>August 9, 2025</t>
  </si>
  <si>
    <t>SASO</t>
  </si>
  <si>
    <t>45,610</t>
  </si>
  <si>
    <t>23,253</t>
  </si>
  <si>
    <t>22,357</t>
  </si>
  <si>
    <t>8,013</t>
  </si>
  <si>
    <t>9,300</t>
  </si>
  <si>
    <t>4,120</t>
  </si>
  <si>
    <t>1,820</t>
  </si>
  <si>
    <t>18,952</t>
  </si>
  <si>
    <t>-16,652</t>
  </si>
  <si>
    <t>14,455</t>
  </si>
  <si>
    <t>4,497</t>
  </si>
  <si>
    <t>-3,600</t>
  </si>
  <si>
    <t>1,600</t>
  </si>
  <si>
    <t>183,264.4</t>
  </si>
  <si>
    <t>-33,264.4</t>
  </si>
  <si>
    <t>14,905.8</t>
  </si>
  <si>
    <t>20,461.3</t>
  </si>
  <si>
    <t>17,052.65</t>
  </si>
  <si>
    <t>17,700.05</t>
  </si>
  <si>
    <t>17,298.9</t>
  </si>
  <si>
    <t>22,557.3</t>
  </si>
  <si>
    <t>17,561.95</t>
  </si>
  <si>
    <t>10,515.75</t>
  </si>
  <si>
    <t>18,417.8</t>
  </si>
  <si>
    <t>16,312.85</t>
  </si>
  <si>
    <t>9,977.05</t>
  </si>
  <si>
    <t>240,000</t>
  </si>
  <si>
    <t>122,903.5</t>
  </si>
  <si>
    <t>117,096.5</t>
  </si>
  <si>
    <t>114,998.5</t>
  </si>
  <si>
    <t>4,005</t>
  </si>
  <si>
    <t>3,900</t>
  </si>
  <si>
    <t>Graduation Expenses</t>
  </si>
  <si>
    <t>506,378.5</t>
  </si>
  <si>
    <t>661,260.5</t>
  </si>
  <si>
    <t>-154,882</t>
  </si>
  <si>
    <t>Repairs and Maintenance-Other Structure</t>
  </si>
  <si>
    <t>ID FEE</t>
  </si>
  <si>
    <t>101,025</t>
  </si>
  <si>
    <t>Insurance Expenses</t>
  </si>
  <si>
    <t>447,069.5</t>
  </si>
  <si>
    <t>Printing and Publication Expenses</t>
  </si>
  <si>
    <t>1,623,408</t>
  </si>
  <si>
    <t>1,013,233.4</t>
  </si>
  <si>
    <t>610,174.6</t>
  </si>
  <si>
    <t>1,503</t>
  </si>
  <si>
    <t>18,052.65</t>
  </si>
  <si>
    <t>688,573.55</t>
  </si>
  <si>
    <t>132,297.4</t>
  </si>
  <si>
    <t>35,862.3</t>
  </si>
  <si>
    <t>40,892.8</t>
  </si>
  <si>
    <t>22,629.85</t>
  </si>
  <si>
    <t>Various office supplies for graduation (Graduation Fee)</t>
  </si>
  <si>
    <t xml:space="preserve">P.R. No.:2025-02-021
P.O. No.:2025-03-050</t>
  </si>
  <si>
    <t>Various office supplies (SASO)</t>
  </si>
  <si>
    <t xml:space="preserve">P.R. No.:2025-02-040
P.O. No.:2025-04-073</t>
  </si>
  <si>
    <t>100 pcs snacks for Recognition Day (Graduation Fee)</t>
  </si>
  <si>
    <t xml:space="preserve">P.R. No.:2025-04-121
P.O. No.:2025-05-078</t>
  </si>
  <si>
    <t>1075 Ribbons (Student 930pcs, Faculty 125 pcs, staff 20pcs &amp; plaques)</t>
  </si>
  <si>
    <t xml:space="preserve">P.R. No.:2025-04-126
P.O. No.:2025-05-086</t>
  </si>
  <si>
    <t>Meals 17 pax (lunch pack) 17 pax PM snacks During the graduation rites May 27, 2025</t>
  </si>
  <si>
    <t xml:space="preserve">P.R. No.:2025-04-120
P.O. No.:2025-05-080</t>
  </si>
  <si>
    <t>200 pcs gold medal with EVSU logo emblem, 25 pcs medallion with evsu logo emblem, 50 pcs silver medal with evsu logo emblem for Recognition day. (Graduation Fee)</t>
  </si>
  <si>
    <t xml:space="preserve">P.R. No.:2025-04-108
P.O. No.:2025-05-077</t>
  </si>
  <si>
    <t xml:space="preserve">Ligths and sound for Recognition and Graduation Day </t>
  </si>
  <si>
    <t xml:space="preserve">P.R. No.:2025-04-107
P.O. No.:2025-05-082</t>
  </si>
  <si>
    <t>Meas and accommodation for resource speaker, evsu key officials and guest attending the EVSU-OC graduation ceremony on May 27, 2025</t>
  </si>
  <si>
    <t xml:space="preserve">P.R. No.:2025-04-113
P.O. No.:2025-05-079</t>
  </si>
  <si>
    <t xml:space="preserve">Meal for the EVSU-OC Graduation Ceremony </t>
  </si>
  <si>
    <t xml:space="preserve">P.R. No.:2025-04-115
P.O. No.:2025-05-085</t>
  </si>
  <si>
    <t>Venue decoration (Rental) Ormoc City Superdome</t>
  </si>
  <si>
    <t xml:space="preserve">P.R. No.:2025-04-114
P.O. No.:2025-05-087</t>
  </si>
  <si>
    <t>Meals 160 pax for fellowship night on May 27, 2025</t>
  </si>
  <si>
    <t xml:space="preserve">P.R. No.:2025-04-131
P.O. No.:2025-05-095</t>
  </si>
  <si>
    <t>Led Wall and Live Camera and Documentation (3-Camea Set Up) Live Video Recording and Screaming of the 22nd Commencement Exercises on May 27, 2025</t>
  </si>
  <si>
    <t xml:space="preserve">P.R. No.:2025-04-127
P.O. No.:2025-05-084</t>
  </si>
  <si>
    <t>Ballpen, bottle stamp pad ink, stamp pad, bond paper</t>
  </si>
  <si>
    <t xml:space="preserve">P.R. No.:2025-04-111
P.O. No.:2025-08-156</t>
  </si>
  <si>
    <t>100 pcs long folder</t>
  </si>
  <si>
    <t xml:space="preserve">P.R. No.:2025-04-111
P.O. No.:2025-08-155</t>
  </si>
  <si>
    <t>OFFICE SUPPLIES FOR USWAG</t>
  </si>
  <si>
    <t>VARIOUR PRINTER INK &amp; STICKER PAPER</t>
  </si>
  <si>
    <t xml:space="preserve">P.R. NO.:2025-08-186
P.O. NO.:2025-09-184</t>
  </si>
  <si>
    <t>BATTERY/OTHER SUPPLIES</t>
  </si>
  <si>
    <t>2 PACKS AAA BATTERY</t>
  </si>
  <si>
    <t xml:space="preserve">P.R. NO:2025-08-188
P.O. NO.:2025-09-187</t>
  </si>
  <si>
    <t>EXTENSION WIRE/OTHER SUPPLIES</t>
  </si>
  <si>
    <t>1 SET EXTENSION WIRE (20M)AND 1 SET MICROPHONE WIRELESS</t>
  </si>
  <si>
    <t xml:space="preserve">P.R. NO.:2025-08-188
P.O. NO.: 2025-09-186</t>
  </si>
  <si>
    <t>TARPAULIN</t>
  </si>
  <si>
    <t>TARPAULIN 1 PC (3*20) 1PC (8*25) FOR USWAG</t>
  </si>
  <si>
    <t xml:space="preserve">P.R. NO.:2025-08-185
P.O. NO.:2025-09-182</t>
  </si>
  <si>
    <t>OFFICE SUPPLIES/OTHER SUPPLIES</t>
  </si>
  <si>
    <t>9 REAMS BONDPAPER A4, 5 PACKS VELLUM (A4) AND 1 BOX FACEMASK FOR USWAG</t>
  </si>
  <si>
    <t xml:space="preserve">P.R. NO.:2025-08-186
P.O. NO.:2025-09-183</t>
  </si>
  <si>
    <t>VARIOUS OTHER SUPPLIES FOR USWAG</t>
  </si>
  <si>
    <t xml:space="preserve">P.R. NO.:2025-08-187
P.O. NO.:2025-09-185</t>
  </si>
  <si>
    <t>Joergen T. Arradaza, Jr.</t>
  </si>
  <si>
    <t>Attended an orientation on CHED Merit scholarship program at CHED Regional Office</t>
  </si>
  <si>
    <t>To attend and participate in the CY 2025 coordinators conference cum strategic planning for the implementation of scholarship program and activities in Region VIII at Hotel Alejandro, Tacloban City</t>
  </si>
  <si>
    <t>March 13-14, 2025</t>
  </si>
  <si>
    <t>To atted the regional assessment for FY 2024 and target setting for the FY 2025 with HEI Presidents/Heads &amp; Unifast Focal Persons at EVSU Main</t>
  </si>
  <si>
    <t>April 15, 2025</t>
  </si>
  <si>
    <t>Guidance</t>
  </si>
  <si>
    <t>27,398</t>
  </si>
  <si>
    <t>8,824</t>
  </si>
  <si>
    <t>18,574</t>
  </si>
  <si>
    <t>4,161.53</t>
  </si>
  <si>
    <t>-1,661.53</t>
  </si>
  <si>
    <t>4,913</t>
  </si>
  <si>
    <t>1,087</t>
  </si>
  <si>
    <t>4,313</t>
  </si>
  <si>
    <t>30,423</t>
  </si>
  <si>
    <t>-28,323</t>
  </si>
  <si>
    <t>1,130</t>
  </si>
  <si>
    <t>29,293</t>
  </si>
  <si>
    <t>-49,900</t>
  </si>
  <si>
    <t>12,500</t>
  </si>
  <si>
    <t>65,500</t>
  </si>
  <si>
    <t>101,336.81</t>
  </si>
  <si>
    <t>48,663.19</t>
  </si>
  <si>
    <t>9,466.31</t>
  </si>
  <si>
    <t>9,029.85</t>
  </si>
  <si>
    <t>10,525.2</t>
  </si>
  <si>
    <t>7,528.2</t>
  </si>
  <si>
    <t>8,972.1</t>
  </si>
  <si>
    <t>4,009.3</t>
  </si>
  <si>
    <t>15,090</t>
  </si>
  <si>
    <t>8,551</t>
  </si>
  <si>
    <t>280,998</t>
  </si>
  <si>
    <t>167,158.34</t>
  </si>
  <si>
    <t>113,839.66</t>
  </si>
  <si>
    <t>17,341.2</t>
  </si>
  <si>
    <t>19,126.1</t>
  </si>
  <si>
    <t>61,830</t>
  </si>
  <si>
    <t>43,843.85</t>
  </si>
  <si>
    <t>-36,684.47</t>
  </si>
  <si>
    <t>Extension wire 10 meters</t>
  </si>
  <si>
    <t xml:space="preserve">P.R. No.:2025-03-055
P.O. No.:2025-03-029</t>
  </si>
  <si>
    <t xml:space="preserve">Epson L3210 ink 1 btl magenta, 1 btl blue, 1 btl yellow, 2 btls black </t>
  </si>
  <si>
    <t xml:space="preserve">P.R. No.:2025-03-056
P.O. No.:2025-03-031</t>
  </si>
  <si>
    <t>Epson L5290 ink 1 bottle magenta, 1 bottle blue,  1 bottle yellow, 2 btls black</t>
  </si>
  <si>
    <t xml:space="preserve">P.R. No.:2025-03-056
P.O. No.:2025-03-030</t>
  </si>
  <si>
    <t>Computer mouse and 1 pc mousepad</t>
  </si>
  <si>
    <t xml:space="preserve">P.R. No.:2025-03-0544
P.O. No.:2025-03-025</t>
  </si>
  <si>
    <t xml:space="preserve">P.R. No.:2025-03-053
P.O. No.:2025-03-061</t>
  </si>
  <si>
    <t xml:space="preserve">1 box black gel pen, 1 box blue gel pen, 1 green gel pe, 5 packs specialty paper, 1 box broad pentel pen </t>
  </si>
  <si>
    <t xml:space="preserve">P.R. No.:2025-03-053
P.O. No.:2025-03-062</t>
  </si>
  <si>
    <t>Laptop</t>
  </si>
  <si>
    <t>Purchase of 1 unit Laptop</t>
  </si>
  <si>
    <t xml:space="preserve">P.R. No.:2025-04-129
P.O. No.:2025-08-125</t>
  </si>
  <si>
    <t>Sound system</t>
  </si>
  <si>
    <t>1 set sound system with 2 microphones</t>
  </si>
  <si>
    <t xml:space="preserve">P.R. No.:2025-04-128
P.O. No.:2025-08-163</t>
  </si>
  <si>
    <t>Water Dispense</t>
  </si>
  <si>
    <t xml:space="preserve">P.R. No.:2025-04-128
P.O. No.:2025-08-162</t>
  </si>
  <si>
    <t>1 unit office chair</t>
  </si>
  <si>
    <t xml:space="preserve">P.R. No.:2025-04-128
P.O. No.:2025-08-161</t>
  </si>
  <si>
    <t>Snacks &amp; Meals</t>
  </si>
  <si>
    <t>10 pax for AM, PM snacks and lunch</t>
  </si>
  <si>
    <t xml:space="preserve">P.R. No.:2025-10-254
P.O. No.:2025-10-009CO</t>
  </si>
  <si>
    <t>Total:</t>
  </si>
  <si>
    <t>Charlene C. Pita</t>
  </si>
  <si>
    <t>To attend the Philippine Guidance and Counseling Association (PGCA) for its upcoming 26th Annual Conference and Professional Decelopment Training</t>
  </si>
  <si>
    <t>To attend the career guidance culmination program at Matag-ob, Leyte</t>
  </si>
  <si>
    <t>March 27, 2025</t>
  </si>
  <si>
    <t>To attend the first annual regional general assembly and convention, organized by PGCA or the Philippine guidance and counseling association Eastern Visayas Chapter, Inc. at Visayas State University, Baybay City</t>
  </si>
  <si>
    <t>September 17-19, 2025</t>
  </si>
  <si>
    <t>SSG</t>
  </si>
  <si>
    <t>26,684</t>
  </si>
  <si>
    <t>2,800</t>
  </si>
  <si>
    <t>23,884</t>
  </si>
  <si>
    <t>38,500</t>
  </si>
  <si>
    <t>51,203</t>
  </si>
  <si>
    <t>-51,203</t>
  </si>
  <si>
    <t>Office Equipment/Appliances</t>
  </si>
  <si>
    <t>115,000</t>
  </si>
  <si>
    <t>46,100</t>
  </si>
  <si>
    <t>218,000</t>
  </si>
  <si>
    <t>203,000</t>
  </si>
  <si>
    <t>468,184</t>
  </si>
  <si>
    <t>115,103</t>
  </si>
  <si>
    <t>353,081</t>
  </si>
  <si>
    <t>97,303</t>
  </si>
  <si>
    <t>Lyra Rodriguez, Lloyd Fernan Monte, Quiruben Dejano, Glenn-Mark Serafica, Kyle David Teologo &amp; Krista Resurrection Pacia</t>
  </si>
  <si>
    <t>To attend the PACSA National Mid-year Conevention at Tagum City.</t>
  </si>
  <si>
    <t>April 2-4, 2025</t>
  </si>
  <si>
    <t>Lyra Rodriguez, Ivan Huerta, Kyle Teologo, Krista Pacia, Quiroben Dejano, Glen Serafica, Lera Arpon</t>
  </si>
  <si>
    <t>To attend the constitutional &amp; by laws (CBL) of FSG, SSG, and conceptualization for the proposed plan of the FSG at EVSU Main</t>
  </si>
  <si>
    <t>February 7, 2025</t>
  </si>
  <si>
    <t>SPO</t>
  </si>
  <si>
    <t>9,950</t>
  </si>
  <si>
    <t>3,250</t>
  </si>
  <si>
    <t>31,672</t>
  </si>
  <si>
    <t>-28,422</t>
  </si>
  <si>
    <t xml:space="preserve">Other MOOE Expenses 
(Printing &amp; Publications)</t>
  </si>
  <si>
    <t>235,200</t>
  </si>
  <si>
    <t>53,800</t>
  </si>
  <si>
    <t>156,200</t>
  </si>
  <si>
    <t>257,336.98</t>
  </si>
  <si>
    <t>Semi-Expendible ICT</t>
  </si>
  <si>
    <t>81,000</t>
  </si>
  <si>
    <t>936,736.98</t>
  </si>
  <si>
    <t>905,064.98</t>
  </si>
  <si>
    <t>P.R. &amp; P.O. #</t>
  </si>
  <si>
    <t>Hard drive storage</t>
  </si>
  <si>
    <t>1 unit kingston external hard drive (storage drive-1tb) and 3 units SD cards (64gb)</t>
  </si>
  <si>
    <t xml:space="preserve">P.R. No.:2025-08-190
P.O. No.:2025-10-202</t>
  </si>
  <si>
    <t>Garbage bag</t>
  </si>
  <si>
    <t>2 rolls garbage bag (XL), and 2 pcs feather duster</t>
  </si>
  <si>
    <t xml:space="preserve">P.R. No.:2025-08-192
P.O. No.:2025-10-203</t>
  </si>
  <si>
    <t>1 unit all in one ink jet printer (EPSON L5290)</t>
  </si>
  <si>
    <t xml:space="preserve">P.R. No.:2025-08-191
P.O. No.:2025-10-201</t>
  </si>
  <si>
    <t>GAD</t>
  </si>
  <si>
    <t>7,550</t>
  </si>
  <si>
    <t>Seminars and Programs</t>
  </si>
  <si>
    <t>211,500</t>
  </si>
  <si>
    <t>249,050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</si>
</sst>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_(* #,##0.00_);_(* (#,##0.00);_(* &quot;-&quot;??_);_(@_)"/>
  </numFmts>
  <fonts count="22" x14ac:knownFonts="1">
    <font>
      <color theme="1"/>
      <family val="2"/>
      <scheme val="minor"/>
      <sz val="11"/>
      <name val="Calibri"/>
    </font>
    <font>
      <b/>
      <color theme="1"/>
      <family val="2"/>
      <sz val="12"/>
      <name val="Arial Narrow"/>
    </font>
    <font>
      <b/>
      <family val="2"/>
      <sz val="12"/>
      <name val="Arial Narrow"/>
    </font>
    <font>
      <color theme="1"/>
      <family val="2"/>
      <sz val="12"/>
      <name val="Arial Narrow"/>
    </font>
    <font>
      <family val="2"/>
      <sz val="12"/>
      <name val="Arial Narrow"/>
    </font>
    <font>
      <b/>
      <color rgb="FFFF0000"/>
      <family val="2"/>
      <sz val="12"/>
      <name val="Arial Narrow"/>
    </font>
    <font>
      <color theme="1"/>
      <family val="2"/>
      <sz val="30"/>
      <name val="Arial Narrow"/>
    </font>
    <font>
      <b/>
      <color theme="1"/>
      <family val="2"/>
      <scheme val="minor"/>
      <sz val="12"/>
      <name val="Calibri"/>
    </font>
    <font>
      <b/>
      <color rgb="FFFF0000"/>
      <family val="2"/>
      <scheme val="minor"/>
      <sz val="11"/>
      <name val="Calibri"/>
    </font>
    <font>
      <color theme="1"/>
      <family val="2"/>
      <scheme val="minor"/>
      <sz val="14"/>
      <name val="Calibri"/>
    </font>
    <font>
      <color theme="1"/>
      <family val="2"/>
      <scheme val="minor"/>
      <sz val="12"/>
      <name val="Calibri"/>
    </font>
    <font>
      <b/>
      <color theme="1"/>
      <family val="2"/>
      <scheme val="minor"/>
      <sz val="22"/>
      <name val="Calibri"/>
    </font>
    <font>
      <b/>
      <color theme="1"/>
      <family val="2"/>
      <scheme val="minor"/>
      <sz val="11"/>
      <name val="Calibri"/>
    </font>
    <font>
      <b/>
      <color theme="1"/>
      <family val="2"/>
      <scheme val="minor"/>
      <sz val="20"/>
      <name val="Calibri"/>
    </font>
    <font>
      <b/>
      <color theme="1"/>
      <family val="2"/>
      <scheme val="minor"/>
      <sz val="18"/>
      <name val="Calibri"/>
    </font>
    <font>
      <color theme="1"/>
      <family val="2"/>
      <sz val="11"/>
      <name val="Calibri"/>
    </font>
    <font>
      <color theme="1"/>
      <family val="2"/>
      <sz val="11"/>
      <name val="Arial"/>
    </font>
    <font>
      <color theme="1"/>
      <family val="2"/>
      <sz val="12"/>
      <name val="Arial"/>
    </font>
    <font>
      <color rgb="FFFF0000"/>
      <family val="2"/>
      <scheme val="minor"/>
      <sz val="11"/>
      <name val="Calibri"/>
    </font>
    <font>
      <b/>
      <color rgb="FFFF0000"/>
      <family val="2"/>
      <scheme val="minor"/>
      <sz val="12"/>
      <name val="Calibri"/>
    </font>
    <font>
      <color theme="1"/>
      <family val="2"/>
      <sz val="10"/>
      <name val="Arial"/>
    </font>
    <font>
      <color theme="1"/>
      <family val="2"/>
      <scheme val="minor"/>
      <sz val="10"/>
      <name val="Calibri"/>
    </font>
  </fonts>
  <fills count="10">
    <fill>
      <patternFill patternType="none"/>
    </fill>
    <fill>
      <patternFill patternType="gray125"/>
    </fill>
    <fill>
      <patternFill patternType="solid">
        <fgColor rgb="FFFFC000"/>
        <bgColor indexed="64"/>
      </patternFill>
    </fill>
    <fill>
      <patternFill patternType="solid">
        <fgColor rgb="FFFF66CC"/>
        <bgColor indexed="64"/>
      </patternFill>
    </fill>
    <fill>
      <patternFill patternType="solid">
        <fgColor rgb="FFFFFF00"/>
        <bgColor indexed="64"/>
      </patternFill>
    </fill>
    <fill>
      <patternFill patternType="solid">
        <fgColor theme="0" tint="-0.14996795556505021"/>
        <bgColor indexed="64"/>
      </patternFill>
    </fill>
    <fill>
      <patternFill patternType="solid">
        <fgColor rgb="FF00B0F0"/>
        <bgColor indexed="64"/>
      </patternFill>
    </fill>
    <fill>
      <patternFill patternType="solid">
        <fgColor theme="0"/>
        <bgColor indexed="64"/>
      </patternFill>
    </fill>
    <fill>
      <patternFill patternType="solid">
        <fgColor rgb="FF76E3FF"/>
        <bgColor indexed="64"/>
      </patternFill>
    </fill>
    <fill>
      <patternFill patternType="solid">
        <fgColor theme="0" tint="-0.1499984740745262"/>
        <bgColor indexed="64"/>
      </patternFill>
    </fill>
  </fills>
  <borders count="52">
    <border>
      <left/>
      <right/>
      <top/>
      <bottom/>
      <diagonal/>
    </border>
    <border>
      <left style="medium"/>
      <right/>
      <top style="medium"/>
      <bottom style="medium"/>
      <diagonal/>
    </border>
    <border>
      <left style="thin"/>
      <right/>
      <top style="medium"/>
      <bottom style="medium"/>
      <diagonal/>
    </border>
    <border>
      <left style="thin"/>
      <right style="medium"/>
      <top style="medium"/>
      <bottom style="medium"/>
      <diagonal/>
    </border>
    <border>
      <left style="medium"/>
      <right style="medium"/>
      <top style="medium"/>
      <bottom style="medium"/>
      <diagonal/>
    </border>
    <border>
      <left/>
      <right style="medium"/>
      <top/>
      <bottom style="medium"/>
      <diagonal/>
    </border>
    <border>
      <left/>
      <right/>
      <top style="medium"/>
      <bottom style="medium"/>
      <diagonal/>
    </border>
    <border>
      <left/>
      <right style="medium"/>
      <top style="medium"/>
      <bottom style="medium"/>
      <diagonal/>
    </border>
    <border>
      <left style="medium"/>
      <right/>
      <top style="medium"/>
      <bottom/>
      <diagonal/>
    </border>
    <border>
      <left style="medium"/>
      <right style="medium"/>
      <top style="thin"/>
      <bottom style="thin"/>
      <diagonal/>
    </border>
    <border>
      <left style="medium"/>
      <right style="medium"/>
      <top/>
      <bottom style="thin">
        <color indexed="64"/>
      </bottom>
      <diagonal/>
    </border>
    <border>
      <left/>
      <right style="medium"/>
      <top/>
      <bottom style="thin"/>
      <diagonal/>
    </border>
    <border>
      <left style="medium">
        <color indexed="64"/>
      </left>
      <right style="medium">
        <color indexed="64"/>
      </right>
      <top style="medium">
        <color indexed="64"/>
      </top>
      <bottom style="thin">
        <color indexed="64"/>
      </bottom>
      <diagonal/>
    </border>
    <border>
      <left style="medium"/>
      <right/>
      <top style="thin"/>
      <bottom style="thin">
        <color indexed="64"/>
      </bottom>
      <diagonal/>
    </border>
    <border>
      <left style="medium"/>
      <right/>
      <top/>
      <bottom/>
      <diagonal/>
    </border>
    <border>
      <left/>
      <right style="medium"/>
      <top/>
      <bottom/>
      <diagonal/>
    </border>
    <border>
      <left style="medium"/>
      <right style="medium"/>
      <top/>
      <bottom style="medium"/>
      <diagonal/>
    </border>
    <border>
      <left style="medium"/>
      <right/>
      <top style="thin">
        <color indexed="64"/>
      </top>
      <bottom style="medium"/>
      <diagonal/>
    </border>
    <border>
      <left style="medium">
        <color indexed="64"/>
      </left>
      <right style="medium">
        <color indexed="64"/>
      </right>
      <top style="thin">
        <color indexed="64"/>
      </top>
      <bottom style="medium">
        <color indexed="64"/>
      </bottom>
      <diagonal/>
    </border>
    <border>
      <left style="medium"/>
      <right/>
      <top/>
      <bottom style="medium"/>
      <diagonal/>
    </border>
    <border>
      <left style="medium"/>
      <right/>
      <top/>
      <bottom style="thin">
        <color indexed="64"/>
      </bottom>
      <diagonal/>
    </border>
    <border>
      <left/>
      <right/>
      <top/>
      <bottom style="thin">
        <color indexed="64"/>
      </bottom>
      <diagonal/>
    </border>
    <border>
      <left style="medium"/>
      <right/>
      <top style="medium"/>
      <bottom style="thin">
        <color indexed="64"/>
      </bottom>
      <diagonal/>
    </border>
    <border>
      <left/>
      <right style="medium"/>
      <top style="medium"/>
      <bottom style="thin"/>
      <diagonal/>
    </border>
    <border>
      <left/>
      <right/>
      <top style="thin"/>
      <bottom style="thin">
        <color indexed="64"/>
      </bottom>
      <diagonal/>
    </border>
    <border>
      <left/>
      <right style="medium"/>
      <top style="thin"/>
      <bottom style="thin"/>
      <diagonal/>
    </border>
    <border>
      <left style="medium"/>
      <right/>
      <top style="thin"/>
      <bottom/>
      <diagonal/>
    </border>
    <border>
      <left/>
      <right style="medium"/>
      <top style="thin">
        <color indexed="64"/>
      </top>
      <bottom/>
      <diagonal/>
    </border>
    <border>
      <left/>
      <right/>
      <top style="thin">
        <color indexed="64"/>
      </top>
      <bottom style="medium"/>
      <diagonal/>
    </border>
    <border>
      <left/>
      <right style="medium"/>
      <top style="thin">
        <color indexed="64"/>
      </top>
      <bottom style="medium"/>
      <diagonal/>
    </border>
    <border>
      <left/>
      <right/>
      <top/>
      <bottom style="medium"/>
      <diagonal/>
    </border>
    <border>
      <left/>
      <right/>
      <top style="medium"/>
      <bottom style="thin">
        <color indexed="64"/>
      </bottom>
      <diagonal/>
    </border>
    <border>
      <left style="thin"/>
      <right/>
      <top style="medium"/>
      <bottom/>
      <diagonal/>
    </border>
    <border>
      <left style="medium">
        <color indexed="64"/>
      </left>
      <right style="medium">
        <color indexed="64"/>
      </right>
      <top style="medium">
        <color indexed="64"/>
      </top>
      <bottom/>
      <diagonal/>
    </border>
    <border>
      <left style="medium">
        <color theme="1"/>
      </left>
      <right/>
      <top/>
      <bottom/>
      <diagonal/>
    </border>
    <border>
      <left style="medium"/>
      <right style="medium"/>
      <top/>
      <bottom/>
      <diagonal/>
    </border>
    <border>
      <left style="thin"/>
      <right style="medium"/>
      <top/>
      <bottom style="medium"/>
      <diagonal/>
    </border>
    <border>
      <left style="medium"/>
      <right style="thin"/>
      <top style="medium"/>
      <bottom style="medium"/>
      <diagonal/>
    </border>
    <border>
      <left style="medium"/>
      <right style="thin"/>
      <top/>
      <bottom style="thin">
        <color indexed="64"/>
      </bottom>
      <diagonal/>
    </border>
    <border>
      <left style="thin"/>
      <right style="thin"/>
      <top/>
      <bottom style="thin">
        <color indexed="64"/>
      </bottom>
      <diagonal/>
    </border>
    <border>
      <left style="thin"/>
      <right style="medium"/>
      <top/>
      <bottom style="thin">
        <color indexed="64"/>
      </bottom>
      <diagonal/>
    </border>
    <border>
      <left/>
      <right style="thin"/>
      <top style="medium"/>
      <bottom style="medium"/>
      <diagonal/>
    </border>
    <border>
      <left style="thin"/>
      <right style="thin"/>
      <top style="medium"/>
      <bottom style="medium"/>
      <diagonal/>
    </border>
    <border>
      <left/>
      <right style="medium"/>
      <top style="medium"/>
      <bottom/>
      <diagonal/>
    </border>
    <border>
      <left/>
      <right/>
      <top style="medium"/>
      <bottom/>
      <diagonal/>
    </border>
    <border>
      <left style="medium"/>
      <right style="medium"/>
      <top style="thin"/>
      <bottom/>
      <diagonal/>
    </border>
    <border>
      <left/>
      <right/>
      <top style="thin"/>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medium"/>
      <bottom/>
      <diagonal/>
    </border>
    <border>
      <left style="thin">
        <color indexed="64"/>
      </left>
      <right style="thin">
        <color indexed="64"/>
      </right>
      <top style="thin">
        <color indexed="64"/>
      </top>
      <bottom/>
      <diagonal/>
    </border>
  </borders>
  <cellStyleXfs count="1">
    <xf numFmtId="0" fontId="0" fillId="0" borderId="0"/>
  </cellStyleXfs>
  <cellXfs count="630">
    <xf numFmtId="0" fontId="0" fillId="0" borderId="0" xfId="0"/>
    <xf numFmtId="0" fontId="1" fillId="0" borderId="1" xfId="0" applyFont="1" applyBorder="1" applyAlignment="1">
      <alignment vertical="center" wrapText="1"/>
    </xf>
    <xf numFmtId="164" fontId="2" fillId="2" borderId="2" xfId="0" applyNumberFormat="1" applyFont="1" applyFill="1" applyBorder="1" applyAlignment="1">
      <alignment horizontal="center" vertical="center" wrapText="1"/>
    </xf>
    <xf numFmtId="164" fontId="1" fillId="3" borderId="3" xfId="0"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164" fontId="1" fillId="4" borderId="5" xfId="0" applyNumberFormat="1" applyFont="1" applyFill="1" applyBorder="1" applyAlignment="1">
      <alignment horizontal="center" vertical="center" wrapText="1"/>
    </xf>
    <xf numFmtId="164" fontId="1" fillId="5" borderId="1" xfId="0" applyNumberFormat="1" applyFont="1" applyFill="1" applyBorder="1" applyAlignment="1">
      <alignment horizontal="center" vertical="center"/>
    </xf>
    <xf numFmtId="164" fontId="1" fillId="5" borderId="4" xfId="0" applyNumberFormat="1" applyFont="1" applyFill="1" applyBorder="1" applyAlignment="1">
      <alignment horizontal="center" vertical="center"/>
    </xf>
    <xf numFmtId="164" fontId="1" fillId="5" borderId="6" xfId="0" applyNumberFormat="1" applyFont="1" applyFill="1" applyBorder="1" applyAlignment="1">
      <alignment horizontal="center" vertical="center"/>
    </xf>
    <xf numFmtId="164" fontId="1" fillId="5" borderId="7" xfId="0"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0" fontId="1" fillId="4" borderId="8" xfId="0" applyFont="1" applyFill="1" applyBorder="1" applyAlignment="1">
      <alignment vertical="center"/>
    </xf>
    <xf numFmtId="0" fontId="1" fillId="4" borderId="1" xfId="0" applyFont="1" applyFill="1" applyBorder="1" applyAlignment="1">
      <alignment vertical="center"/>
    </xf>
    <xf numFmtId="0" fontId="1" fillId="4" borderId="4" xfId="0" applyFont="1" applyFill="1" applyBorder="1" applyAlignment="1">
      <alignment vertical="center"/>
    </xf>
    <xf numFmtId="165" fontId="3" fillId="4" borderId="4" xfId="0" applyNumberFormat="1" applyFont="1" applyFill="1" applyBorder="1"/>
    <xf numFmtId="0" fontId="3" fillId="4" borderId="7" xfId="0" applyFont="1" applyFill="1" applyBorder="1"/>
    <xf numFmtId="164" fontId="3" fillId="4" borderId="4" xfId="0" applyNumberFormat="1" applyFont="1" applyFill="1" applyBorder="1"/>
    <xf numFmtId="164" fontId="3" fillId="4" borderId="6" xfId="0" applyNumberFormat="1" applyFont="1" applyFill="1" applyBorder="1"/>
    <xf numFmtId="164" fontId="3" fillId="4" borderId="7" xfId="0" applyNumberFormat="1" applyFont="1" applyFill="1" applyBorder="1"/>
    <xf numFmtId="0" fontId="4" fillId="0" borderId="9" xfId="0" applyFont="1" applyBorder="1" applyAlignment="1">
      <alignment horizontal="left" vertical="center"/>
    </xf>
    <xf numFmtId="164" fontId="4" fillId="0" borderId="10" xfId="0" applyNumberFormat="1" applyFont="1" applyBorder="1" applyAlignment="1">
      <alignment horizontal="center" vertical="center"/>
    </xf>
    <xf numFmtId="164" fontId="3" fillId="0" borderId="10" xfId="0" applyNumberFormat="1" applyFont="1" applyBorder="1" applyAlignment="1">
      <alignment horizontal="center" vertical="center"/>
    </xf>
    <xf numFmtId="165" fontId="3" fillId="0" borderId="10" xfId="0" applyNumberFormat="1" applyFont="1" applyBorder="1" applyAlignment="1">
      <alignment vertical="center"/>
    </xf>
    <xf numFmtId="164" fontId="3" fillId="0" borderId="10" xfId="0" applyNumberFormat="1" applyFont="1" applyBorder="1" applyAlignment="1">
      <alignment vertical="center"/>
    </xf>
    <xf numFmtId="164" fontId="3" fillId="0" borderId="11" xfId="0" applyNumberFormat="1" applyFont="1" applyBorder="1" applyAlignment="1">
      <alignment vertical="center"/>
    </xf>
    <xf numFmtId="164" fontId="3" fillId="0" borderId="12" xfId="0" applyNumberFormat="1" applyFont="1" applyBorder="1" applyAlignment="1">
      <alignment vertical="center"/>
    </xf>
    <xf numFmtId="0" fontId="3" fillId="0" borderId="9" xfId="0" applyFont="1" applyBorder="1" applyAlignment="1">
      <alignment vertical="center"/>
    </xf>
    <xf numFmtId="164" fontId="4" fillId="0" borderId="9" xfId="0" applyNumberFormat="1" applyFont="1" applyBorder="1" applyAlignment="1">
      <alignment horizontal="center" vertical="center"/>
    </xf>
    <xf numFmtId="164" fontId="3" fillId="0" borderId="9" xfId="0" applyNumberFormat="1" applyFont="1" applyBorder="1" applyAlignment="1">
      <alignment vertical="center"/>
    </xf>
    <xf numFmtId="164" fontId="3" fillId="7" borderId="9" xfId="0" applyNumberFormat="1" applyFont="1" applyFill="1" applyBorder="1" applyAlignment="1">
      <alignment vertical="center"/>
    </xf>
    <xf numFmtId="164" fontId="4" fillId="0" borderId="13" xfId="0" applyNumberFormat="1" applyFont="1" applyBorder="1" applyAlignment="1">
      <alignment horizontal="center" vertical="center"/>
    </xf>
    <xf numFmtId="0" fontId="3" fillId="0" borderId="9" xfId="0" applyFont="1" applyBorder="1" applyAlignment="1">
      <alignment vertical="center" wrapText="1"/>
    </xf>
    <xf numFmtId="164" fontId="4" fillId="0" borderId="14" xfId="0" applyNumberFormat="1" applyFont="1" applyBorder="1" applyAlignment="1">
      <alignment horizontal="center" vertical="center"/>
    </xf>
    <xf numFmtId="164" fontId="3" fillId="0" borderId="15" xfId="0" applyNumberFormat="1" applyFont="1" applyBorder="1" applyAlignment="1">
      <alignment vertical="center"/>
    </xf>
    <xf numFmtId="0" fontId="1" fillId="0" borderId="16" xfId="0" applyFont="1" applyBorder="1" applyAlignment="1">
      <alignment vertical="center"/>
    </xf>
    <xf numFmtId="164" fontId="5" fillId="0" borderId="17" xfId="0" applyNumberFormat="1" applyFont="1" applyBorder="1" applyAlignment="1">
      <alignment horizontal="center" vertical="center"/>
    </xf>
    <xf numFmtId="164" fontId="5" fillId="0" borderId="18" xfId="0" applyNumberFormat="1" applyFont="1" applyBorder="1" applyAlignment="1">
      <alignment horizontal="center" vertical="center"/>
    </xf>
    <xf numFmtId="164" fontId="5" fillId="0" borderId="19" xfId="0" applyNumberFormat="1" applyFont="1" applyBorder="1" applyAlignment="1">
      <alignment horizontal="center" vertical="center"/>
    </xf>
    <xf numFmtId="164" fontId="5" fillId="0" borderId="16" xfId="0" applyNumberFormat="1" applyFont="1" applyBorder="1" applyAlignment="1">
      <alignment vertical="center"/>
    </xf>
    <xf numFmtId="0" fontId="6" fillId="0" borderId="0" xfId="0" applyFont="1" applyAlignment="1">
      <alignment horizontal="center" vertical="center"/>
    </xf>
    <xf numFmtId="0" fontId="7" fillId="8" borderId="4" xfId="0" applyFont="1" applyFill="1" applyBorder="1"/>
    <xf numFmtId="0" fontId="7" fillId="8" borderId="1" xfId="0" applyFont="1" applyFill="1" applyBorder="1"/>
    <xf numFmtId="0" fontId="7" fillId="8" borderId="6" xfId="0" applyFont="1" applyFill="1" applyBorder="1"/>
    <xf numFmtId="0" fontId="7" fillId="8" borderId="7" xfId="0" applyFont="1" applyFill="1" applyBorder="1"/>
    <xf numFmtId="0" fontId="7" fillId="8" borderId="1" xfId="0" applyFont="1" applyFill="1" applyBorder="1" applyAlignment="1">
      <alignment horizontal="right"/>
    </xf>
    <xf numFmtId="0" fontId="7" fillId="8" borderId="7" xfId="0" applyFont="1" applyFill="1" applyBorder="1" applyAlignment="1">
      <alignment horizontal="right"/>
    </xf>
    <xf numFmtId="0" fontId="0" fillId="0" borderId="12" xfId="0" applyBorder="1" applyAlignment="1">
      <alignment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1" xfId="0" applyBorder="1" applyAlignment="1">
      <alignment horizontal="left" vertical="center" wrapText="1"/>
    </xf>
    <xf numFmtId="0" fontId="0" fillId="0" borderId="22" xfId="0" applyBorder="1" applyAlignment="1">
      <alignment vertical="center"/>
    </xf>
    <xf numFmtId="0" fontId="0" fillId="0" borderId="23" xfId="0" applyBorder="1" applyAlignment="1">
      <alignment vertical="center"/>
    </xf>
    <xf numFmtId="164" fontId="0" fillId="0" borderId="22" xfId="0" applyNumberFormat="1" applyBorder="1" applyAlignment="1">
      <alignment horizontal="left" vertical="center"/>
    </xf>
    <xf numFmtId="164" fontId="0" fillId="0" borderId="23" xfId="0" applyNumberFormat="1" applyBorder="1" applyAlignment="1">
      <alignment horizontal="left" vertical="center"/>
    </xf>
    <xf numFmtId="0" fontId="0" fillId="0" borderId="9" xfId="0" applyBorder="1" applyAlignment="1">
      <alignment vertical="center"/>
    </xf>
    <xf numFmtId="0" fontId="0" fillId="0" borderId="1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164" fontId="0" fillId="0" borderId="13" xfId="0" applyNumberFormat="1" applyBorder="1" applyAlignment="1">
      <alignment horizontal="left" vertical="center"/>
    </xf>
    <xf numFmtId="164" fontId="0" fillId="0" borderId="25" xfId="0" applyNumberFormat="1" applyBorder="1" applyAlignment="1">
      <alignment horizontal="left" vertical="center"/>
    </xf>
    <xf numFmtId="0" fontId="0" fillId="0" borderId="9" xfId="0" applyBorder="1"/>
    <xf numFmtId="0" fontId="0" fillId="0" borderId="1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13" xfId="0" applyBorder="1" applyAlignment="1">
      <alignment vertical="center"/>
    </xf>
    <xf numFmtId="0" fontId="0" fillId="0" borderId="25" xfId="0" applyBorder="1" applyAlignment="1">
      <alignment vertical="center"/>
    </xf>
    <xf numFmtId="4" fontId="0" fillId="0" borderId="26" xfId="0" applyNumberFormat="1" applyBorder="1" applyAlignment="1">
      <alignment horizontal="right" vertical="center"/>
    </xf>
    <xf numFmtId="4" fontId="0" fillId="0" borderId="27" xfId="0" applyNumberFormat="1" applyBorder="1" applyAlignment="1">
      <alignment horizontal="right" vertical="center"/>
    </xf>
    <xf numFmtId="0" fontId="0" fillId="0" borderId="1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164" fontId="0" fillId="0" borderId="13" xfId="0" applyNumberFormat="1" applyBorder="1" applyAlignment="1">
      <alignment horizontal="center"/>
    </xf>
    <xf numFmtId="164" fontId="0" fillId="0" borderId="25" xfId="0" applyNumberFormat="1" applyBorder="1" applyAlignment="1">
      <alignment horizontal="center"/>
    </xf>
    <xf numFmtId="0" fontId="0" fillId="0" borderId="0" xfId="0" applyAlignment="1">
      <alignment horizontal="left" wrapText="1"/>
    </xf>
    <xf numFmtId="0" fontId="0" fillId="0" borderId="9" xfId="0" applyBorder="1" applyAlignment="1">
      <alignment horizontal="left" wrapText="1"/>
    </xf>
    <xf numFmtId="0" fontId="0" fillId="0" borderId="13" xfId="0"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164" fontId="0" fillId="0" borderId="13" xfId="0" applyNumberFormat="1" applyBorder="1" applyAlignment="1">
      <alignment horizontal="left" wrapText="1"/>
    </xf>
    <xf numFmtId="164" fontId="0" fillId="0" borderId="25" xfId="0" applyNumberFormat="1" applyBorder="1" applyAlignment="1">
      <alignment horizontal="left" wrapText="1"/>
    </xf>
    <xf numFmtId="0" fontId="0" fillId="0" borderId="0" xfId="0" applyAlignment="1">
      <alignment vertical="center"/>
    </xf>
    <xf numFmtId="0" fontId="0" fillId="0" borderId="13" xfId="0" applyBorder="1" applyAlignment="1">
      <alignment horizontal="left" vertical="center" wrapText="1"/>
    </xf>
    <xf numFmtId="0" fontId="0" fillId="0" borderId="24" xfId="0" applyBorder="1" applyAlignment="1">
      <alignment horizontal="left" vertical="center"/>
    </xf>
    <xf numFmtId="0" fontId="0" fillId="0" borderId="25" xfId="0" applyBorder="1" applyAlignment="1">
      <alignment horizontal="left" vertical="center"/>
    </xf>
    <xf numFmtId="0" fontId="0" fillId="0" borderId="25" xfId="0" applyBorder="1" applyAlignment="1">
      <alignment horizontal="left" vertical="center" wrapText="1"/>
    </xf>
    <xf numFmtId="164" fontId="0" fillId="0" borderId="13" xfId="0" applyNumberFormat="1" applyBorder="1" applyAlignment="1">
      <alignment horizontal="center" vertical="center"/>
    </xf>
    <xf numFmtId="164" fontId="0" fillId="0" borderId="25" xfId="0" applyNumberFormat="1" applyBorder="1" applyAlignment="1">
      <alignment horizontal="center" vertical="center"/>
    </xf>
    <xf numFmtId="0" fontId="0" fillId="0" borderId="16" xfId="0" applyBorder="1"/>
    <xf numFmtId="0" fontId="0" fillId="0" borderId="17" xfId="0" applyBorder="1" applyAlignment="1">
      <alignment horizontal="left"/>
    </xf>
    <xf numFmtId="0" fontId="0" fillId="0" borderId="28" xfId="0" applyBorder="1" applyAlignment="1">
      <alignment horizontal="left"/>
    </xf>
    <xf numFmtId="0" fontId="0" fillId="0" borderId="29" xfId="0" applyBorder="1" applyAlignment="1">
      <alignment horizontal="left"/>
    </xf>
    <xf numFmtId="164" fontId="0" fillId="0" borderId="17" xfId="0" applyNumberFormat="1" applyBorder="1" applyAlignment="1">
      <alignment horizontal="center"/>
    </xf>
    <xf numFmtId="164" fontId="0" fillId="0" borderId="29" xfId="0" applyNumberFormat="1" applyBorder="1" applyAlignment="1">
      <alignment horizontal="center"/>
    </xf>
    <xf numFmtId="0" fontId="0" fillId="0" borderId="4" xfId="0" applyBorder="1"/>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8" fillId="0" borderId="1" xfId="0" applyFont="1" applyBorder="1" applyAlignment="1">
      <alignment horizontal="right"/>
    </xf>
    <xf numFmtId="0" fontId="8" fillId="0" borderId="6" xfId="0" applyFont="1" applyBorder="1" applyAlignment="1">
      <alignment horizontal="right"/>
    </xf>
    <xf numFmtId="164" fontId="8" fillId="0" borderId="1" xfId="0" applyNumberFormat="1" applyFont="1" applyBorder="1" applyAlignment="1">
      <alignment horizontal="center"/>
    </xf>
    <xf numFmtId="164" fontId="8" fillId="0" borderId="7" xfId="0" applyNumberFormat="1" applyFont="1" applyBorder="1" applyAlignment="1">
      <alignment horizontal="center"/>
    </xf>
    <xf numFmtId="0" fontId="9" fillId="0" borderId="0" xfId="0" applyFont="1"/>
    <xf numFmtId="0" fontId="0" fillId="0" borderId="0" xfId="0" applyAlignment="1">
      <alignment horizontal="center"/>
    </xf>
    <xf numFmtId="0" fontId="1" fillId="4" borderId="6" xfId="0" applyFont="1" applyFill="1" applyBorder="1" applyAlignment="1">
      <alignment vertical="center"/>
    </xf>
    <xf numFmtId="0" fontId="3" fillId="4" borderId="7" xfId="0" applyFont="1" applyFill="1" applyBorder="1" applyAlignment="1">
      <alignment horizontal="center"/>
    </xf>
    <xf numFmtId="164" fontId="3" fillId="4" borderId="1" xfId="0" applyNumberFormat="1" applyFont="1" applyFill="1" applyBorder="1"/>
    <xf numFmtId="0" fontId="4" fillId="0" borderId="12" xfId="0" applyFont="1" applyBorder="1" applyAlignment="1">
      <alignment horizontal="left" vertical="center"/>
    </xf>
    <xf numFmtId="164" fontId="4" fillId="0" borderId="12" xfId="0" applyNumberFormat="1" applyFont="1" applyBorder="1" applyAlignment="1">
      <alignment horizontal="center" vertical="center"/>
    </xf>
    <xf numFmtId="164" fontId="3" fillId="0" borderId="21" xfId="0" applyNumberFormat="1" applyFont="1" applyBorder="1" applyAlignment="1">
      <alignment horizontal="center" vertical="center"/>
    </xf>
    <xf numFmtId="165" fontId="3" fillId="0" borderId="12" xfId="0" applyNumberFormat="1" applyFont="1" applyBorder="1" applyAlignment="1">
      <alignment vertical="center"/>
    </xf>
    <xf numFmtId="164" fontId="3" fillId="0" borderId="21" xfId="0" applyNumberFormat="1" applyFont="1" applyBorder="1" applyAlignment="1">
      <alignment vertical="center"/>
    </xf>
    <xf numFmtId="164" fontId="3" fillId="0" borderId="24" xfId="0" applyNumberFormat="1" applyFont="1" applyBorder="1" applyAlignment="1">
      <alignment vertical="center"/>
    </xf>
    <xf numFmtId="165" fontId="3" fillId="0" borderId="9" xfId="0" applyNumberFormat="1" applyFont="1" applyBorder="1" applyAlignment="1">
      <alignment vertical="center"/>
    </xf>
    <xf numFmtId="164" fontId="3" fillId="7" borderId="24" xfId="0" applyNumberFormat="1" applyFont="1" applyFill="1" applyBorder="1" applyAlignment="1">
      <alignment vertical="center"/>
    </xf>
    <xf numFmtId="0" fontId="3" fillId="0" borderId="10" xfId="0" applyFont="1" applyBorder="1" applyAlignment="1">
      <alignment vertical="center"/>
    </xf>
    <xf numFmtId="0" fontId="3" fillId="0" borderId="10" xfId="0" applyFont="1" applyBorder="1" applyAlignment="1">
      <alignment vertical="center" wrapText="1"/>
    </xf>
    <xf numFmtId="164" fontId="5" fillId="0" borderId="30" xfId="0" applyNumberFormat="1" applyFont="1" applyBorder="1" applyAlignment="1">
      <alignment horizontal="center" vertical="center"/>
    </xf>
    <xf numFmtId="164" fontId="5" fillId="0" borderId="16" xfId="0" applyNumberFormat="1" applyFont="1" applyBorder="1" applyAlignment="1">
      <alignment horizontal="center" vertical="center"/>
    </xf>
    <xf numFmtId="0" fontId="5" fillId="0" borderId="16" xfId="0" applyFont="1" applyBorder="1" applyAlignment="1">
      <alignment horizontal="center" vertical="center"/>
    </xf>
    <xf numFmtId="164" fontId="5" fillId="0" borderId="5" xfId="0" applyNumberFormat="1" applyFont="1" applyBorder="1" applyAlignment="1">
      <alignment vertical="center"/>
    </xf>
    <xf numFmtId="0" fontId="10" fillId="8" borderId="4" xfId="0" applyFont="1" applyFill="1" applyBorder="1"/>
    <xf numFmtId="0" fontId="10" fillId="8" borderId="1" xfId="0" applyFont="1" applyFill="1" applyBorder="1"/>
    <xf numFmtId="0" fontId="10" fillId="8" borderId="6" xfId="0" applyFont="1" applyFill="1" applyBorder="1"/>
    <xf numFmtId="0" fontId="10" fillId="8" borderId="7" xfId="0" applyFont="1" applyFill="1" applyBorder="1"/>
    <xf numFmtId="0" fontId="10" fillId="8" borderId="1" xfId="0" applyFont="1" applyFill="1" applyBorder="1" applyAlignment="1">
      <alignment horizontal="right"/>
    </xf>
    <xf numFmtId="0" fontId="10" fillId="8" borderId="7" xfId="0" applyFont="1" applyFill="1" applyBorder="1" applyAlignment="1">
      <alignment horizontal="right"/>
    </xf>
    <xf numFmtId="0" fontId="7" fillId="0" borderId="0" xfId="0" applyFont="1" applyAlignment="1">
      <alignment horizontal="left"/>
    </xf>
    <xf numFmtId="0" fontId="0" fillId="0" borderId="22" xfId="0" applyBorder="1" applyAlignment="1">
      <alignment vertical="center" wrapText="1"/>
    </xf>
    <xf numFmtId="0" fontId="0" fillId="0" borderId="31" xfId="0" applyBorder="1" applyAlignment="1">
      <alignment vertical="center" wrapText="1"/>
    </xf>
    <xf numFmtId="0" fontId="0" fillId="0" borderId="23" xfId="0" applyBorder="1" applyAlignment="1">
      <alignment vertical="center" wrapText="1"/>
    </xf>
    <xf numFmtId="0" fontId="0" fillId="0" borderId="31" xfId="0" applyBorder="1" applyAlignment="1">
      <alignment vertical="center"/>
    </xf>
    <xf numFmtId="164" fontId="0" fillId="0" borderId="0" xfId="0" applyNumberFormat="1" applyAlignment="1">
      <alignment horizontal="left" vertical="center"/>
    </xf>
    <xf numFmtId="164" fontId="0" fillId="0" borderId="0" xfId="0" applyNumberFormat="1" applyAlignment="1">
      <alignment vertical="center"/>
    </xf>
    <xf numFmtId="0" fontId="0" fillId="0" borderId="10" xfId="0" applyBorder="1" applyAlignment="1">
      <alignment horizontal="left" vertical="center"/>
    </xf>
    <xf numFmtId="0" fontId="0" fillId="0" borderId="24" xfId="0" applyBorder="1" applyAlignment="1">
      <alignment horizontal="left" vertical="center" wrapText="1"/>
    </xf>
    <xf numFmtId="164" fontId="0" fillId="0" borderId="0" xfId="0" applyNumberFormat="1" applyAlignment="1">
      <alignment horizontal="center" vertical="center"/>
    </xf>
    <xf numFmtId="0" fontId="0" fillId="0" borderId="0" xfId="0" applyAlignment="1">
      <alignment horizontal="left" vertical="center"/>
    </xf>
    <xf numFmtId="0" fontId="0" fillId="0" borderId="13" xfId="0" applyBorder="1"/>
    <xf numFmtId="0" fontId="0" fillId="0" borderId="24" xfId="0" applyBorder="1"/>
    <xf numFmtId="0" fontId="0" fillId="0" borderId="25" xfId="0" applyBorder="1"/>
    <xf numFmtId="0" fontId="0" fillId="0" borderId="24" xfId="0" applyBorder="1" applyAlignment="1">
      <alignment vertical="center"/>
    </xf>
    <xf numFmtId="4" fontId="0" fillId="0" borderId="13" xfId="0" applyNumberFormat="1" applyBorder="1" applyAlignment="1">
      <alignment horizontal="right" vertical="center"/>
    </xf>
    <xf numFmtId="4" fontId="0" fillId="0" borderId="25" xfId="0" applyNumberFormat="1" applyBorder="1" applyAlignment="1">
      <alignment horizontal="right" vertical="center"/>
    </xf>
    <xf numFmtId="164" fontId="0" fillId="0" borderId="13" xfId="0" applyNumberFormat="1" applyBorder="1"/>
    <xf numFmtId="164" fontId="0" fillId="0" borderId="25" xfId="0" applyNumberFormat="1" applyBorder="1"/>
    <xf numFmtId="164" fontId="0" fillId="0" borderId="13" xfId="0" applyNumberFormat="1" applyBorder="1" applyAlignment="1">
      <alignment horizontal="right"/>
    </xf>
    <xf numFmtId="164" fontId="0" fillId="0" borderId="25" xfId="0" applyNumberFormat="1" applyBorder="1" applyAlignment="1">
      <alignment horizontal="right"/>
    </xf>
    <xf numFmtId="0" fontId="0" fillId="0" borderId="1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vertical="top"/>
    </xf>
    <xf numFmtId="0" fontId="0" fillId="0" borderId="25" xfId="0" applyBorder="1" applyAlignment="1">
      <alignment horizontal="left" vertical="top"/>
    </xf>
    <xf numFmtId="164" fontId="0" fillId="0" borderId="13" xfId="0" applyNumberFormat="1" applyBorder="1" applyAlignment="1">
      <alignment horizontal="center" vertical="center" wrapText="1"/>
    </xf>
    <xf numFmtId="0" fontId="0" fillId="0" borderId="13" xfId="0" applyBorder="1" applyAlignment="1">
      <alignment horizontal="left" vertical="top"/>
    </xf>
    <xf numFmtId="0" fontId="0" fillId="0" borderId="24" xfId="0" applyBorder="1" applyAlignment="1">
      <alignment horizontal="left" vertical="top"/>
    </xf>
    <xf numFmtId="0" fontId="0" fillId="0" borderId="13"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13" xfId="0" applyBorder="1" applyAlignment="1">
      <alignment horizontal="center"/>
    </xf>
    <xf numFmtId="0" fontId="0" fillId="0" borderId="25" xfId="0" applyBorder="1" applyAlignment="1">
      <alignment horizontal="center"/>
    </xf>
    <xf numFmtId="0" fontId="0" fillId="0" borderId="19" xfId="0" applyBorder="1" applyAlignment="1">
      <alignment horizontal="left" vertical="top"/>
    </xf>
    <xf numFmtId="0" fontId="0" fillId="0" borderId="30" xfId="0" applyBorder="1" applyAlignment="1">
      <alignment horizontal="left" vertical="top"/>
    </xf>
    <xf numFmtId="0" fontId="0" fillId="0" borderId="5" xfId="0" applyBorder="1" applyAlignment="1">
      <alignment horizontal="left" vertical="top"/>
    </xf>
    <xf numFmtId="0" fontId="0" fillId="0" borderId="19" xfId="0" applyBorder="1" applyAlignment="1">
      <alignment horizontal="left"/>
    </xf>
    <xf numFmtId="0" fontId="0" fillId="0" borderId="30" xfId="0" applyBorder="1" applyAlignment="1">
      <alignment horizontal="left"/>
    </xf>
    <xf numFmtId="164" fontId="0" fillId="0" borderId="19" xfId="0" applyNumberFormat="1" applyBorder="1" applyAlignment="1">
      <alignment horizontal="right"/>
    </xf>
    <xf numFmtId="164" fontId="0" fillId="0" borderId="5" xfId="0" applyNumberFormat="1" applyBorder="1" applyAlignment="1">
      <alignment horizontal="right"/>
    </xf>
    <xf numFmtId="0" fontId="8" fillId="0" borderId="0" xfId="0" applyFont="1" applyAlignment="1">
      <alignment horizontal="center"/>
    </xf>
    <xf numFmtId="0" fontId="0" fillId="0" borderId="10" xfId="0" applyBorder="1" applyAlignment="1">
      <alignment vertical="center"/>
    </xf>
    <xf numFmtId="0" fontId="0" fillId="0" borderId="20" xfId="0" applyBorder="1" applyAlignment="1">
      <alignment vertical="center" wrapText="1"/>
    </xf>
    <xf numFmtId="0" fontId="0" fillId="0" borderId="21" xfId="0" applyBorder="1" applyAlignment="1">
      <alignment vertical="center" wrapText="1"/>
    </xf>
    <xf numFmtId="0" fontId="0" fillId="0" borderId="11" xfId="0" applyBorder="1" applyAlignment="1">
      <alignment vertical="center" wrapText="1"/>
    </xf>
    <xf numFmtId="0" fontId="0" fillId="0" borderId="13" xfId="0" applyBorder="1" applyAlignment="1">
      <alignment horizontal="left" vertical="center"/>
    </xf>
    <xf numFmtId="0" fontId="0" fillId="0" borderId="5" xfId="0" applyBorder="1" applyAlignment="1">
      <alignment horizontal="left"/>
    </xf>
    <xf numFmtId="0" fontId="0" fillId="0" borderId="19" xfId="0" applyBorder="1" applyAlignment="1">
      <alignment horizontal="center"/>
    </xf>
    <xf numFmtId="0" fontId="0" fillId="0" borderId="5" xfId="0" applyBorder="1" applyAlignment="1">
      <alignment horizontal="center"/>
    </xf>
    <xf numFmtId="0" fontId="11" fillId="0" borderId="1"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0" fillId="0" borderId="30" xfId="0" applyBorder="1" applyAlignment="1">
      <alignment horizontal="center"/>
    </xf>
    <xf numFmtId="164" fontId="2" fillId="2" borderId="32" xfId="0" applyNumberFormat="1" applyFont="1" applyFill="1" applyBorder="1" applyAlignment="1">
      <alignment horizontal="center" vertical="center" wrapText="1"/>
    </xf>
    <xf numFmtId="164" fontId="2" fillId="2" borderId="4" xfId="0" applyNumberFormat="1" applyFont="1" applyFill="1" applyBorder="1" applyAlignment="1">
      <alignment horizontal="center" vertical="center" wrapText="1"/>
    </xf>
    <xf numFmtId="164" fontId="2" fillId="2" borderId="33" xfId="0" applyNumberFormat="1" applyFont="1" applyFill="1" applyBorder="1" applyAlignment="1">
      <alignment horizontal="center" vertical="center" wrapText="1"/>
    </xf>
    <xf numFmtId="164" fontId="2" fillId="2" borderId="7" xfId="0" applyNumberFormat="1" applyFont="1" applyFill="1" applyBorder="1" applyAlignment="1">
      <alignment horizontal="center" vertical="center" wrapText="1"/>
    </xf>
    <xf numFmtId="164" fontId="1" fillId="3" borderId="7" xfId="0" applyNumberFormat="1" applyFont="1" applyFill="1" applyBorder="1" applyAlignment="1">
      <alignment horizontal="center" vertical="center" wrapText="1"/>
    </xf>
    <xf numFmtId="164" fontId="1" fillId="4" borderId="4" xfId="0" applyNumberFormat="1" applyFont="1" applyFill="1" applyBorder="1" applyAlignment="1">
      <alignment horizontal="center" vertical="center" wrapText="1"/>
    </xf>
    <xf numFmtId="0" fontId="1" fillId="4" borderId="7" xfId="0" applyFont="1" applyFill="1" applyBorder="1" applyAlignment="1">
      <alignment vertical="center"/>
    </xf>
    <xf numFmtId="0" fontId="4" fillId="0" borderId="10" xfId="0" applyFont="1" applyBorder="1" applyAlignment="1">
      <alignment horizontal="left" vertical="center"/>
    </xf>
    <xf numFmtId="164" fontId="3" fillId="0" borderId="9" xfId="0" applyNumberFormat="1" applyFont="1" applyBorder="1" applyAlignment="1">
      <alignment horizontal="center" vertical="center"/>
    </xf>
    <xf numFmtId="164" fontId="3" fillId="0" borderId="0" xfId="0" applyNumberFormat="1" applyFont="1" applyAlignment="1">
      <alignment vertical="center"/>
    </xf>
    <xf numFmtId="164" fontId="3" fillId="0" borderId="13" xfId="0" applyNumberFormat="1" applyFont="1" applyBorder="1" applyAlignment="1">
      <alignment horizontal="center" vertical="center"/>
    </xf>
    <xf numFmtId="164" fontId="3" fillId="0" borderId="13" xfId="0" applyNumberFormat="1" applyFont="1" applyBorder="1" applyAlignment="1">
      <alignment vertical="center"/>
    </xf>
    <xf numFmtId="164" fontId="5" fillId="0" borderId="18" xfId="0" applyNumberFormat="1" applyFont="1" applyBorder="1" applyAlignment="1">
      <alignment vertical="center"/>
    </xf>
    <xf numFmtId="0" fontId="5" fillId="0" borderId="19" xfId="0" applyFont="1" applyBorder="1" applyAlignment="1">
      <alignment horizontal="center" vertical="center"/>
    </xf>
    <xf numFmtId="0" fontId="12" fillId="0" borderId="12" xfId="0" applyFont="1" applyBorder="1" applyAlignment="1">
      <alignment vertical="center"/>
    </xf>
    <xf numFmtId="0" fontId="12" fillId="0" borderId="10" xfId="0" applyFont="1" applyBorder="1"/>
    <xf numFmtId="0" fontId="12" fillId="0" borderId="9" xfId="0" applyFont="1" applyBorder="1"/>
    <xf numFmtId="0" fontId="0" fillId="0" borderId="24" xfId="0" applyBorder="1" applyAlignment="1">
      <alignment horizontal="center"/>
    </xf>
    <xf numFmtId="0" fontId="13" fillId="0" borderId="30" xfId="0" applyFon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1" fillId="3" borderId="4" xfId="0" applyNumberFormat="1" applyFont="1" applyFill="1" applyBorder="1" applyAlignment="1">
      <alignment horizontal="center" vertical="center" wrapText="1"/>
    </xf>
    <xf numFmtId="164" fontId="0" fillId="0" borderId="0" xfId="0" applyNumberFormat="1"/>
    <xf numFmtId="0" fontId="6" fillId="0" borderId="0" xfId="0" applyFont="1" applyAlignment="1">
      <alignment horizontal="center"/>
    </xf>
    <xf numFmtId="164" fontId="7" fillId="0" borderId="0" xfId="0" applyNumberFormat="1" applyFont="1" applyAlignment="1">
      <alignment horizontal="right"/>
    </xf>
    <xf numFmtId="0" fontId="0" fillId="0" borderId="21" xfId="0" applyBorder="1" applyAlignment="1">
      <alignment vertical="center"/>
    </xf>
    <xf numFmtId="164" fontId="0" fillId="0" borderId="20"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24" xfId="0" applyNumberFormat="1" applyBorder="1" applyAlignment="1">
      <alignment horizontal="center"/>
    </xf>
    <xf numFmtId="0" fontId="0" fillId="0" borderId="34" xfId="0" applyBorder="1" applyAlignment="1">
      <alignment vertical="center"/>
    </xf>
    <xf numFmtId="164" fontId="0" fillId="0" borderId="13" xfId="0" applyNumberFormat="1" applyBorder="1" applyAlignment="1">
      <alignment horizontal="right" vertical="center"/>
    </xf>
    <xf numFmtId="164" fontId="0" fillId="0" borderId="25" xfId="0" applyNumberFormat="1" applyBorder="1" applyAlignment="1">
      <alignment horizontal="right" vertical="center"/>
    </xf>
    <xf numFmtId="0" fontId="0" fillId="0" borderId="35" xfId="0" applyBorder="1"/>
    <xf numFmtId="164" fontId="0" fillId="0" borderId="17" xfId="0" applyNumberFormat="1" applyBorder="1" applyAlignment="1">
      <alignment horizontal="right"/>
    </xf>
    <xf numFmtId="164" fontId="0" fillId="0" borderId="29" xfId="0" applyNumberFormat="1" applyBorder="1" applyAlignment="1">
      <alignment horizontal="right"/>
    </xf>
    <xf numFmtId="0" fontId="0" fillId="0" borderId="20" xfId="0" applyBorder="1" applyAlignment="1">
      <alignment vertical="center"/>
    </xf>
    <xf numFmtId="0" fontId="0" fillId="0" borderId="17" xfId="0" applyBorder="1" applyAlignment="1">
      <alignment horizontal="right"/>
    </xf>
    <xf numFmtId="0" fontId="0" fillId="0" borderId="29" xfId="0" applyBorder="1" applyAlignment="1">
      <alignment horizontal="right"/>
    </xf>
    <xf numFmtId="0" fontId="14" fillId="0" borderId="1"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7" fillId="8" borderId="1" xfId="0" applyFont="1" applyFill="1" applyBorder="1" applyAlignment="1">
      <alignment horizontal="left"/>
    </xf>
    <xf numFmtId="0" fontId="7" fillId="8" borderId="7" xfId="0" applyFont="1" applyFill="1" applyBorder="1" applyAlignment="1">
      <alignment horizontal="left"/>
    </xf>
    <xf numFmtId="164" fontId="0" fillId="0" borderId="22" xfId="0" applyNumberFormat="1" applyBorder="1" applyAlignment="1">
      <alignment horizontal="center" vertical="center"/>
    </xf>
    <xf numFmtId="164" fontId="0" fillId="0" borderId="23" xfId="0" applyNumberFormat="1" applyBorder="1" applyAlignment="1">
      <alignment horizontal="center"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16" xfId="0" applyBorder="1" applyAlignment="1">
      <alignment horizontal="left"/>
    </xf>
    <xf numFmtId="0" fontId="8" fillId="0" borderId="7" xfId="0" applyFont="1" applyBorder="1" applyAlignment="1">
      <alignment horizontal="right"/>
    </xf>
    <xf numFmtId="0" fontId="15" fillId="0" borderId="20" xfId="0" applyFont="1" applyBorder="1" applyAlignment="1">
      <alignment vertical="center" wrapText="1"/>
    </xf>
    <xf numFmtId="0" fontId="15" fillId="0" borderId="21" xfId="0" applyFont="1" applyBorder="1" applyAlignment="1">
      <alignment vertical="center" wrapText="1"/>
    </xf>
    <xf numFmtId="0" fontId="15" fillId="0" borderId="11" xfId="0" applyFont="1" applyBorder="1" applyAlignment="1">
      <alignment vertical="center" wrapText="1"/>
    </xf>
    <xf numFmtId="164" fontId="0" fillId="0" borderId="20" xfId="0" applyNumberFormat="1" applyBorder="1" applyAlignment="1">
      <alignment horizontal="right" vertical="center"/>
    </xf>
    <xf numFmtId="164" fontId="0" fillId="0" borderId="11" xfId="0" applyNumberFormat="1" applyBorder="1" applyAlignment="1">
      <alignment horizontal="right" vertical="center"/>
    </xf>
    <xf numFmtId="0" fontId="0" fillId="0" borderId="0" xfId="0" applyAlignment="1">
      <alignment horizontal="left" vertical="center" wrapText="1"/>
    </xf>
    <xf numFmtId="0" fontId="7" fillId="0" borderId="0" xfId="0" applyFont="1" applyAlignment="1">
      <alignment vertical="center"/>
    </xf>
    <xf numFmtId="0" fontId="14" fillId="0" borderId="30" xfId="0" applyFont="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164" fontId="5" fillId="0" borderId="36" xfId="0" applyNumberFormat="1" applyFont="1" applyBorder="1" applyAlignment="1">
      <alignment vertical="center"/>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10" xfId="0" applyBorder="1" applyAlignment="1">
      <alignment vertical="center" wrapText="1"/>
    </xf>
    <xf numFmtId="164" fontId="0" fillId="0" borderId="20" xfId="0" applyNumberFormat="1" applyBorder="1" applyAlignment="1">
      <alignment vertical="center"/>
    </xf>
    <xf numFmtId="164" fontId="0" fillId="0" borderId="11" xfId="0" applyNumberFormat="1" applyBorder="1" applyAlignment="1">
      <alignment vertical="center"/>
    </xf>
    <xf numFmtId="164" fontId="0" fillId="0" borderId="13" xfId="0" applyNumberFormat="1" applyBorder="1" applyAlignment="1">
      <alignment vertical="center"/>
    </xf>
    <xf numFmtId="164" fontId="0" fillId="0" borderId="25" xfId="0" applyNumberFormat="1" applyBorder="1" applyAlignment="1">
      <alignment vertical="center"/>
    </xf>
    <xf numFmtId="0" fontId="0" fillId="0" borderId="17" xfId="0" applyBorder="1" applyAlignment="1">
      <alignment horizontal="center"/>
    </xf>
    <xf numFmtId="0" fontId="0" fillId="0" borderId="29" xfId="0" applyBorder="1" applyAlignment="1">
      <alignment horizontal="center"/>
    </xf>
    <xf numFmtId="0" fontId="0" fillId="0" borderId="11" xfId="0" applyBorder="1" applyAlignment="1">
      <alignment vertical="center"/>
    </xf>
    <xf numFmtId="0" fontId="0" fillId="0" borderId="9" xfId="0" applyBorder="1" applyAlignment="1">
      <alignment horizontal="left"/>
    </xf>
    <xf numFmtId="0" fontId="0" fillId="0" borderId="30" xfId="0" applyBorder="1" applyAlignment="1">
      <alignment horizontal="center" vertical="center"/>
    </xf>
    <xf numFmtId="0" fontId="13" fillId="0" borderId="1"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 fillId="0" borderId="37" xfId="0" applyFont="1" applyBorder="1" applyAlignment="1">
      <alignment horizontal="center" vertical="center" wrapText="1"/>
    </xf>
    <xf numFmtId="0" fontId="4" fillId="0" borderId="20" xfId="0" applyFont="1" applyBorder="1" applyAlignment="1">
      <alignment horizontal="left" vertical="center"/>
    </xf>
    <xf numFmtId="0" fontId="4" fillId="0" borderId="10" xfId="0" applyFont="1" applyBorder="1" applyAlignment="1">
      <alignment horizontal="center"/>
    </xf>
    <xf numFmtId="164" fontId="4" fillId="0" borderId="21" xfId="0" applyNumberFormat="1" applyFont="1" applyBorder="1" applyAlignment="1">
      <alignment horizontal="center" vertical="center"/>
    </xf>
    <xf numFmtId="164" fontId="3" fillId="0" borderId="11" xfId="0" applyNumberFormat="1" applyFont="1" applyBorder="1" applyAlignment="1">
      <alignment horizontal="center" vertical="center"/>
    </xf>
    <xf numFmtId="164" fontId="3" fillId="0" borderId="20" xfId="0" applyNumberFormat="1" applyFont="1" applyBorder="1" applyAlignment="1">
      <alignment vertical="center"/>
    </xf>
    <xf numFmtId="0" fontId="4" fillId="0" borderId="13" xfId="0" applyFont="1" applyBorder="1" applyAlignment="1">
      <alignment horizontal="left" vertical="center"/>
    </xf>
    <xf numFmtId="0" fontId="4" fillId="0" borderId="9" xfId="0" applyFont="1" applyBorder="1" applyAlignment="1">
      <alignment horizontal="center"/>
    </xf>
    <xf numFmtId="164" fontId="4" fillId="0" borderId="24" xfId="0" applyNumberFormat="1" applyFont="1" applyBorder="1" applyAlignment="1">
      <alignment horizontal="center" vertical="center"/>
    </xf>
    <xf numFmtId="164" fontId="3" fillId="0" borderId="25" xfId="0" applyNumberFormat="1" applyFont="1" applyBorder="1" applyAlignment="1">
      <alignment horizontal="center" vertical="center"/>
    </xf>
    <xf numFmtId="0" fontId="3" fillId="0" borderId="13" xfId="0" applyFont="1" applyBorder="1" applyAlignment="1">
      <alignment vertical="center"/>
    </xf>
    <xf numFmtId="0" fontId="3" fillId="0" borderId="9" xfId="0" applyFont="1" applyBorder="1" applyAlignment="1">
      <alignment horizontal="center"/>
    </xf>
    <xf numFmtId="0" fontId="3" fillId="0" borderId="13" xfId="0" applyFont="1" applyBorder="1" applyAlignment="1">
      <alignment vertical="center" wrapText="1"/>
    </xf>
    <xf numFmtId="164" fontId="3" fillId="0" borderId="24" xfId="0" applyNumberFormat="1" applyFont="1" applyBorder="1" applyAlignment="1">
      <alignment horizontal="center" vertical="center"/>
    </xf>
    <xf numFmtId="0" fontId="1" fillId="0" borderId="19" xfId="0" applyFont="1" applyBorder="1" applyAlignment="1">
      <alignment vertical="center"/>
    </xf>
    <xf numFmtId="0" fontId="0" fillId="0" borderId="0" xfId="0" applyAlignment="1">
      <alignment horizontal="left"/>
    </xf>
    <xf numFmtId="0" fontId="7" fillId="8" borderId="6" xfId="0" applyFont="1" applyFill="1" applyBorder="1" applyAlignment="1">
      <alignment horizontal="right"/>
    </xf>
    <xf numFmtId="0" fontId="16" fillId="0" borderId="9" xfId="0" applyFont="1" applyBorder="1" applyAlignment="1">
      <alignment vertical="center"/>
    </xf>
    <xf numFmtId="0" fontId="16" fillId="0" borderId="13" xfId="0" applyFont="1" applyBorder="1" applyAlignment="1">
      <alignment vertical="center" wrapText="1"/>
    </xf>
    <xf numFmtId="0" fontId="16" fillId="0" borderId="24" xfId="0" applyFont="1" applyBorder="1" applyAlignment="1">
      <alignment vertical="center" wrapText="1"/>
    </xf>
    <xf numFmtId="0" fontId="16" fillId="0" borderId="25" xfId="0" applyFont="1" applyBorder="1" applyAlignment="1">
      <alignment vertical="center" wrapText="1"/>
    </xf>
    <xf numFmtId="0" fontId="16" fillId="0" borderId="22" xfId="0" applyFont="1" applyBorder="1" applyAlignment="1">
      <alignment horizontal="left" vertical="center" wrapText="1"/>
    </xf>
    <xf numFmtId="0" fontId="16" fillId="0" borderId="31" xfId="0" applyFont="1" applyBorder="1" applyAlignment="1">
      <alignment horizontal="left" vertical="center"/>
    </xf>
    <xf numFmtId="164" fontId="17" fillId="0" borderId="22" xfId="0" applyNumberFormat="1" applyFont="1" applyBorder="1" applyAlignment="1">
      <alignment horizontal="center" vertical="center"/>
    </xf>
    <xf numFmtId="164" fontId="17" fillId="0" borderId="31" xfId="0" applyNumberFormat="1" applyFont="1" applyBorder="1" applyAlignment="1">
      <alignment horizontal="center" vertical="center"/>
    </xf>
    <xf numFmtId="164" fontId="17" fillId="0" borderId="23" xfId="0" applyNumberFormat="1" applyFont="1" applyBorder="1" applyAlignment="1">
      <alignment horizontal="center" vertical="center"/>
    </xf>
    <xf numFmtId="0" fontId="16" fillId="0" borderId="10" xfId="0" applyFont="1" applyBorder="1" applyAlignment="1">
      <alignment horizontal="left" vertical="center"/>
    </xf>
    <xf numFmtId="0" fontId="16" fillId="0" borderId="13" xfId="0" applyFont="1" applyBorder="1" applyAlignment="1">
      <alignment horizontal="lef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16" fillId="0" borderId="20" xfId="0" applyFont="1" applyBorder="1" applyAlignment="1">
      <alignment horizontal="left" vertical="center" wrapText="1"/>
    </xf>
    <xf numFmtId="0" fontId="16" fillId="0" borderId="21" xfId="0" applyFont="1" applyBorder="1" applyAlignment="1">
      <alignment horizontal="left" vertical="center" wrapText="1"/>
    </xf>
    <xf numFmtId="164" fontId="17" fillId="0" borderId="38" xfId="0" applyNumberFormat="1" applyFont="1" applyBorder="1" applyAlignment="1">
      <alignment horizontal="left" vertical="center"/>
    </xf>
    <xf numFmtId="164" fontId="17" fillId="0" borderId="39" xfId="0" applyNumberFormat="1" applyFont="1" applyBorder="1" applyAlignment="1">
      <alignment horizontal="left" vertical="center"/>
    </xf>
    <xf numFmtId="164" fontId="17" fillId="0" borderId="40" xfId="0" applyNumberFormat="1" applyFont="1" applyBorder="1" applyAlignment="1">
      <alignment horizontal="left" vertical="center"/>
    </xf>
    <xf numFmtId="0" fontId="16" fillId="0" borderId="13" xfId="0" applyFont="1" applyBorder="1" applyAlignment="1">
      <alignment horizontal="left" vertical="center"/>
    </xf>
    <xf numFmtId="0" fontId="16" fillId="0" borderId="24" xfId="0" applyFont="1" applyBorder="1" applyAlignment="1">
      <alignment horizontal="left" vertical="center"/>
    </xf>
    <xf numFmtId="164" fontId="17" fillId="0" borderId="13" xfId="0" applyNumberFormat="1" applyFont="1" applyBorder="1" applyAlignment="1">
      <alignment horizontal="center" vertical="center"/>
    </xf>
    <xf numFmtId="164" fontId="17" fillId="0" borderId="24" xfId="0" applyNumberFormat="1" applyFont="1" applyBorder="1" applyAlignment="1">
      <alignment horizontal="center" vertical="center"/>
    </xf>
    <xf numFmtId="164" fontId="17" fillId="0" borderId="25" xfId="0" applyNumberFormat="1" applyFont="1" applyBorder="1" applyAlignment="1">
      <alignment horizontal="center" vertical="center"/>
    </xf>
    <xf numFmtId="0" fontId="16" fillId="0" borderId="10" xfId="0" applyFont="1" applyBorder="1" applyAlignment="1">
      <alignment vertical="center"/>
    </xf>
    <xf numFmtId="0" fontId="16" fillId="0" borderId="20" xfId="0" applyFont="1" applyBorder="1" applyAlignment="1">
      <alignment vertical="center" wrapText="1"/>
    </xf>
    <xf numFmtId="0" fontId="16" fillId="0" borderId="21" xfId="0" applyFont="1" applyBorder="1" applyAlignment="1">
      <alignment vertical="center" wrapText="1"/>
    </xf>
    <xf numFmtId="0" fontId="16" fillId="0" borderId="11" xfId="0" applyFont="1" applyBorder="1" applyAlignment="1">
      <alignment vertical="center" wrapText="1"/>
    </xf>
    <xf numFmtId="0" fontId="16" fillId="0" borderId="24" xfId="0" applyFont="1" applyBorder="1" applyAlignment="1">
      <alignment vertical="center"/>
    </xf>
    <xf numFmtId="164" fontId="16" fillId="0" borderId="13" xfId="0" applyNumberFormat="1" applyFont="1" applyBorder="1" applyAlignment="1">
      <alignment horizontal="center" vertical="center"/>
    </xf>
    <xf numFmtId="164" fontId="16" fillId="0" borderId="24" xfId="0" applyNumberFormat="1" applyFont="1" applyBorder="1" applyAlignment="1">
      <alignment horizontal="center" vertical="center"/>
    </xf>
    <xf numFmtId="164" fontId="16" fillId="0" borderId="25" xfId="0" applyNumberFormat="1" applyFont="1" applyBorder="1" applyAlignment="1">
      <alignment horizontal="center" vertical="center"/>
    </xf>
    <xf numFmtId="0" fontId="16" fillId="0" borderId="9" xfId="0" applyFont="1" applyBorder="1" applyAlignment="1">
      <alignment horizontal="left" vertical="center"/>
    </xf>
    <xf numFmtId="164" fontId="16" fillId="0" borderId="20" xfId="0" applyNumberFormat="1" applyFont="1" applyBorder="1" applyAlignment="1">
      <alignment horizontal="left" vertical="center"/>
    </xf>
    <xf numFmtId="164" fontId="16" fillId="0" borderId="21" xfId="0" applyNumberFormat="1" applyFont="1" applyBorder="1" applyAlignment="1">
      <alignment horizontal="left" vertical="center"/>
    </xf>
    <xf numFmtId="164" fontId="16" fillId="0" borderId="11" xfId="0" applyNumberFormat="1" applyFont="1" applyBorder="1" applyAlignment="1">
      <alignment horizontal="left" vertical="center"/>
    </xf>
    <xf numFmtId="164" fontId="16" fillId="0" borderId="13" xfId="0" applyNumberFormat="1" applyFont="1" applyBorder="1" applyAlignment="1">
      <alignment horizontal="left" vertical="center"/>
    </xf>
    <xf numFmtId="164" fontId="16" fillId="0" borderId="24" xfId="0" applyNumberFormat="1" applyFont="1" applyBorder="1" applyAlignment="1">
      <alignment horizontal="left" vertical="center"/>
    </xf>
    <xf numFmtId="164" fontId="16" fillId="0" borderId="25" xfId="0" applyNumberFormat="1" applyFont="1" applyBorder="1" applyAlignment="1">
      <alignment horizontal="left" vertical="center"/>
    </xf>
    <xf numFmtId="0" fontId="16" fillId="0" borderId="25" xfId="0" applyFont="1" applyBorder="1" applyAlignment="1">
      <alignment horizontal="left" vertical="center"/>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16" xfId="0" applyFont="1" applyBorder="1" applyAlignment="1">
      <alignment vertical="center"/>
    </xf>
    <xf numFmtId="0" fontId="16" fillId="0" borderId="17" xfId="0" applyFont="1" applyBorder="1" applyAlignment="1">
      <alignment vertical="center"/>
    </xf>
    <xf numFmtId="0" fontId="16" fillId="0" borderId="28" xfId="0" applyFont="1" applyBorder="1" applyAlignment="1">
      <alignment vertical="center"/>
    </xf>
    <xf numFmtId="0" fontId="16" fillId="0" borderId="29" xfId="0" applyFont="1" applyBorder="1" applyAlignment="1">
      <alignment vertical="center"/>
    </xf>
    <xf numFmtId="0" fontId="16" fillId="0" borderId="17" xfId="0" applyFont="1" applyBorder="1" applyAlignment="1">
      <alignment horizontal="left" vertical="center"/>
    </xf>
    <xf numFmtId="0" fontId="16" fillId="0" borderId="28" xfId="0" applyFont="1" applyBorder="1" applyAlignment="1">
      <alignment horizontal="left" vertical="center"/>
    </xf>
    <xf numFmtId="164" fontId="16" fillId="0" borderId="19" xfId="0" applyNumberFormat="1" applyFont="1" applyBorder="1" applyAlignment="1">
      <alignment horizontal="center" vertical="center"/>
    </xf>
    <xf numFmtId="164" fontId="16" fillId="0" borderId="30" xfId="0" applyNumberFormat="1" applyFont="1" applyBorder="1" applyAlignment="1">
      <alignment horizontal="center" vertical="center"/>
    </xf>
    <xf numFmtId="164" fontId="16" fillId="0" borderId="5" xfId="0" applyNumberFormat="1" applyFont="1" applyBorder="1" applyAlignment="1">
      <alignment horizontal="center" vertical="center"/>
    </xf>
    <xf numFmtId="0" fontId="0" fillId="0" borderId="1" xfId="0" applyBorder="1"/>
    <xf numFmtId="0" fontId="0" fillId="0" borderId="6" xfId="0" applyBorder="1"/>
    <xf numFmtId="0" fontId="0" fillId="0" borderId="7" xfId="0" applyBorder="1"/>
    <xf numFmtId="164" fontId="8" fillId="0" borderId="1" xfId="0" applyNumberFormat="1" applyFont="1" applyBorder="1" applyAlignment="1">
      <alignment horizontal="right"/>
    </xf>
    <xf numFmtId="0" fontId="10" fillId="0" borderId="9" xfId="0" applyFont="1" applyBorder="1" applyAlignment="1">
      <alignment vertical="center"/>
    </xf>
    <xf numFmtId="0" fontId="10" fillId="0" borderId="13" xfId="0" applyFont="1" applyBorder="1" applyAlignment="1">
      <alignment vertical="center" wrapText="1"/>
    </xf>
    <xf numFmtId="0" fontId="10" fillId="0" borderId="24" xfId="0" applyFont="1" applyBorder="1" applyAlignment="1">
      <alignment vertical="center" wrapText="1"/>
    </xf>
    <xf numFmtId="0" fontId="10" fillId="0" borderId="25" xfId="0" applyFont="1" applyBorder="1" applyAlignment="1">
      <alignment vertical="center" wrapText="1"/>
    </xf>
    <xf numFmtId="0" fontId="10" fillId="0" borderId="22" xfId="0" applyFont="1" applyBorder="1" applyAlignment="1">
      <alignment horizontal="left" vertical="center"/>
    </xf>
    <xf numFmtId="0" fontId="10" fillId="0" borderId="31" xfId="0" applyFont="1" applyBorder="1" applyAlignment="1">
      <alignment horizontal="left" vertical="center"/>
    </xf>
    <xf numFmtId="164" fontId="10" fillId="0" borderId="22" xfId="0" applyNumberFormat="1" applyFont="1" applyBorder="1" applyAlignment="1">
      <alignment horizontal="center" vertical="center"/>
    </xf>
    <xf numFmtId="164" fontId="10" fillId="0" borderId="31" xfId="0" applyNumberFormat="1" applyFont="1" applyBorder="1" applyAlignment="1">
      <alignment horizontal="center" vertical="center"/>
    </xf>
    <xf numFmtId="164" fontId="10" fillId="0" borderId="23" xfId="0" applyNumberFormat="1" applyFont="1" applyBorder="1" applyAlignment="1">
      <alignment horizontal="center" vertical="center"/>
    </xf>
    <xf numFmtId="0" fontId="10" fillId="0" borderId="10" xfId="0" applyFont="1" applyBorder="1" applyAlignment="1">
      <alignment horizontal="left" vertical="center"/>
    </xf>
    <xf numFmtId="0" fontId="10" fillId="0" borderId="1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164" fontId="10" fillId="0" borderId="38" xfId="0" applyNumberFormat="1" applyFont="1" applyBorder="1" applyAlignment="1">
      <alignment horizontal="left" vertical="center"/>
    </xf>
    <xf numFmtId="164" fontId="10" fillId="0" borderId="39" xfId="0" applyNumberFormat="1" applyFont="1" applyBorder="1" applyAlignment="1">
      <alignment horizontal="left" vertical="center"/>
    </xf>
    <xf numFmtId="164" fontId="10" fillId="0" borderId="40" xfId="0" applyNumberFormat="1" applyFont="1" applyBorder="1" applyAlignment="1">
      <alignment horizontal="left" vertical="center"/>
    </xf>
    <xf numFmtId="0" fontId="10" fillId="0" borderId="13" xfId="0" applyFont="1" applyBorder="1" applyAlignment="1">
      <alignment horizontal="left" vertical="center"/>
    </xf>
    <xf numFmtId="0" fontId="10" fillId="0" borderId="24" xfId="0" applyFont="1" applyBorder="1" applyAlignment="1">
      <alignment horizontal="left" vertical="center"/>
    </xf>
    <xf numFmtId="164" fontId="10" fillId="0" borderId="13" xfId="0" applyNumberFormat="1" applyFont="1" applyBorder="1" applyAlignment="1">
      <alignment horizontal="center" vertical="center"/>
    </xf>
    <xf numFmtId="164" fontId="10" fillId="0" borderId="24" xfId="0" applyNumberFormat="1" applyFont="1" applyBorder="1" applyAlignment="1">
      <alignment horizontal="center" vertical="center"/>
    </xf>
    <xf numFmtId="164" fontId="10" fillId="0" borderId="25" xfId="0" applyNumberFormat="1" applyFont="1" applyBorder="1" applyAlignment="1">
      <alignment horizontal="center" vertical="center"/>
    </xf>
    <xf numFmtId="164" fontId="0" fillId="0" borderId="24" xfId="0" applyNumberFormat="1" applyBorder="1" applyAlignment="1">
      <alignment horizontal="center" vertical="center"/>
    </xf>
    <xf numFmtId="164" fontId="0" fillId="0" borderId="20" xfId="0" applyNumberFormat="1" applyBorder="1" applyAlignment="1">
      <alignment horizontal="left" vertical="center"/>
    </xf>
    <xf numFmtId="164" fontId="0" fillId="0" borderId="21" xfId="0" applyNumberFormat="1" applyBorder="1" applyAlignment="1">
      <alignment horizontal="left" vertical="center"/>
    </xf>
    <xf numFmtId="164" fontId="0" fillId="0" borderId="11" xfId="0" applyNumberFormat="1" applyBorder="1" applyAlignment="1">
      <alignment horizontal="left" vertical="center"/>
    </xf>
    <xf numFmtId="164" fontId="0" fillId="0" borderId="24" xfId="0" applyNumberFormat="1" applyBorder="1" applyAlignment="1">
      <alignment horizontal="left" vertical="center"/>
    </xf>
    <xf numFmtId="164" fontId="0" fillId="0" borderId="24" xfId="0" applyNumberFormat="1" applyBorder="1" applyAlignment="1">
      <alignment horizontal="right" vertical="center"/>
    </xf>
    <xf numFmtId="0" fontId="0" fillId="0" borderId="16" xfId="0" applyBorder="1" applyAlignment="1">
      <alignment vertical="center"/>
    </xf>
    <xf numFmtId="0" fontId="0" fillId="0" borderId="1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7" xfId="0" applyBorder="1" applyAlignment="1">
      <alignment horizontal="left" vertical="center"/>
    </xf>
    <xf numFmtId="0" fontId="0" fillId="0" borderId="28" xfId="0" applyBorder="1" applyAlignment="1">
      <alignment horizontal="left" vertical="center"/>
    </xf>
    <xf numFmtId="0" fontId="0" fillId="0" borderId="19" xfId="0" applyBorder="1" applyAlignment="1">
      <alignment horizontal="right" vertical="center"/>
    </xf>
    <xf numFmtId="0" fontId="0" fillId="0" borderId="30" xfId="0" applyBorder="1" applyAlignment="1">
      <alignment horizontal="right" vertical="center"/>
    </xf>
    <xf numFmtId="0" fontId="0" fillId="0" borderId="5" xfId="0" applyBorder="1" applyAlignment="1">
      <alignment horizontal="right" vertical="center"/>
    </xf>
    <xf numFmtId="164" fontId="18" fillId="0" borderId="0" xfId="0" applyNumberFormat="1" applyFont="1"/>
    <xf numFmtId="164" fontId="0" fillId="0" borderId="19" xfId="0" applyNumberFormat="1" applyBorder="1" applyAlignment="1">
      <alignment horizontal="center"/>
    </xf>
    <xf numFmtId="164" fontId="0" fillId="0" borderId="5" xfId="0" applyNumberFormat="1" applyBorder="1" applyAlignment="1">
      <alignment horizontal="center"/>
    </xf>
    <xf numFmtId="0" fontId="0" fillId="0" borderId="24" xfId="0" applyBorder="1" applyAlignment="1">
      <alignment horizontal="center" wrapText="1"/>
    </xf>
    <xf numFmtId="0" fontId="0" fillId="0" borderId="25" xfId="0" applyBorder="1" applyAlignment="1">
      <alignment horizontal="center" wrapText="1"/>
    </xf>
    <xf numFmtId="0" fontId="0" fillId="0" borderId="19" xfId="0" applyBorder="1"/>
    <xf numFmtId="0" fontId="0" fillId="0" borderId="30" xfId="0" applyBorder="1" applyAlignment="1">
      <alignment horizontal="left" wrapText="1"/>
    </xf>
    <xf numFmtId="0" fontId="0" fillId="0" borderId="5" xfId="0" applyBorder="1" applyAlignment="1">
      <alignment horizontal="left" wrapText="1"/>
    </xf>
    <xf numFmtId="164" fontId="16" fillId="0" borderId="22" xfId="0" applyNumberFormat="1" applyFont="1" applyBorder="1" applyAlignment="1">
      <alignment horizontal="center" vertical="center"/>
    </xf>
    <xf numFmtId="164" fontId="16" fillId="0" borderId="31" xfId="0" applyNumberFormat="1" applyFont="1" applyBorder="1" applyAlignment="1">
      <alignment horizontal="center" vertical="center"/>
    </xf>
    <xf numFmtId="164" fontId="16" fillId="0" borderId="23" xfId="0" applyNumberFormat="1" applyFont="1" applyBorder="1" applyAlignment="1">
      <alignment horizontal="center" vertical="center"/>
    </xf>
    <xf numFmtId="0" fontId="16" fillId="0" borderId="21" xfId="0" applyFont="1" applyBorder="1" applyAlignment="1">
      <alignment horizontal="left" vertical="center"/>
    </xf>
    <xf numFmtId="164" fontId="16" fillId="0" borderId="38" xfId="0" applyNumberFormat="1" applyFont="1" applyBorder="1" applyAlignment="1">
      <alignment horizontal="left" vertical="center" wrapText="1"/>
    </xf>
    <xf numFmtId="164" fontId="16" fillId="0" borderId="39" xfId="0" applyNumberFormat="1" applyFont="1" applyBorder="1" applyAlignment="1">
      <alignment horizontal="left" vertical="center"/>
    </xf>
    <xf numFmtId="164" fontId="16" fillId="0" borderId="40" xfId="0" applyNumberFormat="1" applyFont="1" applyBorder="1" applyAlignment="1">
      <alignment horizontal="left" vertical="center"/>
    </xf>
    <xf numFmtId="0" fontId="16" fillId="0" borderId="13" xfId="0" applyFont="1" applyBorder="1" applyAlignment="1">
      <alignment vertical="center"/>
    </xf>
    <xf numFmtId="0" fontId="16" fillId="0" borderId="30" xfId="0" applyFont="1" applyBorder="1" applyAlignment="1">
      <alignment vertical="center"/>
    </xf>
    <xf numFmtId="0" fontId="16" fillId="0" borderId="1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19" xfId="0" applyFont="1" applyBorder="1" applyAlignment="1">
      <alignment horizontal="center" vertical="center"/>
    </xf>
    <xf numFmtId="0" fontId="16" fillId="0" borderId="30" xfId="0" applyFont="1" applyBorder="1" applyAlignment="1">
      <alignment horizontal="center" vertical="center"/>
    </xf>
    <xf numFmtId="0" fontId="16" fillId="0" borderId="5" xfId="0" applyFont="1" applyBorder="1" applyAlignment="1">
      <alignment horizontal="center" vertical="center"/>
    </xf>
    <xf numFmtId="0" fontId="4" fillId="0" borderId="9" xfId="0" applyFont="1" applyBorder="1" applyAlignment="1">
      <alignment horizontal="left" vertical="center" wrapText="1"/>
    </xf>
    <xf numFmtId="0" fontId="7" fillId="8" borderId="6" xfId="0" applyFont="1" applyFill="1" applyBorder="1" applyAlignment="1">
      <alignment horizontal="left"/>
    </xf>
    <xf numFmtId="164" fontId="0" fillId="0" borderId="21" xfId="0" applyNumberFormat="1" applyBorder="1" applyAlignment="1">
      <alignment vertical="center"/>
    </xf>
    <xf numFmtId="0" fontId="0" fillId="0" borderId="14" xfId="0" applyBorder="1"/>
    <xf numFmtId="0" fontId="0" fillId="0" borderId="28" xfId="0" applyBorder="1" applyAlignment="1">
      <alignment horizontal="center"/>
    </xf>
    <xf numFmtId="0" fontId="7" fillId="8" borderId="1" xfId="0" applyFont="1" applyFill="1" applyBorder="1" applyAlignment="1">
      <alignment horizontal="center"/>
    </xf>
    <xf numFmtId="0" fontId="7" fillId="8" borderId="7" xfId="0" applyFont="1" applyFill="1" applyBorder="1" applyAlignment="1">
      <alignment horizontal="center"/>
    </xf>
    <xf numFmtId="0" fontId="0" fillId="0" borderId="22" xfId="0" applyBorder="1" applyAlignment="1">
      <alignment wrapText="1"/>
    </xf>
    <xf numFmtId="0" fontId="0" fillId="0" borderId="31" xfId="0" applyBorder="1" applyAlignment="1">
      <alignment wrapText="1"/>
    </xf>
    <xf numFmtId="0" fontId="0" fillId="0" borderId="23" xfId="0" applyBorder="1" applyAlignment="1">
      <alignment wrapText="1"/>
    </xf>
    <xf numFmtId="0" fontId="0" fillId="0" borderId="22" xfId="0" applyBorder="1" applyAlignment="1">
      <alignment horizontal="left" vertical="center"/>
    </xf>
    <xf numFmtId="0" fontId="0" fillId="0" borderId="31" xfId="0" applyBorder="1" applyAlignment="1">
      <alignment horizontal="left" vertical="center"/>
    </xf>
    <xf numFmtId="0" fontId="0" fillId="0" borderId="23" xfId="0" applyBorder="1" applyAlignment="1">
      <alignment horizontal="left" vertical="center"/>
    </xf>
    <xf numFmtId="164" fontId="0" fillId="0" borderId="22" xfId="0" applyNumberFormat="1" applyBorder="1" applyAlignment="1">
      <alignment horizontal="right" vertical="center"/>
    </xf>
    <xf numFmtId="164" fontId="0" fillId="0" borderId="23" xfId="0" applyNumberFormat="1" applyBorder="1" applyAlignment="1">
      <alignment horizontal="right" vertical="center"/>
    </xf>
    <xf numFmtId="0" fontId="0" fillId="0" borderId="10" xfId="0" applyBorder="1" applyAlignment="1">
      <alignment horizontal="left" vertical="center" wrapText="1"/>
    </xf>
    <xf numFmtId="0" fontId="0" fillId="0" borderId="0" xfId="0" applyAlignment="1">
      <alignment vertical="center" wrapText="1"/>
    </xf>
    <xf numFmtId="164" fontId="3" fillId="4" borderId="41" xfId="0" applyNumberFormat="1" applyFont="1" applyFill="1" applyBorder="1"/>
    <xf numFmtId="164" fontId="3" fillId="4" borderId="42" xfId="0" applyNumberFormat="1" applyFont="1" applyFill="1" applyBorder="1"/>
    <xf numFmtId="164" fontId="3" fillId="4" borderId="2" xfId="0" applyNumberFormat="1" applyFont="1" applyFill="1" applyBorder="1"/>
    <xf numFmtId="164" fontId="7" fillId="8" borderId="1" xfId="0" applyNumberFormat="1" applyFont="1" applyFill="1" applyBorder="1" applyAlignment="1">
      <alignment horizontal="right"/>
    </xf>
    <xf numFmtId="164" fontId="7" fillId="8" borderId="6" xfId="0" applyNumberFormat="1" applyFont="1" applyFill="1" applyBorder="1" applyAlignment="1">
      <alignment horizontal="right"/>
    </xf>
    <xf numFmtId="164" fontId="7" fillId="8" borderId="7" xfId="0" applyNumberFormat="1" applyFont="1" applyFill="1" applyBorder="1" applyAlignment="1">
      <alignment horizontal="right"/>
    </xf>
    <xf numFmtId="0" fontId="0" fillId="0" borderId="8" xfId="0" applyBorder="1" applyAlignment="1">
      <alignment vertical="center"/>
    </xf>
    <xf numFmtId="0" fontId="0" fillId="0" borderId="43" xfId="0" applyBorder="1" applyAlignment="1">
      <alignment vertical="center"/>
    </xf>
    <xf numFmtId="0" fontId="0" fillId="0" borderId="44" xfId="0" applyBorder="1" applyAlignment="1">
      <alignment vertical="top" wrapText="1"/>
    </xf>
    <xf numFmtId="0" fontId="0" fillId="0" borderId="43" xfId="0" applyBorder="1" applyAlignment="1">
      <alignment vertical="top" wrapText="1"/>
    </xf>
    <xf numFmtId="0" fontId="0" fillId="0" borderId="8" xfId="0" applyBorder="1" applyAlignment="1">
      <alignment vertical="top" wrapText="1"/>
    </xf>
    <xf numFmtId="164" fontId="0" fillId="0" borderId="8" xfId="0" applyNumberFormat="1" applyBorder="1" applyAlignment="1">
      <alignment vertical="center"/>
    </xf>
    <xf numFmtId="164" fontId="0" fillId="0" borderId="44" xfId="0" applyNumberFormat="1" applyBorder="1" applyAlignment="1">
      <alignment vertical="center"/>
    </xf>
    <xf numFmtId="164" fontId="0" fillId="0" borderId="43" xfId="0" applyNumberFormat="1" applyBorder="1" applyAlignment="1">
      <alignment vertical="center"/>
    </xf>
    <xf numFmtId="0" fontId="0" fillId="0" borderId="21" xfId="0" applyBorder="1" applyAlignment="1">
      <alignment vertical="top" wrapText="1"/>
    </xf>
    <xf numFmtId="0" fontId="0" fillId="0" borderId="11" xfId="0" applyBorder="1" applyAlignment="1">
      <alignment vertical="top" wrapText="1"/>
    </xf>
    <xf numFmtId="0" fontId="0" fillId="0" borderId="20" xfId="0" applyBorder="1" applyAlignment="1">
      <alignment vertical="top" wrapText="1"/>
    </xf>
    <xf numFmtId="0" fontId="0" fillId="0" borderId="1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164" fontId="0" fillId="0" borderId="24" xfId="0" applyNumberFormat="1" applyBorder="1" applyAlignment="1">
      <alignment vertical="center"/>
    </xf>
    <xf numFmtId="164" fontId="0" fillId="0" borderId="24" xfId="0" applyNumberFormat="1" applyBorder="1"/>
    <xf numFmtId="0" fontId="10" fillId="0" borderId="0" xfId="0" applyFont="1"/>
    <xf numFmtId="0" fontId="10" fillId="0" borderId="1" xfId="0" applyFont="1" applyBorder="1"/>
    <xf numFmtId="0" fontId="10" fillId="0" borderId="7" xfId="0" applyFont="1" applyBorder="1"/>
    <xf numFmtId="0" fontId="10" fillId="0" borderId="1"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9" fillId="0" borderId="1" xfId="0" applyFont="1" applyBorder="1" applyAlignment="1">
      <alignment horizontal="right"/>
    </xf>
    <xf numFmtId="0" fontId="19" fillId="0" borderId="6" xfId="0" applyFont="1" applyBorder="1" applyAlignment="1">
      <alignment horizontal="right"/>
    </xf>
    <xf numFmtId="0" fontId="19" fillId="0" borderId="7" xfId="0" applyFont="1" applyBorder="1" applyAlignment="1">
      <alignment horizontal="right"/>
    </xf>
    <xf numFmtId="164" fontId="19" fillId="0" borderId="1" xfId="0" applyNumberFormat="1" applyFont="1" applyBorder="1"/>
    <xf numFmtId="0" fontId="19" fillId="0" borderId="6" xfId="0" applyFont="1" applyBorder="1"/>
    <xf numFmtId="0" fontId="19" fillId="0" borderId="7" xfId="0" applyFont="1" applyBorder="1"/>
    <xf numFmtId="0" fontId="0" fillId="0" borderId="22" xfId="0" applyBorder="1" applyAlignment="1">
      <alignment vertical="top" wrapText="1"/>
    </xf>
    <xf numFmtId="0" fontId="0" fillId="0" borderId="31" xfId="0" applyBorder="1" applyAlignment="1">
      <alignment vertical="top" wrapText="1"/>
    </xf>
    <xf numFmtId="0" fontId="0" fillId="0" borderId="23" xfId="0" applyBorder="1" applyAlignment="1">
      <alignment vertical="top" wrapText="1"/>
    </xf>
    <xf numFmtId="0" fontId="0" fillId="0" borderId="8" xfId="0" applyBorder="1" applyAlignment="1">
      <alignment vertical="center" wrapText="1"/>
    </xf>
    <xf numFmtId="0" fontId="0" fillId="0" borderId="44" xfId="0" applyBorder="1" applyAlignment="1">
      <alignment vertical="center" wrapText="1"/>
    </xf>
    <xf numFmtId="0" fontId="0" fillId="0" borderId="43" xfId="0" applyBorder="1" applyAlignment="1">
      <alignment vertical="center" wrapText="1"/>
    </xf>
    <xf numFmtId="164" fontId="0" fillId="0" borderId="28" xfId="0" applyNumberFormat="1" applyBorder="1" applyAlignment="1">
      <alignment horizontal="center"/>
    </xf>
    <xf numFmtId="0" fontId="0" fillId="0" borderId="0" xfId="0" applyAlignment="1">
      <alignment vertical="top" wrapText="1"/>
    </xf>
    <xf numFmtId="164" fontId="1" fillId="5" borderId="37" xfId="0" applyNumberFormat="1" applyFont="1" applyFill="1" applyBorder="1" applyAlignment="1">
      <alignment horizontal="center" vertical="center"/>
    </xf>
    <xf numFmtId="164" fontId="1" fillId="5" borderId="42" xfId="0" applyNumberFormat="1" applyFont="1" applyFill="1" applyBorder="1" applyAlignment="1">
      <alignment horizontal="center" vertical="center"/>
    </xf>
    <xf numFmtId="164" fontId="1" fillId="5" borderId="3" xfId="0" applyNumberFormat="1" applyFont="1" applyFill="1" applyBorder="1" applyAlignment="1">
      <alignment horizontal="center" vertical="center"/>
    </xf>
    <xf numFmtId="164" fontId="4" fillId="0" borderId="35" xfId="0" applyNumberFormat="1" applyFont="1" applyBorder="1" applyAlignment="1">
      <alignment horizontal="center" vertical="center"/>
    </xf>
    <xf numFmtId="164" fontId="3" fillId="0" borderId="35" xfId="0" applyNumberFormat="1" applyFont="1" applyBorder="1" applyAlignment="1">
      <alignment vertical="center"/>
    </xf>
    <xf numFmtId="164" fontId="4" fillId="0" borderId="45" xfId="0" applyNumberFormat="1" applyFont="1" applyBorder="1" applyAlignment="1">
      <alignment horizontal="center" vertical="center"/>
    </xf>
    <xf numFmtId="164" fontId="3" fillId="0" borderId="45" xfId="0" applyNumberFormat="1" applyFont="1" applyBorder="1" applyAlignment="1">
      <alignment vertical="center"/>
    </xf>
    <xf numFmtId="0" fontId="4" fillId="0" borderId="45" xfId="0" applyFont="1" applyBorder="1" applyAlignment="1">
      <alignment horizontal="left" vertical="center"/>
    </xf>
    <xf numFmtId="0" fontId="3" fillId="0" borderId="26" xfId="0" applyFont="1" applyBorder="1" applyAlignment="1">
      <alignment horizontal="center"/>
    </xf>
    <xf numFmtId="164" fontId="3" fillId="0" borderId="26" xfId="0" applyNumberFormat="1" applyFont="1" applyBorder="1" applyAlignment="1">
      <alignment vertical="center"/>
    </xf>
    <xf numFmtId="0" fontId="3" fillId="0" borderId="45" xfId="0" applyFont="1" applyBorder="1" applyAlignment="1">
      <alignment vertical="center"/>
    </xf>
    <xf numFmtId="164" fontId="3" fillId="0" borderId="46" xfId="0" applyNumberFormat="1" applyFont="1" applyBorder="1" applyAlignment="1">
      <alignment vertical="center"/>
    </xf>
    <xf numFmtId="0" fontId="3" fillId="0" borderId="46" xfId="0" applyFont="1" applyBorder="1" applyAlignment="1">
      <alignment vertical="center"/>
    </xf>
    <xf numFmtId="0" fontId="0" fillId="0" borderId="47" xfId="0" applyBorder="1"/>
    <xf numFmtId="0" fontId="3" fillId="0" borderId="48" xfId="0" applyFont="1" applyBorder="1" applyAlignment="1">
      <alignment vertical="center"/>
    </xf>
    <xf numFmtId="0" fontId="0" fillId="0" borderId="49" xfId="0" applyBorder="1"/>
    <xf numFmtId="0" fontId="3" fillId="0" borderId="24" xfId="0" applyFont="1" applyBorder="1" applyAlignment="1">
      <alignment vertical="center"/>
    </xf>
    <xf numFmtId="0" fontId="3" fillId="0" borderId="13" xfId="0" applyFont="1" applyBorder="1" applyAlignment="1">
      <alignment horizontal="center"/>
    </xf>
    <xf numFmtId="0" fontId="0" fillId="0" borderId="13" xfId="0" applyBorder="1" applyAlignment="1">
      <alignment horizontal="center" vertical="center"/>
    </xf>
    <xf numFmtId="0" fontId="0" fillId="0" borderId="25" xfId="0" applyBorder="1" applyAlignment="1">
      <alignment horizontal="center" vertical="center"/>
    </xf>
    <xf numFmtId="4" fontId="0" fillId="0" borderId="13" xfId="0" applyNumberFormat="1" applyBorder="1" applyAlignment="1">
      <alignment horizontal="center" vertical="center"/>
    </xf>
    <xf numFmtId="4" fontId="0" fillId="0" borderId="25" xfId="0" applyNumberFormat="1" applyBorder="1" applyAlignment="1">
      <alignment horizontal="center" vertical="center"/>
    </xf>
    <xf numFmtId="0" fontId="0" fillId="0" borderId="13" xfId="0" applyBorder="1" applyAlignment="1">
      <alignment horizontal="right"/>
    </xf>
    <xf numFmtId="0" fontId="0" fillId="0" borderId="25" xfId="0" applyBorder="1" applyAlignment="1">
      <alignment horizontal="right"/>
    </xf>
    <xf numFmtId="0" fontId="0" fillId="0" borderId="44" xfId="0" applyBorder="1" applyAlignment="1">
      <alignment horizontal="center"/>
    </xf>
    <xf numFmtId="0" fontId="0" fillId="0" borderId="24" xfId="0" applyBorder="1" applyAlignment="1">
      <alignment horizontal="center" vertical="center"/>
    </xf>
    <xf numFmtId="0" fontId="0" fillId="0" borderId="14" xfId="0" applyBorder="1" applyAlignment="1">
      <alignment horizontal="left"/>
    </xf>
    <xf numFmtId="0" fontId="0" fillId="0" borderId="35" xfId="0" applyBorder="1" applyAlignment="1">
      <alignment horizontal="left"/>
    </xf>
    <xf numFmtId="0" fontId="0" fillId="0" borderId="9" xfId="0" applyBorder="1" applyAlignment="1">
      <alignment wrapText="1"/>
    </xf>
    <xf numFmtId="0" fontId="0" fillId="0" borderId="14" xfId="0" applyBorder="1" applyAlignment="1">
      <alignment vertical="center"/>
    </xf>
    <xf numFmtId="0" fontId="0" fillId="0" borderId="10" xfId="0" applyBorder="1"/>
    <xf numFmtId="0" fontId="0" fillId="0" borderId="14" xfId="0" applyBorder="1" applyAlignment="1">
      <alignment vertical="center" wrapText="1"/>
    </xf>
    <xf numFmtId="164" fontId="0" fillId="0" borderId="24" xfId="0" applyNumberFormat="1" applyBorder="1" applyAlignment="1">
      <alignment horizontal="center" vertical="center" wrapText="1"/>
    </xf>
    <xf numFmtId="164" fontId="0" fillId="0" borderId="25" xfId="0" applyNumberFormat="1" applyBorder="1" applyAlignment="1">
      <alignment horizontal="center" vertical="center" wrapText="1"/>
    </xf>
    <xf numFmtId="0" fontId="0" fillId="0" borderId="6" xfId="0" applyBorder="1" applyAlignment="1">
      <alignment horizontal="left"/>
    </xf>
    <xf numFmtId="0" fontId="0" fillId="0" borderId="7" xfId="0" applyBorder="1" applyAlignment="1">
      <alignment horizontal="left"/>
    </xf>
    <xf numFmtId="0" fontId="16" fillId="0" borderId="8" xfId="0" applyFont="1" applyBorder="1" applyAlignment="1">
      <alignment vertical="center"/>
    </xf>
    <xf numFmtId="0" fontId="16" fillId="0" borderId="44" xfId="0" applyFont="1" applyBorder="1" applyAlignment="1">
      <alignment vertical="center"/>
    </xf>
    <xf numFmtId="0" fontId="16" fillId="0" borderId="8" xfId="0" applyFont="1" applyBorder="1" applyAlignment="1">
      <alignment vertical="center" wrapText="1"/>
    </xf>
    <xf numFmtId="0" fontId="16" fillId="0" borderId="44" xfId="0" applyFont="1" applyBorder="1" applyAlignment="1">
      <alignment vertical="center" wrapText="1"/>
    </xf>
    <xf numFmtId="0" fontId="16" fillId="0" borderId="43" xfId="0" applyFont="1" applyBorder="1" applyAlignment="1">
      <alignment vertical="center" wrapText="1"/>
    </xf>
    <xf numFmtId="0" fontId="16" fillId="0" borderId="43" xfId="0" applyFont="1" applyBorder="1" applyAlignment="1">
      <alignment vertical="center"/>
    </xf>
    <xf numFmtId="164" fontId="16" fillId="0" borderId="8" xfId="0" applyNumberFormat="1" applyFont="1" applyBorder="1" applyAlignment="1">
      <alignment vertical="center"/>
    </xf>
    <xf numFmtId="164" fontId="16" fillId="0" borderId="44" xfId="0" applyNumberFormat="1" applyFont="1" applyBorder="1" applyAlignment="1">
      <alignment vertical="center"/>
    </xf>
    <xf numFmtId="164" fontId="16" fillId="0" borderId="43" xfId="0" applyNumberFormat="1" applyFont="1" applyBorder="1" applyAlignment="1">
      <alignment vertical="center"/>
    </xf>
    <xf numFmtId="0" fontId="16" fillId="0" borderId="25" xfId="0" applyFont="1" applyBorder="1" applyAlignment="1">
      <alignment vertical="center"/>
    </xf>
    <xf numFmtId="164" fontId="16" fillId="0" borderId="13" xfId="0" applyNumberFormat="1" applyFont="1" applyBorder="1" applyAlignment="1">
      <alignment vertical="center"/>
    </xf>
    <xf numFmtId="164" fontId="16" fillId="0" borderId="24" xfId="0" applyNumberFormat="1" applyFont="1" applyBorder="1" applyAlignment="1">
      <alignment vertical="center"/>
    </xf>
    <xf numFmtId="164" fontId="16" fillId="0" borderId="25" xfId="0" applyNumberFormat="1" applyFont="1" applyBorder="1" applyAlignment="1">
      <alignment vertical="center"/>
    </xf>
    <xf numFmtId="0" fontId="20" fillId="0" borderId="13" xfId="0" applyFont="1" applyBorder="1" applyAlignment="1">
      <alignment vertical="center"/>
    </xf>
    <xf numFmtId="0" fontId="20" fillId="0" borderId="24" xfId="0" applyFont="1" applyBorder="1" applyAlignment="1">
      <alignment vertical="center"/>
    </xf>
    <xf numFmtId="0" fontId="20" fillId="0" borderId="13" xfId="0" applyFont="1" applyBorder="1" applyAlignment="1">
      <alignment vertical="center" wrapText="1"/>
    </xf>
    <xf numFmtId="0" fontId="20" fillId="0" borderId="24" xfId="0" applyFont="1" applyBorder="1" applyAlignment="1">
      <alignment vertical="center" wrapText="1"/>
    </xf>
    <xf numFmtId="0" fontId="20" fillId="0" borderId="25" xfId="0" applyFont="1" applyBorder="1" applyAlignment="1">
      <alignment vertical="center" wrapText="1"/>
    </xf>
    <xf numFmtId="0" fontId="21" fillId="0" borderId="0" xfId="0" applyFont="1" applyAlignment="1">
      <alignment vertical="center"/>
    </xf>
    <xf numFmtId="0" fontId="20" fillId="0" borderId="13" xfId="0" applyFont="1" applyBorder="1" applyAlignment="1">
      <alignment horizontal="left" vertical="center"/>
    </xf>
    <xf numFmtId="0" fontId="20" fillId="0" borderId="24" xfId="0" applyFont="1" applyBorder="1" applyAlignment="1">
      <alignment horizontal="left" vertical="center"/>
    </xf>
    <xf numFmtId="0" fontId="20" fillId="0" borderId="13" xfId="0" applyFont="1" applyBorder="1" applyAlignment="1">
      <alignment horizontal="left" vertical="center" wrapText="1"/>
    </xf>
    <xf numFmtId="0" fontId="20" fillId="0" borderId="24" xfId="0" applyFont="1" applyBorder="1" applyAlignment="1">
      <alignment horizontal="left" vertical="center" wrapText="1"/>
    </xf>
    <xf numFmtId="0" fontId="20" fillId="0" borderId="25" xfId="0" applyFont="1" applyBorder="1" applyAlignment="1">
      <alignment horizontal="left" vertical="center" wrapText="1"/>
    </xf>
    <xf numFmtId="164" fontId="20" fillId="0" borderId="13" xfId="0" applyNumberFormat="1" applyFont="1" applyBorder="1" applyAlignment="1">
      <alignment horizontal="center" vertical="center"/>
    </xf>
    <xf numFmtId="164" fontId="20" fillId="0" borderId="24" xfId="0" applyNumberFormat="1" applyFont="1" applyBorder="1" applyAlignment="1">
      <alignment horizontal="center" vertical="center"/>
    </xf>
    <xf numFmtId="164" fontId="20" fillId="0" borderId="25" xfId="0" applyNumberFormat="1" applyFont="1" applyBorder="1" applyAlignment="1">
      <alignment horizontal="center" vertical="center"/>
    </xf>
    <xf numFmtId="0" fontId="20" fillId="0" borderId="25" xfId="0" applyFont="1" applyBorder="1" applyAlignment="1">
      <alignment horizontal="left" vertical="center"/>
    </xf>
    <xf numFmtId="164" fontId="20" fillId="0" borderId="13" xfId="0" applyNumberFormat="1" applyFont="1" applyBorder="1" applyAlignment="1">
      <alignment vertical="center"/>
    </xf>
    <xf numFmtId="164" fontId="20" fillId="0" borderId="24" xfId="0" applyNumberFormat="1" applyFont="1" applyBorder="1" applyAlignment="1">
      <alignment vertical="center"/>
    </xf>
    <xf numFmtId="164" fontId="20" fillId="0" borderId="25" xfId="0" applyNumberFormat="1" applyFont="1" applyBorder="1" applyAlignment="1">
      <alignment vertical="center"/>
    </xf>
    <xf numFmtId="0" fontId="20" fillId="0" borderId="26" xfId="0" applyFont="1" applyBorder="1" applyAlignment="1">
      <alignment horizontal="left" vertical="center"/>
    </xf>
    <xf numFmtId="0" fontId="20" fillId="0" borderId="46" xfId="0" applyFont="1" applyBorder="1" applyAlignment="1">
      <alignment horizontal="left" vertical="center"/>
    </xf>
    <xf numFmtId="0" fontId="20" fillId="0" borderId="13"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7" xfId="0" applyFont="1" applyBorder="1" applyAlignment="1">
      <alignment horizontal="left" vertical="center"/>
    </xf>
    <xf numFmtId="164" fontId="20" fillId="0" borderId="26" xfId="0" applyNumberFormat="1" applyFont="1" applyBorder="1" applyAlignment="1">
      <alignment vertical="center"/>
    </xf>
    <xf numFmtId="164" fontId="20" fillId="0" borderId="46" xfId="0" applyNumberFormat="1" applyFont="1" applyBorder="1" applyAlignment="1">
      <alignment vertical="center"/>
    </xf>
    <xf numFmtId="164" fontId="20" fillId="0" borderId="27" xfId="0" applyNumberFormat="1" applyFont="1" applyBorder="1" applyAlignment="1">
      <alignment vertical="center"/>
    </xf>
    <xf numFmtId="0" fontId="21" fillId="0" borderId="0" xfId="0" applyFont="1"/>
    <xf numFmtId="0" fontId="20" fillId="0" borderId="17" xfId="0" applyFont="1" applyBorder="1" applyAlignment="1">
      <alignment horizontal="left"/>
    </xf>
    <xf numFmtId="0" fontId="20" fillId="0" borderId="28" xfId="0" applyFont="1" applyBorder="1" applyAlignment="1">
      <alignment horizontal="left"/>
    </xf>
    <xf numFmtId="0" fontId="20" fillId="0" borderId="29" xfId="0" applyFont="1" applyBorder="1" applyAlignment="1">
      <alignment horizontal="left"/>
    </xf>
    <xf numFmtId="164" fontId="20" fillId="0" borderId="17" xfId="0" applyNumberFormat="1" applyFont="1" applyBorder="1" applyAlignment="1">
      <alignment horizontal="center"/>
    </xf>
    <xf numFmtId="164" fontId="20" fillId="0" borderId="28" xfId="0" applyNumberFormat="1" applyFont="1" applyBorder="1" applyAlignment="1">
      <alignment horizontal="center"/>
    </xf>
    <xf numFmtId="164" fontId="20" fillId="0" borderId="29" xfId="0" applyNumberFormat="1"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16" fillId="0" borderId="17" xfId="0" applyFont="1" applyBorder="1" applyAlignment="1">
      <alignment horizontal="left"/>
    </xf>
    <xf numFmtId="0" fontId="16" fillId="0" borderId="28" xfId="0" applyFont="1" applyBorder="1" applyAlignment="1">
      <alignment horizontal="left"/>
    </xf>
    <xf numFmtId="0" fontId="16" fillId="0" borderId="29" xfId="0" applyFont="1" applyBorder="1" applyAlignment="1">
      <alignment horizontal="left"/>
    </xf>
    <xf numFmtId="0" fontId="16" fillId="0" borderId="17" xfId="0" applyFont="1" applyBorder="1" applyAlignment="1">
      <alignment horizontal="center"/>
    </xf>
    <xf numFmtId="0" fontId="16" fillId="0" borderId="28" xfId="0" applyFont="1" applyBorder="1" applyAlignment="1">
      <alignment horizontal="center"/>
    </xf>
    <xf numFmtId="0" fontId="16" fillId="0" borderId="29" xfId="0" applyFont="1" applyBorder="1" applyAlignment="1">
      <alignment horizontal="center"/>
    </xf>
    <xf numFmtId="0" fontId="0" fillId="0" borderId="35" xfId="0" applyBorder="1" applyAlignment="1">
      <alignment vertical="center"/>
    </xf>
    <xf numFmtId="0" fontId="0" fillId="0" borderId="15" xfId="0" applyBorder="1" applyAlignment="1">
      <alignment horizontal="left" vertical="center"/>
    </xf>
    <xf numFmtId="0" fontId="0" fillId="0" borderId="26" xfId="0" applyBorder="1" applyAlignment="1">
      <alignment vertical="center" wrapText="1"/>
    </xf>
    <xf numFmtId="0" fontId="0" fillId="0" borderId="46" xfId="0" applyBorder="1" applyAlignment="1">
      <alignment vertical="center"/>
    </xf>
    <xf numFmtId="0" fontId="0" fillId="0" borderId="27" xfId="0" applyBorder="1" applyAlignment="1">
      <alignment vertical="center"/>
    </xf>
    <xf numFmtId="164" fontId="0" fillId="0" borderId="26" xfId="0" applyNumberFormat="1" applyBorder="1" applyAlignment="1">
      <alignment vertical="center"/>
    </xf>
    <xf numFmtId="164" fontId="0" fillId="0" borderId="27" xfId="0" applyNumberFormat="1" applyBorder="1" applyAlignment="1">
      <alignment vertical="center"/>
    </xf>
    <xf numFmtId="164" fontId="12" fillId="0" borderId="0" xfId="0" applyNumberFormat="1" applyFont="1"/>
    <xf numFmtId="0" fontId="12" fillId="0" borderId="0" xfId="0" applyFont="1"/>
    <xf numFmtId="0" fontId="0" fillId="0" borderId="23" xfId="0" applyBorder="1" applyAlignment="1">
      <alignment horizontal="left" vertical="center" wrapText="1"/>
    </xf>
    <xf numFmtId="0" fontId="0" fillId="0" borderId="26" xfId="0" applyBorder="1" applyAlignment="1">
      <alignment vertical="center"/>
    </xf>
    <xf numFmtId="0" fontId="12" fillId="0" borderId="10" xfId="0" applyFont="1" applyBorder="1" applyAlignment="1">
      <alignment vertical="center"/>
    </xf>
    <xf numFmtId="0" fontId="12" fillId="0" borderId="9" xfId="0" applyFont="1" applyBorder="1" applyAlignment="1">
      <alignment vertical="center"/>
    </xf>
    <xf numFmtId="0" fontId="0" fillId="0" borderId="11" xfId="0" applyBorder="1" applyAlignment="1">
      <alignment horizontal="left" vertical="center"/>
    </xf>
    <xf numFmtId="0" fontId="0" fillId="0" borderId="13" xfId="0" applyBorder="1" applyAlignment="1">
      <alignment horizontal="center" vertical="center" wrapText="1"/>
    </xf>
    <xf numFmtId="0" fontId="0" fillId="0" borderId="10"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1" xfId="0" applyBorder="1" applyAlignment="1">
      <alignment horizontal="left" wrapText="1"/>
    </xf>
    <xf numFmtId="0" fontId="0" fillId="0" borderId="11" xfId="0" applyBorder="1" applyAlignment="1">
      <alignment horizontal="left" wrapText="1"/>
    </xf>
    <xf numFmtId="0" fontId="0" fillId="0" borderId="20" xfId="0" applyBorder="1" applyAlignment="1">
      <alignment horizontal="left" wrapText="1"/>
    </xf>
    <xf numFmtId="0" fontId="0" fillId="0" borderId="11" xfId="0" applyBorder="1" applyAlignment="1">
      <alignment horizontal="left"/>
    </xf>
    <xf numFmtId="164" fontId="0" fillId="0" borderId="20" xfId="0" applyNumberFormat="1" applyBorder="1" applyAlignment="1">
      <alignment horizontal="center"/>
    </xf>
    <xf numFmtId="164" fontId="0" fillId="0" borderId="11" xfId="0" applyNumberFormat="1" applyBorder="1" applyAlignment="1">
      <alignment horizontal="center"/>
    </xf>
    <xf numFmtId="0" fontId="8" fillId="0" borderId="44" xfId="0" applyFont="1" applyBorder="1" applyAlignment="1">
      <alignment horizontal="center"/>
    </xf>
    <xf numFmtId="164" fontId="8" fillId="0" borderId="44" xfId="0" applyNumberFormat="1" applyFont="1" applyBorder="1" applyAlignment="1">
      <alignment horizontal="center"/>
    </xf>
    <xf numFmtId="164" fontId="8" fillId="0" borderId="0" xfId="0" applyNumberFormat="1" applyFont="1" applyAlignment="1">
      <alignment horizontal="center"/>
    </xf>
    <xf numFmtId="0" fontId="0" fillId="0" borderId="1" xfId="0" applyBorder="1" applyAlignment="1">
      <alignment horizontal="left"/>
    </xf>
    <xf numFmtId="164" fontId="1" fillId="5" borderId="50" xfId="0" applyNumberFormat="1" applyFont="1" applyFill="1" applyBorder="1" applyAlignment="1">
      <alignment horizontal="center" vertical="center"/>
    </xf>
    <xf numFmtId="164" fontId="1" fillId="5" borderId="32" xfId="0" applyNumberFormat="1" applyFont="1" applyFill="1" applyBorder="1" applyAlignment="1">
      <alignment horizontal="center" vertical="center"/>
    </xf>
    <xf numFmtId="164" fontId="1" fillId="5" borderId="51" xfId="0" applyNumberFormat="1" applyFont="1" applyFill="1" applyBorder="1" applyAlignment="1">
      <alignment horizontal="center" vertical="center"/>
    </xf>
    <xf numFmtId="164" fontId="1" fillId="6" borderId="43" xfId="0" applyNumberFormat="1" applyFont="1" applyFill="1" applyBorder="1" applyAlignment="1">
      <alignment horizontal="center" vertical="center"/>
    </xf>
    <xf numFmtId="164" fontId="3" fillId="4" borderId="3" xfId="0" applyNumberFormat="1" applyFont="1" applyFill="1" applyBorder="1"/>
    <xf numFmtId="164" fontId="1" fillId="5" borderId="2" xfId="0" applyNumberFormat="1" applyFont="1" applyFill="1" applyBorder="1" applyAlignment="1">
      <alignment horizontal="center" vertical="center"/>
    </xf>
    <xf numFmtId="0" fontId="1" fillId="9" borderId="51" xfId="0" applyFont="1" applyFill="1" applyBorder="1" applyAlignment="1">
      <alignment horizontal="center" vertical="center" wrapText="1"/>
    </xf>
    <xf numFmtId="164" fontId="1" fillId="6" borderId="7" xfId="0" applyNumberFormat="1" applyFont="1" applyFill="1" applyBorder="1" applyAlignment="1">
      <alignment horizontal="center" vertical="center"/>
    </xf>
    <xf numFmtId="0" fontId="3" fillId="4" borderId="6" xfId="0" applyFont="1" applyFill="1" applyBorder="1" applyAlignment="1">
      <alignment horizont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3" xfId="0" applyFont="1" applyBorder="1" applyAlignment="1">
      <alignment horizontal="center" vertical="center"/>
    </xf>
    <xf numFmtId="0" fontId="0" fillId="0" borderId="17" xfId="0" applyBorder="1" applyAlignment="1">
      <alignment horizontal="left" wrapText="1"/>
    </xf>
    <xf numFmtId="0" fontId="0" fillId="0" borderId="28" xfId="0" applyBorder="1" applyAlignment="1">
      <alignment horizontal="left" wrapText="1"/>
    </xf>
    <xf numFmtId="0" fontId="0" fillId="0" borderId="29" xfId="0" applyBorder="1" applyAlignment="1">
      <alignment horizontal="left" wrapText="1"/>
    </xf>
    <xf numFmtId="0" fontId="0" fillId="0" borderId="13" xfId="0" applyBorder="1" applyAlignment="1">
      <alignment horizontal="center" wrapText="1"/>
    </xf>
    <xf numFmtId="0" fontId="4" fillId="0" borderId="35" xfId="0" applyFont="1" applyBorder="1" applyAlignment="1">
      <alignment horizontal="left" vertical="center"/>
    </xf>
    <xf numFmtId="164" fontId="3" fillId="0" borderId="14" xfId="0" applyNumberFormat="1" applyFont="1" applyBorder="1" applyAlignment="1">
      <alignment vertical="center"/>
    </xf>
    <xf numFmtId="164" fontId="4" fillId="0" borderId="26" xfId="0" applyNumberFormat="1" applyFont="1" applyBorder="1" applyAlignment="1">
      <alignment horizontal="center" vertical="center"/>
    </xf>
    <xf numFmtId="165" fontId="3" fillId="0" borderId="45" xfId="0" applyNumberFormat="1" applyFont="1" applyBorder="1" applyAlignment="1">
      <alignment vertical="center"/>
    </xf>
    <xf numFmtId="0" fontId="0" fillId="0" borderId="44" xfId="0" applyBorder="1" applyAlignment="1">
      <alignment vertical="center"/>
    </xf>
    <xf numFmtId="0" fontId="0" fillId="0" borderId="15" xfId="0" applyBorder="1" applyAlignment="1">
      <alignment vertical="center"/>
    </xf>
    <xf numFmtId="0" fontId="0" fillId="0" borderId="15" xfId="0" applyBorder="1" applyAlignment="1">
      <alignment vertical="center" wrapText="1"/>
    </xf>
    <xf numFmtId="164" fontId="0" fillId="0" borderId="14" xfId="0" applyNumberFormat="1" applyBorder="1" applyAlignment="1">
      <alignment vertical="center"/>
    </xf>
    <xf numFmtId="164" fontId="0" fillId="0" borderId="15" xfId="0" applyNumberFormat="1" applyBorder="1" applyAlignment="1">
      <alignment vertical="center"/>
    </xf>
    <xf numFmtId="0" fontId="0" fillId="0" borderId="26" xfId="0" applyBorder="1" applyAlignment="1">
      <alignment wrapText="1"/>
    </xf>
    <xf numFmtId="0" fontId="0" fillId="0" borderId="46" xfId="0" applyBorder="1" applyAlignment="1">
      <alignment wrapText="1"/>
    </xf>
    <xf numFmtId="0" fontId="0" fillId="0" borderId="27" xfId="0" applyBorder="1" applyAlignment="1">
      <alignment wrapText="1"/>
    </xf>
    <xf numFmtId="0" fontId="0" fillId="0" borderId="46" xfId="0" applyBorder="1"/>
    <xf numFmtId="0" fontId="0" fillId="0" borderId="27" xfId="0" applyBorder="1"/>
    <xf numFmtId="164" fontId="0" fillId="0" borderId="26" xfId="0" applyNumberFormat="1" applyBorder="1"/>
    <xf numFmtId="164" fontId="0" fillId="0" borderId="46" xfId="0" applyNumberFormat="1" applyBorder="1"/>
    <xf numFmtId="164" fontId="0" fillId="0" borderId="27" xfId="0" applyNumberFormat="1" applyBorder="1"/>
    <xf numFmtId="0" fontId="0" fillId="0" borderId="26" xfId="0" applyBorder="1" applyAlignment="1">
      <alignment horizontal="left"/>
    </xf>
    <xf numFmtId="0" fontId="0" fillId="0" borderId="27" xfId="0" applyBorder="1" applyAlignment="1">
      <alignment horizontal="left"/>
    </xf>
    <xf numFmtId="164" fontId="8" fillId="0" borderId="1" xfId="0" applyNumberFormat="1" applyFont="1" applyBorder="1"/>
    <xf numFmtId="0" fontId="8" fillId="0" borderId="6" xfId="0" applyFont="1" applyBorder="1"/>
    <xf numFmtId="0" fontId="8" fillId="0" borderId="7" xfId="0" applyFont="1" applyBorder="1"/>
    <xf numFmtId="164" fontId="0" fillId="0" borderId="21" xfId="0" applyNumberFormat="1" applyBorder="1" applyAlignment="1">
      <alignment horizontal="center" vertical="center"/>
    </xf>
    <xf numFmtId="0" fontId="0" fillId="0" borderId="26" xfId="0" applyBorder="1" applyAlignment="1">
      <alignment horizontal="left" wrapText="1"/>
    </xf>
    <xf numFmtId="0" fontId="0" fillId="0" borderId="46" xfId="0" applyBorder="1" applyAlignment="1">
      <alignment horizontal="left" wrapText="1"/>
    </xf>
    <xf numFmtId="0" fontId="0" fillId="0" borderId="27" xfId="0" applyBorder="1" applyAlignment="1">
      <alignment horizontal="left" wrapText="1"/>
    </xf>
    <xf numFmtId="0" fontId="0" fillId="0" borderId="46" xfId="0" applyBorder="1" applyAlignment="1">
      <alignment horizontal="left"/>
    </xf>
    <xf numFmtId="0" fontId="4" fillId="0" borderId="26" xfId="0" applyFont="1" applyBorder="1" applyAlignment="1">
      <alignment horizontal="center"/>
    </xf>
    <xf numFmtId="164" fontId="4" fillId="0" borderId="46" xfId="0" applyNumberFormat="1" applyFont="1" applyBorder="1" applyAlignment="1">
      <alignment horizontal="center" vertical="center"/>
    </xf>
    <xf numFmtId="0" fontId="3" fillId="0" borderId="21" xfId="0" applyFont="1" applyBorder="1" applyAlignment="1">
      <alignment vertical="center"/>
    </xf>
    <xf numFmtId="0" fontId="3" fillId="0" borderId="20" xfId="0" applyFont="1" applyBorder="1" applyAlignment="1">
      <alignment horizontal="center"/>
    </xf>
    <xf numFmtId="0" fontId="0" fillId="0" borderId="12" xfId="0" applyBorder="1" applyAlignment="1">
      <alignment vertical="center" wrapText="1"/>
    </xf>
    <xf numFmtId="0" fontId="0" fillId="0" borderId="20" xfId="0" applyBorder="1"/>
    <xf numFmtId="4" fontId="0" fillId="0" borderId="20" xfId="0" applyNumberFormat="1" applyBorder="1" applyAlignment="1">
      <alignment horizontal="center" vertical="center"/>
    </xf>
    <xf numFmtId="4" fontId="0" fillId="0" borderId="11" xfId="0" applyNumberFormat="1" applyBorder="1" applyAlignment="1">
      <alignment horizontal="center" vertical="center"/>
    </xf>
    <xf numFmtId="0" fontId="0" fillId="0" borderId="17" xfId="0" applyBorder="1" applyAlignment="1">
      <alignment horizontal="center" vertical="center"/>
    </xf>
    <xf numFmtId="0" fontId="0" fillId="0" borderId="29" xfId="0" applyBorder="1" applyAlignment="1">
      <alignment horizontal="center" vertical="center"/>
    </xf>
    <xf numFmtId="4" fontId="0" fillId="0" borderId="17" xfId="0" applyNumberFormat="1" applyBorder="1" applyAlignment="1">
      <alignment horizontal="center" vertical="center"/>
    </xf>
    <xf numFmtId="4" fontId="0" fillId="0" borderId="29" xfId="0" applyNumberFormat="1" applyBorder="1" applyAlignment="1">
      <alignment horizontal="center" vertical="center"/>
    </xf>
    <xf numFmtId="0" fontId="4" fillId="0" borderId="14" xfId="0" applyFont="1" applyBorder="1" applyAlignment="1">
      <alignment horizontal="center"/>
    </xf>
    <xf numFmtId="0" fontId="3" fillId="0" borderId="45" xfId="0" applyFont="1" applyBorder="1" applyAlignment="1">
      <alignment vertical="center" wrapText="1"/>
    </xf>
    <xf numFmtId="0" fontId="4" fillId="0" borderId="20" xfId="0" applyFont="1" applyBorder="1" applyAlignment="1">
      <alignment horizontal="center"/>
    </xf>
    <xf numFmtId="164" fontId="3" fillId="0" borderId="1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7.xml"/><Relationship Id="rId12" Type="http://schemas.openxmlformats.org/officeDocument/2006/relationships/worksheet" Target="worksheets/sheet12.xml"/><Relationship Id="rId13" Type="http://schemas.openxmlformats.org/officeDocument/2006/relationships/worksheet" Target="worksheets/sheet11.xml"/><Relationship Id="rId14" Type="http://schemas.openxmlformats.org/officeDocument/2006/relationships/worksheet" Target="worksheets/sheet13.xml"/><Relationship Id="rId15" Type="http://schemas.openxmlformats.org/officeDocument/2006/relationships/worksheet" Target="worksheets/sheet3.xml"/><Relationship Id="rId16" Type="http://schemas.openxmlformats.org/officeDocument/2006/relationships/worksheet" Target="worksheets/sheet30.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34.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5.xml"/><Relationship Id="rId29" Type="http://schemas.openxmlformats.org/officeDocument/2006/relationships/worksheet" Target="worksheets/sheet24.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0</xdr:row>
      <xdr:rowOff>133350</xdr:rowOff>
    </xdr:from>
    <xdr:to>
      <xdr:col>0</xdr:col>
      <xdr:colOff>885825</xdr:colOff>
      <xdr:row>0</xdr:row>
      <xdr:rowOff>819150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801160</xdr:colOff>
      <xdr:row>0</xdr:row>
      <xdr:rowOff>85726</xdr:rowOff>
    </xdr:from>
    <xdr:to>
      <xdr:col>0</xdr:col>
      <xdr:colOff>1458384</xdr:colOff>
      <xdr:row>0</xdr:row>
      <xdr:rowOff>719668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844550</xdr:colOff>
      <xdr:row>1</xdr:row>
      <xdr:rowOff>228601</xdr:rowOff>
    </xdr:from>
    <xdr:to>
      <xdr:col>0</xdr:col>
      <xdr:colOff>1406525</xdr:colOff>
      <xdr:row>1</xdr:row>
      <xdr:rowOff>790575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706987</xdr:colOff>
      <xdr:row>1</xdr:row>
      <xdr:rowOff>191748</xdr:rowOff>
    </xdr:from>
    <xdr:to>
      <xdr:col>0</xdr:col>
      <xdr:colOff>1272967</xdr:colOff>
      <xdr:row>1</xdr:row>
      <xdr:rowOff>747758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463262</xdr:colOff>
      <xdr:row>1</xdr:row>
      <xdr:rowOff>152402</xdr:rowOff>
    </xdr:from>
    <xdr:to>
      <xdr:col>0</xdr:col>
      <xdr:colOff>1050638</xdr:colOff>
      <xdr:row>1</xdr:row>
      <xdr:rowOff>750456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1047750</xdr:colOff>
      <xdr:row>1</xdr:row>
      <xdr:rowOff>116418</xdr:rowOff>
    </xdr:from>
    <xdr:to>
      <xdr:col>0</xdr:col>
      <xdr:colOff>1672167</xdr:colOff>
      <xdr:row>1</xdr:row>
      <xdr:rowOff>740834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823913</xdr:colOff>
      <xdr:row>1</xdr:row>
      <xdr:rowOff>140495</xdr:rowOff>
    </xdr:from>
    <xdr:to>
      <xdr:col>0</xdr:col>
      <xdr:colOff>1428751</xdr:colOff>
      <xdr:row>1</xdr:row>
      <xdr:rowOff>738187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133351</xdr:rowOff>
    </xdr:from>
    <xdr:to>
      <xdr:col>0</xdr:col>
      <xdr:colOff>723900</xdr:colOff>
      <xdr:row>0</xdr:row>
      <xdr:rowOff>781050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223307</xdr:colOff>
      <xdr:row>0</xdr:row>
      <xdr:rowOff>147109</xdr:rowOff>
    </xdr:from>
    <xdr:to>
      <xdr:col>0</xdr:col>
      <xdr:colOff>804334</xdr:colOff>
      <xdr:row>0</xdr:row>
      <xdr:rowOff>756708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190500</xdr:rowOff>
    </xdr:from>
    <xdr:to>
      <xdr:col>0</xdr:col>
      <xdr:colOff>714375</xdr:colOff>
      <xdr:row>0</xdr:row>
      <xdr:rowOff>809625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28574</xdr:colOff>
      <xdr:row>0</xdr:row>
      <xdr:rowOff>171452</xdr:rowOff>
    </xdr:from>
    <xdr:to>
      <xdr:col>0</xdr:col>
      <xdr:colOff>657225</xdr:colOff>
      <xdr:row>0</xdr:row>
      <xdr:rowOff>800100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123826</xdr:rowOff>
    </xdr:from>
    <xdr:to>
      <xdr:col>0</xdr:col>
      <xdr:colOff>742950</xdr:colOff>
      <xdr:row>0</xdr:row>
      <xdr:rowOff>771525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104772</xdr:colOff>
      <xdr:row>0</xdr:row>
      <xdr:rowOff>190505</xdr:rowOff>
    </xdr:from>
    <xdr:to>
      <xdr:col>0</xdr:col>
      <xdr:colOff>657225</xdr:colOff>
      <xdr:row>0</xdr:row>
      <xdr:rowOff>762001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701482</xdr:colOff>
      <xdr:row>0</xdr:row>
      <xdr:rowOff>142011</xdr:rowOff>
    </xdr:from>
    <xdr:to>
      <xdr:col>0</xdr:col>
      <xdr:colOff>1301558</xdr:colOff>
      <xdr:row>0</xdr:row>
      <xdr:rowOff>751609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603248</xdr:colOff>
      <xdr:row>0</xdr:row>
      <xdr:rowOff>134411</xdr:rowOff>
    </xdr:from>
    <xdr:to>
      <xdr:col>0</xdr:col>
      <xdr:colOff>1231899</xdr:colOff>
      <xdr:row>0</xdr:row>
      <xdr:rowOff>772584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723898</xdr:colOff>
      <xdr:row>0</xdr:row>
      <xdr:rowOff>123827</xdr:rowOff>
    </xdr:from>
    <xdr:to>
      <xdr:col>0</xdr:col>
      <xdr:colOff>1323975</xdr:colOff>
      <xdr:row>0</xdr:row>
      <xdr:rowOff>762000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95249</xdr:colOff>
      <xdr:row>0</xdr:row>
      <xdr:rowOff>190502</xdr:rowOff>
    </xdr:from>
    <xdr:to>
      <xdr:col>0</xdr:col>
      <xdr:colOff>657225</xdr:colOff>
      <xdr:row>0</xdr:row>
      <xdr:rowOff>762000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66673</xdr:colOff>
      <xdr:row>0</xdr:row>
      <xdr:rowOff>161927</xdr:rowOff>
    </xdr:from>
    <xdr:to>
      <xdr:col>0</xdr:col>
      <xdr:colOff>666750</xdr:colOff>
      <xdr:row>0</xdr:row>
      <xdr:rowOff>800100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114298</xdr:colOff>
      <xdr:row>0</xdr:row>
      <xdr:rowOff>142877</xdr:rowOff>
    </xdr:from>
    <xdr:to>
      <xdr:col>0</xdr:col>
      <xdr:colOff>742949</xdr:colOff>
      <xdr:row>0</xdr:row>
      <xdr:rowOff>790574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104774</xdr:colOff>
      <xdr:row>0</xdr:row>
      <xdr:rowOff>95253</xdr:rowOff>
    </xdr:from>
    <xdr:to>
      <xdr:col>0</xdr:col>
      <xdr:colOff>714375</xdr:colOff>
      <xdr:row>0</xdr:row>
      <xdr:rowOff>704850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66674</xdr:colOff>
      <xdr:row>0</xdr:row>
      <xdr:rowOff>104776</xdr:rowOff>
    </xdr:from>
    <xdr:to>
      <xdr:col>0</xdr:col>
      <xdr:colOff>685800</xdr:colOff>
      <xdr:row>0</xdr:row>
      <xdr:rowOff>733426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638174</xdr:colOff>
      <xdr:row>0</xdr:row>
      <xdr:rowOff>133353</xdr:rowOff>
    </xdr:from>
    <xdr:to>
      <xdr:col>0</xdr:col>
      <xdr:colOff>1228725</xdr:colOff>
      <xdr:row>0</xdr:row>
      <xdr:rowOff>695325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504824</xdr:colOff>
      <xdr:row>0</xdr:row>
      <xdr:rowOff>200028</xdr:rowOff>
    </xdr:from>
    <xdr:to>
      <xdr:col>0</xdr:col>
      <xdr:colOff>1076325</xdr:colOff>
      <xdr:row>0</xdr:row>
      <xdr:rowOff>809625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228598</xdr:colOff>
      <xdr:row>0</xdr:row>
      <xdr:rowOff>180978</xdr:rowOff>
    </xdr:from>
    <xdr:to>
      <xdr:col>0</xdr:col>
      <xdr:colOff>838199</xdr:colOff>
      <xdr:row>0</xdr:row>
      <xdr:rowOff>771525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19047</xdr:colOff>
      <xdr:row>0</xdr:row>
      <xdr:rowOff>190504</xdr:rowOff>
    </xdr:from>
    <xdr:to>
      <xdr:col>0</xdr:col>
      <xdr:colOff>561974</xdr:colOff>
      <xdr:row>0</xdr:row>
      <xdr:rowOff>752476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76197</xdr:colOff>
      <xdr:row>0</xdr:row>
      <xdr:rowOff>142875</xdr:rowOff>
    </xdr:from>
    <xdr:to>
      <xdr:col>0</xdr:col>
      <xdr:colOff>657224</xdr:colOff>
      <xdr:row>0</xdr:row>
      <xdr:rowOff>742950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838196</xdr:colOff>
      <xdr:row>0</xdr:row>
      <xdr:rowOff>123829</xdr:rowOff>
    </xdr:from>
    <xdr:to>
      <xdr:col>0</xdr:col>
      <xdr:colOff>1428749</xdr:colOff>
      <xdr:row>0</xdr:row>
      <xdr:rowOff>714375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104773</xdr:colOff>
      <xdr:row>0</xdr:row>
      <xdr:rowOff>190504</xdr:rowOff>
    </xdr:from>
    <xdr:to>
      <xdr:col>0</xdr:col>
      <xdr:colOff>685800</xdr:colOff>
      <xdr:row>0</xdr:row>
      <xdr:rowOff>742950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47622</xdr:colOff>
      <xdr:row>0</xdr:row>
      <xdr:rowOff>142879</xdr:rowOff>
    </xdr:from>
    <xdr:to>
      <xdr:col>0</xdr:col>
      <xdr:colOff>657225</xdr:colOff>
      <xdr:row>0</xdr:row>
      <xdr:rowOff>742950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28572</xdr:colOff>
      <xdr:row>0</xdr:row>
      <xdr:rowOff>142879</xdr:rowOff>
    </xdr:from>
    <xdr:to>
      <xdr:col>0</xdr:col>
      <xdr:colOff>676275</xdr:colOff>
      <xdr:row>0</xdr:row>
      <xdr:rowOff>771524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104772</xdr:colOff>
      <xdr:row>0</xdr:row>
      <xdr:rowOff>190505</xdr:rowOff>
    </xdr:from>
    <xdr:to>
      <xdr:col>0</xdr:col>
      <xdr:colOff>657225</xdr:colOff>
      <xdr:row>0</xdr:row>
      <xdr:rowOff>723900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28572</xdr:colOff>
      <xdr:row>0</xdr:row>
      <xdr:rowOff>180980</xdr:rowOff>
    </xdr:from>
    <xdr:to>
      <xdr:col>0</xdr:col>
      <xdr:colOff>609600</xdr:colOff>
      <xdr:row>0</xdr:row>
      <xdr:rowOff>761999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66673</xdr:colOff>
      <xdr:row>0</xdr:row>
      <xdr:rowOff>142880</xdr:rowOff>
    </xdr:from>
    <xdr:to>
      <xdr:col>0</xdr:col>
      <xdr:colOff>695325</xdr:colOff>
      <xdr:row>0</xdr:row>
      <xdr:rowOff>752475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0"/>
  <sheetViews>
    <sheetView workbookViewId="0" zoomScale="90" zoomScaleNormal="90">
      <selection activeCell="Q11" sqref="Q11"/>
    </sheetView>
  </sheetViews>
  <sheetFormatPr defaultRowHeight="15" outlineLevelRow="0" outlineLevelCol="0" x14ac:dyDescent="0.25"/>
  <cols>
    <col min="1" max="1" width="40.28515625" customWidth="1"/>
    <col min="2" max="2" width="16.7109375" hidden="1" customWidth="1"/>
    <col min="3" max="3" width="19.85546875" customWidth="1"/>
    <col min="4" max="4" width="18.28515625" customWidth="1"/>
    <col min="5" max="5" width="20.42578125" customWidth="1"/>
    <col min="6" max="6" width="14.5703125" customWidth="1"/>
    <col min="7" max="7" width="14.28515625" customWidth="1"/>
    <col min="8" max="8" width="11.28515625" customWidth="1"/>
    <col min="9" max="9" width="12.85546875" customWidth="1"/>
    <col min="10" max="10" width="11.28515625" customWidth="1"/>
    <col min="11" max="11" width="11.5703125" customWidth="1"/>
    <col min="12" max="13" width="10.28515625" customWidth="1"/>
    <col min="14" max="15" width="11.28515625" customWidth="1"/>
    <col min="16" max="17" width="11.7109375" customWidth="1"/>
    <col min="18" max="18" width="10.42578125" customWidth="1"/>
    <col min="19" max="19" width="13.28515625" customWidth="1"/>
  </cols>
  <sheetData>
    <row r="1" ht="72.75" customHeight="1" spans="1:19" x14ac:dyDescent="0.25">
      <c r="A1" s="1" t="s">
        <v>0</v>
      </c>
      <c r="B1" s="2" t="s">
        <v>1</v>
      </c>
      <c r="C1" s="3" t="s">
        <v>2</v>
      </c>
      <c r="D1" s="4" t="s">
        <v>3</v>
      </c>
      <c r="E1" s="5" t="s">
        <v>4</v>
      </c>
      <c r="F1" s="6" t="s">
        <v>5</v>
      </c>
      <c r="G1" s="7" t="s">
        <v>6</v>
      </c>
      <c r="H1" s="8" t="s">
        <v>7</v>
      </c>
      <c r="I1" s="7" t="s">
        <v>8</v>
      </c>
      <c r="J1" s="8" t="s">
        <v>9</v>
      </c>
      <c r="K1" s="7" t="s">
        <v>10</v>
      </c>
      <c r="L1" s="8" t="s">
        <v>11</v>
      </c>
      <c r="M1" s="7" t="s">
        <v>12</v>
      </c>
      <c r="N1" s="7" t="s">
        <v>13</v>
      </c>
      <c r="O1" s="7" t="s">
        <v>14</v>
      </c>
      <c r="P1" s="7" t="s">
        <v>15</v>
      </c>
      <c r="Q1" s="9" t="s">
        <v>16</v>
      </c>
      <c r="R1" s="9" t="s">
        <v>0</v>
      </c>
      <c r="S1" s="10" t="s">
        <v>17</v>
      </c>
    </row>
    <row r="2" ht="16.5" customHeight="1" spans="1:19" x14ac:dyDescent="0.25">
      <c r="A2" s="11" t="s">
        <v>18</v>
      </c>
      <c r="B2" s="12" t="s">
        <v>0</v>
      </c>
      <c r="C2" s="13" t="s">
        <v>0</v>
      </c>
      <c r="D2" s="14" t="s">
        <v>0</v>
      </c>
      <c r="E2" s="15" t="s">
        <v>0</v>
      </c>
      <c r="F2" s="16" t="s">
        <v>0</v>
      </c>
      <c r="G2" s="16" t="s">
        <v>0</v>
      </c>
      <c r="H2" s="17" t="s">
        <v>0</v>
      </c>
      <c r="I2" s="16" t="s">
        <v>0</v>
      </c>
      <c r="J2" s="17" t="s">
        <v>0</v>
      </c>
      <c r="K2" s="16" t="s">
        <v>0</v>
      </c>
      <c r="L2" s="18" t="s">
        <v>0</v>
      </c>
      <c r="M2" s="16" t="s">
        <v>0</v>
      </c>
      <c r="N2" s="16" t="s">
        <v>0</v>
      </c>
      <c r="O2" s="16" t="s">
        <v>0</v>
      </c>
      <c r="P2" s="16" t="s">
        <v>0</v>
      </c>
      <c r="Q2" s="18" t="s">
        <v>0</v>
      </c>
      <c r="R2" s="18" t="s">
        <v>0</v>
      </c>
      <c r="S2" s="18" t="s">
        <v>0</v>
      </c>
    </row>
    <row r="3" ht="15.75" customHeight="1" spans="1:19" x14ac:dyDescent="0.25">
      <c r="A3" s="19" t="s">
        <v>19</v>
      </c>
      <c r="B3" s="20" t="s">
        <v>0</v>
      </c>
      <c r="C3" s="21" t="s">
        <v>20</v>
      </c>
      <c r="D3" s="22" t="s">
        <v>0</v>
      </c>
      <c r="E3" s="23" t="s">
        <v>20</v>
      </c>
      <c r="F3" s="23" t="s">
        <v>0</v>
      </c>
      <c r="G3" s="23" t="s">
        <v>0</v>
      </c>
      <c r="H3" s="23" t="s">
        <v>0</v>
      </c>
      <c r="I3" s="23" t="s">
        <v>0</v>
      </c>
      <c r="J3" s="23" t="s">
        <v>0</v>
      </c>
      <c r="K3" s="23" t="s">
        <v>0</v>
      </c>
      <c r="L3" s="23" t="s">
        <v>0</v>
      </c>
      <c r="M3" s="23" t="s">
        <v>0</v>
      </c>
      <c r="N3" s="23" t="s">
        <v>0</v>
      </c>
      <c r="O3" s="23" t="s">
        <v>0</v>
      </c>
      <c r="P3" s="23" t="s">
        <v>0</v>
      </c>
      <c r="Q3" s="23" t="s">
        <v>0</v>
      </c>
      <c r="R3" s="24" t="s">
        <v>0</v>
      </c>
      <c r="S3" s="25" t="s">
        <v>0</v>
      </c>
    </row>
    <row r="4" ht="15.75" customHeight="1" spans="1:19" x14ac:dyDescent="0.25">
      <c r="A4" s="26" t="s">
        <v>21</v>
      </c>
      <c r="B4" s="27" t="s">
        <v>0</v>
      </c>
      <c r="C4" s="28" t="s">
        <v>22</v>
      </c>
      <c r="D4" s="22" t="s">
        <v>23</v>
      </c>
      <c r="E4" s="23" t="s">
        <v>24</v>
      </c>
      <c r="F4" s="28" t="s">
        <v>0</v>
      </c>
      <c r="G4" s="28" t="s">
        <v>25</v>
      </c>
      <c r="H4" s="28" t="s">
        <v>0</v>
      </c>
      <c r="I4" s="28" t="s">
        <v>0</v>
      </c>
      <c r="J4" s="29" t="s">
        <v>0</v>
      </c>
      <c r="K4" s="28" t="s">
        <v>26</v>
      </c>
      <c r="L4" s="28" t="s">
        <v>27</v>
      </c>
      <c r="M4" s="28" t="s">
        <v>28</v>
      </c>
      <c r="N4" s="28" t="s">
        <v>29</v>
      </c>
      <c r="O4" s="28" t="s">
        <v>30</v>
      </c>
      <c r="P4" s="28" t="s">
        <v>0</v>
      </c>
      <c r="Q4" s="28" t="s">
        <v>0</v>
      </c>
      <c r="R4" s="24" t="s">
        <v>0</v>
      </c>
      <c r="S4" s="28" t="s">
        <v>23</v>
      </c>
    </row>
    <row r="5" ht="15.75" customHeight="1" spans="1:19" x14ac:dyDescent="0.25">
      <c r="A5" s="26" t="s">
        <v>31</v>
      </c>
      <c r="B5" s="27" t="s">
        <v>0</v>
      </c>
      <c r="C5" s="27" t="s">
        <v>32</v>
      </c>
      <c r="D5" s="22" t="s">
        <v>0</v>
      </c>
      <c r="E5" s="23" t="s">
        <v>32</v>
      </c>
      <c r="F5" s="28" t="s">
        <v>0</v>
      </c>
      <c r="G5" s="28" t="s">
        <v>0</v>
      </c>
      <c r="H5" s="28" t="s">
        <v>0</v>
      </c>
      <c r="I5" s="28" t="s">
        <v>0</v>
      </c>
      <c r="J5" s="29" t="s">
        <v>0</v>
      </c>
      <c r="K5" s="28" t="s">
        <v>0</v>
      </c>
      <c r="L5" s="28" t="s">
        <v>0</v>
      </c>
      <c r="M5" s="28" t="s">
        <v>0</v>
      </c>
      <c r="N5" s="28" t="s">
        <v>0</v>
      </c>
      <c r="O5" s="28" t="s">
        <v>0</v>
      </c>
      <c r="P5" s="28" t="s">
        <v>0</v>
      </c>
      <c r="Q5" s="28" t="s">
        <v>0</v>
      </c>
      <c r="R5" s="24" t="s">
        <v>0</v>
      </c>
      <c r="S5" s="28" t="s">
        <v>0</v>
      </c>
    </row>
    <row r="6" ht="15.75" customHeight="1" spans="1:19" x14ac:dyDescent="0.25">
      <c r="A6" s="26" t="s">
        <v>33</v>
      </c>
      <c r="B6" s="27" t="s">
        <v>0</v>
      </c>
      <c r="C6" s="27" t="s">
        <v>34</v>
      </c>
      <c r="D6" s="22" t="s">
        <v>35</v>
      </c>
      <c r="E6" s="23" t="s">
        <v>36</v>
      </c>
      <c r="F6" s="28" t="s">
        <v>0</v>
      </c>
      <c r="G6" s="28" t="s">
        <v>0</v>
      </c>
      <c r="H6" s="28" t="s">
        <v>0</v>
      </c>
      <c r="I6" s="28" t="s">
        <v>0</v>
      </c>
      <c r="J6" s="29" t="s">
        <v>0</v>
      </c>
      <c r="K6" s="28" t="s">
        <v>0</v>
      </c>
      <c r="L6" s="28" t="s">
        <v>37</v>
      </c>
      <c r="M6" s="28" t="s">
        <v>38</v>
      </c>
      <c r="N6" s="28" t="s">
        <v>0</v>
      </c>
      <c r="O6" s="28" t="s">
        <v>0</v>
      </c>
      <c r="P6" s="28" t="s">
        <v>0</v>
      </c>
      <c r="Q6" s="28" t="s">
        <v>0</v>
      </c>
      <c r="R6" s="24" t="s">
        <v>0</v>
      </c>
      <c r="S6" s="28" t="s">
        <v>35</v>
      </c>
    </row>
    <row r="7" ht="15.75" customHeight="1" spans="1:19" x14ac:dyDescent="0.25">
      <c r="A7" s="26" t="s">
        <v>39</v>
      </c>
      <c r="B7" s="27" t="s">
        <v>0</v>
      </c>
      <c r="C7" s="27" t="s">
        <v>40</v>
      </c>
      <c r="D7" s="22" t="s">
        <v>0</v>
      </c>
      <c r="E7" s="23" t="s">
        <v>40</v>
      </c>
      <c r="F7" s="28" t="s">
        <v>0</v>
      </c>
      <c r="G7" s="28" t="s">
        <v>0</v>
      </c>
      <c r="H7" s="28" t="s">
        <v>0</v>
      </c>
      <c r="I7" s="28" t="s">
        <v>0</v>
      </c>
      <c r="J7" s="29" t="s">
        <v>0</v>
      </c>
      <c r="K7" s="28" t="s">
        <v>0</v>
      </c>
      <c r="L7" s="28" t="s">
        <v>0</v>
      </c>
      <c r="M7" s="28" t="s">
        <v>0</v>
      </c>
      <c r="N7" s="28" t="s">
        <v>0</v>
      </c>
      <c r="O7" s="28" t="s">
        <v>0</v>
      </c>
      <c r="P7" s="28" t="s">
        <v>0</v>
      </c>
      <c r="Q7" s="28" t="s">
        <v>0</v>
      </c>
      <c r="R7" s="24" t="s">
        <v>0</v>
      </c>
      <c r="S7" s="28" t="s">
        <v>0</v>
      </c>
    </row>
    <row r="8" ht="15.75" customHeight="1" spans="1:19" x14ac:dyDescent="0.25">
      <c r="A8" s="26" t="s">
        <v>41</v>
      </c>
      <c r="B8" s="27" t="s">
        <v>0</v>
      </c>
      <c r="C8" s="27" t="s">
        <v>42</v>
      </c>
      <c r="D8" s="22" t="s">
        <v>0</v>
      </c>
      <c r="E8" s="23" t="s">
        <v>42</v>
      </c>
      <c r="F8" s="28" t="s">
        <v>0</v>
      </c>
      <c r="G8" s="28" t="s">
        <v>0</v>
      </c>
      <c r="H8" s="28" t="s">
        <v>0</v>
      </c>
      <c r="I8" s="28" t="s">
        <v>0</v>
      </c>
      <c r="J8" s="29" t="s">
        <v>0</v>
      </c>
      <c r="K8" s="28" t="s">
        <v>0</v>
      </c>
      <c r="L8" s="28" t="s">
        <v>0</v>
      </c>
      <c r="M8" s="28" t="s">
        <v>0</v>
      </c>
      <c r="N8" s="28" t="s">
        <v>0</v>
      </c>
      <c r="O8" s="28" t="s">
        <v>0</v>
      </c>
      <c r="P8" s="28" t="s">
        <v>0</v>
      </c>
      <c r="Q8" s="28" t="s">
        <v>0</v>
      </c>
      <c r="R8" s="24" t="s">
        <v>0</v>
      </c>
      <c r="S8" s="28" t="s">
        <v>0</v>
      </c>
    </row>
    <row r="9" ht="15.75" customHeight="1" spans="1:19" x14ac:dyDescent="0.25">
      <c r="A9" s="26" t="s">
        <v>43</v>
      </c>
      <c r="B9" s="27" t="s">
        <v>0</v>
      </c>
      <c r="C9" s="27" t="s">
        <v>44</v>
      </c>
      <c r="D9" s="22" t="s">
        <v>0</v>
      </c>
      <c r="E9" s="23" t="s">
        <v>44</v>
      </c>
      <c r="F9" s="28" t="s">
        <v>0</v>
      </c>
      <c r="G9" s="28" t="s">
        <v>0</v>
      </c>
      <c r="H9" s="28" t="s">
        <v>0</v>
      </c>
      <c r="I9" s="28" t="s">
        <v>0</v>
      </c>
      <c r="J9" s="29" t="s">
        <v>0</v>
      </c>
      <c r="K9" s="28" t="s">
        <v>0</v>
      </c>
      <c r="L9" s="28" t="s">
        <v>0</v>
      </c>
      <c r="M9" s="28" t="s">
        <v>0</v>
      </c>
      <c r="N9" s="28" t="s">
        <v>0</v>
      </c>
      <c r="O9" s="28" t="s">
        <v>0</v>
      </c>
      <c r="P9" s="28" t="s">
        <v>0</v>
      </c>
      <c r="Q9" s="28" t="s">
        <v>0</v>
      </c>
      <c r="R9" s="24" t="s">
        <v>0</v>
      </c>
      <c r="S9" s="28" t="s">
        <v>0</v>
      </c>
    </row>
    <row r="10" ht="15.75" customHeight="1" spans="1:19" x14ac:dyDescent="0.25">
      <c r="A10" s="26" t="s">
        <v>45</v>
      </c>
      <c r="B10" s="30" t="s">
        <v>0</v>
      </c>
      <c r="C10" s="27" t="s">
        <v>0</v>
      </c>
      <c r="D10" s="22" t="s">
        <v>46</v>
      </c>
      <c r="E10" s="23" t="s">
        <v>47</v>
      </c>
      <c r="F10" s="28" t="s">
        <v>48</v>
      </c>
      <c r="G10" s="28" t="s">
        <v>49</v>
      </c>
      <c r="H10" s="28" t="s">
        <v>50</v>
      </c>
      <c r="I10" s="28" t="s">
        <v>51</v>
      </c>
      <c r="J10" s="29" t="s">
        <v>52</v>
      </c>
      <c r="K10" s="28" t="s">
        <v>53</v>
      </c>
      <c r="L10" s="28" t="s">
        <v>54</v>
      </c>
      <c r="M10" s="28" t="s">
        <v>55</v>
      </c>
      <c r="N10" s="28" t="s">
        <v>56</v>
      </c>
      <c r="O10" s="28" t="s">
        <v>57</v>
      </c>
      <c r="P10" s="28" t="s">
        <v>58</v>
      </c>
      <c r="Q10" s="28" t="s">
        <v>59</v>
      </c>
      <c r="R10" s="24" t="s">
        <v>0</v>
      </c>
      <c r="S10" s="28" t="s">
        <v>46</v>
      </c>
    </row>
    <row r="11" ht="15.75" customHeight="1" spans="1:19" x14ac:dyDescent="0.25">
      <c r="A11" s="31" t="s">
        <v>60</v>
      </c>
      <c r="B11" s="30" t="s">
        <v>0</v>
      </c>
      <c r="C11" s="27" t="s">
        <v>61</v>
      </c>
      <c r="D11" s="22" t="s">
        <v>0</v>
      </c>
      <c r="E11" s="23" t="s">
        <v>61</v>
      </c>
      <c r="F11" s="28" t="s">
        <v>0</v>
      </c>
      <c r="G11" s="28" t="s">
        <v>0</v>
      </c>
      <c r="H11" s="28" t="s">
        <v>0</v>
      </c>
      <c r="I11" s="28" t="s">
        <v>0</v>
      </c>
      <c r="J11" s="28" t="s">
        <v>0</v>
      </c>
      <c r="K11" s="28" t="s">
        <v>0</v>
      </c>
      <c r="L11" s="28" t="s">
        <v>0</v>
      </c>
      <c r="M11" s="28" t="s">
        <v>0</v>
      </c>
      <c r="N11" s="28" t="s">
        <v>0</v>
      </c>
      <c r="O11" s="28" t="s">
        <v>0</v>
      </c>
      <c r="P11" s="28" t="s">
        <v>0</v>
      </c>
      <c r="Q11" s="28" t="s">
        <v>0</v>
      </c>
      <c r="R11" s="24" t="s">
        <v>0</v>
      </c>
      <c r="S11" s="28" t="s">
        <v>0</v>
      </c>
    </row>
    <row r="12" ht="15.75" customHeight="1" spans="1:19" x14ac:dyDescent="0.25">
      <c r="A12" s="31" t="s">
        <v>62</v>
      </c>
      <c r="B12" s="32" t="s">
        <v>0</v>
      </c>
      <c r="C12" s="32" t="s">
        <v>63</v>
      </c>
      <c r="D12" s="22" t="s">
        <v>0</v>
      </c>
      <c r="E12" s="23" t="s">
        <v>63</v>
      </c>
      <c r="F12" s="28" t="s">
        <v>0</v>
      </c>
      <c r="G12" s="28" t="s">
        <v>0</v>
      </c>
      <c r="H12" s="28" t="s">
        <v>0</v>
      </c>
      <c r="I12" s="28" t="s">
        <v>0</v>
      </c>
      <c r="J12" s="28" t="s">
        <v>0</v>
      </c>
      <c r="K12" s="28" t="s">
        <v>0</v>
      </c>
      <c r="L12" s="28" t="s">
        <v>0</v>
      </c>
      <c r="M12" s="28" t="s">
        <v>0</v>
      </c>
      <c r="N12" s="28" t="s">
        <v>0</v>
      </c>
      <c r="O12" s="28" t="s">
        <v>0</v>
      </c>
      <c r="P12" s="28" t="s">
        <v>0</v>
      </c>
      <c r="Q12" s="28" t="s">
        <v>0</v>
      </c>
      <c r="R12" s="33" t="s">
        <v>0</v>
      </c>
      <c r="S12" s="28" t="s">
        <v>0</v>
      </c>
    </row>
    <row r="13" ht="16.5" customHeight="1" spans="1:19" x14ac:dyDescent="0.25">
      <c r="A13" s="34" t="s">
        <v>0</v>
      </c>
      <c r="B13" s="35" t="s">
        <v>0</v>
      </c>
      <c r="C13" s="36" t="s">
        <v>64</v>
      </c>
      <c r="D13" s="36" t="s">
        <v>65</v>
      </c>
      <c r="E13" s="37" t="s">
        <v>66</v>
      </c>
      <c r="F13" s="37" t="s">
        <v>48</v>
      </c>
      <c r="G13" s="37" t="s">
        <v>67</v>
      </c>
      <c r="H13" s="37" t="s">
        <v>50</v>
      </c>
      <c r="I13" s="37" t="s">
        <v>51</v>
      </c>
      <c r="J13" s="37" t="s">
        <v>52</v>
      </c>
      <c r="K13" s="37" t="s">
        <v>68</v>
      </c>
      <c r="L13" s="37" t="s">
        <v>69</v>
      </c>
      <c r="M13" s="37" t="s">
        <v>70</v>
      </c>
      <c r="N13" s="37" t="s">
        <v>71</v>
      </c>
      <c r="O13" s="37" t="s">
        <v>72</v>
      </c>
      <c r="P13" s="37" t="s">
        <v>58</v>
      </c>
      <c r="Q13" s="37" t="s">
        <v>59</v>
      </c>
      <c r="R13" s="36" t="s">
        <v>73</v>
      </c>
      <c r="S13" s="38" t="s">
        <v>65</v>
      </c>
    </row>
    <row r="14" spans="1:19" x14ac:dyDescent="0.25">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row>
    <row r="15" ht="37.5" customHeight="1" spans="1:19" x14ac:dyDescent="0.25">
      <c r="A15" s="39"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row>
    <row r="16" ht="15.75" customHeight="1" spans="1:19" x14ac:dyDescent="0.25">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row>
    <row r="17" ht="16.5" customHeight="1" spans="1:19" x14ac:dyDescent="0.25">
      <c r="A17" s="40" t="s">
        <v>74</v>
      </c>
      <c r="B17" s="41" t="s">
        <v>75</v>
      </c>
      <c r="C17" s="42"/>
      <c r="D17" s="42"/>
      <c r="E17" s="43"/>
      <c r="F17" s="41" t="s">
        <v>76</v>
      </c>
      <c r="G17" s="43"/>
      <c r="H17" s="44" t="s">
        <v>77</v>
      </c>
      <c r="I17" s="45"/>
      <c r="J17" t="s">
        <v>0</v>
      </c>
      <c r="K17" t="s">
        <v>0</v>
      </c>
      <c r="L17" t="s">
        <v>0</v>
      </c>
      <c r="M17" t="s">
        <v>0</v>
      </c>
      <c r="N17" t="s">
        <v>0</v>
      </c>
      <c r="O17" t="s">
        <v>0</v>
      </c>
      <c r="P17" t="s">
        <v>0</v>
      </c>
      <c r="Q17" t="s">
        <v>0</v>
      </c>
      <c r="R17" t="s">
        <v>0</v>
      </c>
      <c r="S17" t="s">
        <v>0</v>
      </c>
    </row>
    <row r="18" ht="30" customHeight="1" spans="1:19" x14ac:dyDescent="0.25">
      <c r="A18" s="46" t="s">
        <v>78</v>
      </c>
      <c r="B18" s="47" t="s">
        <v>79</v>
      </c>
      <c r="C18" s="48"/>
      <c r="D18" s="48"/>
      <c r="E18" s="49"/>
      <c r="F18" s="50" t="s">
        <v>80</v>
      </c>
      <c r="G18" s="51"/>
      <c r="H18" s="52">
        <v>2100</v>
      </c>
      <c r="I18" s="53"/>
      <c r="J18" t="s">
        <v>0</v>
      </c>
      <c r="K18" t="s">
        <v>0</v>
      </c>
      <c r="L18" t="s">
        <v>0</v>
      </c>
      <c r="M18" t="s">
        <v>0</v>
      </c>
      <c r="N18" t="s">
        <v>0</v>
      </c>
      <c r="O18" t="s">
        <v>0</v>
      </c>
      <c r="P18" t="s">
        <v>0</v>
      </c>
      <c r="Q18" t="s">
        <v>0</v>
      </c>
      <c r="R18" t="s">
        <v>0</v>
      </c>
      <c r="S18" t="s">
        <v>0</v>
      </c>
    </row>
    <row r="19" ht="30" customHeight="1" spans="1:19" x14ac:dyDescent="0.25">
      <c r="A19" s="54" t="s">
        <v>81</v>
      </c>
      <c r="B19" s="55" t="s">
        <v>82</v>
      </c>
      <c r="C19" s="56"/>
      <c r="D19" s="56"/>
      <c r="E19" s="57"/>
      <c r="F19" s="55" t="s">
        <v>83</v>
      </c>
      <c r="G19" s="57"/>
      <c r="H19" s="58">
        <v>2250</v>
      </c>
      <c r="I19" s="59"/>
      <c r="J19" t="s">
        <v>0</v>
      </c>
      <c r="K19" t="s">
        <v>0</v>
      </c>
      <c r="L19" t="s">
        <v>0</v>
      </c>
      <c r="M19" t="s">
        <v>0</v>
      </c>
      <c r="N19" t="s">
        <v>0</v>
      </c>
      <c r="O19" t="s">
        <v>0</v>
      </c>
      <c r="P19" t="s">
        <v>0</v>
      </c>
      <c r="Q19" t="s">
        <v>0</v>
      </c>
      <c r="R19" t="s">
        <v>0</v>
      </c>
      <c r="S19" t="s">
        <v>0</v>
      </c>
    </row>
    <row r="20" ht="30.75" customHeight="1" spans="1:19" x14ac:dyDescent="0.25">
      <c r="A20" s="60" t="s">
        <v>84</v>
      </c>
      <c r="B20" s="61" t="s">
        <v>85</v>
      </c>
      <c r="C20" s="62"/>
      <c r="D20" s="62"/>
      <c r="E20" s="63"/>
      <c r="F20" s="64" t="s">
        <v>86</v>
      </c>
      <c r="G20" s="65"/>
      <c r="H20" s="66">
        <v>12550</v>
      </c>
      <c r="I20" s="67"/>
      <c r="J20" t="s">
        <v>0</v>
      </c>
      <c r="K20" t="s">
        <v>0</v>
      </c>
      <c r="L20" t="s">
        <v>0</v>
      </c>
      <c r="M20" t="s">
        <v>0</v>
      </c>
      <c r="N20" t="s">
        <v>0</v>
      </c>
      <c r="O20" t="s">
        <v>0</v>
      </c>
      <c r="P20" t="s">
        <v>0</v>
      </c>
      <c r="Q20" t="s">
        <v>0</v>
      </c>
      <c r="R20" t="s">
        <v>0</v>
      </c>
      <c r="S20" t="s">
        <v>0</v>
      </c>
    </row>
    <row r="21" spans="1:19" x14ac:dyDescent="0.25">
      <c r="A21" s="60" t="s">
        <v>81</v>
      </c>
      <c r="B21" s="68" t="s">
        <v>87</v>
      </c>
      <c r="C21" s="69"/>
      <c r="D21" s="69"/>
      <c r="E21" s="70"/>
      <c r="F21" s="68" t="s">
        <v>88</v>
      </c>
      <c r="G21" s="70"/>
      <c r="H21" s="71">
        <v>750</v>
      </c>
      <c r="I21" s="72"/>
      <c r="J21" t="s">
        <v>0</v>
      </c>
      <c r="K21" t="s">
        <v>0</v>
      </c>
      <c r="L21" t="s">
        <v>0</v>
      </c>
      <c r="M21" t="s">
        <v>0</v>
      </c>
      <c r="N21" t="s">
        <v>0</v>
      </c>
      <c r="O21" t="s">
        <v>0</v>
      </c>
      <c r="P21" t="s">
        <v>0</v>
      </c>
      <c r="Q21" t="s">
        <v>0</v>
      </c>
      <c r="R21" t="s">
        <v>0</v>
      </c>
      <c r="S21" t="s">
        <v>0</v>
      </c>
    </row>
    <row r="22" ht="29.25" customHeight="1" spans="1:19" s="73" customFormat="1" x14ac:dyDescent="0.25">
      <c r="A22" s="74" t="s">
        <v>84</v>
      </c>
      <c r="B22" s="75" t="s">
        <v>89</v>
      </c>
      <c r="C22" s="76"/>
      <c r="D22" s="76"/>
      <c r="E22" s="77"/>
      <c r="F22" s="75" t="s">
        <v>90</v>
      </c>
      <c r="G22" s="77"/>
      <c r="H22" s="78">
        <v>1150</v>
      </c>
      <c r="I22" s="79"/>
      <c r="J22" s="73" t="s">
        <v>0</v>
      </c>
      <c r="K22" s="73" t="s">
        <v>0</v>
      </c>
      <c r="L22" s="73" t="s">
        <v>0</v>
      </c>
      <c r="M22" s="73" t="s">
        <v>0</v>
      </c>
      <c r="N22" s="73" t="s">
        <v>0</v>
      </c>
      <c r="O22" s="73" t="s">
        <v>0</v>
      </c>
      <c r="P22" s="73" t="s">
        <v>0</v>
      </c>
      <c r="Q22" s="73" t="s">
        <v>0</v>
      </c>
      <c r="R22" s="73" t="s">
        <v>0</v>
      </c>
      <c r="S22" s="73" t="s">
        <v>0</v>
      </c>
    </row>
    <row r="23" ht="90" customHeight="1" spans="1:19" s="80" customFormat="1" x14ac:dyDescent="0.25">
      <c r="A23" s="54" t="s">
        <v>78</v>
      </c>
      <c r="B23" s="81" t="s">
        <v>91</v>
      </c>
      <c r="C23" s="82"/>
      <c r="D23" s="82"/>
      <c r="E23" s="83"/>
      <c r="F23" s="81" t="s">
        <v>92</v>
      </c>
      <c r="G23" s="84"/>
      <c r="H23" s="85">
        <v>2550</v>
      </c>
      <c r="I23" s="86"/>
      <c r="J23" s="80" t="s">
        <v>0</v>
      </c>
      <c r="K23" s="80" t="s">
        <v>0</v>
      </c>
      <c r="L23" s="80" t="s">
        <v>0</v>
      </c>
      <c r="M23" s="80" t="s">
        <v>0</v>
      </c>
      <c r="N23" s="80" t="s">
        <v>0</v>
      </c>
      <c r="O23" s="80" t="s">
        <v>0</v>
      </c>
      <c r="P23" s="80" t="s">
        <v>0</v>
      </c>
      <c r="Q23" s="80" t="s">
        <v>0</v>
      </c>
      <c r="R23" s="80" t="s">
        <v>0</v>
      </c>
      <c r="S23" s="80" t="s">
        <v>0</v>
      </c>
    </row>
    <row r="24" ht="30" customHeight="1" spans="1:19" x14ac:dyDescent="0.25">
      <c r="A24" s="60" t="s">
        <v>93</v>
      </c>
      <c r="B24" s="68" t="s">
        <v>87</v>
      </c>
      <c r="C24" s="69"/>
      <c r="D24" s="69"/>
      <c r="E24" s="70"/>
      <c r="F24" s="75" t="s">
        <v>94</v>
      </c>
      <c r="G24" s="77"/>
      <c r="H24" s="71">
        <v>1500</v>
      </c>
      <c r="I24" s="72"/>
      <c r="J24" t="s">
        <v>0</v>
      </c>
      <c r="K24" t="s">
        <v>0</v>
      </c>
      <c r="L24" t="s">
        <v>0</v>
      </c>
      <c r="M24" t="s">
        <v>0</v>
      </c>
      <c r="N24" t="s">
        <v>0</v>
      </c>
      <c r="O24" t="s">
        <v>0</v>
      </c>
      <c r="P24" t="s">
        <v>0</v>
      </c>
      <c r="Q24" t="s">
        <v>0</v>
      </c>
      <c r="R24" t="s">
        <v>0</v>
      </c>
      <c r="S24" t="s">
        <v>0</v>
      </c>
    </row>
    <row r="25" spans="1:19" x14ac:dyDescent="0.25">
      <c r="A25" s="60" t="s">
        <v>93</v>
      </c>
      <c r="B25" s="68" t="s">
        <v>87</v>
      </c>
      <c r="C25" s="69"/>
      <c r="D25" s="69"/>
      <c r="E25" s="70"/>
      <c r="F25" s="68" t="s">
        <v>95</v>
      </c>
      <c r="G25" s="70"/>
      <c r="H25" s="71">
        <v>450</v>
      </c>
      <c r="I25" s="72"/>
      <c r="J25" t="s">
        <v>0</v>
      </c>
      <c r="K25" t="s">
        <v>0</v>
      </c>
      <c r="L25" t="s">
        <v>0</v>
      </c>
      <c r="M25" t="s">
        <v>0</v>
      </c>
      <c r="N25" t="s">
        <v>0</v>
      </c>
      <c r="O25" t="s">
        <v>0</v>
      </c>
      <c r="P25" t="s">
        <v>0</v>
      </c>
      <c r="Q25" t="s">
        <v>0</v>
      </c>
      <c r="R25" t="s">
        <v>0</v>
      </c>
      <c r="S25" t="s">
        <v>0</v>
      </c>
    </row>
    <row r="26" spans="1:19" x14ac:dyDescent="0.25">
      <c r="A26" s="60" t="s">
        <v>0</v>
      </c>
      <c r="B26" s="68"/>
      <c r="C26" s="69"/>
      <c r="D26" s="69"/>
      <c r="E26" s="70"/>
      <c r="F26" s="68"/>
      <c r="G26" s="70"/>
      <c r="H26" s="71"/>
      <c r="I26" s="72"/>
      <c r="J26" t="s">
        <v>0</v>
      </c>
      <c r="K26" t="s">
        <v>0</v>
      </c>
      <c r="L26" t="s">
        <v>0</v>
      </c>
      <c r="M26" t="s">
        <v>0</v>
      </c>
      <c r="N26" t="s">
        <v>0</v>
      </c>
      <c r="O26" t="s">
        <v>0</v>
      </c>
      <c r="P26" t="s">
        <v>0</v>
      </c>
      <c r="Q26" t="s">
        <v>0</v>
      </c>
      <c r="R26" t="s">
        <v>0</v>
      </c>
      <c r="S26" t="s">
        <v>0</v>
      </c>
    </row>
    <row r="27" spans="1:19" x14ac:dyDescent="0.25">
      <c r="A27" s="60" t="s">
        <v>0</v>
      </c>
      <c r="B27" s="68"/>
      <c r="C27" s="69"/>
      <c r="D27" s="69"/>
      <c r="E27" s="70"/>
      <c r="F27" s="68"/>
      <c r="G27" s="70"/>
      <c r="H27" s="71"/>
      <c r="I27" s="72"/>
      <c r="J27" t="s">
        <v>0</v>
      </c>
      <c r="K27" t="s">
        <v>0</v>
      </c>
      <c r="L27" t="s">
        <v>0</v>
      </c>
      <c r="M27" t="s">
        <v>0</v>
      </c>
      <c r="N27" t="s">
        <v>0</v>
      </c>
      <c r="O27" t="s">
        <v>0</v>
      </c>
      <c r="P27" t="s">
        <v>0</v>
      </c>
      <c r="Q27" t="s">
        <v>0</v>
      </c>
      <c r="R27" t="s">
        <v>0</v>
      </c>
      <c r="S27" t="s">
        <v>0</v>
      </c>
    </row>
    <row r="28" spans="1:19" x14ac:dyDescent="0.25">
      <c r="A28" s="60" t="s">
        <v>0</v>
      </c>
      <c r="B28" s="68"/>
      <c r="C28" s="69"/>
      <c r="D28" s="69"/>
      <c r="E28" s="70"/>
      <c r="F28" s="68"/>
      <c r="G28" s="70"/>
      <c r="H28" s="71"/>
      <c r="I28" s="72"/>
      <c r="J28" t="s">
        <v>0</v>
      </c>
      <c r="K28" t="s">
        <v>0</v>
      </c>
      <c r="L28" t="s">
        <v>0</v>
      </c>
      <c r="M28" t="s">
        <v>0</v>
      </c>
      <c r="N28" t="s">
        <v>0</v>
      </c>
      <c r="O28" t="s">
        <v>0</v>
      </c>
      <c r="P28" t="s">
        <v>0</v>
      </c>
      <c r="Q28" t="s">
        <v>0</v>
      </c>
      <c r="R28" t="s">
        <v>0</v>
      </c>
      <c r="S28" t="s">
        <v>0</v>
      </c>
    </row>
    <row r="29" ht="15.75" customHeight="1" spans="1:19" x14ac:dyDescent="0.25">
      <c r="A29" s="87" t="s">
        <v>0</v>
      </c>
      <c r="B29" s="88"/>
      <c r="C29" s="89"/>
      <c r="D29" s="89"/>
      <c r="E29" s="90"/>
      <c r="F29" s="88"/>
      <c r="G29" s="90"/>
      <c r="H29" s="91"/>
      <c r="I29" s="92"/>
      <c r="J29" t="s">
        <v>0</v>
      </c>
      <c r="K29" t="s">
        <v>0</v>
      </c>
      <c r="L29" t="s">
        <v>0</v>
      </c>
      <c r="M29" t="s">
        <v>0</v>
      </c>
      <c r="N29" t="s">
        <v>0</v>
      </c>
      <c r="O29" t="s">
        <v>0</v>
      </c>
      <c r="P29" t="s">
        <v>0</v>
      </c>
      <c r="Q29" t="s">
        <v>0</v>
      </c>
      <c r="R29" t="s">
        <v>0</v>
      </c>
      <c r="S29" t="s">
        <v>0</v>
      </c>
    </row>
    <row r="30" ht="15.75" customHeight="1" spans="1:19" x14ac:dyDescent="0.25">
      <c r="A30" s="93" t="s">
        <v>0</v>
      </c>
      <c r="B30" s="94"/>
      <c r="C30" s="95"/>
      <c r="D30" s="95"/>
      <c r="E30" s="96"/>
      <c r="F30" s="97" t="s">
        <v>96</v>
      </c>
      <c r="G30" s="98"/>
      <c r="H30" s="99">
        <f>SUM(H18:I29)</f>
        <v>23300</v>
      </c>
      <c r="I30" s="100"/>
      <c r="J30" t="s">
        <v>0</v>
      </c>
      <c r="K30" t="s">
        <v>0</v>
      </c>
      <c r="L30" t="s">
        <v>0</v>
      </c>
      <c r="M30" t="s">
        <v>0</v>
      </c>
      <c r="N30" t="s">
        <v>0</v>
      </c>
      <c r="O30" t="s">
        <v>0</v>
      </c>
      <c r="P30" t="s">
        <v>0</v>
      </c>
      <c r="Q30" t="s">
        <v>0</v>
      </c>
      <c r="R30" t="s">
        <v>0</v>
      </c>
      <c r="S30" t="s">
        <v>0</v>
      </c>
    </row>
    <row r="35" ht="18.75" customHeight="1" spans="5:5" x14ac:dyDescent="0.25">
      <c r="E35" s="101"/>
    </row>
    <row r="36" ht="18.75" customHeight="1" spans="5:5" x14ac:dyDescent="0.25">
      <c r="E36" s="101"/>
    </row>
    <row r="37" ht="18.75" customHeight="1" spans="5:5" x14ac:dyDescent="0.25">
      <c r="E37" s="101"/>
    </row>
    <row r="38" ht="18.75" customHeight="1" spans="5:5" x14ac:dyDescent="0.25">
      <c r="E38" s="101"/>
    </row>
    <row r="39" ht="18.75" customHeight="1" spans="5:5" x14ac:dyDescent="0.25">
      <c r="E39" s="101"/>
    </row>
    <row r="40" ht="18.75" customHeight="1" spans="5:5" x14ac:dyDescent="0.25">
      <c r="E40" s="101"/>
    </row>
    <row r="41" ht="18.75" customHeight="1" spans="5:5" x14ac:dyDescent="0.25">
      <c r="E41" s="101"/>
    </row>
    <row r="42" ht="18.75" customHeight="1" spans="5:5" x14ac:dyDescent="0.25">
      <c r="E42" s="101"/>
    </row>
    <row r="43" ht="18.75" customHeight="1" spans="5:5" x14ac:dyDescent="0.25">
      <c r="E43" s="101"/>
    </row>
    <row r="44" ht="18.75" customHeight="1" spans="5:5" x14ac:dyDescent="0.25">
      <c r="E44" s="101"/>
    </row>
    <row r="45" ht="18.75" customHeight="1" spans="5:5" x14ac:dyDescent="0.25">
      <c r="E45" s="101"/>
    </row>
    <row r="46" ht="18.75" customHeight="1" spans="5:5" x14ac:dyDescent="0.25">
      <c r="E46" s="101"/>
    </row>
    <row r="47" ht="18.75" customHeight="1" spans="5:5" x14ac:dyDescent="0.25">
      <c r="E47" s="101"/>
    </row>
    <row r="48" ht="18.75" customHeight="1" spans="5:5" x14ac:dyDescent="0.25">
      <c r="E48" s="101"/>
    </row>
    <row r="49" ht="18.75" customHeight="1" spans="5:5" x14ac:dyDescent="0.25">
      <c r="E49" s="101"/>
    </row>
    <row r="50" ht="18.75" customHeight="1" spans="5:5" x14ac:dyDescent="0.25">
      <c r="E50" s="101"/>
    </row>
  </sheetData>
  <mergeCells count="42">
    <mergeCell ref="B17:E17"/>
    <mergeCell ref="F17:G17"/>
    <mergeCell ref="H17:I17"/>
    <mergeCell ref="B18:E18"/>
    <mergeCell ref="F18:G18"/>
    <mergeCell ref="H18:I18"/>
    <mergeCell ref="B19:E19"/>
    <mergeCell ref="F19:G19"/>
    <mergeCell ref="H19:I19"/>
    <mergeCell ref="B20:E20"/>
    <mergeCell ref="F20:G20"/>
    <mergeCell ref="H20:I20"/>
    <mergeCell ref="B21:E21"/>
    <mergeCell ref="F21:G21"/>
    <mergeCell ref="H21:I21"/>
    <mergeCell ref="B22:E22"/>
    <mergeCell ref="F22:G22"/>
    <mergeCell ref="H22:I22"/>
    <mergeCell ref="B23:E23"/>
    <mergeCell ref="F23:G23"/>
    <mergeCell ref="H23:I23"/>
    <mergeCell ref="B24:E24"/>
    <mergeCell ref="F24:G24"/>
    <mergeCell ref="H24:I24"/>
    <mergeCell ref="B25:E25"/>
    <mergeCell ref="F25:G25"/>
    <mergeCell ref="H25:I25"/>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s>
  <pageMargins left="0.7" right="0.7" top="0.75" bottom="0.51" header="0.3" footer="0.3"/>
  <pageSetup orientation="landscape" horizontalDpi="4294967292" verticalDpi="0" scale="46" fitToWidth="1" fitToHeight="0"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zoomScale="90" zoomScaleNormal="90">
      <selection activeCell="Q17" sqref="Q17"/>
    </sheetView>
  </sheetViews>
  <sheetFormatPr defaultRowHeight="15" outlineLevelRow="0" outlineLevelCol="0" x14ac:dyDescent="0.25"/>
  <cols>
    <col min="1" max="1" width="43.5703125" customWidth="1"/>
    <col min="2" max="2" width="14.7109375" hidden="1" customWidth="1"/>
    <col min="3" max="3" width="19.42578125" customWidth="1"/>
    <col min="4" max="4" width="18.42578125" customWidth="1"/>
    <col min="5" max="5" width="19.7109375" style="102" customWidth="1"/>
    <col min="6" max="6" width="13" customWidth="1"/>
    <col min="7" max="7" width="13.28515625" customWidth="1"/>
    <col min="8" max="8" width="14" customWidth="1"/>
    <col min="9" max="9" width="13.42578125" customWidth="1"/>
    <col min="10" max="10" width="12.7109375" customWidth="1"/>
    <col min="11" max="11" width="13.7109375" customWidth="1"/>
    <col min="12" max="12" width="13.5703125" customWidth="1"/>
    <col min="13" max="13" width="14.28515625" customWidth="1"/>
    <col min="14" max="14" width="13.28515625" customWidth="1"/>
    <col min="15" max="15" width="11.28515625" customWidth="1"/>
    <col min="16" max="16" width="11" customWidth="1"/>
    <col min="17" max="18" width="12.7109375" customWidth="1"/>
    <col min="19" max="19" width="14.85546875" customWidth="1"/>
  </cols>
  <sheetData>
    <row r="1" ht="72.75" customHeight="1" spans="1:19" x14ac:dyDescent="0.25">
      <c r="A1" s="1" t="s">
        <v>0</v>
      </c>
      <c r="B1" s="2" t="s">
        <v>97</v>
      </c>
      <c r="C1" s="3" t="s">
        <v>98</v>
      </c>
      <c r="D1" s="4" t="s">
        <v>3</v>
      </c>
      <c r="E1" s="5" t="s">
        <v>99</v>
      </c>
      <c r="F1" s="6" t="s">
        <v>5</v>
      </c>
      <c r="G1" s="7" t="s">
        <v>6</v>
      </c>
      <c r="H1" s="8" t="s">
        <v>7</v>
      </c>
      <c r="I1" s="7" t="s">
        <v>8</v>
      </c>
      <c r="J1" s="8" t="s">
        <v>9</v>
      </c>
      <c r="K1" s="7" t="s">
        <v>10</v>
      </c>
      <c r="L1" s="8" t="s">
        <v>11</v>
      </c>
      <c r="M1" s="7" t="s">
        <v>12</v>
      </c>
      <c r="N1" s="8" t="s">
        <v>13</v>
      </c>
      <c r="O1" s="7" t="s">
        <v>14</v>
      </c>
      <c r="P1" s="8" t="s">
        <v>15</v>
      </c>
      <c r="Q1" s="7" t="s">
        <v>16</v>
      </c>
      <c r="R1" s="9" t="s">
        <v>0</v>
      </c>
      <c r="S1" s="10" t="s">
        <v>17</v>
      </c>
    </row>
    <row r="2" ht="16.5" customHeight="1" spans="1:19" x14ac:dyDescent="0.25">
      <c r="A2" s="13" t="s">
        <v>100</v>
      </c>
      <c r="B2" s="103" t="s">
        <v>0</v>
      </c>
      <c r="C2" s="13" t="s">
        <v>0</v>
      </c>
      <c r="D2" s="14" t="s">
        <v>0</v>
      </c>
      <c r="E2" s="104" t="s">
        <v>0</v>
      </c>
      <c r="F2" s="105" t="s">
        <v>0</v>
      </c>
      <c r="G2" s="16" t="s">
        <v>0</v>
      </c>
      <c r="H2" s="17" t="s">
        <v>0</v>
      </c>
      <c r="I2" s="16" t="s">
        <v>0</v>
      </c>
      <c r="J2" s="17" t="s">
        <v>0</v>
      </c>
      <c r="K2" s="16" t="s">
        <v>0</v>
      </c>
      <c r="L2" s="17" t="s">
        <v>0</v>
      </c>
      <c r="M2" s="16" t="s">
        <v>0</v>
      </c>
      <c r="N2" s="17" t="s">
        <v>0</v>
      </c>
      <c r="O2" s="16" t="s">
        <v>0</v>
      </c>
      <c r="P2" s="17" t="s">
        <v>0</v>
      </c>
      <c r="Q2" s="16" t="s">
        <v>0</v>
      </c>
      <c r="R2" s="16" t="s">
        <v>0</v>
      </c>
      <c r="S2" s="18" t="s">
        <v>0</v>
      </c>
    </row>
    <row r="3" ht="15.75" customHeight="1" spans="1:19" x14ac:dyDescent="0.25">
      <c r="A3" s="106" t="s">
        <v>19</v>
      </c>
      <c r="B3" s="107" t="s">
        <v>0</v>
      </c>
      <c r="C3" s="108" t="s">
        <v>101</v>
      </c>
      <c r="D3" s="109" t="s">
        <v>102</v>
      </c>
      <c r="E3" s="25" t="s">
        <v>103</v>
      </c>
      <c r="F3" s="110" t="s">
        <v>0</v>
      </c>
      <c r="G3" s="25" t="s">
        <v>0</v>
      </c>
      <c r="H3" s="110" t="s">
        <v>104</v>
      </c>
      <c r="I3" s="25" t="s">
        <v>0</v>
      </c>
      <c r="J3" s="110" t="s">
        <v>105</v>
      </c>
      <c r="K3" s="25" t="s">
        <v>106</v>
      </c>
      <c r="L3" s="110" t="s">
        <v>0</v>
      </c>
      <c r="M3" s="25" t="s">
        <v>0</v>
      </c>
      <c r="N3" s="25" t="s">
        <v>0</v>
      </c>
      <c r="O3" s="110" t="s">
        <v>0</v>
      </c>
      <c r="P3" s="25" t="s">
        <v>0</v>
      </c>
      <c r="Q3" s="110" t="s">
        <v>0</v>
      </c>
      <c r="R3" s="25" t="s">
        <v>0</v>
      </c>
      <c r="S3" s="25" t="s">
        <v>102</v>
      </c>
    </row>
    <row r="4" ht="15.75" customHeight="1" spans="1:19" x14ac:dyDescent="0.25">
      <c r="A4" s="26" t="s">
        <v>43</v>
      </c>
      <c r="B4" s="27" t="s">
        <v>0</v>
      </c>
      <c r="C4" s="111" t="s">
        <v>107</v>
      </c>
      <c r="D4" s="112" t="s">
        <v>108</v>
      </c>
      <c r="E4" s="28" t="s">
        <v>109</v>
      </c>
      <c r="F4" s="111" t="s">
        <v>0</v>
      </c>
      <c r="G4" s="28" t="s">
        <v>0</v>
      </c>
      <c r="H4" s="111" t="s">
        <v>110</v>
      </c>
      <c r="I4" s="28" t="s">
        <v>0</v>
      </c>
      <c r="J4" s="113" t="s">
        <v>0</v>
      </c>
      <c r="K4" s="28" t="s">
        <v>0</v>
      </c>
      <c r="L4" s="111" t="s">
        <v>0</v>
      </c>
      <c r="M4" s="28" t="s">
        <v>0</v>
      </c>
      <c r="N4" s="28" t="s">
        <v>111</v>
      </c>
      <c r="O4" s="111" t="s">
        <v>112</v>
      </c>
      <c r="P4" s="28" t="s">
        <v>113</v>
      </c>
      <c r="Q4" s="111" t="s">
        <v>0</v>
      </c>
      <c r="R4" s="28" t="s">
        <v>0</v>
      </c>
      <c r="S4" s="28" t="s">
        <v>108</v>
      </c>
    </row>
    <row r="5" ht="15.75" customHeight="1" spans="1:19" x14ac:dyDescent="0.25">
      <c r="A5" s="114" t="s">
        <v>114</v>
      </c>
      <c r="B5" s="27" t="s">
        <v>0</v>
      </c>
      <c r="C5" s="111" t="s">
        <v>0</v>
      </c>
      <c r="D5" s="112" t="s">
        <v>0</v>
      </c>
      <c r="E5" s="28" t="s">
        <v>0</v>
      </c>
      <c r="F5" s="111" t="s">
        <v>115</v>
      </c>
      <c r="G5" s="28" t="s">
        <v>116</v>
      </c>
      <c r="H5" s="111" t="s">
        <v>117</v>
      </c>
      <c r="I5" s="28" t="s">
        <v>118</v>
      </c>
      <c r="J5" s="113" t="s">
        <v>119</v>
      </c>
      <c r="K5" s="28" t="s">
        <v>120</v>
      </c>
      <c r="L5" s="111" t="s">
        <v>121</v>
      </c>
      <c r="M5" s="28" t="s">
        <v>0</v>
      </c>
      <c r="N5" s="28" t="s">
        <v>0</v>
      </c>
      <c r="O5" s="111" t="s">
        <v>0</v>
      </c>
      <c r="P5" s="28" t="s">
        <v>0</v>
      </c>
      <c r="Q5" s="111" t="s">
        <v>0</v>
      </c>
      <c r="R5" s="28" t="s">
        <v>0</v>
      </c>
      <c r="S5" s="28" t="s">
        <v>122</v>
      </c>
    </row>
    <row r="6" ht="15.75" customHeight="1" spans="1:19" x14ac:dyDescent="0.25">
      <c r="A6" s="115" t="s">
        <v>123</v>
      </c>
      <c r="B6" s="27" t="s">
        <v>0</v>
      </c>
      <c r="C6" s="111" t="s">
        <v>124</v>
      </c>
      <c r="D6" s="112" t="s">
        <v>125</v>
      </c>
      <c r="E6" s="28" t="s">
        <v>126</v>
      </c>
      <c r="F6" s="111" t="s">
        <v>0</v>
      </c>
      <c r="G6" s="28" t="s">
        <v>127</v>
      </c>
      <c r="H6" s="111" t="s">
        <v>0</v>
      </c>
      <c r="I6" s="28" t="s">
        <v>0</v>
      </c>
      <c r="J6" s="113" t="s">
        <v>0</v>
      </c>
      <c r="K6" s="28" t="s">
        <v>0</v>
      </c>
      <c r="L6" s="111" t="s">
        <v>128</v>
      </c>
      <c r="M6" s="28" t="s">
        <v>0</v>
      </c>
      <c r="N6" s="28" t="s">
        <v>0</v>
      </c>
      <c r="O6" s="111" t="s">
        <v>0</v>
      </c>
      <c r="P6" s="28" t="s">
        <v>0</v>
      </c>
      <c r="Q6" s="111" t="s">
        <v>0</v>
      </c>
      <c r="R6" s="28" t="s">
        <v>0</v>
      </c>
      <c r="S6" s="28" t="s">
        <v>125</v>
      </c>
    </row>
    <row r="7" ht="15.75" customHeight="1" spans="1:19" x14ac:dyDescent="0.25">
      <c r="A7" s="31" t="s">
        <v>129</v>
      </c>
      <c r="B7" s="27" t="s">
        <v>0</v>
      </c>
      <c r="C7" s="111" t="s">
        <v>130</v>
      </c>
      <c r="D7" s="112" t="s">
        <v>0</v>
      </c>
      <c r="E7" s="28" t="s">
        <v>130</v>
      </c>
      <c r="F7" s="111" t="s">
        <v>0</v>
      </c>
      <c r="G7" s="28" t="s">
        <v>0</v>
      </c>
      <c r="H7" s="111" t="s">
        <v>0</v>
      </c>
      <c r="I7" s="28" t="s">
        <v>0</v>
      </c>
      <c r="J7" s="113" t="s">
        <v>0</v>
      </c>
      <c r="K7" s="28" t="s">
        <v>0</v>
      </c>
      <c r="L7" s="111" t="s">
        <v>0</v>
      </c>
      <c r="M7" s="28" t="s">
        <v>0</v>
      </c>
      <c r="N7" s="28" t="s">
        <v>0</v>
      </c>
      <c r="O7" s="111" t="s">
        <v>0</v>
      </c>
      <c r="P7" s="28" t="s">
        <v>0</v>
      </c>
      <c r="Q7" s="111" t="s">
        <v>0</v>
      </c>
      <c r="R7" s="28" t="s">
        <v>0</v>
      </c>
      <c r="S7" s="28" t="s">
        <v>0</v>
      </c>
    </row>
    <row r="8" ht="15.75" customHeight="1" spans="1:19" x14ac:dyDescent="0.25">
      <c r="A8" s="31" t="s">
        <v>131</v>
      </c>
      <c r="B8" s="27" t="s">
        <v>0</v>
      </c>
      <c r="C8" s="111" t="s">
        <v>132</v>
      </c>
      <c r="D8" s="112" t="s">
        <v>133</v>
      </c>
      <c r="E8" s="28" t="s">
        <v>134</v>
      </c>
      <c r="F8" s="111" t="s">
        <v>0</v>
      </c>
      <c r="G8" s="28" t="s">
        <v>133</v>
      </c>
      <c r="H8" s="111" t="s">
        <v>0</v>
      </c>
      <c r="I8" s="28" t="s">
        <v>0</v>
      </c>
      <c r="J8" s="113" t="s">
        <v>0</v>
      </c>
      <c r="K8" s="28" t="s">
        <v>0</v>
      </c>
      <c r="L8" s="111" t="s">
        <v>0</v>
      </c>
      <c r="M8" s="28" t="s">
        <v>0</v>
      </c>
      <c r="N8" s="28" t="s">
        <v>0</v>
      </c>
      <c r="O8" s="111" t="s">
        <v>0</v>
      </c>
      <c r="P8" s="28" t="s">
        <v>0</v>
      </c>
      <c r="Q8" s="111" t="s">
        <v>0</v>
      </c>
      <c r="R8" s="28" t="s">
        <v>0</v>
      </c>
      <c r="S8" s="28" t="s">
        <v>133</v>
      </c>
    </row>
    <row r="9" ht="15.75" customHeight="1" spans="1:19" x14ac:dyDescent="0.25">
      <c r="A9" s="31" t="s">
        <v>135</v>
      </c>
      <c r="B9" s="27" t="s">
        <v>0</v>
      </c>
      <c r="C9" s="111" t="s">
        <v>0</v>
      </c>
      <c r="D9" s="112" t="s">
        <v>0</v>
      </c>
      <c r="E9" s="28" t="s">
        <v>0</v>
      </c>
      <c r="F9" s="111" t="s">
        <v>0</v>
      </c>
      <c r="G9" s="28" t="s">
        <v>0</v>
      </c>
      <c r="H9" s="111" t="s">
        <v>136</v>
      </c>
      <c r="I9" s="28" t="s">
        <v>0</v>
      </c>
      <c r="J9" s="113" t="s">
        <v>0</v>
      </c>
      <c r="K9" s="28" t="s">
        <v>0</v>
      </c>
      <c r="L9" s="111" t="s">
        <v>0</v>
      </c>
      <c r="M9" s="28" t="s">
        <v>0</v>
      </c>
      <c r="N9" s="28" t="s">
        <v>0</v>
      </c>
      <c r="O9" s="111" t="s">
        <v>0</v>
      </c>
      <c r="P9" s="28" t="s">
        <v>0</v>
      </c>
      <c r="Q9" s="111" t="s">
        <v>0</v>
      </c>
      <c r="R9" s="28" t="s">
        <v>0</v>
      </c>
      <c r="S9" s="28" t="s">
        <v>136</v>
      </c>
    </row>
    <row r="10" ht="15.75" customHeight="1" spans="1:19" x14ac:dyDescent="0.25">
      <c r="A10" s="26" t="s">
        <v>137</v>
      </c>
      <c r="B10" s="27" t="s">
        <v>0</v>
      </c>
      <c r="C10" s="111" t="s">
        <v>0</v>
      </c>
      <c r="D10" s="112" t="s">
        <v>0</v>
      </c>
      <c r="E10" s="28" t="s">
        <v>0</v>
      </c>
      <c r="F10" s="111" t="s">
        <v>0</v>
      </c>
      <c r="G10" s="28" t="s">
        <v>0</v>
      </c>
      <c r="H10" s="111" t="s">
        <v>0</v>
      </c>
      <c r="I10" s="28" t="s">
        <v>0</v>
      </c>
      <c r="J10" s="113" t="s">
        <v>0</v>
      </c>
      <c r="K10" s="28" t="s">
        <v>0</v>
      </c>
      <c r="L10" s="111" t="s">
        <v>0</v>
      </c>
      <c r="M10" s="28" t="s">
        <v>0</v>
      </c>
      <c r="N10" s="28" t="s">
        <v>0</v>
      </c>
      <c r="O10" s="111" t="s">
        <v>0</v>
      </c>
      <c r="P10" s="28" t="s">
        <v>0</v>
      </c>
      <c r="Q10" s="111" t="s">
        <v>0</v>
      </c>
      <c r="R10" s="28" t="s">
        <v>0</v>
      </c>
      <c r="S10" s="28" t="s">
        <v>0</v>
      </c>
    </row>
    <row r="11" ht="15.75" customHeight="1" spans="1:19" x14ac:dyDescent="0.25">
      <c r="A11" s="26" t="s">
        <v>138</v>
      </c>
      <c r="B11" s="27" t="s">
        <v>0</v>
      </c>
      <c r="C11" s="111" t="s">
        <v>0</v>
      </c>
      <c r="D11" s="112" t="s">
        <v>139</v>
      </c>
      <c r="E11" s="28" t="s">
        <v>140</v>
      </c>
      <c r="F11" s="111" t="s">
        <v>0</v>
      </c>
      <c r="G11" s="28" t="s">
        <v>0</v>
      </c>
      <c r="H11" s="111" t="s">
        <v>0</v>
      </c>
      <c r="I11" s="28" t="s">
        <v>0</v>
      </c>
      <c r="J11" s="113" t="s">
        <v>0</v>
      </c>
      <c r="K11" s="28" t="s">
        <v>139</v>
      </c>
      <c r="L11" s="111" t="s">
        <v>0</v>
      </c>
      <c r="M11" s="28" t="s">
        <v>0</v>
      </c>
      <c r="N11" s="28" t="s">
        <v>0</v>
      </c>
      <c r="O11" s="111" t="s">
        <v>0</v>
      </c>
      <c r="P11" s="28" t="s">
        <v>0</v>
      </c>
      <c r="Q11" s="111" t="s">
        <v>0</v>
      </c>
      <c r="R11" s="28" t="s">
        <v>0</v>
      </c>
      <c r="S11" s="28" t="s">
        <v>139</v>
      </c>
    </row>
    <row r="12" ht="15.75" customHeight="1" spans="1:19" x14ac:dyDescent="0.25">
      <c r="A12" s="26" t="s">
        <v>141</v>
      </c>
      <c r="B12" s="27" t="s">
        <v>0</v>
      </c>
      <c r="C12" s="111" t="s">
        <v>0</v>
      </c>
      <c r="D12" s="112" t="s">
        <v>0</v>
      </c>
      <c r="E12" s="28" t="s">
        <v>0</v>
      </c>
      <c r="F12" s="111" t="s">
        <v>0</v>
      </c>
      <c r="G12" s="28" t="s">
        <v>0</v>
      </c>
      <c r="H12" s="111" t="s">
        <v>0</v>
      </c>
      <c r="I12" s="28" t="s">
        <v>0</v>
      </c>
      <c r="J12" s="113" t="s">
        <v>0</v>
      </c>
      <c r="K12" s="28" t="s">
        <v>142</v>
      </c>
      <c r="L12" s="111" t="s">
        <v>0</v>
      </c>
      <c r="M12" s="28" t="s">
        <v>0</v>
      </c>
      <c r="N12" s="28" t="s">
        <v>0</v>
      </c>
      <c r="O12" s="111" t="s">
        <v>0</v>
      </c>
      <c r="P12" s="28" t="s">
        <v>0</v>
      </c>
      <c r="Q12" s="111" t="s">
        <v>0</v>
      </c>
      <c r="R12" s="28" t="s">
        <v>0</v>
      </c>
      <c r="S12" s="28" t="s">
        <v>142</v>
      </c>
    </row>
    <row r="13" ht="15.75" customHeight="1" spans="1:19" x14ac:dyDescent="0.25">
      <c r="A13" s="26" t="s">
        <v>143</v>
      </c>
      <c r="B13" s="27" t="s">
        <v>0</v>
      </c>
      <c r="C13" s="111" t="s">
        <v>22</v>
      </c>
      <c r="D13" s="112" t="s">
        <v>0</v>
      </c>
      <c r="E13" s="28" t="s">
        <v>22</v>
      </c>
      <c r="F13" s="111" t="s">
        <v>0</v>
      </c>
      <c r="G13" s="28" t="s">
        <v>0</v>
      </c>
      <c r="H13" s="111" t="s">
        <v>0</v>
      </c>
      <c r="I13" s="28" t="s">
        <v>0</v>
      </c>
      <c r="J13" s="113" t="s">
        <v>0</v>
      </c>
      <c r="K13" s="28" t="s">
        <v>0</v>
      </c>
      <c r="L13" s="111" t="s">
        <v>0</v>
      </c>
      <c r="M13" s="28" t="s">
        <v>0</v>
      </c>
      <c r="N13" s="28" t="s">
        <v>0</v>
      </c>
      <c r="O13" s="111" t="s">
        <v>0</v>
      </c>
      <c r="P13" s="28" t="s">
        <v>0</v>
      </c>
      <c r="Q13" s="111" t="s">
        <v>0</v>
      </c>
      <c r="R13" s="28" t="s">
        <v>0</v>
      </c>
      <c r="S13" s="28" t="s">
        <v>0</v>
      </c>
    </row>
    <row r="14" ht="15.75" customHeight="1" spans="1:19" x14ac:dyDescent="0.25">
      <c r="A14" s="26" t="s">
        <v>144</v>
      </c>
      <c r="B14" s="27" t="s">
        <v>0</v>
      </c>
      <c r="C14" s="111" t="s">
        <v>145</v>
      </c>
      <c r="D14" s="112" t="s">
        <v>146</v>
      </c>
      <c r="E14" s="28" t="s">
        <v>147</v>
      </c>
      <c r="F14" s="111" t="s">
        <v>0</v>
      </c>
      <c r="G14" s="28" t="s">
        <v>0</v>
      </c>
      <c r="H14" s="111" t="s">
        <v>148</v>
      </c>
      <c r="I14" s="28" t="s">
        <v>0</v>
      </c>
      <c r="J14" s="113" t="s">
        <v>0</v>
      </c>
      <c r="K14" s="28" t="s">
        <v>0</v>
      </c>
      <c r="L14" s="111" t="s">
        <v>0</v>
      </c>
      <c r="M14" s="28" t="s">
        <v>149</v>
      </c>
      <c r="N14" s="28" t="s">
        <v>0</v>
      </c>
      <c r="O14" s="111" t="s">
        <v>0</v>
      </c>
      <c r="P14" s="28" t="s">
        <v>0</v>
      </c>
      <c r="Q14" s="111" t="s">
        <v>0</v>
      </c>
      <c r="R14" s="28" t="s">
        <v>0</v>
      </c>
      <c r="S14" s="28" t="s">
        <v>146</v>
      </c>
    </row>
    <row r="15" ht="15.75" customHeight="1" spans="1:19" x14ac:dyDescent="0.25">
      <c r="A15" s="26" t="s">
        <v>33</v>
      </c>
      <c r="B15" s="27" t="s">
        <v>0</v>
      </c>
      <c r="C15" s="111" t="s">
        <v>150</v>
      </c>
      <c r="D15" s="112" t="s">
        <v>151</v>
      </c>
      <c r="E15" s="23" t="s">
        <v>152</v>
      </c>
      <c r="F15" s="111" t="s">
        <v>0</v>
      </c>
      <c r="G15" s="28" t="s">
        <v>0</v>
      </c>
      <c r="H15" s="111" t="s">
        <v>153</v>
      </c>
      <c r="I15" s="28" t="s">
        <v>0</v>
      </c>
      <c r="J15" s="113" t="s">
        <v>154</v>
      </c>
      <c r="K15" s="28" t="s">
        <v>0</v>
      </c>
      <c r="L15" s="111" t="s">
        <v>0</v>
      </c>
      <c r="M15" s="28" t="s">
        <v>155</v>
      </c>
      <c r="N15" s="28" t="s">
        <v>156</v>
      </c>
      <c r="O15" s="111" t="s">
        <v>157</v>
      </c>
      <c r="P15" s="28" t="s">
        <v>158</v>
      </c>
      <c r="Q15" s="111" t="s">
        <v>0</v>
      </c>
      <c r="R15" s="28" t="s">
        <v>0</v>
      </c>
      <c r="S15" s="28" t="s">
        <v>151</v>
      </c>
    </row>
    <row r="16" ht="15.75" customHeight="1" spans="1:19" x14ac:dyDescent="0.25">
      <c r="A16" s="26" t="s">
        <v>45</v>
      </c>
      <c r="B16" s="27" t="s">
        <v>0</v>
      </c>
      <c r="C16" s="111" t="s">
        <v>159</v>
      </c>
      <c r="D16" s="112" t="s">
        <v>160</v>
      </c>
      <c r="E16" s="28" t="s">
        <v>161</v>
      </c>
      <c r="F16" s="111" t="s">
        <v>162</v>
      </c>
      <c r="G16" s="28" t="s">
        <v>163</v>
      </c>
      <c r="H16" s="111" t="s">
        <v>164</v>
      </c>
      <c r="I16" s="28" t="s">
        <v>165</v>
      </c>
      <c r="J16" s="113" t="s">
        <v>166</v>
      </c>
      <c r="K16" s="28" t="s">
        <v>167</v>
      </c>
      <c r="L16" s="111" t="s">
        <v>168</v>
      </c>
      <c r="M16" s="28" t="s">
        <v>169</v>
      </c>
      <c r="N16" s="28" t="s">
        <v>170</v>
      </c>
      <c r="O16" s="111" t="s">
        <v>171</v>
      </c>
      <c r="P16" s="28" t="s">
        <v>172</v>
      </c>
      <c r="Q16" s="111" t="s">
        <v>173</v>
      </c>
      <c r="R16" s="28" t="s">
        <v>0</v>
      </c>
      <c r="S16" s="28" t="s">
        <v>160</v>
      </c>
    </row>
    <row r="17" ht="15.75" customHeight="1" spans="1:19" x14ac:dyDescent="0.25">
      <c r="A17" s="26" t="s">
        <v>174</v>
      </c>
      <c r="B17" s="27" t="s">
        <v>0</v>
      </c>
      <c r="C17" s="111" t="s">
        <v>175</v>
      </c>
      <c r="D17" s="112" t="s">
        <v>0</v>
      </c>
      <c r="E17" s="28" t="s">
        <v>175</v>
      </c>
      <c r="F17" s="111" t="s">
        <v>0</v>
      </c>
      <c r="G17" s="28" t="s">
        <v>0</v>
      </c>
      <c r="H17" s="111" t="s">
        <v>0</v>
      </c>
      <c r="I17" s="28" t="s">
        <v>0</v>
      </c>
      <c r="J17" s="113" t="s">
        <v>0</v>
      </c>
      <c r="K17" s="28" t="s">
        <v>0</v>
      </c>
      <c r="L17" s="111" t="s">
        <v>0</v>
      </c>
      <c r="M17" s="28" t="s">
        <v>0</v>
      </c>
      <c r="N17" s="28" t="s">
        <v>0</v>
      </c>
      <c r="O17" s="111" t="s">
        <v>0</v>
      </c>
      <c r="P17" s="28" t="s">
        <v>0</v>
      </c>
      <c r="Q17" s="111" t="s">
        <v>0</v>
      </c>
      <c r="R17" s="28" t="s">
        <v>0</v>
      </c>
      <c r="S17" s="28" t="s">
        <v>0</v>
      </c>
    </row>
    <row r="18" ht="15.75" customHeight="1" spans="1:19" x14ac:dyDescent="0.25">
      <c r="A18" s="26" t="s">
        <v>176</v>
      </c>
      <c r="B18" s="27" t="s">
        <v>0</v>
      </c>
      <c r="C18" s="111" t="s">
        <v>177</v>
      </c>
      <c r="D18" s="112" t="s">
        <v>0</v>
      </c>
      <c r="E18" s="28" t="s">
        <v>177</v>
      </c>
      <c r="F18" s="111" t="s">
        <v>0</v>
      </c>
      <c r="G18" s="28" t="s">
        <v>0</v>
      </c>
      <c r="H18" s="111" t="s">
        <v>0</v>
      </c>
      <c r="I18" s="28" t="s">
        <v>0</v>
      </c>
      <c r="J18" s="113" t="s">
        <v>0</v>
      </c>
      <c r="K18" s="28" t="s">
        <v>0</v>
      </c>
      <c r="L18" s="111" t="s">
        <v>0</v>
      </c>
      <c r="M18" s="28" t="s">
        <v>0</v>
      </c>
      <c r="N18" s="28" t="s">
        <v>0</v>
      </c>
      <c r="O18" s="111" t="s">
        <v>0</v>
      </c>
      <c r="P18" s="28" t="s">
        <v>0</v>
      </c>
      <c r="Q18" s="111" t="s">
        <v>0</v>
      </c>
      <c r="R18" s="28" t="s">
        <v>0</v>
      </c>
      <c r="S18" s="28" t="s">
        <v>0</v>
      </c>
    </row>
    <row r="19" ht="15.75" customHeight="1" spans="1:19" x14ac:dyDescent="0.25">
      <c r="A19" s="26" t="s">
        <v>178</v>
      </c>
      <c r="B19" s="27" t="s">
        <v>0</v>
      </c>
      <c r="C19" s="111" t="s">
        <v>179</v>
      </c>
      <c r="D19" s="112" t="s">
        <v>0</v>
      </c>
      <c r="E19" s="28" t="s">
        <v>179</v>
      </c>
      <c r="F19" s="111" t="s">
        <v>0</v>
      </c>
      <c r="G19" s="28" t="s">
        <v>0</v>
      </c>
      <c r="H19" s="111" t="s">
        <v>0</v>
      </c>
      <c r="I19" s="28" t="s">
        <v>0</v>
      </c>
      <c r="J19" s="113" t="s">
        <v>0</v>
      </c>
      <c r="K19" s="28" t="s">
        <v>0</v>
      </c>
      <c r="L19" s="111" t="s">
        <v>0</v>
      </c>
      <c r="M19" s="28" t="s">
        <v>0</v>
      </c>
      <c r="N19" s="28" t="s">
        <v>0</v>
      </c>
      <c r="O19" s="111" t="s">
        <v>0</v>
      </c>
      <c r="P19" s="28" t="s">
        <v>0</v>
      </c>
      <c r="Q19" s="111" t="s">
        <v>0</v>
      </c>
      <c r="R19" s="28" t="s">
        <v>0</v>
      </c>
      <c r="S19" s="28" t="s">
        <v>0</v>
      </c>
    </row>
    <row r="20" ht="15.75" customHeight="1" spans="1:19" x14ac:dyDescent="0.25">
      <c r="A20" s="26" t="s">
        <v>180</v>
      </c>
      <c r="B20" s="27" t="s">
        <v>0</v>
      </c>
      <c r="C20" s="111" t="s">
        <v>181</v>
      </c>
      <c r="D20" s="112" t="s">
        <v>0</v>
      </c>
      <c r="E20" s="28" t="s">
        <v>181</v>
      </c>
      <c r="F20" s="111" t="s">
        <v>0</v>
      </c>
      <c r="G20" s="28" t="s">
        <v>0</v>
      </c>
      <c r="H20" s="111" t="s">
        <v>0</v>
      </c>
      <c r="I20" s="28" t="s">
        <v>0</v>
      </c>
      <c r="J20" s="113" t="s">
        <v>0</v>
      </c>
      <c r="K20" s="28" t="s">
        <v>0</v>
      </c>
      <c r="L20" s="111" t="s">
        <v>0</v>
      </c>
      <c r="M20" s="28" t="s">
        <v>0</v>
      </c>
      <c r="N20" s="28" t="s">
        <v>0</v>
      </c>
      <c r="O20" s="111" t="s">
        <v>0</v>
      </c>
      <c r="P20" s="28" t="s">
        <v>0</v>
      </c>
      <c r="Q20" s="111" t="s">
        <v>0</v>
      </c>
      <c r="R20" s="28" t="s">
        <v>0</v>
      </c>
      <c r="S20" s="28" t="s">
        <v>0</v>
      </c>
    </row>
    <row r="21" ht="15.75" customHeight="1" spans="1:19" x14ac:dyDescent="0.25">
      <c r="A21" s="26" t="s">
        <v>182</v>
      </c>
      <c r="B21" s="27" t="s">
        <v>0</v>
      </c>
      <c r="C21" s="111" t="s">
        <v>183</v>
      </c>
      <c r="D21" s="112" t="s">
        <v>184</v>
      </c>
      <c r="E21" s="28" t="s">
        <v>185</v>
      </c>
      <c r="F21" s="111" t="s">
        <v>0</v>
      </c>
      <c r="G21" s="28" t="s">
        <v>0</v>
      </c>
      <c r="H21" s="111" t="s">
        <v>0</v>
      </c>
      <c r="I21" s="28" t="s">
        <v>0</v>
      </c>
      <c r="J21" s="113" t="s">
        <v>0</v>
      </c>
      <c r="K21" s="28" t="s">
        <v>0</v>
      </c>
      <c r="L21" s="111" t="s">
        <v>0</v>
      </c>
      <c r="M21" s="28" t="s">
        <v>0</v>
      </c>
      <c r="N21" s="28" t="s">
        <v>0</v>
      </c>
      <c r="O21" s="111" t="s">
        <v>0</v>
      </c>
      <c r="P21" s="28" t="s">
        <v>184</v>
      </c>
      <c r="Q21" s="111" t="s">
        <v>0</v>
      </c>
      <c r="R21" s="28" t="s">
        <v>0</v>
      </c>
      <c r="S21" s="28" t="s">
        <v>184</v>
      </c>
    </row>
    <row r="22" ht="15.75" customHeight="1" spans="1:19" x14ac:dyDescent="0.25">
      <c r="A22" s="26" t="s">
        <v>186</v>
      </c>
      <c r="B22" s="27" t="s">
        <v>0</v>
      </c>
      <c r="C22" s="111" t="s">
        <v>107</v>
      </c>
      <c r="D22" s="22" t="s">
        <v>0</v>
      </c>
      <c r="E22" s="28" t="s">
        <v>107</v>
      </c>
      <c r="F22" s="111" t="s">
        <v>0</v>
      </c>
      <c r="G22" s="28" t="s">
        <v>0</v>
      </c>
      <c r="H22" s="111" t="s">
        <v>0</v>
      </c>
      <c r="I22" s="28" t="s">
        <v>0</v>
      </c>
      <c r="J22" s="113" t="s">
        <v>0</v>
      </c>
      <c r="K22" s="28" t="s">
        <v>0</v>
      </c>
      <c r="L22" s="111" t="s">
        <v>0</v>
      </c>
      <c r="M22" s="28" t="s">
        <v>0</v>
      </c>
      <c r="N22" s="28" t="s">
        <v>0</v>
      </c>
      <c r="O22" s="111" t="s">
        <v>0</v>
      </c>
      <c r="P22" s="28" t="s">
        <v>0</v>
      </c>
      <c r="Q22" s="111" t="s">
        <v>0</v>
      </c>
      <c r="R22" s="28" t="s">
        <v>0</v>
      </c>
      <c r="S22" s="28" t="s">
        <v>0</v>
      </c>
    </row>
    <row r="23" ht="16.5" customHeight="1" spans="1:19" x14ac:dyDescent="0.25">
      <c r="A23" s="34" t="s">
        <v>0</v>
      </c>
      <c r="B23" s="116" t="s">
        <v>0</v>
      </c>
      <c r="C23" s="37" t="s">
        <v>187</v>
      </c>
      <c r="D23" s="117" t="s">
        <v>188</v>
      </c>
      <c r="E23" s="116" t="s">
        <v>189</v>
      </c>
      <c r="F23" s="37" t="s">
        <v>115</v>
      </c>
      <c r="G23" s="117" t="s">
        <v>190</v>
      </c>
      <c r="H23" s="116" t="s">
        <v>191</v>
      </c>
      <c r="I23" s="117" t="s">
        <v>118</v>
      </c>
      <c r="J23" s="116" t="s">
        <v>192</v>
      </c>
      <c r="K23" s="117" t="s">
        <v>193</v>
      </c>
      <c r="L23" s="116" t="s">
        <v>194</v>
      </c>
      <c r="M23" s="117" t="s">
        <v>195</v>
      </c>
      <c r="N23" s="117" t="s">
        <v>196</v>
      </c>
      <c r="O23" s="116" t="s">
        <v>197</v>
      </c>
      <c r="P23" s="117" t="s">
        <v>198</v>
      </c>
      <c r="Q23" s="116" t="s">
        <v>0</v>
      </c>
      <c r="R23" s="118" t="s">
        <v>73</v>
      </c>
      <c r="S23" s="119" t="s">
        <v>199</v>
      </c>
    </row>
    <row r="24" spans="1:19" x14ac:dyDescent="0.25">
      <c r="A24" t="s">
        <v>0</v>
      </c>
      <c r="B24" t="s">
        <v>0</v>
      </c>
      <c r="C24" t="s">
        <v>0</v>
      </c>
      <c r="D24" t="s">
        <v>0</v>
      </c>
      <c r="E24" s="102" t="s">
        <v>0</v>
      </c>
      <c r="F24" t="s">
        <v>0</v>
      </c>
      <c r="G24" t="s">
        <v>0</v>
      </c>
      <c r="H24" t="s">
        <v>0</v>
      </c>
      <c r="I24" t="s">
        <v>0</v>
      </c>
      <c r="J24" t="s">
        <v>0</v>
      </c>
      <c r="K24" t="s">
        <v>0</v>
      </c>
      <c r="L24" t="s">
        <v>0</v>
      </c>
      <c r="M24" t="s">
        <v>0</v>
      </c>
      <c r="N24" t="s">
        <v>0</v>
      </c>
      <c r="O24" t="s">
        <v>0</v>
      </c>
      <c r="P24" t="s">
        <v>0</v>
      </c>
      <c r="Q24" t="s">
        <v>0</v>
      </c>
      <c r="R24" t="s">
        <v>0</v>
      </c>
      <c r="S24" t="s">
        <v>0</v>
      </c>
    </row>
    <row r="25" ht="38.25" customHeight="1" spans="1:19" x14ac:dyDescent="0.25">
      <c r="A25" s="39" t="s">
        <v>0</v>
      </c>
      <c r="B25" t="s">
        <v>0</v>
      </c>
      <c r="C25" t="s">
        <v>0</v>
      </c>
      <c r="D25" t="s">
        <v>0</v>
      </c>
      <c r="E25" s="102" t="s">
        <v>0</v>
      </c>
      <c r="F25" t="s">
        <v>0</v>
      </c>
      <c r="G25" t="s">
        <v>0</v>
      </c>
      <c r="H25" t="s">
        <v>0</v>
      </c>
      <c r="I25" t="s">
        <v>0</v>
      </c>
      <c r="J25" t="s">
        <v>0</v>
      </c>
      <c r="K25" t="s">
        <v>0</v>
      </c>
      <c r="L25" t="s">
        <v>0</v>
      </c>
      <c r="M25" t="s">
        <v>0</v>
      </c>
      <c r="N25" t="s">
        <v>0</v>
      </c>
      <c r="O25" t="s">
        <v>0</v>
      </c>
      <c r="P25" t="s">
        <v>0</v>
      </c>
      <c r="Q25" t="s">
        <v>0</v>
      </c>
      <c r="R25" t="s">
        <v>0</v>
      </c>
      <c r="S25" t="s">
        <v>0</v>
      </c>
    </row>
    <row r="26" ht="16.5" customHeight="1" spans="1:19" x14ac:dyDescent="0.25">
      <c r="A26" s="120" t="s">
        <v>200</v>
      </c>
      <c r="B26" s="121" t="s">
        <v>201</v>
      </c>
      <c r="C26" s="122"/>
      <c r="D26" s="122"/>
      <c r="E26" s="123"/>
      <c r="F26" s="121" t="s">
        <v>76</v>
      </c>
      <c r="G26" s="123"/>
      <c r="H26" s="124" t="s">
        <v>77</v>
      </c>
      <c r="I26" s="125"/>
      <c r="J26" s="126" t="s">
        <v>0</v>
      </c>
      <c r="K26" s="126" t="s">
        <v>0</v>
      </c>
      <c r="L26" s="126" t="s">
        <v>0</v>
      </c>
      <c r="M26" s="126" t="s">
        <v>0</v>
      </c>
      <c r="N26" t="s">
        <v>0</v>
      </c>
      <c r="O26" t="s">
        <v>0</v>
      </c>
      <c r="P26" t="s">
        <v>0</v>
      </c>
      <c r="Q26" t="s">
        <v>0</v>
      </c>
      <c r="R26" t="s">
        <v>0</v>
      </c>
      <c r="S26" t="s">
        <v>0</v>
      </c>
    </row>
    <row r="27" ht="15" customHeight="1" spans="1:19" x14ac:dyDescent="0.25">
      <c r="A27" s="46" t="s">
        <v>202</v>
      </c>
      <c r="B27" s="127" t="s">
        <v>203</v>
      </c>
      <c r="C27" s="128"/>
      <c r="D27" s="128"/>
      <c r="E27" s="129"/>
      <c r="F27" s="50" t="s">
        <v>204</v>
      </c>
      <c r="G27" s="130"/>
      <c r="H27" s="52">
        <v>30000</v>
      </c>
      <c r="I27" s="53"/>
      <c r="J27" s="131" t="s">
        <v>0</v>
      </c>
      <c r="K27" s="131" t="s">
        <v>0</v>
      </c>
      <c r="L27" s="132" t="s">
        <v>0</v>
      </c>
      <c r="M27" s="132" t="s">
        <v>0</v>
      </c>
      <c r="N27" t="s">
        <v>0</v>
      </c>
      <c r="O27" t="s">
        <v>0</v>
      </c>
      <c r="P27" t="s">
        <v>0</v>
      </c>
      <c r="Q27" t="s">
        <v>0</v>
      </c>
      <c r="R27" t="s">
        <v>0</v>
      </c>
      <c r="S27" t="s">
        <v>0</v>
      </c>
    </row>
    <row r="28" ht="15" customHeight="1" spans="1:19" x14ac:dyDescent="0.25">
      <c r="A28" s="133" t="s">
        <v>205</v>
      </c>
      <c r="B28" s="81" t="s">
        <v>206</v>
      </c>
      <c r="C28" s="134"/>
      <c r="D28" s="134"/>
      <c r="E28" s="84"/>
      <c r="F28" s="81" t="s">
        <v>207</v>
      </c>
      <c r="G28" s="84"/>
      <c r="H28" s="85">
        <v>17500</v>
      </c>
      <c r="I28" s="86"/>
      <c r="J28" s="135" t="s">
        <v>0</v>
      </c>
      <c r="K28" s="136" t="s">
        <v>0</v>
      </c>
      <c r="L28" s="132" t="s">
        <v>0</v>
      </c>
      <c r="M28" s="132" t="s">
        <v>0</v>
      </c>
      <c r="N28" s="132" t="s">
        <v>0</v>
      </c>
      <c r="O28" t="s">
        <v>0</v>
      </c>
      <c r="P28" t="s">
        <v>0</v>
      </c>
      <c r="Q28" t="s">
        <v>0</v>
      </c>
      <c r="R28" t="s">
        <v>0</v>
      </c>
      <c r="S28" t="s">
        <v>0</v>
      </c>
    </row>
    <row r="29" ht="29.25" customHeight="1" spans="1:19" x14ac:dyDescent="0.25">
      <c r="A29" s="60" t="s">
        <v>208</v>
      </c>
      <c r="B29" s="137" t="s">
        <v>209</v>
      </c>
      <c r="C29" s="138"/>
      <c r="D29" s="138"/>
      <c r="E29" s="139"/>
      <c r="F29" s="55" t="s">
        <v>210</v>
      </c>
      <c r="G29" s="140"/>
      <c r="H29" s="141">
        <v>4000</v>
      </c>
      <c r="I29" s="142"/>
      <c r="J29" s="136" t="s">
        <v>0</v>
      </c>
      <c r="K29" s="136" t="s">
        <v>0</v>
      </c>
      <c r="L29" s="132" t="s">
        <v>0</v>
      </c>
      <c r="M29" s="132" t="s">
        <v>0</v>
      </c>
      <c r="N29" s="132" t="s">
        <v>0</v>
      </c>
      <c r="O29" t="s">
        <v>0</v>
      </c>
      <c r="P29" t="s">
        <v>0</v>
      </c>
      <c r="Q29" t="s">
        <v>0</v>
      </c>
      <c r="R29" t="s">
        <v>0</v>
      </c>
      <c r="S29" t="s">
        <v>0</v>
      </c>
    </row>
    <row r="30" ht="30" customHeight="1" spans="1:19" x14ac:dyDescent="0.25">
      <c r="A30" s="60" t="s">
        <v>205</v>
      </c>
      <c r="B30" s="137" t="s">
        <v>211</v>
      </c>
      <c r="C30" s="138"/>
      <c r="D30" s="138"/>
      <c r="E30" s="139"/>
      <c r="F30" s="55" t="s">
        <v>212</v>
      </c>
      <c r="G30" s="140"/>
      <c r="H30" s="141">
        <v>33000</v>
      </c>
      <c r="I30" s="142"/>
      <c r="J30" t="s">
        <v>0</v>
      </c>
      <c r="K30" t="s">
        <v>0</v>
      </c>
      <c r="L30" t="s">
        <v>0</v>
      </c>
      <c r="M30" t="s">
        <v>0</v>
      </c>
      <c r="N30" t="s">
        <v>0</v>
      </c>
      <c r="O30" t="s">
        <v>0</v>
      </c>
      <c r="P30" t="s">
        <v>0</v>
      </c>
      <c r="Q30" t="s">
        <v>0</v>
      </c>
      <c r="R30" t="s">
        <v>0</v>
      </c>
      <c r="S30" t="s">
        <v>0</v>
      </c>
    </row>
    <row r="31" ht="30" customHeight="1" spans="1:19" x14ac:dyDescent="0.25">
      <c r="A31" s="60" t="s">
        <v>208</v>
      </c>
      <c r="B31" s="61" t="s">
        <v>213</v>
      </c>
      <c r="C31" s="138"/>
      <c r="D31" s="138"/>
      <c r="E31" s="139"/>
      <c r="F31" s="55" t="s">
        <v>214</v>
      </c>
      <c r="G31" s="140"/>
      <c r="H31" s="143">
        <v>1632</v>
      </c>
      <c r="I31" s="144"/>
      <c r="J31" t="s">
        <v>0</v>
      </c>
      <c r="K31" t="s">
        <v>0</v>
      </c>
      <c r="L31" t="s">
        <v>0</v>
      </c>
      <c r="M31" t="s">
        <v>0</v>
      </c>
      <c r="N31" t="s">
        <v>0</v>
      </c>
      <c r="O31" t="s">
        <v>0</v>
      </c>
      <c r="P31" t="s">
        <v>0</v>
      </c>
      <c r="Q31" t="s">
        <v>0</v>
      </c>
      <c r="R31" t="s">
        <v>0</v>
      </c>
      <c r="S31" t="s">
        <v>0</v>
      </c>
    </row>
    <row r="32" ht="30" customHeight="1" spans="1:19" x14ac:dyDescent="0.25">
      <c r="A32" s="54" t="s">
        <v>208</v>
      </c>
      <c r="B32" s="64" t="s">
        <v>215</v>
      </c>
      <c r="C32" s="140"/>
      <c r="D32" s="140"/>
      <c r="E32" s="65"/>
      <c r="F32" s="55" t="s">
        <v>214</v>
      </c>
      <c r="G32" s="140"/>
      <c r="H32" s="58">
        <v>17462</v>
      </c>
      <c r="I32" s="59"/>
      <c r="J32" t="s">
        <v>0</v>
      </c>
      <c r="K32" t="s">
        <v>0</v>
      </c>
      <c r="L32" t="s">
        <v>0</v>
      </c>
      <c r="M32" t="s">
        <v>0</v>
      </c>
      <c r="N32" t="s">
        <v>0</v>
      </c>
      <c r="O32" t="s">
        <v>0</v>
      </c>
      <c r="P32" t="s">
        <v>0</v>
      </c>
      <c r="Q32" t="s">
        <v>0</v>
      </c>
      <c r="R32" t="s">
        <v>0</v>
      </c>
      <c r="S32" t="s">
        <v>0</v>
      </c>
    </row>
    <row r="33" ht="30" customHeight="1" spans="1:19" x14ac:dyDescent="0.25">
      <c r="A33" s="60" t="s">
        <v>208</v>
      </c>
      <c r="B33" s="137" t="s">
        <v>215</v>
      </c>
      <c r="C33" s="138"/>
      <c r="D33" s="138"/>
      <c r="E33" s="139"/>
      <c r="F33" s="55" t="s">
        <v>216</v>
      </c>
      <c r="G33" s="140"/>
      <c r="H33" s="143">
        <v>18655</v>
      </c>
      <c r="I33" s="144"/>
      <c r="J33" t="s">
        <v>0</v>
      </c>
      <c r="K33" t="s">
        <v>0</v>
      </c>
      <c r="L33" t="s">
        <v>0</v>
      </c>
      <c r="M33" t="s">
        <v>0</v>
      </c>
      <c r="N33" t="s">
        <v>0</v>
      </c>
      <c r="O33" t="s">
        <v>0</v>
      </c>
      <c r="P33" t="s">
        <v>0</v>
      </c>
      <c r="Q33" t="s">
        <v>0</v>
      </c>
      <c r="R33" t="s">
        <v>0</v>
      </c>
      <c r="S33" t="s">
        <v>0</v>
      </c>
    </row>
    <row r="34" ht="30" customHeight="1" spans="1:19" x14ac:dyDescent="0.25">
      <c r="A34" s="60" t="s">
        <v>208</v>
      </c>
      <c r="B34" s="68" t="s">
        <v>215</v>
      </c>
      <c r="C34" s="69"/>
      <c r="D34" s="69"/>
      <c r="E34" s="70"/>
      <c r="F34" s="55" t="s">
        <v>217</v>
      </c>
      <c r="G34" s="140"/>
      <c r="H34" s="71">
        <v>28096</v>
      </c>
      <c r="I34" s="72"/>
      <c r="J34" t="s">
        <v>0</v>
      </c>
      <c r="K34" t="s">
        <v>0</v>
      </c>
      <c r="L34" t="s">
        <v>0</v>
      </c>
      <c r="M34" t="s">
        <v>0</v>
      </c>
      <c r="N34" t="s">
        <v>0</v>
      </c>
      <c r="O34" t="s">
        <v>0</v>
      </c>
      <c r="P34" t="s">
        <v>0</v>
      </c>
      <c r="Q34" t="s">
        <v>0</v>
      </c>
      <c r="R34" t="s">
        <v>0</v>
      </c>
      <c r="S34" t="s">
        <v>0</v>
      </c>
    </row>
    <row r="35" ht="30" customHeight="1" spans="1:19" x14ac:dyDescent="0.25">
      <c r="A35" s="60" t="s">
        <v>218</v>
      </c>
      <c r="B35" s="68" t="s">
        <v>219</v>
      </c>
      <c r="C35" s="69"/>
      <c r="D35" s="69"/>
      <c r="E35" s="70"/>
      <c r="F35" s="75" t="s">
        <v>220</v>
      </c>
      <c r="G35" s="70"/>
      <c r="H35" s="71">
        <v>91875</v>
      </c>
      <c r="I35" s="72"/>
      <c r="J35" t="s">
        <v>0</v>
      </c>
      <c r="K35" t="s">
        <v>0</v>
      </c>
      <c r="L35" t="s">
        <v>0</v>
      </c>
      <c r="M35" t="s">
        <v>0</v>
      </c>
      <c r="N35" t="s">
        <v>0</v>
      </c>
      <c r="O35" t="s">
        <v>0</v>
      </c>
      <c r="P35" t="s">
        <v>0</v>
      </c>
      <c r="Q35" t="s">
        <v>0</v>
      </c>
      <c r="R35" t="s">
        <v>0</v>
      </c>
      <c r="S35" t="s">
        <v>0</v>
      </c>
    </row>
    <row r="36" ht="30.75" customHeight="1" spans="1:19" x14ac:dyDescent="0.25">
      <c r="A36" s="60" t="s">
        <v>205</v>
      </c>
      <c r="B36" s="75" t="s">
        <v>221</v>
      </c>
      <c r="C36" s="76"/>
      <c r="D36" s="76"/>
      <c r="E36" s="77"/>
      <c r="F36" s="75" t="s">
        <v>222</v>
      </c>
      <c r="G36" s="70"/>
      <c r="H36" s="145">
        <v>7000</v>
      </c>
      <c r="I36" s="146"/>
      <c r="J36" t="s">
        <v>0</v>
      </c>
      <c r="K36" t="s">
        <v>0</v>
      </c>
      <c r="L36" t="s">
        <v>0</v>
      </c>
      <c r="M36" t="s">
        <v>0</v>
      </c>
      <c r="N36" t="s">
        <v>0</v>
      </c>
      <c r="O36" t="s">
        <v>0</v>
      </c>
      <c r="P36" t="s">
        <v>0</v>
      </c>
      <c r="Q36" t="s">
        <v>0</v>
      </c>
      <c r="R36" t="s">
        <v>0</v>
      </c>
      <c r="S36" t="s">
        <v>0</v>
      </c>
    </row>
    <row r="37" ht="30" customHeight="1" spans="1:19" x14ac:dyDescent="0.25">
      <c r="A37" s="60" t="s">
        <v>223</v>
      </c>
      <c r="B37" s="68" t="s">
        <v>224</v>
      </c>
      <c r="C37" s="69"/>
      <c r="D37" s="69"/>
      <c r="E37" s="70"/>
      <c r="F37" s="75" t="s">
        <v>225</v>
      </c>
      <c r="G37" s="70"/>
      <c r="H37" s="145">
        <v>19250</v>
      </c>
      <c r="I37" s="146"/>
      <c r="J37" t="s">
        <v>0</v>
      </c>
      <c r="K37" t="s">
        <v>0</v>
      </c>
      <c r="L37" t="s">
        <v>0</v>
      </c>
      <c r="M37" t="s">
        <v>0</v>
      </c>
      <c r="N37" t="s">
        <v>0</v>
      </c>
      <c r="O37" t="s">
        <v>0</v>
      </c>
      <c r="P37" t="s">
        <v>0</v>
      </c>
      <c r="Q37" t="s">
        <v>0</v>
      </c>
      <c r="R37" t="s">
        <v>0</v>
      </c>
      <c r="S37" t="s">
        <v>0</v>
      </c>
    </row>
    <row r="38" ht="30.75" customHeight="1" spans="1:19" x14ac:dyDescent="0.25">
      <c r="A38" s="60" t="s">
        <v>223</v>
      </c>
      <c r="B38" s="68" t="s">
        <v>224</v>
      </c>
      <c r="C38" s="69"/>
      <c r="D38" s="69"/>
      <c r="E38" s="70"/>
      <c r="F38" s="75" t="s">
        <v>226</v>
      </c>
      <c r="G38" s="70"/>
      <c r="H38" s="145">
        <v>24500</v>
      </c>
      <c r="I38" s="146"/>
      <c r="J38" t="s">
        <v>0</v>
      </c>
      <c r="K38" t="s">
        <v>0</v>
      </c>
      <c r="L38" t="s">
        <v>0</v>
      </c>
      <c r="M38" t="s">
        <v>0</v>
      </c>
      <c r="N38" t="s">
        <v>0</v>
      </c>
      <c r="O38" t="s">
        <v>0</v>
      </c>
      <c r="P38" t="s">
        <v>0</v>
      </c>
      <c r="Q38" t="s">
        <v>0</v>
      </c>
      <c r="R38" t="s">
        <v>0</v>
      </c>
      <c r="S38" t="s">
        <v>0</v>
      </c>
    </row>
    <row r="39" ht="29.25" customHeight="1" spans="1:19" x14ac:dyDescent="0.25">
      <c r="A39" s="60" t="s">
        <v>205</v>
      </c>
      <c r="B39" s="75" t="s">
        <v>227</v>
      </c>
      <c r="C39" s="76"/>
      <c r="D39" s="76"/>
      <c r="E39" s="77"/>
      <c r="F39" s="75" t="s">
        <v>228</v>
      </c>
      <c r="G39" s="70"/>
      <c r="H39" s="71">
        <v>49000</v>
      </c>
      <c r="I39" s="72"/>
      <c r="J39" t="s">
        <v>0</v>
      </c>
      <c r="K39" t="s">
        <v>0</v>
      </c>
      <c r="L39" t="s">
        <v>0</v>
      </c>
      <c r="M39" t="s">
        <v>0</v>
      </c>
      <c r="N39" t="s">
        <v>0</v>
      </c>
      <c r="O39" t="s">
        <v>0</v>
      </c>
      <c r="P39" t="s">
        <v>0</v>
      </c>
      <c r="Q39" t="s">
        <v>0</v>
      </c>
      <c r="R39" t="s">
        <v>0</v>
      </c>
      <c r="S39" t="s">
        <v>0</v>
      </c>
    </row>
    <row r="40" ht="30" customHeight="1" spans="1:19" x14ac:dyDescent="0.25">
      <c r="A40" s="60" t="s">
        <v>229</v>
      </c>
      <c r="B40" s="147" t="s">
        <v>230</v>
      </c>
      <c r="C40" s="148"/>
      <c r="D40" s="148"/>
      <c r="E40" s="149"/>
      <c r="F40" s="75" t="s">
        <v>231</v>
      </c>
      <c r="G40" s="70"/>
      <c r="H40" s="71">
        <v>26200</v>
      </c>
      <c r="I40" s="72"/>
      <c r="J40" t="s">
        <v>0</v>
      </c>
      <c r="K40" t="s">
        <v>0</v>
      </c>
      <c r="L40" t="s">
        <v>0</v>
      </c>
      <c r="M40" t="s">
        <v>0</v>
      </c>
      <c r="N40" t="s">
        <v>0</v>
      </c>
      <c r="O40" t="s">
        <v>0</v>
      </c>
      <c r="P40" t="s">
        <v>0</v>
      </c>
      <c r="Q40" t="s">
        <v>0</v>
      </c>
      <c r="R40" t="s">
        <v>0</v>
      </c>
      <c r="S40" t="s">
        <v>0</v>
      </c>
    </row>
    <row r="41" ht="30" customHeight="1" spans="1:19" s="150" customFormat="1" x14ac:dyDescent="0.25">
      <c r="A41" s="54" t="s">
        <v>232</v>
      </c>
      <c r="B41" s="81" t="s">
        <v>233</v>
      </c>
      <c r="C41" s="82"/>
      <c r="D41" s="82"/>
      <c r="E41" s="83"/>
      <c r="F41" s="147" t="s">
        <v>234</v>
      </c>
      <c r="G41" s="151"/>
      <c r="H41" s="152">
        <v>9995</v>
      </c>
      <c r="I41" s="86"/>
      <c r="J41" s="150" t="s">
        <v>0</v>
      </c>
      <c r="K41" s="150" t="s">
        <v>0</v>
      </c>
      <c r="L41" s="150" t="s">
        <v>0</v>
      </c>
      <c r="M41" s="150" t="s">
        <v>0</v>
      </c>
      <c r="N41" s="150" t="s">
        <v>0</v>
      </c>
      <c r="O41" s="150" t="s">
        <v>0</v>
      </c>
      <c r="P41" s="150" t="s">
        <v>0</v>
      </c>
      <c r="Q41" s="150" t="s">
        <v>0</v>
      </c>
      <c r="R41" s="150" t="s">
        <v>0</v>
      </c>
      <c r="S41" s="150" t="s">
        <v>0</v>
      </c>
    </row>
    <row r="42" ht="30" customHeight="1" spans="1:19" x14ac:dyDescent="0.25">
      <c r="A42" s="60" t="s">
        <v>235</v>
      </c>
      <c r="B42" s="153" t="s">
        <v>236</v>
      </c>
      <c r="C42" s="154"/>
      <c r="D42" s="154"/>
      <c r="E42" s="151"/>
      <c r="F42" s="75" t="s">
        <v>237</v>
      </c>
      <c r="G42" s="70"/>
      <c r="H42" s="71">
        <v>29150</v>
      </c>
      <c r="I42" s="72"/>
      <c r="J42" t="s">
        <v>0</v>
      </c>
      <c r="K42" t="s">
        <v>0</v>
      </c>
      <c r="L42" t="s">
        <v>0</v>
      </c>
      <c r="M42" t="s">
        <v>0</v>
      </c>
      <c r="N42" t="s">
        <v>0</v>
      </c>
      <c r="O42" t="s">
        <v>0</v>
      </c>
      <c r="P42" t="s">
        <v>0</v>
      </c>
      <c r="Q42" t="s">
        <v>0</v>
      </c>
      <c r="R42" t="s">
        <v>0</v>
      </c>
      <c r="S42" t="s">
        <v>0</v>
      </c>
    </row>
    <row r="43" spans="1:19" x14ac:dyDescent="0.25">
      <c r="A43" s="60" t="s">
        <v>0</v>
      </c>
      <c r="B43" s="155"/>
      <c r="C43" s="156"/>
      <c r="D43" s="156"/>
      <c r="E43" s="157"/>
      <c r="F43" s="158"/>
      <c r="G43" s="159"/>
      <c r="H43" s="71"/>
      <c r="I43" s="72"/>
      <c r="J43" t="s">
        <v>0</v>
      </c>
      <c r="K43" t="s">
        <v>0</v>
      </c>
      <c r="L43" t="s">
        <v>0</v>
      </c>
      <c r="M43" t="s">
        <v>0</v>
      </c>
      <c r="N43" t="s">
        <v>0</v>
      </c>
      <c r="O43" t="s">
        <v>0</v>
      </c>
      <c r="P43" t="s">
        <v>0</v>
      </c>
      <c r="Q43" t="s">
        <v>0</v>
      </c>
      <c r="R43" t="s">
        <v>0</v>
      </c>
      <c r="S43" t="s">
        <v>0</v>
      </c>
    </row>
    <row r="44" spans="1:19" x14ac:dyDescent="0.25">
      <c r="A44" s="60" t="s">
        <v>0</v>
      </c>
      <c r="B44" s="153"/>
      <c r="C44" s="154"/>
      <c r="D44" s="154"/>
      <c r="E44" s="151"/>
      <c r="F44" s="68"/>
      <c r="G44" s="70"/>
      <c r="H44" s="145"/>
      <c r="I44" s="146"/>
      <c r="J44" t="s">
        <v>0</v>
      </c>
      <c r="K44" t="s">
        <v>0</v>
      </c>
      <c r="L44" t="s">
        <v>0</v>
      </c>
      <c r="M44" t="s">
        <v>0</v>
      </c>
      <c r="N44" t="s">
        <v>0</v>
      </c>
      <c r="O44" t="s">
        <v>0</v>
      </c>
      <c r="P44" t="s">
        <v>0</v>
      </c>
      <c r="Q44" t="s">
        <v>0</v>
      </c>
      <c r="R44" t="s">
        <v>0</v>
      </c>
      <c r="S44" t="s">
        <v>0</v>
      </c>
    </row>
    <row r="45" spans="1:19" x14ac:dyDescent="0.25">
      <c r="A45" s="60" t="s">
        <v>0</v>
      </c>
      <c r="B45" s="153"/>
      <c r="C45" s="154"/>
      <c r="D45" s="154"/>
      <c r="E45" s="151"/>
      <c r="F45" s="68"/>
      <c r="G45" s="70"/>
      <c r="H45" s="145"/>
      <c r="I45" s="146"/>
      <c r="J45" t="s">
        <v>0</v>
      </c>
      <c r="K45" t="s">
        <v>0</v>
      </c>
      <c r="L45" t="s">
        <v>0</v>
      </c>
      <c r="M45" t="s">
        <v>0</v>
      </c>
      <c r="N45" t="s">
        <v>0</v>
      </c>
      <c r="O45" t="s">
        <v>0</v>
      </c>
      <c r="P45" t="s">
        <v>0</v>
      </c>
      <c r="Q45" t="s">
        <v>0</v>
      </c>
      <c r="R45" t="s">
        <v>0</v>
      </c>
      <c r="S45" t="s">
        <v>0</v>
      </c>
    </row>
    <row r="46" ht="15.75" customHeight="1" spans="1:19" x14ac:dyDescent="0.25">
      <c r="A46" s="87" t="s">
        <v>0</v>
      </c>
      <c r="B46" s="160"/>
      <c r="C46" s="161"/>
      <c r="D46" s="161"/>
      <c r="E46" s="162"/>
      <c r="F46" s="163"/>
      <c r="G46" s="164"/>
      <c r="H46" s="165"/>
      <c r="I46" s="166"/>
      <c r="J46" t="s">
        <v>0</v>
      </c>
      <c r="K46" t="s">
        <v>0</v>
      </c>
      <c r="L46" t="s">
        <v>0</v>
      </c>
      <c r="M46" t="s">
        <v>0</v>
      </c>
      <c r="N46" t="s">
        <v>0</v>
      </c>
      <c r="O46" t="s">
        <v>0</v>
      </c>
      <c r="P46" t="s">
        <v>0</v>
      </c>
      <c r="Q46" t="s">
        <v>0</v>
      </c>
      <c r="R46" t="s">
        <v>0</v>
      </c>
      <c r="S46" t="s">
        <v>0</v>
      </c>
    </row>
    <row r="47" ht="15.75" customHeight="1" spans="1:19" x14ac:dyDescent="0.25">
      <c r="A47" s="93" t="s">
        <v>0</v>
      </c>
      <c r="B47" s="94"/>
      <c r="C47" s="95"/>
      <c r="D47" s="95"/>
      <c r="E47" s="96"/>
      <c r="F47" s="97" t="s">
        <v>96</v>
      </c>
      <c r="G47" s="98"/>
      <c r="H47" s="99">
        <f>SUM(H27:I46)</f>
        <v>407315</v>
      </c>
      <c r="I47" s="100"/>
      <c r="J47" s="167" t="s">
        <v>0</v>
      </c>
      <c r="K47" s="167" t="s">
        <v>0</v>
      </c>
      <c r="L47" t="s">
        <v>0</v>
      </c>
      <c r="M47" t="s">
        <v>0</v>
      </c>
      <c r="N47" t="s">
        <v>0</v>
      </c>
      <c r="O47" t="s">
        <v>0</v>
      </c>
      <c r="P47" t="s">
        <v>0</v>
      </c>
      <c r="Q47" t="s">
        <v>0</v>
      </c>
      <c r="R47" t="s">
        <v>0</v>
      </c>
      <c r="S47" t="s">
        <v>0</v>
      </c>
    </row>
    <row r="48" spans="1:19" x14ac:dyDescent="0.25">
      <c r="A48" t="s">
        <v>0</v>
      </c>
      <c r="B48" t="s">
        <v>0</v>
      </c>
      <c r="C48" t="s">
        <v>0</v>
      </c>
      <c r="D48" t="s">
        <v>0</v>
      </c>
      <c r="E48" s="102" t="s">
        <v>0</v>
      </c>
      <c r="F48" t="s">
        <v>0</v>
      </c>
      <c r="G48" t="s">
        <v>0</v>
      </c>
      <c r="H48" t="s">
        <v>0</v>
      </c>
      <c r="I48" t="s">
        <v>0</v>
      </c>
      <c r="J48" t="s">
        <v>0</v>
      </c>
      <c r="K48" t="s">
        <v>0</v>
      </c>
      <c r="L48" t="s">
        <v>0</v>
      </c>
      <c r="M48" t="s">
        <v>0</v>
      </c>
      <c r="N48" t="s">
        <v>0</v>
      </c>
      <c r="O48" t="s">
        <v>0</v>
      </c>
      <c r="P48" t="s">
        <v>0</v>
      </c>
      <c r="Q48" t="s">
        <v>0</v>
      </c>
      <c r="R48" t="s">
        <v>0</v>
      </c>
      <c r="S48" t="s">
        <v>0</v>
      </c>
    </row>
    <row r="49" ht="15.75" customHeight="1" spans="1:19" x14ac:dyDescent="0.25">
      <c r="A49" t="s">
        <v>0</v>
      </c>
      <c r="B49" t="s">
        <v>0</v>
      </c>
      <c r="C49" t="s">
        <v>0</v>
      </c>
      <c r="D49" t="s">
        <v>0</v>
      </c>
      <c r="E49" s="102" t="s">
        <v>0</v>
      </c>
      <c r="F49" t="s">
        <v>0</v>
      </c>
      <c r="G49" t="s">
        <v>0</v>
      </c>
      <c r="H49" t="s">
        <v>0</v>
      </c>
      <c r="I49" t="s">
        <v>0</v>
      </c>
      <c r="J49" t="s">
        <v>0</v>
      </c>
      <c r="K49" t="s">
        <v>0</v>
      </c>
      <c r="L49" t="s">
        <v>0</v>
      </c>
      <c r="M49" t="s">
        <v>0</v>
      </c>
      <c r="N49" t="s">
        <v>0</v>
      </c>
      <c r="O49" t="s">
        <v>0</v>
      </c>
      <c r="P49" t="s">
        <v>0</v>
      </c>
      <c r="Q49" t="s">
        <v>0</v>
      </c>
      <c r="R49" t="s">
        <v>0</v>
      </c>
      <c r="S49" t="s">
        <v>0</v>
      </c>
    </row>
    <row r="50" ht="16.5" customHeight="1" spans="1:19" x14ac:dyDescent="0.25">
      <c r="A50" s="120" t="s">
        <v>74</v>
      </c>
      <c r="B50" s="121" t="s">
        <v>238</v>
      </c>
      <c r="C50" s="122"/>
      <c r="D50" s="122"/>
      <c r="E50" s="123"/>
      <c r="F50" s="121" t="s">
        <v>76</v>
      </c>
      <c r="G50" s="123"/>
      <c r="H50" s="124" t="s">
        <v>77</v>
      </c>
      <c r="I50" s="125"/>
      <c r="J50" t="s">
        <v>0</v>
      </c>
      <c r="K50" t="s">
        <v>0</v>
      </c>
      <c r="L50" t="s">
        <v>0</v>
      </c>
      <c r="M50" t="s">
        <v>0</v>
      </c>
      <c r="N50" t="s">
        <v>0</v>
      </c>
      <c r="O50" t="s">
        <v>0</v>
      </c>
      <c r="P50" t="s">
        <v>0</v>
      </c>
      <c r="Q50" t="s">
        <v>0</v>
      </c>
      <c r="R50" t="s">
        <v>0</v>
      </c>
      <c r="S50" t="s">
        <v>0</v>
      </c>
    </row>
    <row r="51" spans="1:19" x14ac:dyDescent="0.25">
      <c r="A51" s="46" t="s">
        <v>239</v>
      </c>
      <c r="B51" s="127" t="s">
        <v>240</v>
      </c>
      <c r="C51" s="128"/>
      <c r="D51" s="128"/>
      <c r="E51" s="129"/>
      <c r="F51" s="50" t="s">
        <v>241</v>
      </c>
      <c r="G51" s="130"/>
      <c r="H51" s="52">
        <v>2550</v>
      </c>
      <c r="I51" s="53"/>
      <c r="J51" t="s">
        <v>0</v>
      </c>
      <c r="K51" t="s">
        <v>0</v>
      </c>
      <c r="L51" t="s">
        <v>0</v>
      </c>
      <c r="M51" t="s">
        <v>0</v>
      </c>
      <c r="N51" t="s">
        <v>0</v>
      </c>
      <c r="O51" t="s">
        <v>0</v>
      </c>
      <c r="P51" t="s">
        <v>0</v>
      </c>
      <c r="Q51" t="s">
        <v>0</v>
      </c>
      <c r="R51" t="s">
        <v>0</v>
      </c>
      <c r="S51" t="s">
        <v>0</v>
      </c>
    </row>
    <row r="52" ht="45" customHeight="1" spans="1:19" x14ac:dyDescent="0.25">
      <c r="A52" s="168" t="s">
        <v>239</v>
      </c>
      <c r="B52" s="169" t="s">
        <v>242</v>
      </c>
      <c r="C52" s="170"/>
      <c r="D52" s="170"/>
      <c r="E52" s="171"/>
      <c r="F52" s="81" t="s">
        <v>243</v>
      </c>
      <c r="G52" s="84"/>
      <c r="H52" s="85">
        <v>850</v>
      </c>
      <c r="I52" s="86"/>
      <c r="J52" t="s">
        <v>0</v>
      </c>
      <c r="K52" t="s">
        <v>0</v>
      </c>
      <c r="L52" t="s">
        <v>0</v>
      </c>
      <c r="M52" t="s">
        <v>0</v>
      </c>
      <c r="N52" t="s">
        <v>0</v>
      </c>
      <c r="O52" t="s">
        <v>0</v>
      </c>
      <c r="P52" t="s">
        <v>0</v>
      </c>
      <c r="Q52" t="s">
        <v>0</v>
      </c>
      <c r="R52" t="s">
        <v>0</v>
      </c>
      <c r="S52" t="s">
        <v>0</v>
      </c>
    </row>
    <row r="53" ht="30" customHeight="1" spans="1:19" x14ac:dyDescent="0.25">
      <c r="A53" s="60" t="s">
        <v>244</v>
      </c>
      <c r="B53" s="61" t="s">
        <v>245</v>
      </c>
      <c r="C53" s="62"/>
      <c r="D53" s="62"/>
      <c r="E53" s="63"/>
      <c r="F53" s="55" t="s">
        <v>246</v>
      </c>
      <c r="G53" s="140"/>
      <c r="H53" s="141">
        <v>1150</v>
      </c>
      <c r="I53" s="142"/>
      <c r="J53" t="s">
        <v>0</v>
      </c>
      <c r="K53" t="s">
        <v>0</v>
      </c>
      <c r="L53" t="s">
        <v>0</v>
      </c>
      <c r="M53" t="s">
        <v>0</v>
      </c>
      <c r="N53" t="s">
        <v>0</v>
      </c>
      <c r="O53" t="s">
        <v>0</v>
      </c>
      <c r="P53" t="s">
        <v>0</v>
      </c>
      <c r="Q53" t="s">
        <v>0</v>
      </c>
      <c r="R53" t="s">
        <v>0</v>
      </c>
      <c r="S53" t="s">
        <v>0</v>
      </c>
    </row>
    <row r="54" ht="30" customHeight="1" spans="1:19" x14ac:dyDescent="0.25">
      <c r="A54" s="60" t="s">
        <v>244</v>
      </c>
      <c r="B54" s="47" t="s">
        <v>79</v>
      </c>
      <c r="C54" s="48"/>
      <c r="D54" s="48"/>
      <c r="E54" s="49"/>
      <c r="F54" s="55" t="s">
        <v>80</v>
      </c>
      <c r="G54" s="140"/>
      <c r="H54" s="141">
        <v>2100</v>
      </c>
      <c r="I54" s="142"/>
      <c r="J54" t="s">
        <v>0</v>
      </c>
      <c r="K54" t="s">
        <v>0</v>
      </c>
      <c r="L54" t="s">
        <v>0</v>
      </c>
      <c r="M54" t="s">
        <v>0</v>
      </c>
      <c r="N54" t="s">
        <v>0</v>
      </c>
      <c r="O54" t="s">
        <v>0</v>
      </c>
      <c r="P54" t="s">
        <v>0</v>
      </c>
      <c r="Q54" t="s">
        <v>0</v>
      </c>
      <c r="R54" t="s">
        <v>0</v>
      </c>
      <c r="S54" t="s">
        <v>0</v>
      </c>
    </row>
    <row r="55" spans="1:19" x14ac:dyDescent="0.25">
      <c r="A55" s="60" t="s">
        <v>244</v>
      </c>
      <c r="B55" s="61" t="s">
        <v>247</v>
      </c>
      <c r="C55" s="138"/>
      <c r="D55" s="138"/>
      <c r="E55" s="139"/>
      <c r="F55" s="55" t="s">
        <v>248</v>
      </c>
      <c r="G55" s="140"/>
      <c r="H55" s="143">
        <v>1000</v>
      </c>
      <c r="I55" s="144"/>
      <c r="J55" t="s">
        <v>0</v>
      </c>
      <c r="K55" t="s">
        <v>0</v>
      </c>
      <c r="L55" t="s">
        <v>0</v>
      </c>
      <c r="M55" t="s">
        <v>0</v>
      </c>
      <c r="N55" t="s">
        <v>0</v>
      </c>
      <c r="O55" t="s">
        <v>0</v>
      </c>
      <c r="P55" t="s">
        <v>0</v>
      </c>
      <c r="Q55" t="s">
        <v>0</v>
      </c>
      <c r="R55" t="s">
        <v>0</v>
      </c>
      <c r="S55" t="s">
        <v>0</v>
      </c>
    </row>
    <row r="56" ht="30" customHeight="1" spans="1:19" x14ac:dyDescent="0.25">
      <c r="A56" s="54" t="s">
        <v>244</v>
      </c>
      <c r="B56" s="55" t="s">
        <v>249</v>
      </c>
      <c r="C56" s="56"/>
      <c r="D56" s="56"/>
      <c r="E56" s="57"/>
      <c r="F56" s="55" t="s">
        <v>250</v>
      </c>
      <c r="G56" s="140"/>
      <c r="H56" s="58">
        <v>1150</v>
      </c>
      <c r="I56" s="59"/>
      <c r="J56" t="s">
        <v>0</v>
      </c>
      <c r="K56" t="s">
        <v>0</v>
      </c>
      <c r="L56" t="s">
        <v>0</v>
      </c>
      <c r="M56" t="s">
        <v>0</v>
      </c>
      <c r="N56" t="s">
        <v>0</v>
      </c>
      <c r="O56" t="s">
        <v>0</v>
      </c>
      <c r="P56" t="s">
        <v>0</v>
      </c>
      <c r="Q56" t="s">
        <v>0</v>
      </c>
      <c r="R56" t="s">
        <v>0</v>
      </c>
      <c r="S56" t="s">
        <v>0</v>
      </c>
    </row>
    <row r="57" ht="45" customHeight="1" spans="1:19" x14ac:dyDescent="0.25">
      <c r="A57" s="54" t="s">
        <v>244</v>
      </c>
      <c r="B57" s="81" t="s">
        <v>251</v>
      </c>
      <c r="C57" s="134"/>
      <c r="D57" s="134"/>
      <c r="E57" s="84"/>
      <c r="F57" s="81" t="s">
        <v>252</v>
      </c>
      <c r="G57" s="84"/>
      <c r="H57" s="85">
        <v>5126</v>
      </c>
      <c r="I57" s="86"/>
      <c r="J57" t="s">
        <v>0</v>
      </c>
      <c r="K57" t="s">
        <v>0</v>
      </c>
      <c r="L57" t="s">
        <v>0</v>
      </c>
      <c r="M57" t="s">
        <v>0</v>
      </c>
      <c r="N57" t="s">
        <v>0</v>
      </c>
      <c r="O57" t="s">
        <v>0</v>
      </c>
      <c r="P57" t="s">
        <v>0</v>
      </c>
      <c r="Q57" t="s">
        <v>0</v>
      </c>
      <c r="R57" t="s">
        <v>0</v>
      </c>
      <c r="S57" t="s">
        <v>0</v>
      </c>
    </row>
    <row r="58" ht="45" customHeight="1" spans="1:19" x14ac:dyDescent="0.25">
      <c r="A58" s="54" t="s">
        <v>244</v>
      </c>
      <c r="B58" s="81" t="s">
        <v>253</v>
      </c>
      <c r="C58" s="134"/>
      <c r="D58" s="134"/>
      <c r="E58" s="84"/>
      <c r="F58" s="81" t="s">
        <v>86</v>
      </c>
      <c r="G58" s="84"/>
      <c r="H58" s="85">
        <v>12550</v>
      </c>
      <c r="I58" s="86"/>
      <c r="J58" t="s">
        <v>0</v>
      </c>
      <c r="K58" t="s">
        <v>0</v>
      </c>
      <c r="L58" t="s">
        <v>0</v>
      </c>
      <c r="M58" t="s">
        <v>0</v>
      </c>
      <c r="N58" t="s">
        <v>0</v>
      </c>
      <c r="O58" t="s">
        <v>0</v>
      </c>
      <c r="P58" t="s">
        <v>0</v>
      </c>
      <c r="Q58" t="s">
        <v>0</v>
      </c>
      <c r="R58" t="s">
        <v>0</v>
      </c>
      <c r="S58" t="s">
        <v>0</v>
      </c>
    </row>
    <row r="59" spans="1:19" x14ac:dyDescent="0.25">
      <c r="A59" s="54" t="s">
        <v>0</v>
      </c>
      <c r="B59" s="172"/>
      <c r="C59" s="82"/>
      <c r="D59" s="82"/>
      <c r="E59" s="83"/>
      <c r="F59" s="81"/>
      <c r="G59" s="84"/>
      <c r="H59" s="85"/>
      <c r="I59" s="86"/>
      <c r="J59" t="s">
        <v>0</v>
      </c>
      <c r="K59" t="s">
        <v>0</v>
      </c>
      <c r="L59" t="s">
        <v>0</v>
      </c>
      <c r="M59" t="s">
        <v>0</v>
      </c>
      <c r="N59" t="s">
        <v>0</v>
      </c>
      <c r="O59" t="s">
        <v>0</v>
      </c>
      <c r="P59" t="s">
        <v>0</v>
      </c>
      <c r="Q59" t="s">
        <v>0</v>
      </c>
      <c r="R59" t="s">
        <v>0</v>
      </c>
      <c r="S59" t="s">
        <v>0</v>
      </c>
    </row>
    <row r="60" spans="1:19" x14ac:dyDescent="0.25">
      <c r="A60" s="54" t="s">
        <v>0</v>
      </c>
      <c r="B60" s="172" t="s">
        <v>0</v>
      </c>
      <c r="C60" s="82" t="s">
        <v>0</v>
      </c>
      <c r="D60" s="82" t="s">
        <v>0</v>
      </c>
      <c r="E60" s="83" t="s">
        <v>0</v>
      </c>
      <c r="F60" s="81" t="s">
        <v>0</v>
      </c>
      <c r="G60" s="134" t="s">
        <v>0</v>
      </c>
      <c r="H60" s="85" t="s">
        <v>0</v>
      </c>
      <c r="I60" s="86" t="s">
        <v>0</v>
      </c>
      <c r="J60" t="s">
        <v>0</v>
      </c>
      <c r="K60" t="s">
        <v>0</v>
      </c>
      <c r="L60" t="s">
        <v>0</v>
      </c>
      <c r="M60" t="s">
        <v>0</v>
      </c>
      <c r="N60" t="s">
        <v>0</v>
      </c>
      <c r="O60" t="s">
        <v>0</v>
      </c>
      <c r="P60" t="s">
        <v>0</v>
      </c>
      <c r="Q60" t="s">
        <v>0</v>
      </c>
      <c r="R60" t="s">
        <v>0</v>
      </c>
      <c r="S60" t="s">
        <v>0</v>
      </c>
    </row>
    <row r="61" spans="1:19" x14ac:dyDescent="0.25">
      <c r="A61" s="54" t="s">
        <v>0</v>
      </c>
      <c r="B61" s="172" t="s">
        <v>0</v>
      </c>
      <c r="C61" s="82" t="s">
        <v>0</v>
      </c>
      <c r="D61" s="82" t="s">
        <v>0</v>
      </c>
      <c r="E61" s="83" t="s">
        <v>0</v>
      </c>
      <c r="F61" s="81" t="s">
        <v>0</v>
      </c>
      <c r="G61" s="134" t="s">
        <v>0</v>
      </c>
      <c r="H61" s="85" t="s">
        <v>0</v>
      </c>
      <c r="I61" s="86" t="s">
        <v>0</v>
      </c>
      <c r="J61" t="s">
        <v>0</v>
      </c>
      <c r="K61" t="s">
        <v>0</v>
      </c>
      <c r="L61" t="s">
        <v>0</v>
      </c>
      <c r="M61" t="s">
        <v>0</v>
      </c>
      <c r="N61" t="s">
        <v>0</v>
      </c>
      <c r="O61" t="s">
        <v>0</v>
      </c>
      <c r="P61" t="s">
        <v>0</v>
      </c>
      <c r="Q61" t="s">
        <v>0</v>
      </c>
      <c r="R61" t="s">
        <v>0</v>
      </c>
      <c r="S61" t="s">
        <v>0</v>
      </c>
    </row>
    <row r="62" spans="1:19" x14ac:dyDescent="0.25">
      <c r="A62" s="54" t="s">
        <v>0</v>
      </c>
      <c r="B62" s="172" t="s">
        <v>0</v>
      </c>
      <c r="C62" s="82" t="s">
        <v>0</v>
      </c>
      <c r="D62" s="82" t="s">
        <v>0</v>
      </c>
      <c r="E62" s="83" t="s">
        <v>0</v>
      </c>
      <c r="F62" s="81" t="s">
        <v>0</v>
      </c>
      <c r="G62" s="134" t="s">
        <v>0</v>
      </c>
      <c r="H62" s="85" t="s">
        <v>0</v>
      </c>
      <c r="I62" s="86" t="s">
        <v>0</v>
      </c>
      <c r="J62" t="s">
        <v>0</v>
      </c>
      <c r="K62" t="s">
        <v>0</v>
      </c>
      <c r="L62" t="s">
        <v>0</v>
      </c>
      <c r="M62" t="s">
        <v>0</v>
      </c>
      <c r="N62" t="s">
        <v>0</v>
      </c>
      <c r="O62" t="s">
        <v>0</v>
      </c>
      <c r="P62" t="s">
        <v>0</v>
      </c>
      <c r="Q62" t="s">
        <v>0</v>
      </c>
      <c r="R62" t="s">
        <v>0</v>
      </c>
      <c r="S62" t="s">
        <v>0</v>
      </c>
    </row>
    <row r="63" spans="1:19" x14ac:dyDescent="0.25">
      <c r="A63" s="54" t="s">
        <v>0</v>
      </c>
      <c r="B63" s="172" t="s">
        <v>0</v>
      </c>
      <c r="C63" s="82" t="s">
        <v>0</v>
      </c>
      <c r="D63" s="82" t="s">
        <v>0</v>
      </c>
      <c r="E63" s="83" t="s">
        <v>0</v>
      </c>
      <c r="F63" s="81" t="s">
        <v>0</v>
      </c>
      <c r="G63" s="134" t="s">
        <v>0</v>
      </c>
      <c r="H63" s="85" t="s">
        <v>0</v>
      </c>
      <c r="I63" s="86" t="s">
        <v>0</v>
      </c>
      <c r="J63" t="s">
        <v>0</v>
      </c>
      <c r="K63" t="s">
        <v>0</v>
      </c>
      <c r="L63" t="s">
        <v>0</v>
      </c>
      <c r="M63" t="s">
        <v>0</v>
      </c>
      <c r="N63" t="s">
        <v>0</v>
      </c>
      <c r="O63" t="s">
        <v>0</v>
      </c>
      <c r="P63" t="s">
        <v>0</v>
      </c>
      <c r="Q63" t="s">
        <v>0</v>
      </c>
      <c r="R63" t="s">
        <v>0</v>
      </c>
      <c r="S63" t="s">
        <v>0</v>
      </c>
    </row>
    <row r="64" spans="1:19" x14ac:dyDescent="0.25">
      <c r="A64" s="54" t="s">
        <v>0</v>
      </c>
      <c r="B64" s="172" t="s">
        <v>0</v>
      </c>
      <c r="C64" s="82" t="s">
        <v>0</v>
      </c>
      <c r="D64" s="82" t="s">
        <v>0</v>
      </c>
      <c r="E64" s="83" t="s">
        <v>0</v>
      </c>
      <c r="F64" s="81" t="s">
        <v>0</v>
      </c>
      <c r="G64" s="134" t="s">
        <v>0</v>
      </c>
      <c r="H64" s="85" t="s">
        <v>0</v>
      </c>
      <c r="I64" s="86" t="s">
        <v>0</v>
      </c>
      <c r="J64" t="s">
        <v>0</v>
      </c>
      <c r="K64" t="s">
        <v>0</v>
      </c>
      <c r="L64" t="s">
        <v>0</v>
      </c>
      <c r="M64" t="s">
        <v>0</v>
      </c>
      <c r="N64" t="s">
        <v>0</v>
      </c>
      <c r="O64" t="s">
        <v>0</v>
      </c>
      <c r="P64" t="s">
        <v>0</v>
      </c>
      <c r="Q64" t="s">
        <v>0</v>
      </c>
      <c r="R64" t="s">
        <v>0</v>
      </c>
      <c r="S64" t="s">
        <v>0</v>
      </c>
    </row>
    <row r="65" spans="1:19" x14ac:dyDescent="0.25">
      <c r="A65" s="54" t="s">
        <v>0</v>
      </c>
      <c r="B65" s="172" t="s">
        <v>0</v>
      </c>
      <c r="C65" s="82" t="s">
        <v>0</v>
      </c>
      <c r="D65" s="82" t="s">
        <v>0</v>
      </c>
      <c r="E65" s="83" t="s">
        <v>0</v>
      </c>
      <c r="F65" s="81" t="s">
        <v>0</v>
      </c>
      <c r="G65" s="134" t="s">
        <v>0</v>
      </c>
      <c r="H65" s="85" t="s">
        <v>0</v>
      </c>
      <c r="I65" s="86" t="s">
        <v>0</v>
      </c>
      <c r="J65" t="s">
        <v>0</v>
      </c>
      <c r="K65" t="s">
        <v>0</v>
      </c>
      <c r="L65" t="s">
        <v>0</v>
      </c>
      <c r="M65" t="s">
        <v>0</v>
      </c>
      <c r="N65" t="s">
        <v>0</v>
      </c>
      <c r="O65" t="s">
        <v>0</v>
      </c>
      <c r="P65" t="s">
        <v>0</v>
      </c>
      <c r="Q65" t="s">
        <v>0</v>
      </c>
      <c r="R65" t="s">
        <v>0</v>
      </c>
      <c r="S65" t="s">
        <v>0</v>
      </c>
    </row>
    <row r="66" spans="1:19" x14ac:dyDescent="0.25">
      <c r="A66" s="60" t="s">
        <v>0</v>
      </c>
      <c r="B66" s="68"/>
      <c r="C66" s="69"/>
      <c r="D66" s="69"/>
      <c r="E66" s="70"/>
      <c r="F66" s="68"/>
      <c r="G66" s="69"/>
      <c r="H66" s="143"/>
      <c r="I66" s="144"/>
      <c r="J66" t="s">
        <v>0</v>
      </c>
      <c r="K66" t="s">
        <v>0</v>
      </c>
      <c r="L66" t="s">
        <v>0</v>
      </c>
      <c r="M66" t="s">
        <v>0</v>
      </c>
      <c r="N66" t="s">
        <v>0</v>
      </c>
      <c r="O66" t="s">
        <v>0</v>
      </c>
      <c r="P66" t="s">
        <v>0</v>
      </c>
      <c r="Q66" t="s">
        <v>0</v>
      </c>
      <c r="R66" t="s">
        <v>0</v>
      </c>
      <c r="S66" t="s">
        <v>0</v>
      </c>
    </row>
    <row r="67" spans="1:19" x14ac:dyDescent="0.25">
      <c r="A67" s="60" t="s">
        <v>0</v>
      </c>
      <c r="B67" s="68"/>
      <c r="C67" s="69"/>
      <c r="D67" s="69"/>
      <c r="E67" s="70"/>
      <c r="F67" s="68"/>
      <c r="G67" s="69"/>
      <c r="H67" s="158"/>
      <c r="I67" s="159"/>
      <c r="J67" t="s">
        <v>0</v>
      </c>
      <c r="K67" t="s">
        <v>0</v>
      </c>
      <c r="L67" t="s">
        <v>0</v>
      </c>
      <c r="M67" t="s">
        <v>0</v>
      </c>
      <c r="N67" t="s">
        <v>0</v>
      </c>
      <c r="O67" t="s">
        <v>0</v>
      </c>
      <c r="P67" t="s">
        <v>0</v>
      </c>
      <c r="Q67" t="s">
        <v>0</v>
      </c>
      <c r="R67" t="s">
        <v>0</v>
      </c>
      <c r="S67" t="s">
        <v>0</v>
      </c>
    </row>
    <row r="68" ht="15.75" customHeight="1" spans="1:19" x14ac:dyDescent="0.25">
      <c r="A68" s="87" t="s">
        <v>0</v>
      </c>
      <c r="B68" s="163"/>
      <c r="C68" s="164"/>
      <c r="D68" s="164"/>
      <c r="E68" s="173"/>
      <c r="F68" s="163"/>
      <c r="G68" s="164"/>
      <c r="H68" s="174"/>
      <c r="I68" s="175"/>
      <c r="J68" t="s">
        <v>0</v>
      </c>
      <c r="K68" t="s">
        <v>0</v>
      </c>
      <c r="L68" t="s">
        <v>0</v>
      </c>
      <c r="M68" t="s">
        <v>0</v>
      </c>
      <c r="N68" t="s">
        <v>0</v>
      </c>
      <c r="O68" t="s">
        <v>0</v>
      </c>
      <c r="P68" t="s">
        <v>0</v>
      </c>
      <c r="Q68" t="s">
        <v>0</v>
      </c>
      <c r="R68" t="s">
        <v>0</v>
      </c>
      <c r="S68" t="s">
        <v>0</v>
      </c>
    </row>
    <row r="69" ht="15.75" customHeight="1" spans="1:19" x14ac:dyDescent="0.25">
      <c r="A69" s="93" t="s">
        <v>0</v>
      </c>
      <c r="B69" s="94"/>
      <c r="C69" s="95"/>
      <c r="D69" s="95"/>
      <c r="E69" s="96"/>
      <c r="F69" s="97" t="s">
        <v>96</v>
      </c>
      <c r="G69" s="98"/>
      <c r="H69" s="99">
        <f>SUM(H51:I68)</f>
        <v>26476</v>
      </c>
      <c r="I69" s="100"/>
      <c r="J69" t="s">
        <v>0</v>
      </c>
      <c r="K69" t="s">
        <v>0</v>
      </c>
      <c r="L69" t="s">
        <v>0</v>
      </c>
      <c r="M69" t="s">
        <v>0</v>
      </c>
      <c r="N69" t="s">
        <v>0</v>
      </c>
      <c r="O69" t="s">
        <v>0</v>
      </c>
      <c r="P69" t="s">
        <v>0</v>
      </c>
      <c r="Q69" t="s">
        <v>0</v>
      </c>
      <c r="R69" t="s">
        <v>0</v>
      </c>
      <c r="S69" t="s">
        <v>0</v>
      </c>
    </row>
  </sheetData>
  <mergeCells count="108">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 ref="B31:E31"/>
    <mergeCell ref="F31:G31"/>
    <mergeCell ref="H31:I31"/>
    <mergeCell ref="B32:E32"/>
    <mergeCell ref="F32:G32"/>
    <mergeCell ref="H32:I32"/>
    <mergeCell ref="B33:E33"/>
    <mergeCell ref="F33:G33"/>
    <mergeCell ref="H33:I33"/>
    <mergeCell ref="B34:E34"/>
    <mergeCell ref="F34:G34"/>
    <mergeCell ref="H34:I34"/>
    <mergeCell ref="B35:E35"/>
    <mergeCell ref="F35:G35"/>
    <mergeCell ref="H35:I35"/>
    <mergeCell ref="B36:E36"/>
    <mergeCell ref="F36:G36"/>
    <mergeCell ref="H36:I36"/>
    <mergeCell ref="B37:E37"/>
    <mergeCell ref="F37:G37"/>
    <mergeCell ref="H37:I37"/>
    <mergeCell ref="B38:E38"/>
    <mergeCell ref="F38:G38"/>
    <mergeCell ref="H38:I38"/>
    <mergeCell ref="B39:E39"/>
    <mergeCell ref="F39:G39"/>
    <mergeCell ref="H39:I39"/>
    <mergeCell ref="B40:E40"/>
    <mergeCell ref="F40:G40"/>
    <mergeCell ref="H40:I40"/>
    <mergeCell ref="B41:E41"/>
    <mergeCell ref="F41:G41"/>
    <mergeCell ref="H41:I41"/>
    <mergeCell ref="B42:E42"/>
    <mergeCell ref="F42:G42"/>
    <mergeCell ref="H42:I42"/>
    <mergeCell ref="B43:E43"/>
    <mergeCell ref="F43:G43"/>
    <mergeCell ref="H43:I43"/>
    <mergeCell ref="B44:E44"/>
    <mergeCell ref="F44:G44"/>
    <mergeCell ref="H44:I44"/>
    <mergeCell ref="B45:E45"/>
    <mergeCell ref="F45:G45"/>
    <mergeCell ref="H45:I45"/>
    <mergeCell ref="B46:E46"/>
    <mergeCell ref="F46:G46"/>
    <mergeCell ref="H46:I46"/>
    <mergeCell ref="B47:E47"/>
    <mergeCell ref="F47:G47"/>
    <mergeCell ref="H47:I47"/>
    <mergeCell ref="B50:E50"/>
    <mergeCell ref="F50:G50"/>
    <mergeCell ref="H50:I50"/>
    <mergeCell ref="B51:E51"/>
    <mergeCell ref="F51:G51"/>
    <mergeCell ref="H51:I51"/>
    <mergeCell ref="B52:E52"/>
    <mergeCell ref="F52:G52"/>
    <mergeCell ref="H52:I52"/>
    <mergeCell ref="B53:E53"/>
    <mergeCell ref="F53:G53"/>
    <mergeCell ref="H53:I53"/>
    <mergeCell ref="B54:E54"/>
    <mergeCell ref="F54:G54"/>
    <mergeCell ref="H54:I54"/>
    <mergeCell ref="B55:E55"/>
    <mergeCell ref="F55:G55"/>
    <mergeCell ref="H55:I55"/>
    <mergeCell ref="B56:E56"/>
    <mergeCell ref="F56:G56"/>
    <mergeCell ref="H56:I56"/>
    <mergeCell ref="B57:E57"/>
    <mergeCell ref="F57:G57"/>
    <mergeCell ref="H57:I57"/>
    <mergeCell ref="B58:E58"/>
    <mergeCell ref="F58:G58"/>
    <mergeCell ref="H58:I58"/>
    <mergeCell ref="B59:E59"/>
    <mergeCell ref="F59:G59"/>
    <mergeCell ref="H59:I59"/>
    <mergeCell ref="B66:E66"/>
    <mergeCell ref="F66:G66"/>
    <mergeCell ref="H66:I66"/>
    <mergeCell ref="B67:E67"/>
    <mergeCell ref="F67:G67"/>
    <mergeCell ref="H67:I67"/>
    <mergeCell ref="B68:E68"/>
    <mergeCell ref="F68:G68"/>
    <mergeCell ref="H68:I68"/>
    <mergeCell ref="B69:E69"/>
    <mergeCell ref="F69:G69"/>
    <mergeCell ref="H69:I6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82"/>
  <sheetViews>
    <sheetView workbookViewId="0" zoomScale="90" zoomScaleNormal="90">
      <selection activeCell="Q9" sqref="Q9"/>
    </sheetView>
  </sheetViews>
  <sheetFormatPr defaultRowHeight="15" outlineLevelRow="0" outlineLevelCol="0" x14ac:dyDescent="0.25"/>
  <cols>
    <col min="1" max="1" width="38.7109375" customWidth="1"/>
    <col min="2" max="2" width="15.7109375" customWidth="1"/>
    <col min="3" max="3" width="17.42578125" customWidth="1"/>
    <col min="4" max="4" width="15.7109375" customWidth="1"/>
    <col min="5" max="5" width="18.140625" customWidth="1"/>
    <col min="6" max="9" width="10.28515625" customWidth="1"/>
    <col min="10" max="10" width="11.28515625" customWidth="1"/>
    <col min="11" max="11" width="10.28515625" customWidth="1"/>
    <col min="12" max="12" width="11.28515625" customWidth="1"/>
    <col min="13" max="13" width="11.85546875" customWidth="1"/>
    <col min="14" max="14" width="11.28515625" customWidth="1"/>
    <col min="15" max="15" width="11.5703125" customWidth="1"/>
    <col min="16" max="16" width="10.85546875" customWidth="1"/>
    <col min="17" max="17" width="12.42578125" customWidth="1"/>
    <col min="18" max="18" width="12" customWidth="1"/>
    <col min="19" max="19" width="14.28515625" customWidth="1"/>
  </cols>
  <sheetData>
    <row r="1" ht="72.75" customHeight="1" spans="1:19" x14ac:dyDescent="0.25">
      <c r="A1" s="1" t="s">
        <v>0</v>
      </c>
      <c r="B1" s="181" t="s">
        <v>255</v>
      </c>
      <c r="C1" s="184" t="s">
        <v>263</v>
      </c>
      <c r="D1" s="4" t="s">
        <v>921</v>
      </c>
      <c r="E1" s="185" t="s">
        <v>922</v>
      </c>
      <c r="F1" s="6" t="s">
        <v>5</v>
      </c>
      <c r="G1" s="7" t="s">
        <v>6</v>
      </c>
      <c r="H1" s="8" t="s">
        <v>7</v>
      </c>
      <c r="I1" s="7" t="s">
        <v>8</v>
      </c>
      <c r="J1" s="8" t="s">
        <v>9</v>
      </c>
      <c r="K1" s="7" t="s">
        <v>10</v>
      </c>
      <c r="L1" s="8" t="s">
        <v>11</v>
      </c>
      <c r="M1" s="7" t="s">
        <v>12</v>
      </c>
      <c r="N1" s="8" t="s">
        <v>13</v>
      </c>
      <c r="O1" s="7" t="s">
        <v>14</v>
      </c>
      <c r="P1" s="8" t="s">
        <v>15</v>
      </c>
      <c r="Q1" s="7" t="s">
        <v>16</v>
      </c>
      <c r="R1" s="9" t="s">
        <v>0</v>
      </c>
      <c r="S1" s="10" t="s">
        <v>17</v>
      </c>
    </row>
    <row r="2" ht="16.5" customHeight="1" spans="1:19" x14ac:dyDescent="0.25">
      <c r="A2" s="12" t="s">
        <v>1156</v>
      </c>
      <c r="B2" s="13" t="s">
        <v>0</v>
      </c>
      <c r="C2" s="186" t="s">
        <v>0</v>
      </c>
      <c r="D2" s="14" t="s">
        <v>0</v>
      </c>
      <c r="E2" s="15" t="s">
        <v>0</v>
      </c>
      <c r="F2" s="105" t="s">
        <v>0</v>
      </c>
      <c r="G2" s="16" t="s">
        <v>0</v>
      </c>
      <c r="H2" s="17" t="s">
        <v>0</v>
      </c>
      <c r="I2" s="16" t="s">
        <v>0</v>
      </c>
      <c r="J2" s="410" t="s">
        <v>0</v>
      </c>
      <c r="K2" s="411" t="s">
        <v>0</v>
      </c>
      <c r="L2" s="412" t="s">
        <v>0</v>
      </c>
      <c r="M2" s="16" t="s">
        <v>0</v>
      </c>
      <c r="N2" s="17" t="s">
        <v>0</v>
      </c>
      <c r="O2" s="16" t="s">
        <v>0</v>
      </c>
      <c r="P2" s="17" t="s">
        <v>0</v>
      </c>
      <c r="Q2" s="16" t="s">
        <v>0</v>
      </c>
      <c r="R2" s="16" t="s">
        <v>0</v>
      </c>
      <c r="S2" s="16" t="s">
        <v>0</v>
      </c>
    </row>
    <row r="3" ht="15.75" customHeight="1" spans="1:19" x14ac:dyDescent="0.25">
      <c r="A3" s="187" t="s">
        <v>208</v>
      </c>
      <c r="B3" s="20" t="s">
        <v>0</v>
      </c>
      <c r="C3" s="21" t="s">
        <v>1157</v>
      </c>
      <c r="D3" s="22" t="s">
        <v>1158</v>
      </c>
      <c r="E3" s="23" t="s">
        <v>1159</v>
      </c>
      <c r="F3" s="23" t="s">
        <v>0</v>
      </c>
      <c r="G3" s="23" t="s">
        <v>0</v>
      </c>
      <c r="H3" s="23" t="s">
        <v>0</v>
      </c>
      <c r="I3" s="23" t="s">
        <v>0</v>
      </c>
      <c r="J3" s="23" t="s">
        <v>0</v>
      </c>
      <c r="K3" s="23" t="s">
        <v>0</v>
      </c>
      <c r="L3" s="23" t="s">
        <v>0</v>
      </c>
      <c r="M3" s="23">
        <v>881</v>
      </c>
      <c r="N3" s="23" t="s">
        <v>1160</v>
      </c>
      <c r="O3" s="23" t="s">
        <v>0</v>
      </c>
      <c r="P3" s="23" t="s">
        <v>0</v>
      </c>
      <c r="Q3" s="23" t="s">
        <v>0</v>
      </c>
      <c r="R3" s="24" t="s">
        <v>0</v>
      </c>
      <c r="S3" s="24" t="s">
        <v>1158</v>
      </c>
    </row>
    <row r="4" ht="15.75" customHeight="1" spans="1:19" x14ac:dyDescent="0.25">
      <c r="A4" s="187" t="s">
        <v>537</v>
      </c>
      <c r="B4" s="20" t="s">
        <v>0</v>
      </c>
      <c r="C4" s="21" t="s">
        <v>0</v>
      </c>
      <c r="D4" s="22" t="s">
        <v>0</v>
      </c>
      <c r="E4" s="23" t="s">
        <v>0</v>
      </c>
      <c r="F4" s="23" t="s">
        <v>0</v>
      </c>
      <c r="G4" s="23" t="s">
        <v>0</v>
      </c>
      <c r="H4" s="23" t="s">
        <v>0</v>
      </c>
      <c r="I4" s="23" t="s">
        <v>0</v>
      </c>
      <c r="J4" s="23" t="s">
        <v>0</v>
      </c>
      <c r="K4" s="23" t="s">
        <v>0</v>
      </c>
      <c r="L4" s="23" t="s">
        <v>0</v>
      </c>
      <c r="M4" s="23" t="s">
        <v>1161</v>
      </c>
      <c r="N4" s="23">
        <v>925</v>
      </c>
      <c r="O4" s="23" t="s">
        <v>1162</v>
      </c>
      <c r="P4" s="23" t="s">
        <v>0</v>
      </c>
      <c r="Q4" s="23" t="s">
        <v>0</v>
      </c>
      <c r="R4" s="24" t="s">
        <v>0</v>
      </c>
      <c r="S4" s="24" t="s">
        <v>1163</v>
      </c>
    </row>
    <row r="5" ht="15.75" customHeight="1" spans="1:19" x14ac:dyDescent="0.25">
      <c r="A5" s="187" t="s">
        <v>1164</v>
      </c>
      <c r="B5" s="20" t="s">
        <v>0</v>
      </c>
      <c r="C5" s="21" t="s">
        <v>0</v>
      </c>
      <c r="D5" s="22" t="s">
        <v>0</v>
      </c>
      <c r="E5" s="23" t="s">
        <v>0</v>
      </c>
      <c r="F5" s="23" t="s">
        <v>0</v>
      </c>
      <c r="G5" s="23" t="s">
        <v>1165</v>
      </c>
      <c r="H5" s="23" t="s">
        <v>0</v>
      </c>
      <c r="I5" s="23" t="s">
        <v>0</v>
      </c>
      <c r="J5" s="23" t="s">
        <v>0</v>
      </c>
      <c r="K5" s="23" t="s">
        <v>0</v>
      </c>
      <c r="L5" s="23" t="s">
        <v>0</v>
      </c>
      <c r="M5" s="23" t="s">
        <v>0</v>
      </c>
      <c r="N5" s="23" t="s">
        <v>0</v>
      </c>
      <c r="O5" s="23" t="s">
        <v>0</v>
      </c>
      <c r="P5" s="23" t="s">
        <v>0</v>
      </c>
      <c r="Q5" s="23" t="s">
        <v>0</v>
      </c>
      <c r="R5" s="24" t="s">
        <v>0</v>
      </c>
      <c r="S5" s="24" t="s">
        <v>1165</v>
      </c>
    </row>
    <row r="6" ht="16.5" customHeight="1" spans="1:19" x14ac:dyDescent="0.25">
      <c r="A6" s="187" t="s">
        <v>31</v>
      </c>
      <c r="B6" s="20" t="s">
        <v>0</v>
      </c>
      <c r="C6" s="21" t="s">
        <v>0</v>
      </c>
      <c r="D6" s="22" t="s">
        <v>0</v>
      </c>
      <c r="E6" s="23" t="s">
        <v>0</v>
      </c>
      <c r="F6" s="23" t="s">
        <v>0</v>
      </c>
      <c r="G6" s="23" t="s">
        <v>0</v>
      </c>
      <c r="H6" s="23" t="s">
        <v>0</v>
      </c>
      <c r="I6" s="23" t="s">
        <v>0</v>
      </c>
      <c r="J6" s="23" t="s">
        <v>0</v>
      </c>
      <c r="K6" s="23" t="s">
        <v>0</v>
      </c>
      <c r="L6" s="23" t="s">
        <v>1166</v>
      </c>
      <c r="M6" s="23" t="s">
        <v>0</v>
      </c>
      <c r="N6" s="23" t="s">
        <v>1167</v>
      </c>
      <c r="O6" s="23" t="s">
        <v>1168</v>
      </c>
      <c r="P6" s="23" t="s">
        <v>930</v>
      </c>
      <c r="Q6" s="23" t="s">
        <v>0</v>
      </c>
      <c r="R6" s="24" t="s">
        <v>0</v>
      </c>
      <c r="S6" s="24" t="s">
        <v>1169</v>
      </c>
    </row>
    <row r="7" ht="15.75" customHeight="1" spans="1:19" x14ac:dyDescent="0.25">
      <c r="A7" s="187" t="s">
        <v>1170</v>
      </c>
      <c r="B7" s="20" t="s">
        <v>0</v>
      </c>
      <c r="C7" s="21" t="s">
        <v>0</v>
      </c>
      <c r="D7" s="22" t="s">
        <v>0</v>
      </c>
      <c r="E7" s="23" t="s">
        <v>0</v>
      </c>
      <c r="F7" s="23" t="s">
        <v>0</v>
      </c>
      <c r="G7" s="23" t="s">
        <v>1171</v>
      </c>
      <c r="H7" s="23" t="s">
        <v>1172</v>
      </c>
      <c r="I7" s="23" t="s">
        <v>1173</v>
      </c>
      <c r="J7" s="23" t="s">
        <v>1174</v>
      </c>
      <c r="K7" s="23" t="s">
        <v>1175</v>
      </c>
      <c r="L7" s="23" t="s">
        <v>1176</v>
      </c>
      <c r="M7" s="23" t="s">
        <v>1177</v>
      </c>
      <c r="N7" s="23" t="s">
        <v>1178</v>
      </c>
      <c r="O7" s="23" t="s">
        <v>1179</v>
      </c>
      <c r="P7" s="23" t="s">
        <v>120</v>
      </c>
      <c r="Q7" s="23" t="s">
        <v>0</v>
      </c>
      <c r="R7" s="24" t="s">
        <v>0</v>
      </c>
      <c r="S7" s="24" t="s">
        <v>1180</v>
      </c>
    </row>
    <row r="8" ht="15.75" customHeight="1" spans="1:19" x14ac:dyDescent="0.25">
      <c r="A8" s="187" t="s">
        <v>45</v>
      </c>
      <c r="B8" s="20" t="s">
        <v>0</v>
      </c>
      <c r="C8" s="21" t="s">
        <v>0</v>
      </c>
      <c r="D8" s="22" t="s">
        <v>0</v>
      </c>
      <c r="E8" s="23" t="s">
        <v>0</v>
      </c>
      <c r="F8" s="23" t="s">
        <v>1181</v>
      </c>
      <c r="G8" s="23" t="s">
        <v>1182</v>
      </c>
      <c r="H8" s="23" t="s">
        <v>1183</v>
      </c>
      <c r="I8" s="23" t="s">
        <v>1184</v>
      </c>
      <c r="J8" s="23" t="s">
        <v>1185</v>
      </c>
      <c r="K8" s="23" t="s">
        <v>1186</v>
      </c>
      <c r="L8" s="23" t="s">
        <v>1187</v>
      </c>
      <c r="M8" s="23" t="s">
        <v>1188</v>
      </c>
      <c r="N8" s="23" t="s">
        <v>1189</v>
      </c>
      <c r="O8" s="23" t="s">
        <v>1190</v>
      </c>
      <c r="P8" s="23" t="s">
        <v>1191</v>
      </c>
      <c r="Q8" s="23" t="s">
        <v>1192</v>
      </c>
      <c r="R8" s="24" t="s">
        <v>0</v>
      </c>
      <c r="S8" s="24" t="s">
        <v>1193</v>
      </c>
    </row>
    <row r="9" ht="15.75" customHeight="1" spans="1:19" x14ac:dyDescent="0.25">
      <c r="A9" s="187" t="s">
        <v>141</v>
      </c>
      <c r="B9" s="20" t="s">
        <v>0</v>
      </c>
      <c r="C9" s="21" t="s">
        <v>0</v>
      </c>
      <c r="D9" s="22" t="s">
        <v>0</v>
      </c>
      <c r="E9" s="23" t="s">
        <v>0</v>
      </c>
      <c r="F9" s="23" t="s">
        <v>0</v>
      </c>
      <c r="G9" s="23" t="s">
        <v>0</v>
      </c>
      <c r="H9" s="23" t="s">
        <v>0</v>
      </c>
      <c r="I9" s="23" t="s">
        <v>0</v>
      </c>
      <c r="J9" s="23" t="s">
        <v>119</v>
      </c>
      <c r="K9" s="23" t="s">
        <v>0</v>
      </c>
      <c r="L9" s="23" t="s">
        <v>0</v>
      </c>
      <c r="M9" s="23" t="s">
        <v>0</v>
      </c>
      <c r="N9" s="23" t="s">
        <v>0</v>
      </c>
      <c r="O9" s="23" t="s">
        <v>0</v>
      </c>
      <c r="P9" s="23" t="s">
        <v>0</v>
      </c>
      <c r="Q9" s="23" t="s">
        <v>0</v>
      </c>
      <c r="R9" s="24" t="s">
        <v>0</v>
      </c>
      <c r="S9" s="24" t="s">
        <v>119</v>
      </c>
    </row>
    <row r="10" ht="15.75" customHeight="1" spans="1:19" x14ac:dyDescent="0.25">
      <c r="A10" s="31" t="s">
        <v>1194</v>
      </c>
      <c r="B10" s="27" t="s">
        <v>0</v>
      </c>
      <c r="C10" s="188" t="s">
        <v>1195</v>
      </c>
      <c r="D10" s="22" t="s">
        <v>1196</v>
      </c>
      <c r="E10" s="23" t="s">
        <v>1197</v>
      </c>
      <c r="F10" s="28" t="s">
        <v>0</v>
      </c>
      <c r="G10" s="28" t="s">
        <v>0</v>
      </c>
      <c r="H10" s="28" t="s">
        <v>0</v>
      </c>
      <c r="I10" s="28" t="s">
        <v>0</v>
      </c>
      <c r="J10" s="28" t="s">
        <v>1198</v>
      </c>
      <c r="K10" s="28" t="s">
        <v>1106</v>
      </c>
      <c r="L10" s="28" t="s">
        <v>0</v>
      </c>
      <c r="M10" s="28" t="s">
        <v>1199</v>
      </c>
      <c r="N10" s="28" t="s">
        <v>0</v>
      </c>
      <c r="O10" s="28" t="s">
        <v>1200</v>
      </c>
      <c r="P10" s="28" t="s">
        <v>279</v>
      </c>
      <c r="Q10" s="28" t="s">
        <v>0</v>
      </c>
      <c r="R10" s="24" t="s">
        <v>0</v>
      </c>
      <c r="S10" s="24" t="s">
        <v>1196</v>
      </c>
    </row>
    <row r="11" ht="15.75" customHeight="1" spans="1:19" x14ac:dyDescent="0.25">
      <c r="A11" s="19" t="s">
        <v>1201</v>
      </c>
      <c r="B11" s="27" t="s">
        <v>0</v>
      </c>
      <c r="C11" s="188" t="s">
        <v>1202</v>
      </c>
      <c r="D11" s="22" t="s">
        <v>0</v>
      </c>
      <c r="E11" s="23" t="s">
        <v>1202</v>
      </c>
      <c r="F11" s="28" t="s">
        <v>0</v>
      </c>
      <c r="G11" s="28" t="s">
        <v>0</v>
      </c>
      <c r="H11" s="28" t="s">
        <v>0</v>
      </c>
      <c r="I11" s="28" t="s">
        <v>0</v>
      </c>
      <c r="J11" s="28" t="s">
        <v>0</v>
      </c>
      <c r="K11" s="28" t="s">
        <v>0</v>
      </c>
      <c r="L11" s="28" t="s">
        <v>0</v>
      </c>
      <c r="M11" s="28" t="s">
        <v>0</v>
      </c>
      <c r="N11" s="28" t="s">
        <v>0</v>
      </c>
      <c r="O11" s="28" t="s">
        <v>0</v>
      </c>
      <c r="P11" s="28" t="s">
        <v>0</v>
      </c>
      <c r="Q11" s="28" t="s">
        <v>0</v>
      </c>
      <c r="R11" s="24" t="s">
        <v>0</v>
      </c>
      <c r="S11" s="33" t="s">
        <v>0</v>
      </c>
    </row>
    <row r="12" ht="16.5" customHeight="1" spans="1:19" x14ac:dyDescent="0.25">
      <c r="A12" s="34" t="s">
        <v>0</v>
      </c>
      <c r="B12" s="37" t="s">
        <v>0</v>
      </c>
      <c r="C12" s="37" t="s">
        <v>1203</v>
      </c>
      <c r="D12" s="37" t="s">
        <v>1204</v>
      </c>
      <c r="E12" s="37" t="s">
        <v>1205</v>
      </c>
      <c r="F12" s="37" t="s">
        <v>1181</v>
      </c>
      <c r="G12" s="37" t="s">
        <v>1206</v>
      </c>
      <c r="H12" s="37" t="s">
        <v>1207</v>
      </c>
      <c r="I12" s="37" t="s">
        <v>1208</v>
      </c>
      <c r="J12" s="37" t="s">
        <v>1209</v>
      </c>
      <c r="K12" s="37" t="s">
        <v>1210</v>
      </c>
      <c r="L12" s="37" t="s">
        <v>1211</v>
      </c>
      <c r="M12" s="37" t="s">
        <v>1212</v>
      </c>
      <c r="N12" s="37" t="s">
        <v>1213</v>
      </c>
      <c r="O12" s="37" t="s">
        <v>1214</v>
      </c>
      <c r="P12" s="37" t="s">
        <v>1215</v>
      </c>
      <c r="Q12" s="37" t="s">
        <v>1192</v>
      </c>
      <c r="R12" s="193" t="s">
        <v>73</v>
      </c>
      <c r="S12" s="192" t="s">
        <v>1216</v>
      </c>
    </row>
    <row r="13" ht="20.25" customHeight="1"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38.25" customHeight="1" spans="1:19" x14ac:dyDescent="0.25">
      <c r="A14" s="39" t="s">
        <v>0</v>
      </c>
      <c r="B14" s="20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row>
    <row r="15" ht="16.5" customHeight="1" spans="1:19" x14ac:dyDescent="0.25">
      <c r="A15" s="41" t="s">
        <v>200</v>
      </c>
      <c r="B15" s="43"/>
      <c r="C15" s="42" t="s">
        <v>201</v>
      </c>
      <c r="D15" s="42"/>
      <c r="E15" s="42"/>
      <c r="F15" s="42"/>
      <c r="G15" s="43"/>
      <c r="H15" s="41" t="s">
        <v>76</v>
      </c>
      <c r="I15" s="42"/>
      <c r="J15" s="43"/>
      <c r="K15" s="413" t="s">
        <v>77</v>
      </c>
      <c r="L15" s="414"/>
      <c r="M15" s="415"/>
      <c r="N15" t="s">
        <v>0</v>
      </c>
      <c r="O15" t="s">
        <v>0</v>
      </c>
      <c r="P15" t="s">
        <v>0</v>
      </c>
      <c r="Q15" t="s">
        <v>0</v>
      </c>
      <c r="R15" t="s">
        <v>0</v>
      </c>
      <c r="S15" t="s">
        <v>0</v>
      </c>
    </row>
    <row r="16" ht="15" customHeight="1" spans="1:19" x14ac:dyDescent="0.25">
      <c r="A16" s="416" t="s">
        <v>205</v>
      </c>
      <c r="B16" s="417"/>
      <c r="C16" s="418" t="s">
        <v>1217</v>
      </c>
      <c r="D16" s="418"/>
      <c r="E16" s="418"/>
      <c r="F16" s="418"/>
      <c r="G16" s="419"/>
      <c r="H16" s="420" t="s">
        <v>1218</v>
      </c>
      <c r="I16" s="418"/>
      <c r="J16" s="419"/>
      <c r="K16" s="421">
        <v>82500</v>
      </c>
      <c r="L16" s="422"/>
      <c r="M16" s="423"/>
      <c r="N16" t="s">
        <v>0</v>
      </c>
      <c r="O16" t="s">
        <v>0</v>
      </c>
      <c r="P16" t="s">
        <v>0</v>
      </c>
      <c r="Q16" t="s">
        <v>0</v>
      </c>
      <c r="R16" t="s">
        <v>0</v>
      </c>
      <c r="S16" t="s">
        <v>0</v>
      </c>
    </row>
    <row r="17" ht="15.75" customHeight="1" spans="1:19" x14ac:dyDescent="0.25">
      <c r="A17" s="216"/>
      <c r="B17" s="255"/>
      <c r="C17" s="424"/>
      <c r="D17" s="424"/>
      <c r="E17" s="424"/>
      <c r="F17" s="424"/>
      <c r="G17" s="425"/>
      <c r="H17" s="426"/>
      <c r="I17" s="424"/>
      <c r="J17" s="425"/>
      <c r="K17" s="249"/>
      <c r="L17" s="395"/>
      <c r="M17" s="250"/>
      <c r="N17" t="s">
        <v>0</v>
      </c>
      <c r="O17" t="s">
        <v>0</v>
      </c>
      <c r="P17" t="s">
        <v>0</v>
      </c>
      <c r="Q17" t="s">
        <v>0</v>
      </c>
      <c r="R17" t="s">
        <v>0</v>
      </c>
      <c r="S17" t="s">
        <v>0</v>
      </c>
    </row>
    <row r="18" ht="31.5" customHeight="1" spans="1:19" x14ac:dyDescent="0.25">
      <c r="A18" s="64" t="s">
        <v>223</v>
      </c>
      <c r="B18" s="65"/>
      <c r="C18" s="427" t="s">
        <v>1219</v>
      </c>
      <c r="D18" s="428"/>
      <c r="E18" s="428"/>
      <c r="F18" s="428"/>
      <c r="G18" s="429"/>
      <c r="H18" s="427" t="s">
        <v>1220</v>
      </c>
      <c r="I18" s="428"/>
      <c r="J18" s="429"/>
      <c r="K18" s="251">
        <v>45000</v>
      </c>
      <c r="L18" s="430"/>
      <c r="M18" s="252"/>
      <c r="N18" t="s">
        <v>0</v>
      </c>
      <c r="O18" t="s">
        <v>0</v>
      </c>
      <c r="P18" t="s">
        <v>0</v>
      </c>
      <c r="Q18" t="s">
        <v>0</v>
      </c>
      <c r="R18" t="s">
        <v>0</v>
      </c>
      <c r="S18" t="s">
        <v>0</v>
      </c>
    </row>
    <row r="19" ht="29.25" customHeight="1" spans="1:19" s="80" customFormat="1" x14ac:dyDescent="0.25">
      <c r="A19" s="216" t="s">
        <v>208</v>
      </c>
      <c r="B19" s="255"/>
      <c r="C19" s="170" t="s">
        <v>1221</v>
      </c>
      <c r="D19" s="170"/>
      <c r="E19" s="170"/>
      <c r="F19" s="170"/>
      <c r="G19" s="171"/>
      <c r="H19" s="169" t="s">
        <v>1222</v>
      </c>
      <c r="I19" s="206"/>
      <c r="J19" s="255"/>
      <c r="K19" s="249">
        <v>12527</v>
      </c>
      <c r="L19" s="395"/>
      <c r="M19" s="250"/>
      <c r="N19" s="80" t="s">
        <v>0</v>
      </c>
      <c r="O19" s="80" t="s">
        <v>0</v>
      </c>
      <c r="P19" s="80" t="s">
        <v>0</v>
      </c>
      <c r="Q19" s="80" t="s">
        <v>0</v>
      </c>
      <c r="R19" s="80" t="s">
        <v>0</v>
      </c>
      <c r="S19" s="80" t="s">
        <v>0</v>
      </c>
    </row>
    <row r="20" ht="30" customHeight="1" spans="1:19" x14ac:dyDescent="0.25">
      <c r="A20" s="137" t="s">
        <v>208</v>
      </c>
      <c r="B20" s="139"/>
      <c r="C20" s="62" t="s">
        <v>1223</v>
      </c>
      <c r="D20" s="62"/>
      <c r="E20" s="62"/>
      <c r="F20" s="62"/>
      <c r="G20" s="63"/>
      <c r="H20" s="61" t="s">
        <v>1224</v>
      </c>
      <c r="I20" s="138"/>
      <c r="J20" s="139"/>
      <c r="K20" s="143">
        <v>21846</v>
      </c>
      <c r="L20" s="431"/>
      <c r="M20" s="144"/>
      <c r="N20" t="s">
        <v>0</v>
      </c>
      <c r="O20" t="s">
        <v>0</v>
      </c>
      <c r="P20" t="s">
        <v>0</v>
      </c>
      <c r="Q20" t="s">
        <v>0</v>
      </c>
      <c r="R20" t="s">
        <v>0</v>
      </c>
      <c r="S20" t="s">
        <v>0</v>
      </c>
    </row>
    <row r="21" ht="31.5" customHeight="1" spans="1:19" x14ac:dyDescent="0.25">
      <c r="A21" s="68" t="s">
        <v>1225</v>
      </c>
      <c r="B21" s="70"/>
      <c r="C21" s="75" t="s">
        <v>1226</v>
      </c>
      <c r="D21" s="76"/>
      <c r="E21" s="76"/>
      <c r="F21" s="76"/>
      <c r="G21" s="77"/>
      <c r="H21" s="75" t="s">
        <v>1227</v>
      </c>
      <c r="I21" s="69"/>
      <c r="J21" s="70"/>
      <c r="K21" s="71">
        <v>44395</v>
      </c>
      <c r="L21" s="209"/>
      <c r="M21" s="72"/>
      <c r="N21" t="s">
        <v>0</v>
      </c>
      <c r="O21" t="s">
        <v>0</v>
      </c>
      <c r="P21" t="s">
        <v>0</v>
      </c>
      <c r="Q21" t="s">
        <v>0</v>
      </c>
      <c r="R21" t="s">
        <v>0</v>
      </c>
      <c r="S21" t="s">
        <v>0</v>
      </c>
    </row>
    <row r="22" ht="30.75" customHeight="1" spans="1:19" x14ac:dyDescent="0.25">
      <c r="A22" s="68" t="s">
        <v>1068</v>
      </c>
      <c r="B22" s="70"/>
      <c r="C22" s="75" t="s">
        <v>1228</v>
      </c>
      <c r="D22" s="76"/>
      <c r="E22" s="76"/>
      <c r="F22" s="76"/>
      <c r="G22" s="77"/>
      <c r="H22" s="75" t="s">
        <v>1229</v>
      </c>
      <c r="I22" s="69"/>
      <c r="J22" s="70"/>
      <c r="K22" s="71">
        <v>28790</v>
      </c>
      <c r="L22" s="209"/>
      <c r="M22" s="72"/>
      <c r="N22" t="s">
        <v>0</v>
      </c>
      <c r="O22" t="s">
        <v>0</v>
      </c>
      <c r="P22" t="s">
        <v>0</v>
      </c>
      <c r="Q22" t="s">
        <v>0</v>
      </c>
      <c r="R22" t="s">
        <v>0</v>
      </c>
      <c r="S22" t="s">
        <v>0</v>
      </c>
    </row>
    <row r="23" ht="30" customHeight="1" spans="1:19" x14ac:dyDescent="0.25">
      <c r="A23" s="68" t="s">
        <v>1230</v>
      </c>
      <c r="B23" s="70"/>
      <c r="C23" s="75" t="s">
        <v>1231</v>
      </c>
      <c r="D23" s="76"/>
      <c r="E23" s="76"/>
      <c r="F23" s="76"/>
      <c r="G23" s="77"/>
      <c r="H23" s="75" t="s">
        <v>1232</v>
      </c>
      <c r="I23" s="69"/>
      <c r="J23" s="70"/>
      <c r="K23" s="71">
        <v>2884</v>
      </c>
      <c r="L23" s="209"/>
      <c r="M23" s="72"/>
      <c r="N23" t="s">
        <v>0</v>
      </c>
      <c r="O23" t="s">
        <v>0</v>
      </c>
      <c r="P23" t="s">
        <v>0</v>
      </c>
      <c r="Q23" t="s">
        <v>0</v>
      </c>
      <c r="R23" t="s">
        <v>0</v>
      </c>
      <c r="S23" t="s">
        <v>0</v>
      </c>
    </row>
    <row r="24" ht="30.75" customHeight="1" spans="1:19" x14ac:dyDescent="0.25">
      <c r="A24" s="68" t="s">
        <v>1230</v>
      </c>
      <c r="B24" s="70"/>
      <c r="C24" s="75" t="s">
        <v>1233</v>
      </c>
      <c r="D24" s="76"/>
      <c r="E24" s="76"/>
      <c r="F24" s="76"/>
      <c r="G24" s="77"/>
      <c r="H24" s="75" t="s">
        <v>1234</v>
      </c>
      <c r="I24" s="69"/>
      <c r="J24" s="70"/>
      <c r="K24" s="71">
        <v>2810</v>
      </c>
      <c r="L24" s="209"/>
      <c r="M24" s="72"/>
      <c r="N24" t="s">
        <v>0</v>
      </c>
      <c r="O24" t="s">
        <v>0</v>
      </c>
      <c r="P24" t="s">
        <v>0</v>
      </c>
      <c r="Q24" t="s">
        <v>0</v>
      </c>
      <c r="R24" t="s">
        <v>0</v>
      </c>
      <c r="S24" t="s">
        <v>0</v>
      </c>
    </row>
    <row r="25" ht="30" customHeight="1" spans="1:19" x14ac:dyDescent="0.25">
      <c r="A25" s="68" t="s">
        <v>1235</v>
      </c>
      <c r="B25" s="70"/>
      <c r="C25" s="75" t="s">
        <v>1236</v>
      </c>
      <c r="D25" s="76"/>
      <c r="E25" s="76"/>
      <c r="F25" s="76"/>
      <c r="G25" s="77"/>
      <c r="H25" s="75" t="s">
        <v>1237</v>
      </c>
      <c r="I25" s="69"/>
      <c r="J25" s="70"/>
      <c r="K25" s="71">
        <v>93500</v>
      </c>
      <c r="L25" s="209"/>
      <c r="M25" s="72"/>
      <c r="N25" t="s">
        <v>0</v>
      </c>
      <c r="O25" t="s">
        <v>0</v>
      </c>
      <c r="P25" t="s">
        <v>0</v>
      </c>
      <c r="Q25" t="s">
        <v>0</v>
      </c>
      <c r="R25" t="s">
        <v>0</v>
      </c>
      <c r="S25" t="s">
        <v>0</v>
      </c>
    </row>
    <row r="26" spans="1:19" x14ac:dyDescent="0.25">
      <c r="A26" s="68"/>
      <c r="B26" s="70"/>
      <c r="C26" s="75"/>
      <c r="D26" s="76"/>
      <c r="E26" s="76"/>
      <c r="F26" s="76"/>
      <c r="G26" s="77"/>
      <c r="H26" s="68"/>
      <c r="I26" s="69"/>
      <c r="J26" s="70"/>
      <c r="K26" s="71"/>
      <c r="L26" s="209"/>
      <c r="M26" s="72"/>
      <c r="N26" t="s">
        <v>0</v>
      </c>
      <c r="O26" t="s">
        <v>0</v>
      </c>
      <c r="P26" t="s">
        <v>0</v>
      </c>
      <c r="Q26" t="s">
        <v>0</v>
      </c>
      <c r="R26" t="s">
        <v>0</v>
      </c>
      <c r="S26" t="s">
        <v>0</v>
      </c>
    </row>
    <row r="27" spans="1:19" x14ac:dyDescent="0.25">
      <c r="A27" s="68"/>
      <c r="B27" s="70"/>
      <c r="C27" s="75"/>
      <c r="D27" s="76"/>
      <c r="E27" s="76"/>
      <c r="F27" s="76"/>
      <c r="G27" s="77"/>
      <c r="H27" s="68"/>
      <c r="I27" s="69"/>
      <c r="J27" s="70"/>
      <c r="K27" s="71"/>
      <c r="L27" s="209"/>
      <c r="M27" s="72"/>
      <c r="N27" t="s">
        <v>0</v>
      </c>
      <c r="O27" t="s">
        <v>0</v>
      </c>
      <c r="P27" t="s">
        <v>0</v>
      </c>
      <c r="Q27" t="s">
        <v>0</v>
      </c>
      <c r="R27" t="s">
        <v>0</v>
      </c>
      <c r="S27" t="s">
        <v>0</v>
      </c>
    </row>
    <row r="28" ht="15.75" customHeight="1" spans="1:19" x14ac:dyDescent="0.25">
      <c r="A28" s="88"/>
      <c r="B28" s="90"/>
      <c r="C28" s="88"/>
      <c r="D28" s="89"/>
      <c r="E28" s="89"/>
      <c r="F28" s="89"/>
      <c r="G28" s="90"/>
      <c r="H28" s="88"/>
      <c r="I28" s="89"/>
      <c r="J28" s="90"/>
      <c r="K28" s="253"/>
      <c r="L28" s="397"/>
      <c r="M28" s="254"/>
      <c r="N28" t="s">
        <v>0</v>
      </c>
      <c r="O28" t="s">
        <v>0</v>
      </c>
      <c r="P28" t="s">
        <v>0</v>
      </c>
      <c r="Q28" t="s">
        <v>0</v>
      </c>
      <c r="R28" t="s">
        <v>0</v>
      </c>
      <c r="S28" t="s">
        <v>0</v>
      </c>
    </row>
    <row r="29" ht="16.5" customHeight="1" spans="1:19" s="432" customFormat="1" x14ac:dyDescent="0.25">
      <c r="A29" s="433"/>
      <c r="B29" s="434"/>
      <c r="C29" s="435"/>
      <c r="D29" s="436"/>
      <c r="E29" s="436"/>
      <c r="F29" s="436"/>
      <c r="G29" s="437"/>
      <c r="H29" s="438" t="s">
        <v>96</v>
      </c>
      <c r="I29" s="439"/>
      <c r="J29" s="440"/>
      <c r="K29" s="441">
        <f>SUM(K16:M28)</f>
        <v>334252</v>
      </c>
      <c r="L29" s="442"/>
      <c r="M29" s="443"/>
      <c r="N29" s="432" t="s">
        <v>0</v>
      </c>
      <c r="O29" s="432" t="s">
        <v>0</v>
      </c>
      <c r="P29" s="432" t="s">
        <v>0</v>
      </c>
      <c r="Q29" s="432" t="s">
        <v>0</v>
      </c>
      <c r="R29" s="432" t="s">
        <v>0</v>
      </c>
      <c r="S29" s="432" t="s">
        <v>0</v>
      </c>
    </row>
    <row r="30" spans="1:19" x14ac:dyDescent="0.25">
      <c r="A30" t="s">
        <v>0</v>
      </c>
      <c r="B30" t="s">
        <v>0</v>
      </c>
      <c r="C30" t="s">
        <v>0</v>
      </c>
      <c r="D30" t="s">
        <v>0</v>
      </c>
      <c r="E30" t="s">
        <v>0</v>
      </c>
      <c r="F30" t="s">
        <v>0</v>
      </c>
      <c r="G30" t="s">
        <v>0</v>
      </c>
      <c r="H30" t="s">
        <v>0</v>
      </c>
      <c r="I30" t="s">
        <v>0</v>
      </c>
      <c r="J30" t="s">
        <v>0</v>
      </c>
      <c r="K30" t="s">
        <v>0</v>
      </c>
      <c r="L30" t="s">
        <v>0</v>
      </c>
      <c r="M30" t="s">
        <v>0</v>
      </c>
      <c r="N30" t="s">
        <v>0</v>
      </c>
      <c r="O30" t="s">
        <v>0</v>
      </c>
      <c r="P30" t="s">
        <v>0</v>
      </c>
      <c r="Q30" t="s">
        <v>0</v>
      </c>
      <c r="R30" t="s">
        <v>0</v>
      </c>
      <c r="S30" t="s">
        <v>0</v>
      </c>
    </row>
    <row r="31" ht="15.75" customHeight="1" spans="1:19" x14ac:dyDescent="0.25">
      <c r="A31" t="s">
        <v>0</v>
      </c>
      <c r="B31" t="s">
        <v>0</v>
      </c>
      <c r="C31" t="s">
        <v>0</v>
      </c>
      <c r="D31" t="s">
        <v>0</v>
      </c>
      <c r="E31" t="s">
        <v>0</v>
      </c>
      <c r="F31" t="s">
        <v>0</v>
      </c>
      <c r="G31" t="s">
        <v>0</v>
      </c>
      <c r="H31" t="s">
        <v>0</v>
      </c>
      <c r="I31" t="s">
        <v>0</v>
      </c>
      <c r="J31" t="s">
        <v>0</v>
      </c>
      <c r="K31" t="s">
        <v>0</v>
      </c>
      <c r="L31" t="s">
        <v>0</v>
      </c>
      <c r="M31" t="s">
        <v>0</v>
      </c>
      <c r="N31" t="s">
        <v>0</v>
      </c>
      <c r="O31" t="s">
        <v>0</v>
      </c>
      <c r="P31" t="s">
        <v>0</v>
      </c>
      <c r="Q31" t="s">
        <v>0</v>
      </c>
      <c r="R31" t="s">
        <v>0</v>
      </c>
      <c r="S31" t="s">
        <v>0</v>
      </c>
    </row>
    <row r="32" ht="16.5" customHeight="1" spans="1:19" x14ac:dyDescent="0.25">
      <c r="A32" s="41" t="s">
        <v>74</v>
      </c>
      <c r="B32" s="43"/>
      <c r="C32" s="42" t="s">
        <v>437</v>
      </c>
      <c r="D32" s="42"/>
      <c r="E32" s="42"/>
      <c r="F32" s="42"/>
      <c r="G32" s="43"/>
      <c r="H32" s="41" t="s">
        <v>76</v>
      </c>
      <c r="I32" s="42"/>
      <c r="J32" s="43"/>
      <c r="K32" s="413" t="s">
        <v>77</v>
      </c>
      <c r="L32" s="414"/>
      <c r="M32" s="415"/>
      <c r="N32" t="s">
        <v>0</v>
      </c>
      <c r="O32" t="s">
        <v>0</v>
      </c>
      <c r="P32" t="s">
        <v>0</v>
      </c>
      <c r="Q32" t="s">
        <v>0</v>
      </c>
      <c r="R32" t="s">
        <v>0</v>
      </c>
      <c r="S32" t="s">
        <v>0</v>
      </c>
    </row>
    <row r="33" ht="45" customHeight="1" spans="1:19" x14ac:dyDescent="0.25">
      <c r="A33" s="416" t="s">
        <v>1238</v>
      </c>
      <c r="B33" s="417"/>
      <c r="C33" s="444" t="s">
        <v>1239</v>
      </c>
      <c r="D33" s="445"/>
      <c r="E33" s="445"/>
      <c r="F33" s="445"/>
      <c r="G33" s="446"/>
      <c r="H33" s="447" t="s">
        <v>1240</v>
      </c>
      <c r="I33" s="448"/>
      <c r="J33" s="449"/>
      <c r="K33" s="421">
        <v>2350</v>
      </c>
      <c r="L33" s="422"/>
      <c r="M33" s="423"/>
      <c r="N33" t="s">
        <v>0</v>
      </c>
      <c r="O33" t="s">
        <v>0</v>
      </c>
      <c r="P33" t="s">
        <v>0</v>
      </c>
      <c r="Q33" t="s">
        <v>0</v>
      </c>
      <c r="R33" t="s">
        <v>0</v>
      </c>
      <c r="S33" t="s">
        <v>0</v>
      </c>
    </row>
    <row r="34" ht="45" customHeight="1" spans="1:19" x14ac:dyDescent="0.25">
      <c r="A34" s="64" t="s">
        <v>1009</v>
      </c>
      <c r="B34" s="65"/>
      <c r="C34" s="427" t="s">
        <v>1239</v>
      </c>
      <c r="D34" s="428"/>
      <c r="E34" s="428"/>
      <c r="F34" s="428"/>
      <c r="G34" s="429"/>
      <c r="H34" s="427" t="s">
        <v>1240</v>
      </c>
      <c r="I34" s="428"/>
      <c r="J34" s="429"/>
      <c r="K34" s="251">
        <v>2350</v>
      </c>
      <c r="L34" s="430"/>
      <c r="M34" s="252"/>
      <c r="N34" t="s">
        <v>0</v>
      </c>
      <c r="O34" t="s">
        <v>0</v>
      </c>
      <c r="P34" t="s">
        <v>0</v>
      </c>
      <c r="Q34" t="s">
        <v>0</v>
      </c>
      <c r="R34" t="s">
        <v>0</v>
      </c>
      <c r="S34" t="s">
        <v>0</v>
      </c>
    </row>
    <row r="35" ht="30" customHeight="1" spans="1:19" x14ac:dyDescent="0.25">
      <c r="A35" s="216" t="s">
        <v>884</v>
      </c>
      <c r="B35" s="255"/>
      <c r="C35" s="170" t="s">
        <v>1241</v>
      </c>
      <c r="D35" s="170"/>
      <c r="E35" s="170"/>
      <c r="F35" s="170"/>
      <c r="G35" s="171"/>
      <c r="H35" s="216" t="s">
        <v>1242</v>
      </c>
      <c r="I35" s="206"/>
      <c r="J35" s="255"/>
      <c r="K35" s="249">
        <v>11795</v>
      </c>
      <c r="L35" s="395"/>
      <c r="M35" s="250"/>
      <c r="N35" t="s">
        <v>0</v>
      </c>
      <c r="O35" t="s">
        <v>0</v>
      </c>
      <c r="P35" t="s">
        <v>0</v>
      </c>
      <c r="Q35" t="s">
        <v>0</v>
      </c>
      <c r="R35" t="s">
        <v>0</v>
      </c>
      <c r="S35" t="s">
        <v>0</v>
      </c>
    </row>
    <row r="36" spans="1:19" x14ac:dyDescent="0.25">
      <c r="A36" s="172" t="s">
        <v>1243</v>
      </c>
      <c r="B36" s="83"/>
      <c r="C36" s="427" t="s">
        <v>1239</v>
      </c>
      <c r="D36" s="428"/>
      <c r="E36" s="428"/>
      <c r="F36" s="428"/>
      <c r="G36" s="429"/>
      <c r="H36" s="427" t="s">
        <v>1240</v>
      </c>
      <c r="I36" s="428"/>
      <c r="J36" s="429"/>
      <c r="K36" s="251">
        <v>2350</v>
      </c>
      <c r="L36" s="430"/>
      <c r="M36" s="252"/>
      <c r="N36" t="s">
        <v>0</v>
      </c>
      <c r="O36" t="s">
        <v>0</v>
      </c>
      <c r="P36" t="s">
        <v>0</v>
      </c>
      <c r="Q36" t="s">
        <v>0</v>
      </c>
      <c r="R36" t="s">
        <v>0</v>
      </c>
      <c r="S36" t="s">
        <v>0</v>
      </c>
    </row>
    <row r="37" ht="45" customHeight="1" spans="1:19" x14ac:dyDescent="0.25">
      <c r="A37" s="172" t="s">
        <v>998</v>
      </c>
      <c r="B37" s="83"/>
      <c r="C37" s="427" t="s">
        <v>1239</v>
      </c>
      <c r="D37" s="428"/>
      <c r="E37" s="428"/>
      <c r="F37" s="428"/>
      <c r="G37" s="429"/>
      <c r="H37" s="55" t="s">
        <v>1240</v>
      </c>
      <c r="I37" s="56"/>
      <c r="J37" s="57"/>
      <c r="K37" s="251">
        <v>2350</v>
      </c>
      <c r="L37" s="430"/>
      <c r="M37" s="252"/>
      <c r="N37" t="s">
        <v>0</v>
      </c>
      <c r="O37" t="s">
        <v>0</v>
      </c>
      <c r="P37" t="s">
        <v>0</v>
      </c>
      <c r="Q37" t="s">
        <v>0</v>
      </c>
      <c r="R37" t="s">
        <v>0</v>
      </c>
      <c r="S37" t="s">
        <v>0</v>
      </c>
    </row>
    <row r="38" spans="1:19" x14ac:dyDescent="0.25">
      <c r="A38" s="172" t="s">
        <v>884</v>
      </c>
      <c r="B38" s="83"/>
      <c r="C38" s="81" t="s">
        <v>1244</v>
      </c>
      <c r="D38" s="134"/>
      <c r="E38" s="134"/>
      <c r="F38" s="134"/>
      <c r="G38" s="84"/>
      <c r="H38" s="172" t="s">
        <v>1245</v>
      </c>
      <c r="I38" s="82"/>
      <c r="J38" s="83"/>
      <c r="K38" s="85">
        <v>34608.7</v>
      </c>
      <c r="L38" s="355"/>
      <c r="M38" s="86"/>
      <c r="N38" t="s">
        <v>0</v>
      </c>
      <c r="O38" t="s">
        <v>0</v>
      </c>
      <c r="P38" t="s">
        <v>0</v>
      </c>
      <c r="Q38" t="s">
        <v>0</v>
      </c>
      <c r="R38" t="s">
        <v>0</v>
      </c>
      <c r="S38" t="s">
        <v>0</v>
      </c>
    </row>
    <row r="39" ht="45" customHeight="1" spans="1:19" x14ac:dyDescent="0.25">
      <c r="A39" s="172" t="s">
        <v>1246</v>
      </c>
      <c r="B39" s="83"/>
      <c r="C39" s="427" t="s">
        <v>1239</v>
      </c>
      <c r="D39" s="428"/>
      <c r="E39" s="428"/>
      <c r="F39" s="428"/>
      <c r="G39" s="429"/>
      <c r="H39" s="81" t="s">
        <v>1240</v>
      </c>
      <c r="I39" s="134"/>
      <c r="J39" s="84"/>
      <c r="K39" s="251">
        <v>2350</v>
      </c>
      <c r="L39" s="430"/>
      <c r="M39" s="252"/>
      <c r="N39" t="s">
        <v>0</v>
      </c>
      <c r="O39" t="s">
        <v>0</v>
      </c>
      <c r="P39" t="s">
        <v>0</v>
      </c>
      <c r="Q39" t="s">
        <v>0</v>
      </c>
      <c r="R39" t="s">
        <v>0</v>
      </c>
      <c r="S39" t="s">
        <v>0</v>
      </c>
    </row>
    <row r="40" ht="44.25" customHeight="1" spans="1:19" x14ac:dyDescent="0.25">
      <c r="A40" s="81" t="s">
        <v>84</v>
      </c>
      <c r="B40" s="84"/>
      <c r="C40" s="427" t="s">
        <v>1239</v>
      </c>
      <c r="D40" s="428"/>
      <c r="E40" s="428"/>
      <c r="F40" s="428"/>
      <c r="G40" s="429"/>
      <c r="H40" s="81" t="s">
        <v>1240</v>
      </c>
      <c r="I40" s="134"/>
      <c r="J40" s="84"/>
      <c r="K40" s="251">
        <v>2350</v>
      </c>
      <c r="L40" s="430"/>
      <c r="M40" s="252"/>
      <c r="N40" t="s">
        <v>0</v>
      </c>
      <c r="O40" t="s">
        <v>0</v>
      </c>
      <c r="P40" t="s">
        <v>0</v>
      </c>
      <c r="Q40" t="s">
        <v>0</v>
      </c>
      <c r="R40" t="s">
        <v>0</v>
      </c>
      <c r="S40" t="s">
        <v>0</v>
      </c>
    </row>
    <row r="41" ht="45" customHeight="1" spans="1:19" x14ac:dyDescent="0.25">
      <c r="A41" s="172" t="s">
        <v>1247</v>
      </c>
      <c r="B41" s="83"/>
      <c r="C41" s="427" t="s">
        <v>1239</v>
      </c>
      <c r="D41" s="428"/>
      <c r="E41" s="428"/>
      <c r="F41" s="428"/>
      <c r="G41" s="429"/>
      <c r="H41" s="81" t="s">
        <v>1240</v>
      </c>
      <c r="I41" s="134"/>
      <c r="J41" s="84"/>
      <c r="K41" s="251">
        <v>2350</v>
      </c>
      <c r="L41" s="430"/>
      <c r="M41" s="252"/>
      <c r="N41" t="s">
        <v>0</v>
      </c>
      <c r="O41" t="s">
        <v>0</v>
      </c>
      <c r="P41" t="s">
        <v>0</v>
      </c>
      <c r="Q41" t="s">
        <v>0</v>
      </c>
      <c r="R41" t="s">
        <v>0</v>
      </c>
      <c r="S41" t="s">
        <v>0</v>
      </c>
    </row>
    <row r="42" ht="45" customHeight="1" spans="1:19" x14ac:dyDescent="0.25">
      <c r="A42" s="172" t="s">
        <v>1248</v>
      </c>
      <c r="B42" s="83"/>
      <c r="C42" s="427" t="s">
        <v>1239</v>
      </c>
      <c r="D42" s="428"/>
      <c r="E42" s="428"/>
      <c r="F42" s="428"/>
      <c r="G42" s="429"/>
      <c r="H42" s="81" t="s">
        <v>1240</v>
      </c>
      <c r="I42" s="134"/>
      <c r="J42" s="84"/>
      <c r="K42" s="251">
        <v>2350</v>
      </c>
      <c r="L42" s="430"/>
      <c r="M42" s="252"/>
      <c r="N42" t="s">
        <v>0</v>
      </c>
      <c r="O42" t="s">
        <v>0</v>
      </c>
      <c r="P42" t="s">
        <v>0</v>
      </c>
      <c r="Q42" t="s">
        <v>0</v>
      </c>
      <c r="R42" t="s">
        <v>0</v>
      </c>
      <c r="S42" t="s">
        <v>0</v>
      </c>
    </row>
    <row r="43" ht="45" customHeight="1" spans="1:19" x14ac:dyDescent="0.25">
      <c r="A43" s="172" t="s">
        <v>1249</v>
      </c>
      <c r="B43" s="83"/>
      <c r="C43" s="427" t="s">
        <v>1239</v>
      </c>
      <c r="D43" s="428"/>
      <c r="E43" s="428"/>
      <c r="F43" s="428"/>
      <c r="G43" s="429"/>
      <c r="H43" s="81" t="s">
        <v>1240</v>
      </c>
      <c r="I43" s="134"/>
      <c r="J43" s="84"/>
      <c r="K43" s="251">
        <v>2350</v>
      </c>
      <c r="L43" s="430"/>
      <c r="M43" s="252"/>
      <c r="N43" t="s">
        <v>0</v>
      </c>
      <c r="O43" t="s">
        <v>0</v>
      </c>
      <c r="P43" t="s">
        <v>0</v>
      </c>
      <c r="Q43" t="s">
        <v>0</v>
      </c>
      <c r="R43" t="s">
        <v>0</v>
      </c>
      <c r="S43" t="s">
        <v>0</v>
      </c>
    </row>
    <row r="44" spans="1:19" x14ac:dyDescent="0.25">
      <c r="A44" s="172" t="s">
        <v>1248</v>
      </c>
      <c r="B44" s="83"/>
      <c r="C44" s="81" t="s">
        <v>1250</v>
      </c>
      <c r="D44" s="134"/>
      <c r="E44" s="134"/>
      <c r="F44" s="134"/>
      <c r="G44" s="84"/>
      <c r="H44" s="172" t="s">
        <v>1251</v>
      </c>
      <c r="I44" s="82"/>
      <c r="J44" s="83"/>
      <c r="K44" s="85">
        <v>2350</v>
      </c>
      <c r="L44" s="355"/>
      <c r="M44" s="86"/>
      <c r="N44" t="s">
        <v>0</v>
      </c>
      <c r="O44" t="s">
        <v>0</v>
      </c>
      <c r="P44" t="s">
        <v>0</v>
      </c>
      <c r="Q44" t="s">
        <v>0</v>
      </c>
      <c r="R44" t="s">
        <v>0</v>
      </c>
      <c r="S44" t="s">
        <v>0</v>
      </c>
    </row>
    <row r="45" spans="1:19" x14ac:dyDescent="0.25">
      <c r="A45" s="172" t="s">
        <v>881</v>
      </c>
      <c r="B45" s="83"/>
      <c r="C45" s="81" t="s">
        <v>1252</v>
      </c>
      <c r="D45" s="134"/>
      <c r="E45" s="134"/>
      <c r="F45" s="134"/>
      <c r="G45" s="84"/>
      <c r="H45" s="172" t="s">
        <v>1253</v>
      </c>
      <c r="I45" s="82"/>
      <c r="J45" s="83"/>
      <c r="K45" s="85">
        <v>2350</v>
      </c>
      <c r="L45" s="355"/>
      <c r="M45" s="86"/>
      <c r="N45" t="s">
        <v>0</v>
      </c>
      <c r="O45" t="s">
        <v>0</v>
      </c>
      <c r="P45" t="s">
        <v>0</v>
      </c>
      <c r="Q45" t="s">
        <v>0</v>
      </c>
      <c r="R45" t="s">
        <v>0</v>
      </c>
      <c r="S45" t="s">
        <v>0</v>
      </c>
    </row>
    <row r="46" spans="1:19" x14ac:dyDescent="0.25">
      <c r="A46" s="172" t="s">
        <v>1254</v>
      </c>
      <c r="B46" s="83"/>
      <c r="C46" s="81" t="s">
        <v>1252</v>
      </c>
      <c r="D46" s="134"/>
      <c r="E46" s="134"/>
      <c r="F46" s="134"/>
      <c r="G46" s="84"/>
      <c r="H46" s="172" t="s">
        <v>1253</v>
      </c>
      <c r="I46" s="82"/>
      <c r="J46" s="83"/>
      <c r="K46" s="85">
        <v>2350</v>
      </c>
      <c r="L46" s="355"/>
      <c r="M46" s="86"/>
      <c r="N46" t="s">
        <v>0</v>
      </c>
      <c r="O46" t="s">
        <v>0</v>
      </c>
      <c r="P46" t="s">
        <v>0</v>
      </c>
      <c r="Q46" t="s">
        <v>0</v>
      </c>
      <c r="R46" t="s">
        <v>0</v>
      </c>
      <c r="S46" t="s">
        <v>0</v>
      </c>
    </row>
    <row r="47" spans="1:19" x14ac:dyDescent="0.25">
      <c r="A47" s="172" t="s">
        <v>1238</v>
      </c>
      <c r="B47" s="83"/>
      <c r="C47" s="81" t="s">
        <v>1252</v>
      </c>
      <c r="D47" s="134"/>
      <c r="E47" s="134"/>
      <c r="F47" s="134"/>
      <c r="G47" s="84"/>
      <c r="H47" s="172" t="s">
        <v>1253</v>
      </c>
      <c r="I47" s="82"/>
      <c r="J47" s="83"/>
      <c r="K47" s="85">
        <v>2350</v>
      </c>
      <c r="L47" s="355"/>
      <c r="M47" s="86"/>
      <c r="N47" t="s">
        <v>0</v>
      </c>
      <c r="O47" t="s">
        <v>0</v>
      </c>
      <c r="P47" t="s">
        <v>0</v>
      </c>
      <c r="Q47" t="s">
        <v>0</v>
      </c>
      <c r="R47" t="s">
        <v>0</v>
      </c>
      <c r="S47" t="s">
        <v>0</v>
      </c>
    </row>
    <row r="48" spans="1:19" x14ac:dyDescent="0.25">
      <c r="A48" s="172" t="s">
        <v>1255</v>
      </c>
      <c r="B48" s="83"/>
      <c r="C48" s="81" t="s">
        <v>1256</v>
      </c>
      <c r="D48" s="134"/>
      <c r="E48" s="134"/>
      <c r="F48" s="134"/>
      <c r="G48" s="84"/>
      <c r="H48" s="172" t="s">
        <v>1257</v>
      </c>
      <c r="I48" s="82"/>
      <c r="J48" s="83"/>
      <c r="K48" s="85">
        <v>2650</v>
      </c>
      <c r="L48" s="355"/>
      <c r="M48" s="86"/>
      <c r="N48" t="s">
        <v>0</v>
      </c>
      <c r="O48" t="s">
        <v>0</v>
      </c>
      <c r="P48" t="s">
        <v>0</v>
      </c>
      <c r="Q48" t="s">
        <v>0</v>
      </c>
      <c r="R48" t="s">
        <v>0</v>
      </c>
      <c r="S48" t="s">
        <v>0</v>
      </c>
    </row>
    <row r="49" spans="1:19" x14ac:dyDescent="0.25">
      <c r="A49" s="172" t="s">
        <v>998</v>
      </c>
      <c r="B49" s="83"/>
      <c r="C49" s="81" t="s">
        <v>1256</v>
      </c>
      <c r="D49" s="134"/>
      <c r="E49" s="134"/>
      <c r="F49" s="134"/>
      <c r="G49" s="84"/>
      <c r="H49" s="172" t="s">
        <v>1258</v>
      </c>
      <c r="I49" s="82"/>
      <c r="J49" s="83"/>
      <c r="K49" s="85">
        <v>1150</v>
      </c>
      <c r="L49" s="355"/>
      <c r="M49" s="86"/>
      <c r="N49" t="s">
        <v>0</v>
      </c>
      <c r="O49" t="s">
        <v>0</v>
      </c>
      <c r="P49" t="s">
        <v>0</v>
      </c>
      <c r="Q49" t="s">
        <v>0</v>
      </c>
      <c r="R49" t="s">
        <v>0</v>
      </c>
      <c r="S49" t="s">
        <v>0</v>
      </c>
    </row>
    <row r="50" spans="1:19" x14ac:dyDescent="0.25">
      <c r="A50" s="172" t="s">
        <v>1247</v>
      </c>
      <c r="B50" s="83"/>
      <c r="C50" s="81" t="s">
        <v>1252</v>
      </c>
      <c r="D50" s="134"/>
      <c r="E50" s="134"/>
      <c r="F50" s="134"/>
      <c r="G50" s="84"/>
      <c r="H50" s="172" t="s">
        <v>1253</v>
      </c>
      <c r="I50" s="82"/>
      <c r="J50" s="83"/>
      <c r="K50" s="85">
        <v>2000</v>
      </c>
      <c r="L50" s="355"/>
      <c r="M50" s="86"/>
      <c r="N50" t="s">
        <v>0</v>
      </c>
      <c r="O50" t="s">
        <v>0</v>
      </c>
      <c r="P50" t="s">
        <v>0</v>
      </c>
      <c r="Q50" t="s">
        <v>0</v>
      </c>
      <c r="R50" t="s">
        <v>0</v>
      </c>
      <c r="S50" t="s">
        <v>0</v>
      </c>
    </row>
    <row r="51" spans="1:19" x14ac:dyDescent="0.25">
      <c r="A51" s="172" t="s">
        <v>881</v>
      </c>
      <c r="B51" s="83"/>
      <c r="C51" s="81" t="s">
        <v>1259</v>
      </c>
      <c r="D51" s="134"/>
      <c r="E51" s="134"/>
      <c r="F51" s="134"/>
      <c r="G51" s="84"/>
      <c r="H51" s="172" t="s">
        <v>1260</v>
      </c>
      <c r="I51" s="82"/>
      <c r="J51" s="83"/>
      <c r="K51" s="85">
        <v>1150</v>
      </c>
      <c r="L51" s="355"/>
      <c r="M51" s="86"/>
      <c r="N51" t="s">
        <v>0</v>
      </c>
      <c r="O51" t="s">
        <v>0</v>
      </c>
      <c r="P51" t="s">
        <v>0</v>
      </c>
      <c r="Q51" t="s">
        <v>0</v>
      </c>
      <c r="R51" t="s">
        <v>0</v>
      </c>
      <c r="S51" t="s">
        <v>0</v>
      </c>
    </row>
    <row r="52" spans="1:19" x14ac:dyDescent="0.25">
      <c r="A52" s="172" t="s">
        <v>1246</v>
      </c>
      <c r="B52" s="83"/>
      <c r="C52" s="81" t="s">
        <v>1261</v>
      </c>
      <c r="D52" s="134"/>
      <c r="E52" s="134"/>
      <c r="F52" s="134"/>
      <c r="G52" s="84"/>
      <c r="H52" s="172" t="s">
        <v>1262</v>
      </c>
      <c r="I52" s="82"/>
      <c r="J52" s="83"/>
      <c r="K52" s="85">
        <v>1750</v>
      </c>
      <c r="L52" s="355"/>
      <c r="M52" s="86"/>
      <c r="N52" t="s">
        <v>0</v>
      </c>
      <c r="O52" t="s">
        <v>0</v>
      </c>
      <c r="P52" t="s">
        <v>0</v>
      </c>
      <c r="Q52" t="s">
        <v>0</v>
      </c>
      <c r="R52" t="s">
        <v>0</v>
      </c>
      <c r="S52" t="s">
        <v>0</v>
      </c>
    </row>
    <row r="53" ht="15" customHeight="1" spans="1:19" x14ac:dyDescent="0.25">
      <c r="A53" s="172" t="s">
        <v>858</v>
      </c>
      <c r="B53" s="83"/>
      <c r="C53" s="81" t="s">
        <v>1261</v>
      </c>
      <c r="D53" s="134"/>
      <c r="E53" s="134"/>
      <c r="F53" s="134"/>
      <c r="G53" s="84"/>
      <c r="H53" s="172" t="s">
        <v>1262</v>
      </c>
      <c r="I53" s="82"/>
      <c r="J53" s="83"/>
      <c r="K53" s="85">
        <v>1150</v>
      </c>
      <c r="L53" s="355"/>
      <c r="M53" s="86"/>
      <c r="N53" t="s">
        <v>0</v>
      </c>
      <c r="O53" t="s">
        <v>0</v>
      </c>
      <c r="P53" t="s">
        <v>0</v>
      </c>
      <c r="Q53" t="s">
        <v>0</v>
      </c>
      <c r="R53" t="s">
        <v>0</v>
      </c>
      <c r="S53" t="s">
        <v>0</v>
      </c>
    </row>
    <row r="54" spans="1:19" x14ac:dyDescent="0.25">
      <c r="A54" s="172" t="s">
        <v>881</v>
      </c>
      <c r="B54" s="83"/>
      <c r="C54" s="81" t="s">
        <v>1261</v>
      </c>
      <c r="D54" s="134"/>
      <c r="E54" s="134"/>
      <c r="F54" s="134"/>
      <c r="G54" s="84"/>
      <c r="H54" s="172" t="s">
        <v>1262</v>
      </c>
      <c r="I54" s="82"/>
      <c r="J54" s="83"/>
      <c r="K54" s="85">
        <v>1150</v>
      </c>
      <c r="L54" s="355"/>
      <c r="M54" s="86"/>
      <c r="N54" t="s">
        <v>0</v>
      </c>
      <c r="O54" t="s">
        <v>0</v>
      </c>
      <c r="P54" t="s">
        <v>0</v>
      </c>
      <c r="Q54" t="s">
        <v>0</v>
      </c>
      <c r="R54" t="s">
        <v>0</v>
      </c>
      <c r="S54" t="s">
        <v>0</v>
      </c>
    </row>
    <row r="55" spans="1:19" x14ac:dyDescent="0.25">
      <c r="A55" s="172" t="s">
        <v>1263</v>
      </c>
      <c r="B55" s="83"/>
      <c r="C55" s="81" t="s">
        <v>1261</v>
      </c>
      <c r="D55" s="134"/>
      <c r="E55" s="134"/>
      <c r="F55" s="134"/>
      <c r="G55" s="84"/>
      <c r="H55" s="172" t="s">
        <v>1262</v>
      </c>
      <c r="I55" s="82"/>
      <c r="J55" s="83"/>
      <c r="K55" s="85">
        <v>1150</v>
      </c>
      <c r="L55" s="355"/>
      <c r="M55" s="86"/>
      <c r="N55" t="s">
        <v>0</v>
      </c>
      <c r="O55" t="s">
        <v>0</v>
      </c>
      <c r="P55" t="s">
        <v>0</v>
      </c>
      <c r="Q55" t="s">
        <v>0</v>
      </c>
      <c r="R55" t="s">
        <v>0</v>
      </c>
      <c r="S55" t="s">
        <v>0</v>
      </c>
    </row>
    <row r="56" spans="1:19" x14ac:dyDescent="0.25">
      <c r="A56" s="172" t="s">
        <v>1264</v>
      </c>
      <c r="B56" s="83"/>
      <c r="C56" s="81" t="s">
        <v>1261</v>
      </c>
      <c r="D56" s="134"/>
      <c r="E56" s="134"/>
      <c r="F56" s="134"/>
      <c r="G56" s="84"/>
      <c r="H56" s="172" t="s">
        <v>1262</v>
      </c>
      <c r="I56" s="82"/>
      <c r="J56" s="83"/>
      <c r="K56" s="85">
        <v>1150</v>
      </c>
      <c r="L56" s="355"/>
      <c r="M56" s="86"/>
      <c r="N56" t="s">
        <v>0</v>
      </c>
      <c r="O56" t="s">
        <v>0</v>
      </c>
      <c r="P56" t="s">
        <v>0</v>
      </c>
      <c r="Q56" t="s">
        <v>0</v>
      </c>
      <c r="R56" t="s">
        <v>0</v>
      </c>
      <c r="S56" t="s">
        <v>0</v>
      </c>
    </row>
    <row r="57" ht="46.5" customHeight="1" spans="1:19" x14ac:dyDescent="0.25">
      <c r="A57" s="172" t="s">
        <v>1246</v>
      </c>
      <c r="B57" s="83"/>
      <c r="C57" s="81" t="s">
        <v>1265</v>
      </c>
      <c r="D57" s="134"/>
      <c r="E57" s="134"/>
      <c r="F57" s="134"/>
      <c r="G57" s="84"/>
      <c r="H57" s="172" t="s">
        <v>1266</v>
      </c>
      <c r="I57" s="82"/>
      <c r="J57" s="83"/>
      <c r="K57" s="85">
        <v>34355</v>
      </c>
      <c r="L57" s="355"/>
      <c r="M57" s="86"/>
      <c r="N57" t="s">
        <v>0</v>
      </c>
      <c r="O57" t="s">
        <v>0</v>
      </c>
      <c r="P57" t="s">
        <v>0</v>
      </c>
      <c r="Q57" t="s">
        <v>0</v>
      </c>
      <c r="R57" t="s">
        <v>0</v>
      </c>
      <c r="S57" t="s">
        <v>0</v>
      </c>
    </row>
    <row r="58" ht="45.75" customHeight="1" spans="1:19" x14ac:dyDescent="0.25">
      <c r="A58" s="172" t="s">
        <v>1254</v>
      </c>
      <c r="B58" s="83"/>
      <c r="C58" s="81" t="s">
        <v>1265</v>
      </c>
      <c r="D58" s="134"/>
      <c r="E58" s="134"/>
      <c r="F58" s="134"/>
      <c r="G58" s="84"/>
      <c r="H58" s="172" t="s">
        <v>1266</v>
      </c>
      <c r="I58" s="82"/>
      <c r="J58" s="83"/>
      <c r="K58" s="85">
        <v>34355</v>
      </c>
      <c r="L58" s="355"/>
      <c r="M58" s="86"/>
      <c r="N58" t="s">
        <v>0</v>
      </c>
      <c r="O58" t="s">
        <v>0</v>
      </c>
      <c r="P58" t="s">
        <v>0</v>
      </c>
      <c r="Q58" t="s">
        <v>0</v>
      </c>
      <c r="R58" t="s">
        <v>0</v>
      </c>
      <c r="S58" t="s">
        <v>0</v>
      </c>
    </row>
    <row r="59" ht="45.75" customHeight="1" spans="1:19" x14ac:dyDescent="0.25">
      <c r="A59" s="172" t="s">
        <v>1267</v>
      </c>
      <c r="B59" s="83"/>
      <c r="C59" s="81" t="s">
        <v>1265</v>
      </c>
      <c r="D59" s="134"/>
      <c r="E59" s="134"/>
      <c r="F59" s="134"/>
      <c r="G59" s="84"/>
      <c r="H59" s="172" t="s">
        <v>1266</v>
      </c>
      <c r="I59" s="82"/>
      <c r="J59" s="83"/>
      <c r="K59" s="85">
        <v>34355</v>
      </c>
      <c r="L59" s="355"/>
      <c r="M59" s="86"/>
      <c r="N59" t="s">
        <v>0</v>
      </c>
      <c r="O59" t="s">
        <v>0</v>
      </c>
      <c r="P59" t="s">
        <v>0</v>
      </c>
      <c r="Q59" t="s">
        <v>0</v>
      </c>
      <c r="R59" t="s">
        <v>0</v>
      </c>
      <c r="S59" t="s">
        <v>0</v>
      </c>
    </row>
    <row r="60" ht="30.75" customHeight="1" spans="1:19" x14ac:dyDescent="0.25">
      <c r="A60" s="172" t="s">
        <v>1268</v>
      </c>
      <c r="B60" s="83"/>
      <c r="C60" s="81" t="s">
        <v>1269</v>
      </c>
      <c r="D60" s="134"/>
      <c r="E60" s="134"/>
      <c r="F60" s="134"/>
      <c r="G60" s="84"/>
      <c r="H60" s="172" t="s">
        <v>1270</v>
      </c>
      <c r="I60" s="82"/>
      <c r="J60" s="83"/>
      <c r="K60" s="85">
        <v>1150</v>
      </c>
      <c r="L60" s="355"/>
      <c r="M60" s="86"/>
      <c r="N60" t="s">
        <v>0</v>
      </c>
      <c r="O60" t="s">
        <v>0</v>
      </c>
      <c r="P60" t="s">
        <v>0</v>
      </c>
      <c r="Q60" t="s">
        <v>0</v>
      </c>
      <c r="R60" t="s">
        <v>0</v>
      </c>
      <c r="S60" t="s">
        <v>0</v>
      </c>
    </row>
    <row r="61" ht="30" customHeight="1" spans="1:19" x14ac:dyDescent="0.25">
      <c r="A61" s="172" t="s">
        <v>881</v>
      </c>
      <c r="B61" s="83"/>
      <c r="C61" s="81" t="s">
        <v>1269</v>
      </c>
      <c r="D61" s="134"/>
      <c r="E61" s="134"/>
      <c r="F61" s="134"/>
      <c r="G61" s="84"/>
      <c r="H61" s="172" t="s">
        <v>1270</v>
      </c>
      <c r="I61" s="82"/>
      <c r="J61" s="83"/>
      <c r="K61" s="85">
        <v>1150</v>
      </c>
      <c r="L61" s="355"/>
      <c r="M61" s="86"/>
      <c r="N61" t="s">
        <v>0</v>
      </c>
      <c r="O61" t="s">
        <v>0</v>
      </c>
      <c r="P61" t="s">
        <v>0</v>
      </c>
      <c r="Q61" t="s">
        <v>0</v>
      </c>
      <c r="R61" t="s">
        <v>0</v>
      </c>
      <c r="S61" t="s">
        <v>0</v>
      </c>
    </row>
    <row r="62" ht="30" customHeight="1" spans="1:19" x14ac:dyDescent="0.25">
      <c r="A62" s="172" t="s">
        <v>1246</v>
      </c>
      <c r="B62" s="83"/>
      <c r="C62" s="81" t="s">
        <v>1271</v>
      </c>
      <c r="D62" s="134"/>
      <c r="E62" s="134"/>
      <c r="F62" s="134"/>
      <c r="G62" s="84"/>
      <c r="H62" s="172" t="s">
        <v>1272</v>
      </c>
      <c r="I62" s="82"/>
      <c r="J62" s="83"/>
      <c r="K62" s="85">
        <v>12550</v>
      </c>
      <c r="L62" s="355"/>
      <c r="M62" s="86"/>
      <c r="N62" t="s">
        <v>0</v>
      </c>
      <c r="O62" t="s">
        <v>0</v>
      </c>
      <c r="P62" t="s">
        <v>0</v>
      </c>
      <c r="Q62" t="s">
        <v>0</v>
      </c>
      <c r="R62" t="s">
        <v>0</v>
      </c>
      <c r="S62" t="s">
        <v>0</v>
      </c>
    </row>
    <row r="63" ht="30" customHeight="1" spans="1:19" x14ac:dyDescent="0.25">
      <c r="A63" s="172" t="s">
        <v>881</v>
      </c>
      <c r="B63" s="83"/>
      <c r="C63" s="81" t="s">
        <v>1273</v>
      </c>
      <c r="D63" s="134"/>
      <c r="E63" s="134"/>
      <c r="F63" s="134"/>
      <c r="G63" s="84"/>
      <c r="H63" s="172" t="s">
        <v>1018</v>
      </c>
      <c r="I63" s="82"/>
      <c r="J63" s="83"/>
      <c r="K63" s="85">
        <v>1000</v>
      </c>
      <c r="L63" s="355"/>
      <c r="M63" s="86"/>
      <c r="N63" t="s">
        <v>0</v>
      </c>
      <c r="O63" t="s">
        <v>0</v>
      </c>
      <c r="P63" t="s">
        <v>0</v>
      </c>
      <c r="Q63" t="s">
        <v>0</v>
      </c>
      <c r="R63" t="s">
        <v>0</v>
      </c>
      <c r="S63" t="s">
        <v>0</v>
      </c>
    </row>
    <row r="64" ht="18" customHeight="1" spans="1:19" x14ac:dyDescent="0.25">
      <c r="A64" s="172" t="s">
        <v>1268</v>
      </c>
      <c r="B64" s="83"/>
      <c r="C64" s="81" t="s">
        <v>1274</v>
      </c>
      <c r="D64" s="134"/>
      <c r="E64" s="134"/>
      <c r="F64" s="134"/>
      <c r="G64" s="84"/>
      <c r="H64" s="172" t="s">
        <v>1275</v>
      </c>
      <c r="I64" s="82"/>
      <c r="J64" s="83"/>
      <c r="K64" s="85">
        <v>7100</v>
      </c>
      <c r="L64" s="355"/>
      <c r="M64" s="86"/>
      <c r="N64" t="s">
        <v>0</v>
      </c>
      <c r="O64" t="s">
        <v>0</v>
      </c>
      <c r="P64" t="s">
        <v>0</v>
      </c>
      <c r="Q64" t="s">
        <v>0</v>
      </c>
      <c r="R64" t="s">
        <v>0</v>
      </c>
      <c r="S64" t="s">
        <v>0</v>
      </c>
    </row>
    <row r="65" ht="97.5" customHeight="1" spans="1:19" x14ac:dyDescent="0.25">
      <c r="A65" s="172" t="s">
        <v>1246</v>
      </c>
      <c r="B65" s="83"/>
      <c r="C65" s="81" t="s">
        <v>1276</v>
      </c>
      <c r="D65" s="134"/>
      <c r="E65" s="134"/>
      <c r="F65" s="134"/>
      <c r="G65" s="84"/>
      <c r="H65" s="172" t="s">
        <v>1277</v>
      </c>
      <c r="I65" s="82"/>
      <c r="J65" s="83"/>
      <c r="K65" s="85">
        <v>3000</v>
      </c>
      <c r="L65" s="355"/>
      <c r="M65" s="86"/>
      <c r="N65" t="s">
        <v>0</v>
      </c>
      <c r="O65" t="s">
        <v>0</v>
      </c>
      <c r="P65" t="s">
        <v>0</v>
      </c>
      <c r="Q65" t="s">
        <v>0</v>
      </c>
      <c r="R65" t="s">
        <v>0</v>
      </c>
      <c r="S65" t="s">
        <v>0</v>
      </c>
    </row>
    <row r="66" ht="31.5" customHeight="1" spans="1:19" x14ac:dyDescent="0.25">
      <c r="A66" s="172" t="s">
        <v>1243</v>
      </c>
      <c r="B66" s="83"/>
      <c r="C66" s="81" t="s">
        <v>1278</v>
      </c>
      <c r="D66" s="134"/>
      <c r="E66" s="134"/>
      <c r="F66" s="134"/>
      <c r="G66" s="84"/>
      <c r="H66" s="172" t="s">
        <v>1018</v>
      </c>
      <c r="I66" s="82"/>
      <c r="J66" s="83"/>
      <c r="K66" s="85">
        <v>1150</v>
      </c>
      <c r="L66" s="355"/>
      <c r="M66" s="86"/>
      <c r="N66" t="s">
        <v>0</v>
      </c>
      <c r="O66" t="s">
        <v>0</v>
      </c>
      <c r="P66" t="s">
        <v>0</v>
      </c>
      <c r="Q66" t="s">
        <v>0</v>
      </c>
      <c r="R66" t="s">
        <v>0</v>
      </c>
      <c r="S66" t="s">
        <v>0</v>
      </c>
    </row>
    <row r="67" ht="28.5" customHeight="1" spans="1:19" x14ac:dyDescent="0.25">
      <c r="A67" s="172" t="s">
        <v>894</v>
      </c>
      <c r="B67" s="83"/>
      <c r="C67" s="81" t="s">
        <v>1278</v>
      </c>
      <c r="D67" s="134"/>
      <c r="E67" s="134"/>
      <c r="F67" s="134"/>
      <c r="G67" s="84"/>
      <c r="H67" s="172" t="s">
        <v>1018</v>
      </c>
      <c r="I67" s="82"/>
      <c r="J67" s="83"/>
      <c r="K67" s="85">
        <v>1000</v>
      </c>
      <c r="L67" s="355"/>
      <c r="M67" s="86"/>
      <c r="N67" t="s">
        <v>0</v>
      </c>
      <c r="O67" t="s">
        <v>0</v>
      </c>
      <c r="P67" t="s">
        <v>0</v>
      </c>
      <c r="Q67" t="s">
        <v>0</v>
      </c>
      <c r="R67" t="s">
        <v>0</v>
      </c>
      <c r="S67" t="s">
        <v>0</v>
      </c>
    </row>
    <row r="68" ht="45.75" customHeight="1" spans="1:19" x14ac:dyDescent="0.25">
      <c r="A68" s="172" t="s">
        <v>1279</v>
      </c>
      <c r="B68" s="83"/>
      <c r="C68" s="47" t="s">
        <v>1280</v>
      </c>
      <c r="D68" s="48"/>
      <c r="E68" s="48"/>
      <c r="F68" s="48"/>
      <c r="G68" s="49"/>
      <c r="H68" s="172" t="s">
        <v>1281</v>
      </c>
      <c r="I68" s="82"/>
      <c r="J68" s="83"/>
      <c r="K68" s="85">
        <v>24478</v>
      </c>
      <c r="L68" s="355"/>
      <c r="M68" s="86"/>
      <c r="N68" t="s">
        <v>0</v>
      </c>
      <c r="O68" t="s">
        <v>0</v>
      </c>
      <c r="P68" t="s">
        <v>0</v>
      </c>
      <c r="Q68" t="s">
        <v>0</v>
      </c>
      <c r="R68" t="s">
        <v>0</v>
      </c>
      <c r="S68" t="s">
        <v>0</v>
      </c>
    </row>
    <row r="69" ht="44.25" customHeight="1" spans="1:19" x14ac:dyDescent="0.25">
      <c r="A69" s="172" t="s">
        <v>858</v>
      </c>
      <c r="B69" s="83"/>
      <c r="C69" s="81" t="s">
        <v>1282</v>
      </c>
      <c r="D69" s="134"/>
      <c r="E69" s="134"/>
      <c r="F69" s="134"/>
      <c r="G69" s="84"/>
      <c r="H69" s="172" t="s">
        <v>902</v>
      </c>
      <c r="I69" s="82"/>
      <c r="J69" s="83"/>
      <c r="K69" s="85">
        <v>6000</v>
      </c>
      <c r="L69" s="355"/>
      <c r="M69" s="86"/>
      <c r="N69" t="s">
        <v>0</v>
      </c>
      <c r="O69" t="s">
        <v>0</v>
      </c>
      <c r="P69" t="s">
        <v>0</v>
      </c>
      <c r="Q69" t="s">
        <v>0</v>
      </c>
      <c r="R69" t="s">
        <v>0</v>
      </c>
      <c r="S69" t="s">
        <v>0</v>
      </c>
    </row>
    <row r="70" spans="1:19" x14ac:dyDescent="0.25">
      <c r="A70" s="172"/>
      <c r="B70" s="83"/>
      <c r="C70" s="81"/>
      <c r="D70" s="134"/>
      <c r="E70" s="134"/>
      <c r="F70" s="134"/>
      <c r="G70" s="84"/>
      <c r="H70" s="172"/>
      <c r="I70" s="82"/>
      <c r="J70" s="83"/>
      <c r="K70" s="85"/>
      <c r="L70" s="355"/>
      <c r="M70" s="86"/>
      <c r="N70" t="s">
        <v>0</v>
      </c>
      <c r="O70" t="s">
        <v>0</v>
      </c>
      <c r="P70" t="s">
        <v>0</v>
      </c>
      <c r="Q70" t="s">
        <v>0</v>
      </c>
      <c r="R70" t="s">
        <v>0</v>
      </c>
      <c r="S70" t="s">
        <v>0</v>
      </c>
    </row>
    <row r="71" spans="1:19" x14ac:dyDescent="0.25">
      <c r="A71" s="172"/>
      <c r="B71" s="83"/>
      <c r="C71" s="81"/>
      <c r="D71" s="134"/>
      <c r="E71" s="134"/>
      <c r="F71" s="134"/>
      <c r="G71" s="84"/>
      <c r="H71" s="172"/>
      <c r="I71" s="82"/>
      <c r="J71" s="83"/>
      <c r="K71" s="85"/>
      <c r="L71" s="355"/>
      <c r="M71" s="86"/>
      <c r="N71" t="s">
        <v>0</v>
      </c>
      <c r="O71" t="s">
        <v>0</v>
      </c>
      <c r="P71" t="s">
        <v>0</v>
      </c>
      <c r="Q71" t="s">
        <v>0</v>
      </c>
      <c r="R71" t="s">
        <v>0</v>
      </c>
      <c r="S71" t="s">
        <v>0</v>
      </c>
    </row>
    <row r="72" spans="1:19" x14ac:dyDescent="0.25">
      <c r="A72" s="172"/>
      <c r="B72" s="83"/>
      <c r="C72" s="81"/>
      <c r="D72" s="134"/>
      <c r="E72" s="134"/>
      <c r="F72" s="134"/>
      <c r="G72" s="84"/>
      <c r="H72" s="172"/>
      <c r="I72" s="82"/>
      <c r="J72" s="83"/>
      <c r="K72" s="85"/>
      <c r="L72" s="355"/>
      <c r="M72" s="86"/>
      <c r="N72" t="s">
        <v>0</v>
      </c>
      <c r="O72" t="s">
        <v>0</v>
      </c>
      <c r="P72" t="s">
        <v>0</v>
      </c>
      <c r="Q72" t="s">
        <v>0</v>
      </c>
      <c r="R72" t="s">
        <v>0</v>
      </c>
      <c r="S72" t="s">
        <v>0</v>
      </c>
    </row>
    <row r="73" spans="1:19" x14ac:dyDescent="0.25">
      <c r="A73" s="68"/>
      <c r="B73" s="70"/>
      <c r="C73" s="76"/>
      <c r="D73" s="76"/>
      <c r="E73" s="76"/>
      <c r="F73" s="76"/>
      <c r="G73" s="77"/>
      <c r="H73" s="68"/>
      <c r="I73" s="69"/>
      <c r="J73" s="70"/>
      <c r="K73" s="143"/>
      <c r="L73" s="431"/>
      <c r="M73" s="144"/>
      <c r="N73" t="s">
        <v>0</v>
      </c>
      <c r="O73" t="s">
        <v>0</v>
      </c>
      <c r="P73" t="s">
        <v>0</v>
      </c>
      <c r="Q73" t="s">
        <v>0</v>
      </c>
      <c r="R73" t="s">
        <v>0</v>
      </c>
      <c r="S73" t="s">
        <v>0</v>
      </c>
    </row>
    <row r="74" ht="15.75" customHeight="1" spans="1:19" x14ac:dyDescent="0.25">
      <c r="A74" s="88"/>
      <c r="B74" s="90"/>
      <c r="C74" s="88"/>
      <c r="D74" s="89"/>
      <c r="E74" s="89"/>
      <c r="F74" s="89"/>
      <c r="G74" s="90"/>
      <c r="H74" s="88"/>
      <c r="I74" s="89"/>
      <c r="J74" s="90"/>
      <c r="K74" s="91"/>
      <c r="L74" s="450"/>
      <c r="M74" s="92"/>
      <c r="N74" t="s">
        <v>0</v>
      </c>
      <c r="O74" t="s">
        <v>0</v>
      </c>
      <c r="P74" t="s">
        <v>0</v>
      </c>
      <c r="Q74" t="s">
        <v>0</v>
      </c>
      <c r="R74" t="s">
        <v>0</v>
      </c>
      <c r="S74" t="s">
        <v>0</v>
      </c>
    </row>
    <row r="75" ht="16.5" customHeight="1" spans="1:19" x14ac:dyDescent="0.25">
      <c r="A75" s="433"/>
      <c r="B75" s="434"/>
      <c r="C75" s="435"/>
      <c r="D75" s="436"/>
      <c r="E75" s="436"/>
      <c r="F75" s="436"/>
      <c r="G75" s="437"/>
      <c r="H75" s="438" t="s">
        <v>96</v>
      </c>
      <c r="I75" s="439"/>
      <c r="J75" s="440"/>
      <c r="K75" s="441">
        <f>SUM(K33:M74)</f>
        <v>251896.7</v>
      </c>
      <c r="L75" s="442"/>
      <c r="M75" s="443"/>
      <c r="N75" t="s">
        <v>0</v>
      </c>
      <c r="O75" t="s">
        <v>0</v>
      </c>
      <c r="P75" t="s">
        <v>0</v>
      </c>
      <c r="Q75" t="s">
        <v>0</v>
      </c>
      <c r="R75" t="s">
        <v>0</v>
      </c>
      <c r="S75" t="s">
        <v>0</v>
      </c>
    </row>
    <row r="76" spans="1:19" x14ac:dyDescent="0.25">
      <c r="A76" t="s">
        <v>0</v>
      </c>
      <c r="B76" t="s">
        <v>0</v>
      </c>
      <c r="C76" t="s">
        <v>0</v>
      </c>
      <c r="D76" t="s">
        <v>0</v>
      </c>
      <c r="E76" t="s">
        <v>0</v>
      </c>
      <c r="F76" t="s">
        <v>0</v>
      </c>
      <c r="G76" t="s">
        <v>0</v>
      </c>
      <c r="H76" t="s">
        <v>0</v>
      </c>
      <c r="I76" t="s">
        <v>0</v>
      </c>
      <c r="J76" t="s">
        <v>0</v>
      </c>
      <c r="K76" t="s">
        <v>0</v>
      </c>
      <c r="L76" t="s">
        <v>0</v>
      </c>
      <c r="M76" t="s">
        <v>0</v>
      </c>
      <c r="N76" t="s">
        <v>0</v>
      </c>
      <c r="O76" t="s">
        <v>0</v>
      </c>
      <c r="P76" t="s">
        <v>0</v>
      </c>
      <c r="Q76" t="s">
        <v>0</v>
      </c>
      <c r="R76" t="s">
        <v>0</v>
      </c>
      <c r="S76" t="s">
        <v>0</v>
      </c>
    </row>
    <row r="77" spans="1:19" x14ac:dyDescent="0.25">
      <c r="A77" t="s">
        <v>0</v>
      </c>
      <c r="B77" t="s">
        <v>0</v>
      </c>
      <c r="C77" t="s">
        <v>0</v>
      </c>
      <c r="D77" t="s">
        <v>0</v>
      </c>
      <c r="E77" t="s">
        <v>0</v>
      </c>
      <c r="F77" t="s">
        <v>0</v>
      </c>
      <c r="G77" t="s">
        <v>0</v>
      </c>
      <c r="H77" t="s">
        <v>0</v>
      </c>
      <c r="I77" t="s">
        <v>0</v>
      </c>
      <c r="J77" t="s">
        <v>0</v>
      </c>
      <c r="K77" t="s">
        <v>0</v>
      </c>
      <c r="L77" t="s">
        <v>0</v>
      </c>
      <c r="M77" t="s">
        <v>0</v>
      </c>
      <c r="N77" t="s">
        <v>0</v>
      </c>
      <c r="O77" t="s">
        <v>0</v>
      </c>
      <c r="P77" t="s">
        <v>0</v>
      </c>
      <c r="Q77" t="s">
        <v>0</v>
      </c>
      <c r="R77" t="s">
        <v>0</v>
      </c>
      <c r="S77" t="s">
        <v>0</v>
      </c>
    </row>
    <row r="78" spans="1:19" x14ac:dyDescent="0.25">
      <c r="A78" t="s">
        <v>0</v>
      </c>
      <c r="B78" t="s">
        <v>0</v>
      </c>
      <c r="C78" t="s">
        <v>0</v>
      </c>
      <c r="D78" s="451" t="s">
        <v>0</v>
      </c>
      <c r="E78" s="451" t="s">
        <v>0</v>
      </c>
      <c r="F78" s="451" t="s">
        <v>0</v>
      </c>
      <c r="G78" s="451" t="s">
        <v>0</v>
      </c>
      <c r="H78" s="451" t="s">
        <v>0</v>
      </c>
      <c r="I78" t="s">
        <v>0</v>
      </c>
      <c r="J78" t="s">
        <v>0</v>
      </c>
      <c r="K78" t="s">
        <v>0</v>
      </c>
      <c r="L78" t="s">
        <v>0</v>
      </c>
      <c r="M78" t="s">
        <v>0</v>
      </c>
      <c r="N78" t="s">
        <v>0</v>
      </c>
      <c r="O78" t="s">
        <v>0</v>
      </c>
      <c r="P78" t="s">
        <v>0</v>
      </c>
      <c r="Q78" t="s">
        <v>0</v>
      </c>
      <c r="R78" t="s">
        <v>0</v>
      </c>
      <c r="S78" t="s">
        <v>0</v>
      </c>
    </row>
    <row r="79" spans="1:19" x14ac:dyDescent="0.25">
      <c r="A79" t="s">
        <v>0</v>
      </c>
      <c r="B79" t="s">
        <v>0</v>
      </c>
      <c r="C79" t="s">
        <v>0</v>
      </c>
      <c r="D79" t="s">
        <v>0</v>
      </c>
      <c r="E79" t="s">
        <v>0</v>
      </c>
      <c r="F79" t="s">
        <v>0</v>
      </c>
      <c r="G79" t="s">
        <v>0</v>
      </c>
      <c r="H79" t="s">
        <v>0</v>
      </c>
      <c r="I79" t="s">
        <v>0</v>
      </c>
      <c r="J79" t="s">
        <v>0</v>
      </c>
      <c r="K79" t="s">
        <v>0</v>
      </c>
      <c r="L79" t="s">
        <v>0</v>
      </c>
      <c r="M79" t="s">
        <v>0</v>
      </c>
      <c r="N79" t="s">
        <v>0</v>
      </c>
      <c r="O79" t="s">
        <v>0</v>
      </c>
      <c r="P79" t="s">
        <v>0</v>
      </c>
      <c r="Q79" t="s">
        <v>0</v>
      </c>
      <c r="R79" t="s">
        <v>0</v>
      </c>
      <c r="S79" t="s">
        <v>0</v>
      </c>
    </row>
    <row r="80" spans="1:19" x14ac:dyDescent="0.25">
      <c r="A80" t="s">
        <v>0</v>
      </c>
      <c r="B80" t="s">
        <v>0</v>
      </c>
      <c r="C80" t="s">
        <v>0</v>
      </c>
      <c r="D80" t="s">
        <v>0</v>
      </c>
      <c r="E80" t="s">
        <v>0</v>
      </c>
      <c r="F80" t="s">
        <v>0</v>
      </c>
      <c r="G80" t="s">
        <v>0</v>
      </c>
      <c r="H80" t="s">
        <v>0</v>
      </c>
      <c r="I80" t="s">
        <v>0</v>
      </c>
      <c r="J80" t="s">
        <v>0</v>
      </c>
      <c r="K80" t="s">
        <v>0</v>
      </c>
      <c r="L80" t="s">
        <v>0</v>
      </c>
      <c r="M80" t="s">
        <v>0</v>
      </c>
      <c r="N80" t="s">
        <v>0</v>
      </c>
      <c r="O80" t="s">
        <v>0</v>
      </c>
      <c r="P80" t="s">
        <v>0</v>
      </c>
      <c r="Q80" t="s">
        <v>0</v>
      </c>
      <c r="R80" t="s">
        <v>0</v>
      </c>
      <c r="S80" t="s">
        <v>0</v>
      </c>
    </row>
    <row r="81" spans="1:19" x14ac:dyDescent="0.25">
      <c r="A81" t="s">
        <v>0</v>
      </c>
      <c r="B81" t="s">
        <v>0</v>
      </c>
      <c r="C81" t="s">
        <v>0</v>
      </c>
      <c r="D81" t="s">
        <v>0</v>
      </c>
      <c r="E81" t="s">
        <v>0</v>
      </c>
      <c r="F81" t="s">
        <v>0</v>
      </c>
      <c r="G81" t="s">
        <v>0</v>
      </c>
      <c r="H81" t="s">
        <v>0</v>
      </c>
      <c r="I81" t="s">
        <v>0</v>
      </c>
      <c r="J81" t="s">
        <v>0</v>
      </c>
      <c r="K81" t="s">
        <v>0</v>
      </c>
      <c r="L81" t="s">
        <v>0</v>
      </c>
      <c r="M81" t="s">
        <v>0</v>
      </c>
      <c r="N81" t="s">
        <v>0</v>
      </c>
      <c r="O81" t="s">
        <v>0</v>
      </c>
      <c r="P81" t="s">
        <v>0</v>
      </c>
      <c r="Q81" t="s">
        <v>0</v>
      </c>
      <c r="R81" t="s">
        <v>0</v>
      </c>
      <c r="S81" t="s">
        <v>0</v>
      </c>
    </row>
    <row r="82" spans="1:19" x14ac:dyDescent="0.25">
      <c r="A82" t="s">
        <v>0</v>
      </c>
      <c r="B82" t="s">
        <v>0</v>
      </c>
      <c r="C82" t="s">
        <v>0</v>
      </c>
      <c r="D82" t="s">
        <v>0</v>
      </c>
      <c r="E82" t="s">
        <v>0</v>
      </c>
      <c r="F82" t="s">
        <v>0</v>
      </c>
      <c r="G82" t="s">
        <v>0</v>
      </c>
      <c r="H82" t="s">
        <v>0</v>
      </c>
      <c r="I82" t="s">
        <v>0</v>
      </c>
      <c r="J82" t="s">
        <v>0</v>
      </c>
      <c r="K82" t="s">
        <v>0</v>
      </c>
      <c r="L82" t="s">
        <v>0</v>
      </c>
      <c r="M82" t="s">
        <v>0</v>
      </c>
      <c r="N82" t="s">
        <v>0</v>
      </c>
      <c r="O82" t="s">
        <v>0</v>
      </c>
      <c r="P82" t="s">
        <v>0</v>
      </c>
      <c r="Q82" t="s">
        <v>0</v>
      </c>
      <c r="R82" t="s">
        <v>0</v>
      </c>
      <c r="S82" t="s">
        <v>0</v>
      </c>
    </row>
  </sheetData>
  <mergeCells count="232">
    <mergeCell ref="A15:B15"/>
    <mergeCell ref="C15:G15"/>
    <mergeCell ref="H15:J15"/>
    <mergeCell ref="K15:M15"/>
    <mergeCell ref="A16:B17"/>
    <mergeCell ref="C16:G17"/>
    <mergeCell ref="H16:J17"/>
    <mergeCell ref="K16:M17"/>
    <mergeCell ref="A18:B18"/>
    <mergeCell ref="C18:G18"/>
    <mergeCell ref="H18:J18"/>
    <mergeCell ref="K18:M18"/>
    <mergeCell ref="A19:B19"/>
    <mergeCell ref="C19:G19"/>
    <mergeCell ref="H19:J19"/>
    <mergeCell ref="K19:M19"/>
    <mergeCell ref="A20:B20"/>
    <mergeCell ref="C20:G20"/>
    <mergeCell ref="H20:J20"/>
    <mergeCell ref="K20:M20"/>
    <mergeCell ref="A21:B21"/>
    <mergeCell ref="C21:G21"/>
    <mergeCell ref="H21:J21"/>
    <mergeCell ref="K21:M21"/>
    <mergeCell ref="A22:B22"/>
    <mergeCell ref="C22:G22"/>
    <mergeCell ref="H22:J22"/>
    <mergeCell ref="K22:M22"/>
    <mergeCell ref="A23:B23"/>
    <mergeCell ref="C23:G23"/>
    <mergeCell ref="H23:J23"/>
    <mergeCell ref="K23:M23"/>
    <mergeCell ref="A24:B24"/>
    <mergeCell ref="C24:G24"/>
    <mergeCell ref="H24:J24"/>
    <mergeCell ref="K24:M24"/>
    <mergeCell ref="A25:B25"/>
    <mergeCell ref="C25:G25"/>
    <mergeCell ref="H25:J25"/>
    <mergeCell ref="K25:M25"/>
    <mergeCell ref="A26:B26"/>
    <mergeCell ref="C26:G26"/>
    <mergeCell ref="H26:J26"/>
    <mergeCell ref="K26:M26"/>
    <mergeCell ref="A27:B27"/>
    <mergeCell ref="C27:G27"/>
    <mergeCell ref="H27:J27"/>
    <mergeCell ref="K27:M27"/>
    <mergeCell ref="A28:B28"/>
    <mergeCell ref="C28:G28"/>
    <mergeCell ref="H28:J28"/>
    <mergeCell ref="K28:M28"/>
    <mergeCell ref="A29:B29"/>
    <mergeCell ref="C29:G29"/>
    <mergeCell ref="H29:J29"/>
    <mergeCell ref="K29:M29"/>
    <mergeCell ref="A32:B32"/>
    <mergeCell ref="C32:G32"/>
    <mergeCell ref="H32:J32"/>
    <mergeCell ref="K32:M32"/>
    <mergeCell ref="A33:B33"/>
    <mergeCell ref="C33:G33"/>
    <mergeCell ref="H33:J33"/>
    <mergeCell ref="K33:M33"/>
    <mergeCell ref="A34:B34"/>
    <mergeCell ref="C34:G34"/>
    <mergeCell ref="H34:J34"/>
    <mergeCell ref="K34:M34"/>
    <mergeCell ref="A35:B35"/>
    <mergeCell ref="C35:G35"/>
    <mergeCell ref="H35:J35"/>
    <mergeCell ref="K35:M35"/>
    <mergeCell ref="A36:B36"/>
    <mergeCell ref="C36:G36"/>
    <mergeCell ref="H36:J36"/>
    <mergeCell ref="K36:M36"/>
    <mergeCell ref="A37:B37"/>
    <mergeCell ref="C37:G37"/>
    <mergeCell ref="H37:J37"/>
    <mergeCell ref="K37:M37"/>
    <mergeCell ref="A38:B38"/>
    <mergeCell ref="C38:G38"/>
    <mergeCell ref="H38:J38"/>
    <mergeCell ref="K38:M38"/>
    <mergeCell ref="A39:B39"/>
    <mergeCell ref="C39:G39"/>
    <mergeCell ref="H39:J39"/>
    <mergeCell ref="K39:M39"/>
    <mergeCell ref="A40:B40"/>
    <mergeCell ref="C40:G40"/>
    <mergeCell ref="H40:J40"/>
    <mergeCell ref="K40:M40"/>
    <mergeCell ref="A41:B41"/>
    <mergeCell ref="C41:G41"/>
    <mergeCell ref="H41:J41"/>
    <mergeCell ref="K41:M41"/>
    <mergeCell ref="A42:B42"/>
    <mergeCell ref="C42:G42"/>
    <mergeCell ref="H42:J42"/>
    <mergeCell ref="K42:M42"/>
    <mergeCell ref="A43:B43"/>
    <mergeCell ref="C43:G43"/>
    <mergeCell ref="H43:J43"/>
    <mergeCell ref="K43:M43"/>
    <mergeCell ref="A44:B44"/>
    <mergeCell ref="C44:G44"/>
    <mergeCell ref="H44:J44"/>
    <mergeCell ref="K44:M44"/>
    <mergeCell ref="A45:B45"/>
    <mergeCell ref="C45:G45"/>
    <mergeCell ref="H45:J45"/>
    <mergeCell ref="K45:M45"/>
    <mergeCell ref="A46:B46"/>
    <mergeCell ref="C46:G46"/>
    <mergeCell ref="H46:J46"/>
    <mergeCell ref="K46:M46"/>
    <mergeCell ref="A47:B47"/>
    <mergeCell ref="C47:G47"/>
    <mergeCell ref="H47:J47"/>
    <mergeCell ref="K47:M47"/>
    <mergeCell ref="A48:B48"/>
    <mergeCell ref="C48:G48"/>
    <mergeCell ref="H48:J48"/>
    <mergeCell ref="K48:M48"/>
    <mergeCell ref="A49:B49"/>
    <mergeCell ref="C49:G49"/>
    <mergeCell ref="H49:J49"/>
    <mergeCell ref="K49:M49"/>
    <mergeCell ref="A50:B50"/>
    <mergeCell ref="C50:G50"/>
    <mergeCell ref="H50:J50"/>
    <mergeCell ref="K50:M50"/>
    <mergeCell ref="A51:B51"/>
    <mergeCell ref="C51:G51"/>
    <mergeCell ref="H51:J51"/>
    <mergeCell ref="K51:M51"/>
    <mergeCell ref="A52:B52"/>
    <mergeCell ref="C52:G52"/>
    <mergeCell ref="H52:J52"/>
    <mergeCell ref="K52:M52"/>
    <mergeCell ref="A53:B53"/>
    <mergeCell ref="C53:G53"/>
    <mergeCell ref="H53:J53"/>
    <mergeCell ref="K53:M53"/>
    <mergeCell ref="A54:B54"/>
    <mergeCell ref="C54:G54"/>
    <mergeCell ref="H54:J54"/>
    <mergeCell ref="K54:M54"/>
    <mergeCell ref="A55:B55"/>
    <mergeCell ref="C55:G55"/>
    <mergeCell ref="H55:J55"/>
    <mergeCell ref="K55:M55"/>
    <mergeCell ref="A56:B56"/>
    <mergeCell ref="C56:G56"/>
    <mergeCell ref="H56:J56"/>
    <mergeCell ref="K56:M56"/>
    <mergeCell ref="A57:B57"/>
    <mergeCell ref="C57:G57"/>
    <mergeCell ref="H57:J57"/>
    <mergeCell ref="K57:M57"/>
    <mergeCell ref="A58:B58"/>
    <mergeCell ref="C58:G58"/>
    <mergeCell ref="H58:J58"/>
    <mergeCell ref="K58:M58"/>
    <mergeCell ref="A59:B59"/>
    <mergeCell ref="C59:G59"/>
    <mergeCell ref="H59:J59"/>
    <mergeCell ref="K59:M59"/>
    <mergeCell ref="A60:B60"/>
    <mergeCell ref="C60:G60"/>
    <mergeCell ref="H60:J60"/>
    <mergeCell ref="K60:M60"/>
    <mergeCell ref="A61:B61"/>
    <mergeCell ref="C61:G61"/>
    <mergeCell ref="H61:J61"/>
    <mergeCell ref="K61:M61"/>
    <mergeCell ref="A62:B62"/>
    <mergeCell ref="C62:G62"/>
    <mergeCell ref="H62:J62"/>
    <mergeCell ref="K62:M62"/>
    <mergeCell ref="A63:B63"/>
    <mergeCell ref="C63:G63"/>
    <mergeCell ref="H63:J63"/>
    <mergeCell ref="K63:M63"/>
    <mergeCell ref="A64:B64"/>
    <mergeCell ref="C64:G64"/>
    <mergeCell ref="H64:J64"/>
    <mergeCell ref="K64:M64"/>
    <mergeCell ref="A65:B65"/>
    <mergeCell ref="C65:G65"/>
    <mergeCell ref="H65:J65"/>
    <mergeCell ref="K65:M65"/>
    <mergeCell ref="A66:B66"/>
    <mergeCell ref="C66:G66"/>
    <mergeCell ref="H66:J66"/>
    <mergeCell ref="K66:M66"/>
    <mergeCell ref="A67:B67"/>
    <mergeCell ref="C67:G67"/>
    <mergeCell ref="H67:J67"/>
    <mergeCell ref="K67:M67"/>
    <mergeCell ref="A68:B68"/>
    <mergeCell ref="C68:G68"/>
    <mergeCell ref="H68:J68"/>
    <mergeCell ref="K68:M68"/>
    <mergeCell ref="A69:B69"/>
    <mergeCell ref="C69:G69"/>
    <mergeCell ref="H69:J69"/>
    <mergeCell ref="K69:M69"/>
    <mergeCell ref="A70:B70"/>
    <mergeCell ref="C70:G70"/>
    <mergeCell ref="H70:J70"/>
    <mergeCell ref="K70:M70"/>
    <mergeCell ref="A71:B71"/>
    <mergeCell ref="C71:G71"/>
    <mergeCell ref="H71:J71"/>
    <mergeCell ref="K71:M71"/>
    <mergeCell ref="A72:B72"/>
    <mergeCell ref="C72:G72"/>
    <mergeCell ref="H72:J72"/>
    <mergeCell ref="K72:M72"/>
    <mergeCell ref="A73:B73"/>
    <mergeCell ref="C73:G73"/>
    <mergeCell ref="H73:J73"/>
    <mergeCell ref="K73:M73"/>
    <mergeCell ref="A74:B74"/>
    <mergeCell ref="C74:G74"/>
    <mergeCell ref="H74:J74"/>
    <mergeCell ref="K74:M74"/>
    <mergeCell ref="A75:B75"/>
    <mergeCell ref="C75:G75"/>
    <mergeCell ref="H75:J75"/>
    <mergeCell ref="K75:M75"/>
  </mergeCells>
  <pageMargins left="0.25" right="0.25" top="0.75" bottom="0.87" header="0.3" footer="0.69"/>
  <pageSetup paperSize="256" orientation="landscape" horizontalDpi="4294967293" verticalDpi="0" scale="53" fitToWidth="0"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4"/>
  <sheetViews>
    <sheetView workbookViewId="0" zoomScale="90" zoomScaleNormal="90">
      <selection activeCell="E26" sqref="E26"/>
    </sheetView>
  </sheetViews>
  <sheetFormatPr defaultRowHeight="15" outlineLevelRow="0" outlineLevelCol="0" x14ac:dyDescent="0.25"/>
  <cols>
    <col min="1" max="1" width="41.5703125" customWidth="1"/>
    <col min="2" max="2" width="16.7109375" hidden="1" customWidth="1"/>
    <col min="3" max="9" width="16.7109375" customWidth="1"/>
    <col min="10" max="10" width="19" customWidth="1"/>
    <col min="11" max="11" width="17.140625" customWidth="1"/>
    <col min="12" max="12" width="16" customWidth="1"/>
    <col min="13" max="13" width="11.85546875" customWidth="1"/>
    <col min="14" max="14" width="10.28515625" customWidth="1"/>
    <col min="15" max="15" width="12.42578125" customWidth="1"/>
    <col min="16" max="16" width="12.85546875" customWidth="1"/>
    <col min="17" max="17" width="11.28515625" customWidth="1"/>
    <col min="18" max="19" width="10.28515625" customWidth="1"/>
    <col min="20" max="20" width="12.28515625" customWidth="1"/>
    <col min="21" max="21" width="12.42578125" customWidth="1"/>
    <col min="22" max="23" width="10.28515625" customWidth="1"/>
    <col min="24" max="24" width="10.5703125" customWidth="1"/>
    <col min="25" max="25" width="10.7109375" customWidth="1"/>
    <col min="26" max="26" width="14" customWidth="1"/>
  </cols>
  <sheetData>
    <row r="1" ht="55.5" customHeight="1" spans="1:26" x14ac:dyDescent="0.25">
      <c r="A1" t="s">
        <v>0</v>
      </c>
      <c r="B1" t="s">
        <v>0</v>
      </c>
      <c r="C1" s="176" t="s">
        <v>254</v>
      </c>
      <c r="D1" s="177"/>
      <c r="E1" s="177"/>
      <c r="F1" s="177"/>
      <c r="G1" s="177"/>
      <c r="H1" s="177"/>
      <c r="I1" s="178"/>
      <c r="J1" s="174"/>
      <c r="K1" s="179"/>
      <c r="L1" s="179"/>
      <c r="M1" s="179"/>
      <c r="N1" s="179"/>
      <c r="O1" s="179"/>
      <c r="P1" s="179"/>
      <c r="Q1" s="179"/>
      <c r="R1" s="179"/>
      <c r="S1" s="179"/>
      <c r="T1" s="179"/>
      <c r="U1" s="179"/>
      <c r="V1" s="179"/>
      <c r="W1" s="179"/>
      <c r="X1" s="179"/>
      <c r="Y1" s="179"/>
      <c r="Z1" s="179"/>
    </row>
    <row r="2" ht="72.75" customHeight="1" spans="1:26" x14ac:dyDescent="0.25">
      <c r="A2" s="1" t="s">
        <v>0</v>
      </c>
      <c r="B2" s="180" t="s">
        <v>255</v>
      </c>
      <c r="C2" s="181" t="s">
        <v>256</v>
      </c>
      <c r="D2" s="182" t="s">
        <v>257</v>
      </c>
      <c r="E2" s="181" t="s">
        <v>258</v>
      </c>
      <c r="F2" s="183" t="s">
        <v>259</v>
      </c>
      <c r="G2" s="183" t="s">
        <v>260</v>
      </c>
      <c r="H2" s="183" t="s">
        <v>261</v>
      </c>
      <c r="I2" s="183" t="s">
        <v>262</v>
      </c>
      <c r="J2" s="184" t="s">
        <v>263</v>
      </c>
      <c r="K2" s="4" t="s">
        <v>264</v>
      </c>
      <c r="L2" s="185" t="s">
        <v>265</v>
      </c>
      <c r="M2" s="6" t="s">
        <v>5</v>
      </c>
      <c r="N2" s="7" t="s">
        <v>6</v>
      </c>
      <c r="O2" s="8" t="s">
        <v>7</v>
      </c>
      <c r="P2" s="7" t="s">
        <v>8</v>
      </c>
      <c r="Q2" s="8" t="s">
        <v>9</v>
      </c>
      <c r="R2" s="7" t="s">
        <v>10</v>
      </c>
      <c r="S2" s="8" t="s">
        <v>11</v>
      </c>
      <c r="T2" s="7" t="s">
        <v>12</v>
      </c>
      <c r="U2" s="8" t="s">
        <v>13</v>
      </c>
      <c r="V2" s="7" t="s">
        <v>14</v>
      </c>
      <c r="W2" s="8" t="s">
        <v>15</v>
      </c>
      <c r="X2" s="7" t="s">
        <v>16</v>
      </c>
      <c r="Y2" s="7" t="s">
        <v>0</v>
      </c>
      <c r="Z2" s="10" t="s">
        <v>17</v>
      </c>
    </row>
    <row r="3" ht="16.5" customHeight="1" spans="1:26" x14ac:dyDescent="0.25">
      <c r="A3" s="12" t="s">
        <v>266</v>
      </c>
      <c r="B3" s="13" t="s">
        <v>0</v>
      </c>
      <c r="C3" s="13" t="s">
        <v>0</v>
      </c>
      <c r="D3" s="13" t="s">
        <v>0</v>
      </c>
      <c r="E3" s="186" t="s">
        <v>0</v>
      </c>
      <c r="F3" s="186" t="s">
        <v>0</v>
      </c>
      <c r="G3" s="186" t="s">
        <v>0</v>
      </c>
      <c r="H3" s="186" t="s">
        <v>0</v>
      </c>
      <c r="I3" s="186" t="s">
        <v>0</v>
      </c>
      <c r="J3" s="186" t="s">
        <v>0</v>
      </c>
      <c r="K3" s="14" t="s">
        <v>0</v>
      </c>
      <c r="L3" s="15" t="s">
        <v>0</v>
      </c>
      <c r="M3" s="105" t="s">
        <v>0</v>
      </c>
      <c r="N3" s="16" t="s">
        <v>0</v>
      </c>
      <c r="O3" s="17" t="s">
        <v>0</v>
      </c>
      <c r="P3" s="16" t="s">
        <v>0</v>
      </c>
      <c r="Q3" s="17" t="s">
        <v>0</v>
      </c>
      <c r="R3" s="16" t="s">
        <v>0</v>
      </c>
      <c r="S3" s="17" t="s">
        <v>0</v>
      </c>
      <c r="T3" s="16" t="s">
        <v>0</v>
      </c>
      <c r="U3" s="17" t="s">
        <v>0</v>
      </c>
      <c r="V3" s="16" t="s">
        <v>0</v>
      </c>
      <c r="W3" s="17" t="s">
        <v>0</v>
      </c>
      <c r="X3" s="16" t="s">
        <v>0</v>
      </c>
      <c r="Y3" s="16" t="s">
        <v>0</v>
      </c>
      <c r="Z3" s="16" t="s">
        <v>0</v>
      </c>
    </row>
    <row r="4" ht="15.75" customHeight="1" spans="1:26" x14ac:dyDescent="0.25">
      <c r="A4" s="187" t="s">
        <v>267</v>
      </c>
      <c r="B4" s="20" t="s">
        <v>0</v>
      </c>
      <c r="C4" s="20" t="s">
        <v>0</v>
      </c>
      <c r="D4" s="20" t="s">
        <v>0</v>
      </c>
      <c r="E4" s="20" t="s">
        <v>0</v>
      </c>
      <c r="F4" s="20" t="s">
        <v>0</v>
      </c>
      <c r="G4" s="20" t="s">
        <v>0</v>
      </c>
      <c r="H4" s="20" t="s">
        <v>0</v>
      </c>
      <c r="I4" s="20" t="s">
        <v>0</v>
      </c>
      <c r="J4" s="21" t="s">
        <v>268</v>
      </c>
      <c r="K4" s="22" t="s">
        <v>0</v>
      </c>
      <c r="L4" s="23" t="s">
        <v>268</v>
      </c>
      <c r="M4" s="23" t="s">
        <v>0</v>
      </c>
      <c r="N4" s="23" t="s">
        <v>0</v>
      </c>
      <c r="O4" s="23" t="s">
        <v>0</v>
      </c>
      <c r="P4" s="23" t="s">
        <v>0</v>
      </c>
      <c r="Q4" s="23" t="s">
        <v>0</v>
      </c>
      <c r="R4" s="23" t="s">
        <v>0</v>
      </c>
      <c r="S4" s="23" t="s">
        <v>0</v>
      </c>
      <c r="T4" s="23" t="s">
        <v>0</v>
      </c>
      <c r="U4" s="23" t="s">
        <v>0</v>
      </c>
      <c r="V4" s="23" t="s">
        <v>0</v>
      </c>
      <c r="W4" s="23" t="s">
        <v>0</v>
      </c>
      <c r="X4" s="23" t="s">
        <v>0</v>
      </c>
      <c r="Y4" s="110" t="s">
        <v>0</v>
      </c>
      <c r="Z4" s="25" t="s">
        <v>0</v>
      </c>
    </row>
    <row r="5" ht="15.75" customHeight="1" spans="1:26" x14ac:dyDescent="0.25">
      <c r="A5" s="187" t="s">
        <v>269</v>
      </c>
      <c r="B5" s="20" t="s">
        <v>0</v>
      </c>
      <c r="C5" s="20" t="s">
        <v>0</v>
      </c>
      <c r="D5" s="20" t="s">
        <v>0</v>
      </c>
      <c r="E5" s="20" t="s">
        <v>0</v>
      </c>
      <c r="F5" s="20" t="s">
        <v>0</v>
      </c>
      <c r="G5" s="20" t="s">
        <v>0</v>
      </c>
      <c r="H5" s="20" t="s">
        <v>0</v>
      </c>
      <c r="I5" s="20" t="s">
        <v>0</v>
      </c>
      <c r="J5" s="21" t="s">
        <v>0</v>
      </c>
      <c r="K5" s="22" t="s">
        <v>270</v>
      </c>
      <c r="L5" s="23" t="s">
        <v>271</v>
      </c>
      <c r="M5" s="23" t="s">
        <v>272</v>
      </c>
      <c r="N5" s="23" t="s">
        <v>273</v>
      </c>
      <c r="O5" s="23" t="s">
        <v>0</v>
      </c>
      <c r="P5" s="23" t="s">
        <v>0</v>
      </c>
      <c r="Q5" s="23" t="s">
        <v>0</v>
      </c>
      <c r="R5" s="23" t="s">
        <v>0</v>
      </c>
      <c r="S5" s="23" t="s">
        <v>0</v>
      </c>
      <c r="T5" s="23" t="s">
        <v>0</v>
      </c>
      <c r="U5" s="23" t="s">
        <v>0</v>
      </c>
      <c r="V5" s="23" t="s">
        <v>0</v>
      </c>
      <c r="W5" s="23" t="s">
        <v>0</v>
      </c>
      <c r="X5" s="23" t="s">
        <v>0</v>
      </c>
      <c r="Y5" s="110" t="s">
        <v>0</v>
      </c>
      <c r="Z5" s="23" t="s">
        <v>270</v>
      </c>
    </row>
    <row r="6" ht="15.75" customHeight="1" spans="1:26" x14ac:dyDescent="0.25">
      <c r="A6" s="187" t="s">
        <v>274</v>
      </c>
      <c r="B6" s="20" t="s">
        <v>0</v>
      </c>
      <c r="C6" s="20" t="s">
        <v>0</v>
      </c>
      <c r="D6" s="20" t="s">
        <v>0</v>
      </c>
      <c r="E6" s="20" t="s">
        <v>0</v>
      </c>
      <c r="F6" s="20" t="s">
        <v>0</v>
      </c>
      <c r="G6" s="20" t="s">
        <v>0</v>
      </c>
      <c r="H6" s="20" t="s">
        <v>0</v>
      </c>
      <c r="I6" s="20" t="s">
        <v>0</v>
      </c>
      <c r="J6" s="21" t="s">
        <v>0</v>
      </c>
      <c r="K6" s="22" t="s">
        <v>0</v>
      </c>
      <c r="L6" s="23" t="s">
        <v>0</v>
      </c>
      <c r="M6" s="23" t="s">
        <v>0</v>
      </c>
      <c r="N6" s="23" t="s">
        <v>0</v>
      </c>
      <c r="O6" s="23" t="s">
        <v>0</v>
      </c>
      <c r="P6" s="23" t="s">
        <v>0</v>
      </c>
      <c r="Q6" s="23" t="s">
        <v>0</v>
      </c>
      <c r="R6" s="23" t="s">
        <v>0</v>
      </c>
      <c r="S6" s="23" t="s">
        <v>0</v>
      </c>
      <c r="T6" s="23" t="s">
        <v>0</v>
      </c>
      <c r="U6" s="23" t="s">
        <v>0</v>
      </c>
      <c r="V6" s="23" t="s">
        <v>0</v>
      </c>
      <c r="W6" s="23" t="s">
        <v>0</v>
      </c>
      <c r="X6" s="23" t="s">
        <v>0</v>
      </c>
      <c r="Y6" s="110" t="s">
        <v>0</v>
      </c>
      <c r="Z6" s="23" t="s">
        <v>0</v>
      </c>
    </row>
    <row r="7" ht="15.75" customHeight="1" spans="1:26" x14ac:dyDescent="0.25">
      <c r="A7" s="19" t="s">
        <v>275</v>
      </c>
      <c r="B7" s="27" t="s">
        <v>0</v>
      </c>
      <c r="C7" s="27" t="s">
        <v>0</v>
      </c>
      <c r="D7" s="27" t="s">
        <v>0</v>
      </c>
      <c r="E7" s="27" t="s">
        <v>0</v>
      </c>
      <c r="F7" s="27" t="s">
        <v>0</v>
      </c>
      <c r="G7" s="27" t="s">
        <v>0</v>
      </c>
      <c r="H7" s="27" t="s">
        <v>0</v>
      </c>
      <c r="I7" s="27" t="s">
        <v>0</v>
      </c>
      <c r="J7" s="188" t="s">
        <v>150</v>
      </c>
      <c r="K7" s="22" t="s">
        <v>0</v>
      </c>
      <c r="L7" s="23" t="s">
        <v>150</v>
      </c>
      <c r="M7" s="28" t="s">
        <v>0</v>
      </c>
      <c r="N7" s="28" t="s">
        <v>0</v>
      </c>
      <c r="O7" s="28" t="s">
        <v>0</v>
      </c>
      <c r="P7" s="28" t="s">
        <v>0</v>
      </c>
      <c r="Q7" s="28" t="s">
        <v>0</v>
      </c>
      <c r="R7" s="28" t="s">
        <v>0</v>
      </c>
      <c r="S7" s="28" t="s">
        <v>0</v>
      </c>
      <c r="T7" s="28" t="s">
        <v>0</v>
      </c>
      <c r="U7" s="28" t="s">
        <v>0</v>
      </c>
      <c r="V7" s="28" t="s">
        <v>0</v>
      </c>
      <c r="W7" s="28" t="s">
        <v>0</v>
      </c>
      <c r="X7" s="28" t="s">
        <v>0</v>
      </c>
      <c r="Y7" s="110" t="s">
        <v>0</v>
      </c>
      <c r="Z7" s="23" t="s">
        <v>0</v>
      </c>
    </row>
    <row r="8" ht="15.75" customHeight="1" spans="1:26" x14ac:dyDescent="0.25">
      <c r="A8" s="19" t="s">
        <v>276</v>
      </c>
      <c r="B8" s="27" t="s">
        <v>0</v>
      </c>
      <c r="C8" s="27" t="s">
        <v>0</v>
      </c>
      <c r="D8" s="27" t="s">
        <v>0</v>
      </c>
      <c r="E8" s="27" t="s">
        <v>0</v>
      </c>
      <c r="F8" s="27" t="s">
        <v>0</v>
      </c>
      <c r="G8" s="27" t="s">
        <v>0</v>
      </c>
      <c r="H8" s="27" t="s">
        <v>0</v>
      </c>
      <c r="I8" s="27" t="s">
        <v>0</v>
      </c>
      <c r="J8" s="188" t="s">
        <v>181</v>
      </c>
      <c r="K8" s="22" t="s">
        <v>119</v>
      </c>
      <c r="L8" s="23" t="s">
        <v>277</v>
      </c>
      <c r="M8" s="28" t="s">
        <v>0</v>
      </c>
      <c r="N8" s="28" t="s">
        <v>119</v>
      </c>
      <c r="O8" s="28" t="s">
        <v>0</v>
      </c>
      <c r="P8" s="28" t="s">
        <v>0</v>
      </c>
      <c r="Q8" s="28" t="s">
        <v>0</v>
      </c>
      <c r="R8" s="28" t="s">
        <v>0</v>
      </c>
      <c r="S8" s="28" t="s">
        <v>0</v>
      </c>
      <c r="T8" s="28" t="s">
        <v>0</v>
      </c>
      <c r="U8" s="28" t="s">
        <v>0</v>
      </c>
      <c r="V8" s="28" t="s">
        <v>0</v>
      </c>
      <c r="W8" s="28" t="s">
        <v>0</v>
      </c>
      <c r="X8" s="28" t="s">
        <v>0</v>
      </c>
      <c r="Y8" s="110" t="s">
        <v>0</v>
      </c>
      <c r="Z8" s="23" t="s">
        <v>119</v>
      </c>
    </row>
    <row r="9" ht="15.75" customHeight="1" spans="1:26" x14ac:dyDescent="0.25">
      <c r="A9" s="19" t="s">
        <v>278</v>
      </c>
      <c r="B9" s="27" t="s">
        <v>0</v>
      </c>
      <c r="C9" s="27" t="s">
        <v>279</v>
      </c>
      <c r="D9" s="27" t="s">
        <v>279</v>
      </c>
      <c r="E9" s="27" t="s">
        <v>279</v>
      </c>
      <c r="F9" s="27" t="s">
        <v>0</v>
      </c>
      <c r="G9" s="27" t="s">
        <v>0</v>
      </c>
      <c r="H9" s="27" t="s">
        <v>0</v>
      </c>
      <c r="I9" s="27" t="s">
        <v>0</v>
      </c>
      <c r="J9" s="188" t="s">
        <v>0</v>
      </c>
      <c r="K9" s="22" t="s">
        <v>0</v>
      </c>
      <c r="L9" s="23" t="s">
        <v>280</v>
      </c>
      <c r="M9" s="28" t="s">
        <v>0</v>
      </c>
      <c r="N9" s="28" t="s">
        <v>0</v>
      </c>
      <c r="O9" s="28" t="s">
        <v>0</v>
      </c>
      <c r="P9" s="28" t="s">
        <v>0</v>
      </c>
      <c r="Q9" s="28" t="s">
        <v>0</v>
      </c>
      <c r="R9" s="28" t="s">
        <v>0</v>
      </c>
      <c r="S9" s="28" t="s">
        <v>0</v>
      </c>
      <c r="T9" s="28" t="s">
        <v>0</v>
      </c>
      <c r="U9" s="28" t="s">
        <v>0</v>
      </c>
      <c r="V9" s="28" t="s">
        <v>0</v>
      </c>
      <c r="W9" s="28" t="s">
        <v>0</v>
      </c>
      <c r="X9" s="28" t="s">
        <v>0</v>
      </c>
      <c r="Y9" s="110" t="s">
        <v>0</v>
      </c>
      <c r="Z9" s="23" t="s">
        <v>0</v>
      </c>
    </row>
    <row r="10" ht="15.75" customHeight="1" spans="1:26" x14ac:dyDescent="0.25">
      <c r="A10" s="19" t="s">
        <v>281</v>
      </c>
      <c r="B10" s="27" t="s">
        <v>0</v>
      </c>
      <c r="C10" s="27" t="s">
        <v>282</v>
      </c>
      <c r="D10" s="27" t="s">
        <v>282</v>
      </c>
      <c r="E10" s="27" t="s">
        <v>282</v>
      </c>
      <c r="F10" s="27" t="s">
        <v>0</v>
      </c>
      <c r="G10" s="27" t="s">
        <v>0</v>
      </c>
      <c r="H10" s="27" t="s">
        <v>156</v>
      </c>
      <c r="I10" s="27" t="s">
        <v>156</v>
      </c>
      <c r="J10" s="188" t="s">
        <v>0</v>
      </c>
      <c r="K10" s="22" t="s">
        <v>0</v>
      </c>
      <c r="L10" s="23" t="s">
        <v>283</v>
      </c>
      <c r="M10" s="28" t="s">
        <v>0</v>
      </c>
      <c r="N10" s="28" t="s">
        <v>0</v>
      </c>
      <c r="O10" s="28" t="s">
        <v>0</v>
      </c>
      <c r="P10" s="28" t="s">
        <v>0</v>
      </c>
      <c r="Q10" s="28" t="s">
        <v>0</v>
      </c>
      <c r="R10" s="28" t="s">
        <v>0</v>
      </c>
      <c r="S10" s="28" t="s">
        <v>0</v>
      </c>
      <c r="T10" s="28" t="s">
        <v>0</v>
      </c>
      <c r="U10" s="28" t="s">
        <v>0</v>
      </c>
      <c r="V10" s="28" t="s">
        <v>0</v>
      </c>
      <c r="W10" s="28" t="s">
        <v>0</v>
      </c>
      <c r="X10" s="28" t="s">
        <v>0</v>
      </c>
      <c r="Y10" s="110" t="s">
        <v>0</v>
      </c>
      <c r="Z10" s="23" t="s">
        <v>0</v>
      </c>
    </row>
    <row r="11" ht="15.75" customHeight="1" spans="1:26" x14ac:dyDescent="0.25">
      <c r="A11" s="19" t="s">
        <v>284</v>
      </c>
      <c r="B11" s="27" t="s">
        <v>0</v>
      </c>
      <c r="C11" s="27" t="s">
        <v>285</v>
      </c>
      <c r="D11" s="27" t="s">
        <v>0</v>
      </c>
      <c r="E11" s="27" t="s">
        <v>0</v>
      </c>
      <c r="F11" s="27" t="s">
        <v>0</v>
      </c>
      <c r="G11" s="27" t="s">
        <v>0</v>
      </c>
      <c r="H11" s="27" t="s">
        <v>0</v>
      </c>
      <c r="I11" s="27" t="s">
        <v>0</v>
      </c>
      <c r="J11" s="188" t="s">
        <v>0</v>
      </c>
      <c r="K11" s="22" t="s">
        <v>0</v>
      </c>
      <c r="L11" s="23" t="s">
        <v>285</v>
      </c>
      <c r="M11" s="28" t="s">
        <v>0</v>
      </c>
      <c r="N11" s="28" t="s">
        <v>0</v>
      </c>
      <c r="O11" s="28" t="s">
        <v>0</v>
      </c>
      <c r="P11" s="28" t="s">
        <v>0</v>
      </c>
      <c r="Q11" s="28" t="s">
        <v>0</v>
      </c>
      <c r="R11" s="28" t="s">
        <v>0</v>
      </c>
      <c r="S11" s="28" t="s">
        <v>0</v>
      </c>
      <c r="T11" s="28" t="s">
        <v>0</v>
      </c>
      <c r="U11" s="28" t="s">
        <v>0</v>
      </c>
      <c r="V11" s="28" t="s">
        <v>0</v>
      </c>
      <c r="W11" s="28" t="s">
        <v>0</v>
      </c>
      <c r="X11" s="28" t="s">
        <v>0</v>
      </c>
      <c r="Y11" s="110" t="s">
        <v>0</v>
      </c>
      <c r="Z11" s="23" t="s">
        <v>0</v>
      </c>
    </row>
    <row r="12" ht="15.75" customHeight="1" spans="1:26" x14ac:dyDescent="0.25">
      <c r="A12" s="19" t="s">
        <v>286</v>
      </c>
      <c r="B12" s="27" t="s">
        <v>0</v>
      </c>
      <c r="C12" s="27" t="s">
        <v>0</v>
      </c>
      <c r="D12" s="27" t="s">
        <v>287</v>
      </c>
      <c r="E12" s="27" t="s">
        <v>282</v>
      </c>
      <c r="F12" s="27" t="s">
        <v>0</v>
      </c>
      <c r="G12" s="27" t="s">
        <v>124</v>
      </c>
      <c r="H12" s="27" t="s">
        <v>0</v>
      </c>
      <c r="I12" s="27" t="s">
        <v>0</v>
      </c>
      <c r="J12" s="188" t="s">
        <v>280</v>
      </c>
      <c r="K12" s="22" t="s">
        <v>0</v>
      </c>
      <c r="L12" s="23" t="s">
        <v>288</v>
      </c>
      <c r="M12" s="28" t="s">
        <v>0</v>
      </c>
      <c r="N12" s="28" t="s">
        <v>0</v>
      </c>
      <c r="O12" s="28" t="s">
        <v>0</v>
      </c>
      <c r="P12" s="28" t="s">
        <v>0</v>
      </c>
      <c r="Q12" s="28" t="s">
        <v>0</v>
      </c>
      <c r="R12" s="28" t="s">
        <v>0</v>
      </c>
      <c r="S12" s="28" t="s">
        <v>0</v>
      </c>
      <c r="T12" s="28" t="s">
        <v>0</v>
      </c>
      <c r="U12" s="28" t="s">
        <v>0</v>
      </c>
      <c r="V12" s="28" t="s">
        <v>0</v>
      </c>
      <c r="W12" s="28" t="s">
        <v>0</v>
      </c>
      <c r="X12" s="28" t="s">
        <v>0</v>
      </c>
      <c r="Y12" s="110" t="s">
        <v>0</v>
      </c>
      <c r="Z12" s="23" t="s">
        <v>0</v>
      </c>
    </row>
    <row r="13" ht="15.75" customHeight="1" spans="1:26" x14ac:dyDescent="0.25">
      <c r="A13" s="19" t="s">
        <v>289</v>
      </c>
      <c r="B13" s="27" t="s">
        <v>0</v>
      </c>
      <c r="C13" s="27" t="s">
        <v>0</v>
      </c>
      <c r="D13" s="27" t="s">
        <v>290</v>
      </c>
      <c r="E13" s="27" t="s">
        <v>0</v>
      </c>
      <c r="F13" s="27" t="s">
        <v>0</v>
      </c>
      <c r="G13" s="27" t="s">
        <v>0</v>
      </c>
      <c r="H13" s="27" t="s">
        <v>0</v>
      </c>
      <c r="I13" s="27" t="s">
        <v>0</v>
      </c>
      <c r="J13" s="188" t="s">
        <v>0</v>
      </c>
      <c r="K13" s="22" t="s">
        <v>0</v>
      </c>
      <c r="L13" s="23" t="s">
        <v>290</v>
      </c>
      <c r="M13" s="28" t="s">
        <v>0</v>
      </c>
      <c r="N13" s="28" t="s">
        <v>0</v>
      </c>
      <c r="O13" s="28" t="s">
        <v>0</v>
      </c>
      <c r="P13" s="28" t="s">
        <v>0</v>
      </c>
      <c r="Q13" s="28" t="s">
        <v>0</v>
      </c>
      <c r="R13" s="28" t="s">
        <v>0</v>
      </c>
      <c r="S13" s="28" t="s">
        <v>0</v>
      </c>
      <c r="T13" s="28" t="s">
        <v>0</v>
      </c>
      <c r="U13" s="28" t="s">
        <v>0</v>
      </c>
      <c r="V13" s="28" t="s">
        <v>0</v>
      </c>
      <c r="W13" s="28" t="s">
        <v>0</v>
      </c>
      <c r="X13" s="28" t="s">
        <v>0</v>
      </c>
      <c r="Y13" s="110" t="s">
        <v>0</v>
      </c>
      <c r="Z13" s="23" t="s">
        <v>0</v>
      </c>
    </row>
    <row r="14" ht="15.75" customHeight="1" spans="1:26" x14ac:dyDescent="0.25">
      <c r="A14" s="19" t="s">
        <v>291</v>
      </c>
      <c r="B14" s="27" t="s">
        <v>0</v>
      </c>
      <c r="C14" s="27" t="s">
        <v>0</v>
      </c>
      <c r="D14" s="27" t="s">
        <v>0</v>
      </c>
      <c r="E14" s="27" t="s">
        <v>0</v>
      </c>
      <c r="F14" s="27" t="s">
        <v>0</v>
      </c>
      <c r="G14" s="27" t="s">
        <v>0</v>
      </c>
      <c r="H14" s="27" t="s">
        <v>0</v>
      </c>
      <c r="I14" s="27" t="s">
        <v>0</v>
      </c>
      <c r="J14" s="188" t="s">
        <v>268</v>
      </c>
      <c r="K14" s="22" t="s">
        <v>0</v>
      </c>
      <c r="L14" s="23" t="s">
        <v>268</v>
      </c>
      <c r="M14" s="28" t="s">
        <v>0</v>
      </c>
      <c r="N14" s="28" t="s">
        <v>0</v>
      </c>
      <c r="O14" s="28" t="s">
        <v>0</v>
      </c>
      <c r="P14" s="28" t="s">
        <v>0</v>
      </c>
      <c r="Q14" s="28" t="s">
        <v>0</v>
      </c>
      <c r="R14" s="28" t="s">
        <v>0</v>
      </c>
      <c r="S14" s="28" t="s">
        <v>0</v>
      </c>
      <c r="T14" s="28" t="s">
        <v>0</v>
      </c>
      <c r="U14" s="28" t="s">
        <v>0</v>
      </c>
      <c r="V14" s="28" t="s">
        <v>0</v>
      </c>
      <c r="W14" s="28" t="s">
        <v>0</v>
      </c>
      <c r="X14" s="28" t="s">
        <v>0</v>
      </c>
      <c r="Y14" s="110" t="s">
        <v>0</v>
      </c>
      <c r="Z14" s="23" t="s">
        <v>0</v>
      </c>
    </row>
    <row r="15" ht="15.75" customHeight="1" spans="1:26" x14ac:dyDescent="0.25">
      <c r="A15" s="19" t="s">
        <v>19</v>
      </c>
      <c r="B15" s="27" t="s">
        <v>0</v>
      </c>
      <c r="C15" s="27" t="s">
        <v>279</v>
      </c>
      <c r="D15" s="27" t="s">
        <v>292</v>
      </c>
      <c r="E15" s="27" t="s">
        <v>293</v>
      </c>
      <c r="F15" s="27" t="s">
        <v>268</v>
      </c>
      <c r="G15" s="27" t="s">
        <v>0</v>
      </c>
      <c r="H15" s="27" t="s">
        <v>0</v>
      </c>
      <c r="I15" s="27" t="s">
        <v>0</v>
      </c>
      <c r="J15" s="188" t="s">
        <v>294</v>
      </c>
      <c r="K15" s="22" t="s">
        <v>0</v>
      </c>
      <c r="L15" s="23" t="s">
        <v>295</v>
      </c>
      <c r="M15" s="28" t="s">
        <v>0</v>
      </c>
      <c r="N15" s="28" t="s">
        <v>0</v>
      </c>
      <c r="O15" s="28" t="s">
        <v>0</v>
      </c>
      <c r="P15" s="28" t="s">
        <v>0</v>
      </c>
      <c r="Q15" s="28" t="s">
        <v>0</v>
      </c>
      <c r="R15" s="28" t="s">
        <v>0</v>
      </c>
      <c r="S15" s="28" t="s">
        <v>0</v>
      </c>
      <c r="T15" s="28" t="s">
        <v>0</v>
      </c>
      <c r="U15" s="28" t="s">
        <v>0</v>
      </c>
      <c r="V15" s="28" t="s">
        <v>0</v>
      </c>
      <c r="W15" s="28" t="s">
        <v>0</v>
      </c>
      <c r="X15" s="28" t="s">
        <v>0</v>
      </c>
      <c r="Y15" s="110" t="s">
        <v>0</v>
      </c>
      <c r="Z15" s="23" t="s">
        <v>0</v>
      </c>
    </row>
    <row r="16" ht="15.75" customHeight="1" spans="1:26" x14ac:dyDescent="0.25">
      <c r="A16" s="19" t="s">
        <v>296</v>
      </c>
      <c r="B16" s="27" t="s">
        <v>0</v>
      </c>
      <c r="C16" s="27" t="s">
        <v>297</v>
      </c>
      <c r="D16" s="27" t="s">
        <v>293</v>
      </c>
      <c r="E16" s="27" t="s">
        <v>0</v>
      </c>
      <c r="F16" s="27" t="s">
        <v>0</v>
      </c>
      <c r="G16" s="27" t="s">
        <v>298</v>
      </c>
      <c r="H16" s="27" t="s">
        <v>0</v>
      </c>
      <c r="I16" s="27" t="s">
        <v>0</v>
      </c>
      <c r="J16" s="188" t="s">
        <v>0</v>
      </c>
      <c r="K16" s="22" t="s">
        <v>0</v>
      </c>
      <c r="L16" s="23" t="s">
        <v>299</v>
      </c>
      <c r="M16" s="28" t="s">
        <v>0</v>
      </c>
      <c r="N16" s="28" t="s">
        <v>0</v>
      </c>
      <c r="O16" s="28" t="s">
        <v>0</v>
      </c>
      <c r="P16" s="28" t="s">
        <v>0</v>
      </c>
      <c r="Q16" s="28" t="s">
        <v>0</v>
      </c>
      <c r="R16" s="28" t="s">
        <v>0</v>
      </c>
      <c r="S16" s="28" t="s">
        <v>0</v>
      </c>
      <c r="T16" s="28" t="s">
        <v>0</v>
      </c>
      <c r="U16" s="28" t="s">
        <v>0</v>
      </c>
      <c r="V16" s="28" t="s">
        <v>0</v>
      </c>
      <c r="W16" s="28" t="s">
        <v>0</v>
      </c>
      <c r="X16" s="28" t="s">
        <v>0</v>
      </c>
      <c r="Y16" s="110" t="s">
        <v>0</v>
      </c>
      <c r="Z16" s="23" t="s">
        <v>0</v>
      </c>
    </row>
    <row r="17" ht="15.75" customHeight="1" spans="1:26" x14ac:dyDescent="0.25">
      <c r="A17" s="19" t="s">
        <v>300</v>
      </c>
      <c r="B17" s="27" t="s">
        <v>0</v>
      </c>
      <c r="C17" s="27" t="s">
        <v>0</v>
      </c>
      <c r="D17" s="27" t="s">
        <v>0</v>
      </c>
      <c r="E17" s="27" t="s">
        <v>0</v>
      </c>
      <c r="F17" s="27" t="s">
        <v>0</v>
      </c>
      <c r="G17" s="27" t="s">
        <v>0</v>
      </c>
      <c r="H17" s="27" t="s">
        <v>0</v>
      </c>
      <c r="I17" s="27" t="s">
        <v>0</v>
      </c>
      <c r="J17" s="188" t="s">
        <v>301</v>
      </c>
      <c r="K17" s="22" t="s">
        <v>302</v>
      </c>
      <c r="L17" s="23" t="s">
        <v>303</v>
      </c>
      <c r="M17" s="28" t="s">
        <v>304</v>
      </c>
      <c r="N17" s="28" t="s">
        <v>305</v>
      </c>
      <c r="O17" s="28" t="s">
        <v>306</v>
      </c>
      <c r="P17" s="28" t="s">
        <v>0</v>
      </c>
      <c r="Q17" s="28" t="s">
        <v>307</v>
      </c>
      <c r="R17" s="28" t="s">
        <v>307</v>
      </c>
      <c r="S17" s="28" t="s">
        <v>0</v>
      </c>
      <c r="T17" s="28" t="s">
        <v>0</v>
      </c>
      <c r="U17" s="28" t="s">
        <v>0</v>
      </c>
      <c r="V17" s="28" t="s">
        <v>0</v>
      </c>
      <c r="W17" s="28" t="s">
        <v>0</v>
      </c>
      <c r="X17" s="28" t="s">
        <v>0</v>
      </c>
      <c r="Y17" s="110" t="s">
        <v>0</v>
      </c>
      <c r="Z17" s="23" t="s">
        <v>302</v>
      </c>
    </row>
    <row r="18" ht="15.75" customHeight="1" spans="1:26" x14ac:dyDescent="0.25">
      <c r="A18" s="31" t="s">
        <v>308</v>
      </c>
      <c r="B18" s="27" t="s">
        <v>0</v>
      </c>
      <c r="C18" s="27" t="s">
        <v>0</v>
      </c>
      <c r="D18" s="27" t="s">
        <v>0</v>
      </c>
      <c r="E18" s="27" t="s">
        <v>0</v>
      </c>
      <c r="F18" s="27" t="s">
        <v>0</v>
      </c>
      <c r="G18" s="27" t="s">
        <v>0</v>
      </c>
      <c r="H18" s="27" t="s">
        <v>0</v>
      </c>
      <c r="I18" s="27" t="s">
        <v>0</v>
      </c>
      <c r="J18" s="188" t="s">
        <v>309</v>
      </c>
      <c r="K18" s="22" t="s">
        <v>0</v>
      </c>
      <c r="L18" s="23" t="s">
        <v>309</v>
      </c>
      <c r="M18" s="28" t="s">
        <v>0</v>
      </c>
      <c r="N18" s="28" t="s">
        <v>0</v>
      </c>
      <c r="O18" s="28" t="s">
        <v>0</v>
      </c>
      <c r="P18" s="28" t="s">
        <v>0</v>
      </c>
      <c r="Q18" s="28" t="s">
        <v>0</v>
      </c>
      <c r="R18" s="28" t="s">
        <v>0</v>
      </c>
      <c r="S18" s="28" t="s">
        <v>0</v>
      </c>
      <c r="T18" s="28" t="s">
        <v>0</v>
      </c>
      <c r="U18" s="28" t="s">
        <v>0</v>
      </c>
      <c r="V18" s="28" t="s">
        <v>0</v>
      </c>
      <c r="W18" s="28" t="s">
        <v>0</v>
      </c>
      <c r="X18" s="28" t="s">
        <v>0</v>
      </c>
      <c r="Y18" s="110" t="s">
        <v>0</v>
      </c>
      <c r="Z18" s="23" t="s">
        <v>0</v>
      </c>
    </row>
    <row r="19" ht="15.75" customHeight="1" spans="1:26" x14ac:dyDescent="0.25">
      <c r="A19" s="26" t="s">
        <v>43</v>
      </c>
      <c r="B19" s="27" t="s">
        <v>0</v>
      </c>
      <c r="C19" s="27" t="s">
        <v>150</v>
      </c>
      <c r="D19" s="27" t="s">
        <v>310</v>
      </c>
      <c r="E19" s="27" t="s">
        <v>279</v>
      </c>
      <c r="F19" s="27" t="s">
        <v>150</v>
      </c>
      <c r="G19" s="27" t="s">
        <v>124</v>
      </c>
      <c r="H19" s="27" t="s">
        <v>311</v>
      </c>
      <c r="I19" s="27" t="s">
        <v>282</v>
      </c>
      <c r="J19" s="188" t="s">
        <v>312</v>
      </c>
      <c r="K19" s="22" t="s">
        <v>0</v>
      </c>
      <c r="L19" s="23" t="s">
        <v>313</v>
      </c>
      <c r="M19" s="28" t="s">
        <v>0</v>
      </c>
      <c r="N19" s="28" t="s">
        <v>0</v>
      </c>
      <c r="O19" s="28" t="s">
        <v>0</v>
      </c>
      <c r="P19" s="28" t="s">
        <v>0</v>
      </c>
      <c r="Q19" s="28" t="s">
        <v>0</v>
      </c>
      <c r="R19" s="28" t="s">
        <v>0</v>
      </c>
      <c r="S19" s="28" t="s">
        <v>0</v>
      </c>
      <c r="T19" s="28" t="s">
        <v>0</v>
      </c>
      <c r="U19" s="28" t="s">
        <v>0</v>
      </c>
      <c r="V19" s="28" t="s">
        <v>0</v>
      </c>
      <c r="W19" s="28" t="s">
        <v>0</v>
      </c>
      <c r="X19" s="28" t="s">
        <v>0</v>
      </c>
      <c r="Y19" s="110" t="s">
        <v>0</v>
      </c>
      <c r="Z19" s="23" t="s">
        <v>0</v>
      </c>
    </row>
    <row r="20" ht="15.75" customHeight="1" spans="1:26" x14ac:dyDescent="0.25">
      <c r="A20" s="26" t="s">
        <v>33</v>
      </c>
      <c r="B20" s="27" t="s">
        <v>0</v>
      </c>
      <c r="C20" s="27" t="s">
        <v>314</v>
      </c>
      <c r="D20" s="27" t="s">
        <v>315</v>
      </c>
      <c r="E20" s="27" t="s">
        <v>279</v>
      </c>
      <c r="F20" s="27" t="s">
        <v>310</v>
      </c>
      <c r="G20" s="27" t="s">
        <v>0</v>
      </c>
      <c r="H20" s="27" t="s">
        <v>279</v>
      </c>
      <c r="I20" s="27" t="s">
        <v>0</v>
      </c>
      <c r="J20" s="188" t="s">
        <v>268</v>
      </c>
      <c r="K20" s="22" t="s">
        <v>150</v>
      </c>
      <c r="L20" s="23" t="s">
        <v>316</v>
      </c>
      <c r="M20" s="28" t="s">
        <v>0</v>
      </c>
      <c r="N20" s="28" t="s">
        <v>0</v>
      </c>
      <c r="O20" s="28" t="s">
        <v>0</v>
      </c>
      <c r="P20" s="28" t="s">
        <v>0</v>
      </c>
      <c r="Q20" s="28" t="s">
        <v>150</v>
      </c>
      <c r="R20" s="28" t="s">
        <v>0</v>
      </c>
      <c r="S20" s="28" t="s">
        <v>0</v>
      </c>
      <c r="T20" s="28" t="s">
        <v>0</v>
      </c>
      <c r="U20" s="28" t="s">
        <v>0</v>
      </c>
      <c r="V20" s="28" t="s">
        <v>0</v>
      </c>
      <c r="W20" s="28" t="s">
        <v>0</v>
      </c>
      <c r="X20" s="28" t="s">
        <v>0</v>
      </c>
      <c r="Y20" s="110" t="s">
        <v>0</v>
      </c>
      <c r="Z20" s="23" t="s">
        <v>150</v>
      </c>
    </row>
    <row r="21" ht="15.75" customHeight="1" spans="1:26" x14ac:dyDescent="0.25">
      <c r="A21" s="26" t="s">
        <v>41</v>
      </c>
      <c r="B21" s="27" t="s">
        <v>0</v>
      </c>
      <c r="C21" s="27" t="s">
        <v>0</v>
      </c>
      <c r="D21" s="27" t="s">
        <v>280</v>
      </c>
      <c r="E21" s="27" t="s">
        <v>279</v>
      </c>
      <c r="F21" s="27" t="s">
        <v>280</v>
      </c>
      <c r="G21" s="27" t="s">
        <v>0</v>
      </c>
      <c r="H21" s="27" t="s">
        <v>0</v>
      </c>
      <c r="I21" s="27" t="s">
        <v>0</v>
      </c>
      <c r="J21" s="188" t="s">
        <v>0</v>
      </c>
      <c r="K21" s="22" t="s">
        <v>0</v>
      </c>
      <c r="L21" s="23" t="s">
        <v>317</v>
      </c>
      <c r="M21" s="28" t="s">
        <v>0</v>
      </c>
      <c r="N21" s="28" t="s">
        <v>0</v>
      </c>
      <c r="O21" s="28" t="s">
        <v>0</v>
      </c>
      <c r="P21" s="28" t="s">
        <v>0</v>
      </c>
      <c r="Q21" s="28" t="s">
        <v>0</v>
      </c>
      <c r="R21" s="28" t="s">
        <v>0</v>
      </c>
      <c r="S21" s="28" t="s">
        <v>0</v>
      </c>
      <c r="T21" s="28" t="s">
        <v>0</v>
      </c>
      <c r="U21" s="28" t="s">
        <v>0</v>
      </c>
      <c r="V21" s="28" t="s">
        <v>0</v>
      </c>
      <c r="W21" s="28" t="s">
        <v>0</v>
      </c>
      <c r="X21" s="28" t="s">
        <v>0</v>
      </c>
      <c r="Y21" s="189" t="s">
        <v>0</v>
      </c>
      <c r="Z21" s="23" t="s">
        <v>0</v>
      </c>
    </row>
    <row r="22" ht="15.75" customHeight="1" spans="1:26" x14ac:dyDescent="0.25">
      <c r="A22" s="26" t="s">
        <v>60</v>
      </c>
      <c r="B22" s="27" t="s">
        <v>0</v>
      </c>
      <c r="C22" s="27" t="s">
        <v>0</v>
      </c>
      <c r="D22" s="27" t="s">
        <v>0</v>
      </c>
      <c r="E22" s="27" t="s">
        <v>0</v>
      </c>
      <c r="F22" s="27" t="s">
        <v>0</v>
      </c>
      <c r="G22" s="27" t="s">
        <v>0</v>
      </c>
      <c r="H22" s="27" t="s">
        <v>0</v>
      </c>
      <c r="I22" s="27" t="s">
        <v>0</v>
      </c>
      <c r="J22" s="188" t="s">
        <v>318</v>
      </c>
      <c r="K22" s="22" t="s">
        <v>0</v>
      </c>
      <c r="L22" s="23" t="s">
        <v>318</v>
      </c>
      <c r="M22" s="28" t="s">
        <v>0</v>
      </c>
      <c r="N22" s="28" t="s">
        <v>0</v>
      </c>
      <c r="O22" s="28" t="s">
        <v>0</v>
      </c>
      <c r="P22" s="28" t="s">
        <v>0</v>
      </c>
      <c r="Q22" s="28" t="s">
        <v>0</v>
      </c>
      <c r="R22" s="28" t="s">
        <v>0</v>
      </c>
      <c r="S22" s="28" t="s">
        <v>0</v>
      </c>
      <c r="T22" s="28" t="s">
        <v>0</v>
      </c>
      <c r="U22" s="28" t="s">
        <v>0</v>
      </c>
      <c r="V22" s="28" t="s">
        <v>0</v>
      </c>
      <c r="W22" s="28" t="s">
        <v>0</v>
      </c>
      <c r="X22" s="28" t="s">
        <v>0</v>
      </c>
      <c r="Y22" s="189" t="s">
        <v>0</v>
      </c>
      <c r="Z22" s="23" t="s">
        <v>0</v>
      </c>
    </row>
    <row r="23" ht="15.75" customHeight="1" spans="1:26" x14ac:dyDescent="0.25">
      <c r="A23" s="26" t="s">
        <v>45</v>
      </c>
      <c r="B23" s="30" t="s">
        <v>0</v>
      </c>
      <c r="C23" s="30" t="s">
        <v>0</v>
      </c>
      <c r="D23" s="30" t="s">
        <v>0</v>
      </c>
      <c r="E23" s="30" t="s">
        <v>0</v>
      </c>
      <c r="F23" s="30" t="s">
        <v>0</v>
      </c>
      <c r="G23" s="30" t="s">
        <v>0</v>
      </c>
      <c r="H23" s="30" t="s">
        <v>0</v>
      </c>
      <c r="I23" s="30" t="s">
        <v>0</v>
      </c>
      <c r="J23" s="190" t="s">
        <v>319</v>
      </c>
      <c r="K23" s="22" t="s">
        <v>320</v>
      </c>
      <c r="L23" s="23" t="s">
        <v>321</v>
      </c>
      <c r="M23" s="191" t="s">
        <v>322</v>
      </c>
      <c r="N23" s="191" t="s">
        <v>323</v>
      </c>
      <c r="O23" s="191" t="s">
        <v>49</v>
      </c>
      <c r="P23" s="191" t="s">
        <v>324</v>
      </c>
      <c r="Q23" s="191" t="s">
        <v>325</v>
      </c>
      <c r="R23" s="191" t="s">
        <v>167</v>
      </c>
      <c r="S23" s="191" t="s">
        <v>0</v>
      </c>
      <c r="T23" s="191" t="s">
        <v>0</v>
      </c>
      <c r="U23" s="191" t="s">
        <v>0</v>
      </c>
      <c r="V23" s="191" t="s">
        <v>0</v>
      </c>
      <c r="W23" s="191" t="s">
        <v>0</v>
      </c>
      <c r="X23" s="191" t="s">
        <v>0</v>
      </c>
      <c r="Y23" s="191" t="s">
        <v>0</v>
      </c>
      <c r="Z23" s="23" t="s">
        <v>320</v>
      </c>
    </row>
    <row r="24" ht="16.5" customHeight="1" spans="1:26" x14ac:dyDescent="0.25">
      <c r="A24" s="34" t="s">
        <v>0</v>
      </c>
      <c r="B24" s="37" t="s">
        <v>0</v>
      </c>
      <c r="C24" s="37" t="s">
        <v>326</v>
      </c>
      <c r="D24" s="37" t="s">
        <v>327</v>
      </c>
      <c r="E24" s="37" t="s">
        <v>328</v>
      </c>
      <c r="F24" s="37" t="s">
        <v>329</v>
      </c>
      <c r="G24" s="37" t="s">
        <v>330</v>
      </c>
      <c r="H24" s="37" t="s">
        <v>331</v>
      </c>
      <c r="I24" s="37" t="s">
        <v>332</v>
      </c>
      <c r="J24" s="37" t="s">
        <v>333</v>
      </c>
      <c r="K24" s="37" t="s">
        <v>334</v>
      </c>
      <c r="L24" s="192" t="s">
        <v>335</v>
      </c>
      <c r="M24" s="37" t="s">
        <v>336</v>
      </c>
      <c r="N24" s="37" t="s">
        <v>337</v>
      </c>
      <c r="O24" s="37" t="s">
        <v>338</v>
      </c>
      <c r="P24" s="37" t="s">
        <v>324</v>
      </c>
      <c r="Q24" s="37" t="s">
        <v>339</v>
      </c>
      <c r="R24" s="37" t="s">
        <v>340</v>
      </c>
      <c r="S24" s="37" t="s">
        <v>0</v>
      </c>
      <c r="T24" s="37" t="s">
        <v>0</v>
      </c>
      <c r="U24" s="37" t="s">
        <v>0</v>
      </c>
      <c r="V24" s="37" t="s">
        <v>0</v>
      </c>
      <c r="W24" s="37" t="s">
        <v>0</v>
      </c>
      <c r="X24" s="37" t="s">
        <v>0</v>
      </c>
      <c r="Y24" s="193" t="s">
        <v>73</v>
      </c>
      <c r="Z24" s="38" t="s">
        <v>334</v>
      </c>
    </row>
    <row r="25" ht="16.5" customHeight="1" spans="1:26"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c r="T25" t="s">
        <v>0</v>
      </c>
      <c r="U25" t="s">
        <v>0</v>
      </c>
      <c r="V25" t="s">
        <v>0</v>
      </c>
      <c r="W25" t="s">
        <v>0</v>
      </c>
      <c r="X25" t="s">
        <v>0</v>
      </c>
      <c r="Y25" t="s">
        <v>0</v>
      </c>
      <c r="Z25" t="s">
        <v>0</v>
      </c>
    </row>
    <row r="26" ht="15.75" customHeight="1" spans="1:26"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c r="U26" t="s">
        <v>0</v>
      </c>
      <c r="V26" t="s">
        <v>0</v>
      </c>
      <c r="W26" t="s">
        <v>0</v>
      </c>
      <c r="X26" t="s">
        <v>0</v>
      </c>
      <c r="Y26" t="s">
        <v>0</v>
      </c>
      <c r="Z26" t="s">
        <v>0</v>
      </c>
    </row>
    <row r="27" ht="16.5" customHeight="1" spans="1:26" x14ac:dyDescent="0.25">
      <c r="A27" s="40" t="s">
        <v>74</v>
      </c>
      <c r="B27" s="41" t="s">
        <v>341</v>
      </c>
      <c r="C27" s="42"/>
      <c r="D27" s="42"/>
      <c r="E27" s="42"/>
      <c r="F27" s="42"/>
      <c r="G27" s="42"/>
      <c r="H27" s="42"/>
      <c r="I27" s="42"/>
      <c r="J27" s="42"/>
      <c r="K27" s="42"/>
      <c r="L27" s="43"/>
      <c r="M27" s="41" t="s">
        <v>76</v>
      </c>
      <c r="N27" s="43"/>
      <c r="O27" s="44" t="s">
        <v>77</v>
      </c>
      <c r="P27" s="45"/>
      <c r="Q27" t="s">
        <v>0</v>
      </c>
      <c r="R27" t="s">
        <v>0</v>
      </c>
      <c r="S27" t="s">
        <v>0</v>
      </c>
      <c r="T27" t="s">
        <v>0</v>
      </c>
      <c r="U27" t="s">
        <v>0</v>
      </c>
      <c r="V27" t="s">
        <v>0</v>
      </c>
      <c r="W27" t="s">
        <v>0</v>
      </c>
      <c r="X27" t="s">
        <v>0</v>
      </c>
      <c r="Y27" t="s">
        <v>0</v>
      </c>
      <c r="Z27" t="s">
        <v>0</v>
      </c>
    </row>
    <row r="28" ht="15" customHeight="1" spans="1:26" x14ac:dyDescent="0.25">
      <c r="A28" s="194" t="s">
        <v>0</v>
      </c>
      <c r="B28" s="127"/>
      <c r="C28" s="128"/>
      <c r="D28" s="128"/>
      <c r="E28" s="128"/>
      <c r="F28" s="128"/>
      <c r="G28" s="128"/>
      <c r="H28" s="128"/>
      <c r="I28" s="128"/>
      <c r="J28" s="128"/>
      <c r="K28" s="128"/>
      <c r="L28" s="129"/>
      <c r="M28" s="50"/>
      <c r="N28" s="51"/>
      <c r="O28" s="52"/>
      <c r="P28" s="53"/>
      <c r="Q28" t="s">
        <v>0</v>
      </c>
      <c r="R28" t="s">
        <v>0</v>
      </c>
      <c r="S28" t="s">
        <v>0</v>
      </c>
      <c r="T28" t="s">
        <v>0</v>
      </c>
      <c r="U28" t="s">
        <v>0</v>
      </c>
      <c r="V28" t="s">
        <v>0</v>
      </c>
      <c r="W28" t="s">
        <v>0</v>
      </c>
      <c r="X28" t="s">
        <v>0</v>
      </c>
      <c r="Y28" t="s">
        <v>0</v>
      </c>
      <c r="Z28" t="s">
        <v>0</v>
      </c>
    </row>
    <row r="29" spans="1:26" x14ac:dyDescent="0.25">
      <c r="A29" s="195" t="s">
        <v>0</v>
      </c>
      <c r="B29" s="64"/>
      <c r="C29" s="140"/>
      <c r="D29" s="140"/>
      <c r="E29" s="140"/>
      <c r="F29" s="140"/>
      <c r="G29" s="140"/>
      <c r="H29" s="140"/>
      <c r="I29" s="140"/>
      <c r="J29" s="140"/>
      <c r="K29" s="140"/>
      <c r="L29" s="65"/>
      <c r="M29" s="55"/>
      <c r="N29" s="57"/>
      <c r="O29" s="58"/>
      <c r="P29" s="59"/>
      <c r="Q29" t="s">
        <v>0</v>
      </c>
      <c r="R29" t="s">
        <v>0</v>
      </c>
      <c r="S29" t="s">
        <v>0</v>
      </c>
      <c r="T29" t="s">
        <v>0</v>
      </c>
      <c r="U29" t="s">
        <v>0</v>
      </c>
      <c r="V29" t="s">
        <v>0</v>
      </c>
      <c r="W29" t="s">
        <v>0</v>
      </c>
      <c r="X29" t="s">
        <v>0</v>
      </c>
      <c r="Y29" t="s">
        <v>0</v>
      </c>
      <c r="Z29" t="s">
        <v>0</v>
      </c>
    </row>
    <row r="30" ht="27.75" customHeight="1" spans="1:26" x14ac:dyDescent="0.25">
      <c r="A30" s="195" t="s">
        <v>0</v>
      </c>
      <c r="B30" s="61"/>
      <c r="C30" s="62"/>
      <c r="D30" s="62"/>
      <c r="E30" s="62"/>
      <c r="F30" s="62"/>
      <c r="G30" s="62"/>
      <c r="H30" s="62"/>
      <c r="I30" s="62"/>
      <c r="J30" s="62"/>
      <c r="K30" s="62"/>
      <c r="L30" s="63"/>
      <c r="M30" s="64"/>
      <c r="N30" s="65"/>
      <c r="O30" s="141"/>
      <c r="P30" s="142"/>
      <c r="Q30" t="s">
        <v>0</v>
      </c>
      <c r="R30" t="s">
        <v>0</v>
      </c>
      <c r="S30" t="s">
        <v>0</v>
      </c>
      <c r="T30" t="s">
        <v>0</v>
      </c>
      <c r="U30" t="s">
        <v>0</v>
      </c>
      <c r="V30" t="s">
        <v>0</v>
      </c>
      <c r="W30" t="s">
        <v>0</v>
      </c>
      <c r="X30" t="s">
        <v>0</v>
      </c>
      <c r="Y30" t="s">
        <v>0</v>
      </c>
      <c r="Z30" t="s">
        <v>0</v>
      </c>
    </row>
    <row r="31" ht="15" customHeight="1" spans="1:26" x14ac:dyDescent="0.25">
      <c r="A31" s="196" t="s">
        <v>0</v>
      </c>
      <c r="B31" s="61"/>
      <c r="C31" s="62"/>
      <c r="D31" s="62"/>
      <c r="E31" s="62"/>
      <c r="F31" s="62"/>
      <c r="G31" s="62"/>
      <c r="H31" s="62"/>
      <c r="I31" s="62"/>
      <c r="J31" s="62"/>
      <c r="K31" s="62"/>
      <c r="L31" s="63"/>
      <c r="M31" s="64"/>
      <c r="N31" s="65"/>
      <c r="O31" s="141"/>
      <c r="P31" s="142"/>
      <c r="Q31" t="s">
        <v>0</v>
      </c>
      <c r="R31" t="s">
        <v>0</v>
      </c>
      <c r="S31" t="s">
        <v>0</v>
      </c>
      <c r="T31" t="s">
        <v>0</v>
      </c>
      <c r="U31" t="s">
        <v>0</v>
      </c>
      <c r="V31" t="s">
        <v>0</v>
      </c>
      <c r="W31" t="s">
        <v>0</v>
      </c>
      <c r="X31" t="s">
        <v>0</v>
      </c>
      <c r="Y31" t="s">
        <v>0</v>
      </c>
      <c r="Z31" t="s">
        <v>0</v>
      </c>
    </row>
    <row r="32" spans="1:26" x14ac:dyDescent="0.25">
      <c r="A32" s="60" t="s">
        <v>0</v>
      </c>
      <c r="B32" s="158"/>
      <c r="C32" s="197"/>
      <c r="D32" s="197"/>
      <c r="E32" s="197"/>
      <c r="F32" s="197"/>
      <c r="G32" s="197"/>
      <c r="H32" s="197"/>
      <c r="I32" s="197"/>
      <c r="J32" s="197"/>
      <c r="K32" s="197"/>
      <c r="L32" s="159"/>
      <c r="M32" s="158"/>
      <c r="N32" s="159"/>
      <c r="O32" s="158"/>
      <c r="P32" s="159"/>
      <c r="Q32" t="s">
        <v>0</v>
      </c>
      <c r="R32" t="s">
        <v>0</v>
      </c>
      <c r="S32" t="s">
        <v>0</v>
      </c>
      <c r="T32" t="s">
        <v>0</v>
      </c>
      <c r="U32" t="s">
        <v>0</v>
      </c>
      <c r="V32" t="s">
        <v>0</v>
      </c>
      <c r="W32" t="s">
        <v>0</v>
      </c>
      <c r="X32" t="s">
        <v>0</v>
      </c>
      <c r="Y32" t="s">
        <v>0</v>
      </c>
      <c r="Z32" t="s">
        <v>0</v>
      </c>
    </row>
    <row r="33" ht="15.75" customHeight="1" spans="1:26" x14ac:dyDescent="0.25">
      <c r="A33" s="87" t="s">
        <v>0</v>
      </c>
      <c r="B33" s="174"/>
      <c r="C33" s="179"/>
      <c r="D33" s="179"/>
      <c r="E33" s="179"/>
      <c r="F33" s="179"/>
      <c r="G33" s="179"/>
      <c r="H33" s="179"/>
      <c r="I33" s="179"/>
      <c r="J33" s="179"/>
      <c r="K33" s="179"/>
      <c r="L33" s="175"/>
      <c r="M33" s="174"/>
      <c r="N33" s="175"/>
      <c r="O33" s="174"/>
      <c r="P33" s="175"/>
      <c r="Q33" t="s">
        <v>0</v>
      </c>
      <c r="R33" t="s">
        <v>0</v>
      </c>
      <c r="S33" t="s">
        <v>0</v>
      </c>
      <c r="T33" t="s">
        <v>0</v>
      </c>
      <c r="U33" t="s">
        <v>0</v>
      </c>
      <c r="V33" t="s">
        <v>0</v>
      </c>
      <c r="W33" t="s">
        <v>0</v>
      </c>
      <c r="X33" t="s">
        <v>0</v>
      </c>
      <c r="Y33" t="s">
        <v>0</v>
      </c>
      <c r="Z33" t="s">
        <v>0</v>
      </c>
    </row>
    <row r="34" ht="15.75" customHeight="1" spans="1:26" x14ac:dyDescent="0.25">
      <c r="A34" s="93" t="s">
        <v>0</v>
      </c>
      <c r="B34" s="94"/>
      <c r="C34" s="95"/>
      <c r="D34" s="95"/>
      <c r="E34" s="95"/>
      <c r="F34" s="95"/>
      <c r="G34" s="95"/>
      <c r="H34" s="95"/>
      <c r="I34" s="95"/>
      <c r="J34" s="95"/>
      <c r="K34" s="95"/>
      <c r="L34" s="96"/>
      <c r="M34" s="97" t="s">
        <v>96</v>
      </c>
      <c r="N34" s="98"/>
      <c r="O34" s="99">
        <f>SUM(O28:P33)</f>
        <v>0</v>
      </c>
      <c r="P34" s="100"/>
      <c r="Q34" t="s">
        <v>0</v>
      </c>
      <c r="R34" t="s">
        <v>0</v>
      </c>
      <c r="S34" t="s">
        <v>0</v>
      </c>
      <c r="T34" t="s">
        <v>0</v>
      </c>
      <c r="U34" t="s">
        <v>0</v>
      </c>
      <c r="V34" t="s">
        <v>0</v>
      </c>
      <c r="W34" t="s">
        <v>0</v>
      </c>
      <c r="X34" t="s">
        <v>0</v>
      </c>
      <c r="Y34" t="s">
        <v>0</v>
      </c>
      <c r="Z34" t="s">
        <v>0</v>
      </c>
    </row>
  </sheetData>
  <mergeCells count="26">
    <mergeCell ref="C1:I1"/>
    <mergeCell ref="J1:Z1"/>
    <mergeCell ref="B27:L27"/>
    <mergeCell ref="M27:N27"/>
    <mergeCell ref="O27:P27"/>
    <mergeCell ref="B28:L28"/>
    <mergeCell ref="M28:N28"/>
    <mergeCell ref="O28:P28"/>
    <mergeCell ref="B29:L29"/>
    <mergeCell ref="M29:N29"/>
    <mergeCell ref="O29:P29"/>
    <mergeCell ref="B30:L30"/>
    <mergeCell ref="M30:N30"/>
    <mergeCell ref="O30:P30"/>
    <mergeCell ref="B31:L31"/>
    <mergeCell ref="M31:N31"/>
    <mergeCell ref="O31:P31"/>
    <mergeCell ref="B32:L32"/>
    <mergeCell ref="M32:N32"/>
    <mergeCell ref="O32:P32"/>
    <mergeCell ref="B33:L33"/>
    <mergeCell ref="M33:N33"/>
    <mergeCell ref="O33:P33"/>
    <mergeCell ref="B34:L34"/>
    <mergeCell ref="M34:N34"/>
    <mergeCell ref="O34:P34"/>
  </mergeCells>
  <pageMargins left="0.7" right="0.7" top="0.75" bottom="0.75" header="0.3" footer="0.3"/>
  <pageSetup paperSize="256" orientation="landscape" horizontalDpi="4294967293" verticalDpi="0" scale="60" fitToWidth="1" fitToHeight="0" firstPageNumber="1" useFirstPageNumber="1" copies="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4"/>
  <sheetViews>
    <sheetView workbookViewId="0" zoomScale="90" zoomScaleNormal="90">
      <selection activeCell="I24" sqref="I24"/>
    </sheetView>
  </sheetViews>
  <sheetFormatPr defaultRowHeight="15" outlineLevelRow="0" outlineLevelCol="0" x14ac:dyDescent="0.25"/>
  <cols>
    <col min="1" max="1" width="39.7109375" customWidth="1"/>
    <col min="2" max="2" width="9.85546875" hidden="1" customWidth="1"/>
    <col min="3" max="3" width="15" customWidth="1"/>
    <col min="4" max="4" width="16" customWidth="1"/>
    <col min="5" max="5" width="17.85546875" customWidth="1"/>
    <col min="6" max="6" width="15" customWidth="1"/>
    <col min="7" max="7" width="16.28515625" customWidth="1"/>
    <col min="8" max="8" width="17.7109375" customWidth="1"/>
    <col min="9" max="9" width="13.7109375" customWidth="1"/>
    <col min="10" max="10" width="18.5703125" customWidth="1"/>
    <col min="11" max="11" width="15.7109375" customWidth="1"/>
    <col min="12" max="12" width="15" customWidth="1"/>
    <col min="13" max="13" width="13.42578125" customWidth="1"/>
    <col min="14" max="14" width="10.5703125" customWidth="1"/>
    <col min="15" max="15" width="12.140625" customWidth="1"/>
    <col min="16" max="16" width="14" customWidth="1"/>
    <col min="17" max="17" width="12.85546875" customWidth="1"/>
    <col min="18" max="18" width="12.140625" customWidth="1"/>
    <col min="19" max="19" width="13.85546875" customWidth="1"/>
    <col min="20" max="20" width="12.28515625" customWidth="1"/>
    <col min="21" max="21" width="11.5703125" customWidth="1"/>
    <col min="22" max="22" width="11.42578125" customWidth="1"/>
    <col min="23" max="23" width="12" customWidth="1"/>
    <col min="24" max="25" width="12.7109375" customWidth="1"/>
    <col min="26" max="26" width="13.7109375" customWidth="1"/>
    <col min="27" max="27" width="11.5703125" customWidth="1"/>
  </cols>
  <sheetData>
    <row r="1" ht="54" customHeight="1" spans="1:26" s="80" customFormat="1" x14ac:dyDescent="0.25">
      <c r="A1" s="198" t="s">
        <v>342</v>
      </c>
      <c r="B1" s="198"/>
      <c r="C1" s="198"/>
      <c r="D1" s="198"/>
      <c r="E1" s="198"/>
      <c r="F1" s="198"/>
      <c r="G1" s="198"/>
      <c r="H1" s="198"/>
      <c r="I1" s="198"/>
      <c r="J1" s="199"/>
      <c r="K1" s="200"/>
      <c r="L1" s="200"/>
      <c r="M1" s="200"/>
      <c r="N1" s="200"/>
      <c r="O1" s="200"/>
      <c r="P1" s="200"/>
      <c r="Q1" s="200"/>
      <c r="R1" s="200"/>
      <c r="S1" s="200"/>
      <c r="T1" s="200"/>
      <c r="U1" s="200"/>
      <c r="V1" s="200"/>
      <c r="W1" s="200"/>
      <c r="X1" s="200"/>
      <c r="Y1" s="200"/>
      <c r="Z1" s="201"/>
    </row>
    <row r="2" ht="72.75" customHeight="1" spans="1:26" x14ac:dyDescent="0.25">
      <c r="A2" s="1" t="s">
        <v>0</v>
      </c>
      <c r="B2" s="181" t="s">
        <v>97</v>
      </c>
      <c r="C2" s="181" t="s">
        <v>343</v>
      </c>
      <c r="D2" s="181" t="s">
        <v>256</v>
      </c>
      <c r="E2" s="183" t="s">
        <v>344</v>
      </c>
      <c r="F2" s="183" t="s">
        <v>259</v>
      </c>
      <c r="G2" s="183" t="s">
        <v>260</v>
      </c>
      <c r="H2" s="183" t="s">
        <v>261</v>
      </c>
      <c r="I2" s="183" t="s">
        <v>262</v>
      </c>
      <c r="J2" s="202" t="s">
        <v>98</v>
      </c>
      <c r="K2" s="4" t="s">
        <v>3</v>
      </c>
      <c r="L2" s="185" t="s">
        <v>345</v>
      </c>
      <c r="M2" s="7" t="s">
        <v>5</v>
      </c>
      <c r="N2" s="7" t="s">
        <v>6</v>
      </c>
      <c r="O2" s="8" t="s">
        <v>7</v>
      </c>
      <c r="P2" s="7" t="s">
        <v>8</v>
      </c>
      <c r="Q2" s="8" t="s">
        <v>9</v>
      </c>
      <c r="R2" s="7" t="s">
        <v>10</v>
      </c>
      <c r="S2" s="8" t="s">
        <v>11</v>
      </c>
      <c r="T2" s="7" t="s">
        <v>12</v>
      </c>
      <c r="U2" s="8" t="s">
        <v>13</v>
      </c>
      <c r="V2" s="7" t="s">
        <v>14</v>
      </c>
      <c r="W2" s="8" t="s">
        <v>15</v>
      </c>
      <c r="X2" s="7" t="s">
        <v>16</v>
      </c>
      <c r="Y2" s="9" t="s">
        <v>0</v>
      </c>
      <c r="Z2" s="10" t="s">
        <v>17</v>
      </c>
    </row>
    <row r="3" ht="16.5" customHeight="1" spans="1:26" x14ac:dyDescent="0.25">
      <c r="A3" s="12" t="s">
        <v>346</v>
      </c>
      <c r="B3" s="13" t="s">
        <v>0</v>
      </c>
      <c r="C3" s="13" t="s">
        <v>0</v>
      </c>
      <c r="D3" s="13" t="s">
        <v>0</v>
      </c>
      <c r="E3" s="186" t="s">
        <v>0</v>
      </c>
      <c r="F3" s="186" t="s">
        <v>0</v>
      </c>
      <c r="G3" s="186" t="s">
        <v>0</v>
      </c>
      <c r="H3" s="186" t="s">
        <v>0</v>
      </c>
      <c r="I3" s="186" t="s">
        <v>0</v>
      </c>
      <c r="J3" s="13" t="s">
        <v>0</v>
      </c>
      <c r="K3" s="14" t="s">
        <v>0</v>
      </c>
      <c r="L3" s="15" t="s">
        <v>0</v>
      </c>
      <c r="M3" s="105" t="s">
        <v>0</v>
      </c>
      <c r="N3" s="16" t="s">
        <v>0</v>
      </c>
      <c r="O3" s="17" t="s">
        <v>0</v>
      </c>
      <c r="P3" s="16" t="s">
        <v>0</v>
      </c>
      <c r="Q3" s="17" t="s">
        <v>0</v>
      </c>
      <c r="R3" s="16" t="s">
        <v>0</v>
      </c>
      <c r="S3" s="17" t="s">
        <v>0</v>
      </c>
      <c r="T3" s="16" t="s">
        <v>0</v>
      </c>
      <c r="U3" s="17" t="s">
        <v>0</v>
      </c>
      <c r="V3" s="16" t="s">
        <v>0</v>
      </c>
      <c r="W3" s="17" t="s">
        <v>0</v>
      </c>
      <c r="X3" s="16" t="s">
        <v>0</v>
      </c>
      <c r="Y3" s="16" t="s">
        <v>0</v>
      </c>
      <c r="Z3" s="16" t="s">
        <v>0</v>
      </c>
    </row>
    <row r="4" ht="15.75" customHeight="1" spans="1:26" x14ac:dyDescent="0.25">
      <c r="A4" s="187" t="s">
        <v>347</v>
      </c>
      <c r="B4" s="20" t="s">
        <v>0</v>
      </c>
      <c r="C4" s="20" t="s">
        <v>282</v>
      </c>
      <c r="D4" s="20" t="s">
        <v>282</v>
      </c>
      <c r="E4" s="20" t="s">
        <v>282</v>
      </c>
      <c r="F4" s="20" t="s">
        <v>0</v>
      </c>
      <c r="G4" s="20" t="s">
        <v>0</v>
      </c>
      <c r="H4" s="20" t="s">
        <v>156</v>
      </c>
      <c r="I4" s="20" t="s">
        <v>156</v>
      </c>
      <c r="J4" s="21" t="s">
        <v>348</v>
      </c>
      <c r="K4" s="22" t="s">
        <v>0</v>
      </c>
      <c r="L4" s="23" t="s">
        <v>349</v>
      </c>
      <c r="M4" s="23" t="s">
        <v>0</v>
      </c>
      <c r="N4" s="23" t="s">
        <v>0</v>
      </c>
      <c r="O4" s="23" t="s">
        <v>0</v>
      </c>
      <c r="P4" s="23" t="s">
        <v>0</v>
      </c>
      <c r="Q4" s="23" t="s">
        <v>0</v>
      </c>
      <c r="R4" s="23" t="s">
        <v>0</v>
      </c>
      <c r="S4" s="23" t="s">
        <v>0</v>
      </c>
      <c r="T4" s="23" t="s">
        <v>0</v>
      </c>
      <c r="U4" s="23" t="s">
        <v>0</v>
      </c>
      <c r="V4" s="23" t="s">
        <v>0</v>
      </c>
      <c r="W4" s="23" t="s">
        <v>0</v>
      </c>
      <c r="X4" s="23" t="s">
        <v>0</v>
      </c>
      <c r="Y4" s="24" t="s">
        <v>0</v>
      </c>
      <c r="Z4" s="24" t="s">
        <v>0</v>
      </c>
    </row>
    <row r="5" ht="15.75" customHeight="1" spans="1:26" x14ac:dyDescent="0.25">
      <c r="A5" s="187" t="s">
        <v>269</v>
      </c>
      <c r="B5" s="20" t="s">
        <v>0</v>
      </c>
      <c r="C5" s="20" t="s">
        <v>0</v>
      </c>
      <c r="D5" s="20" t="s">
        <v>0</v>
      </c>
      <c r="E5" s="20" t="s">
        <v>0</v>
      </c>
      <c r="F5" s="20" t="s">
        <v>0</v>
      </c>
      <c r="G5" s="20" t="s">
        <v>0</v>
      </c>
      <c r="H5" s="20" t="s">
        <v>0</v>
      </c>
      <c r="I5" s="20" t="s">
        <v>0</v>
      </c>
      <c r="J5" s="21" t="s">
        <v>0</v>
      </c>
      <c r="K5" s="22" t="s">
        <v>350</v>
      </c>
      <c r="L5" s="23" t="s">
        <v>351</v>
      </c>
      <c r="M5" s="23" t="s">
        <v>352</v>
      </c>
      <c r="N5" s="23" t="s">
        <v>353</v>
      </c>
      <c r="O5" s="23" t="s">
        <v>354</v>
      </c>
      <c r="P5" s="23" t="s">
        <v>355</v>
      </c>
      <c r="Q5" s="23" t="s">
        <v>356</v>
      </c>
      <c r="R5" s="23" t="s">
        <v>357</v>
      </c>
      <c r="S5" s="23" t="s">
        <v>358</v>
      </c>
      <c r="T5" s="23" t="s">
        <v>0</v>
      </c>
      <c r="U5" s="23" t="s">
        <v>0</v>
      </c>
      <c r="V5" s="23" t="s">
        <v>0</v>
      </c>
      <c r="W5" s="23" t="s">
        <v>0</v>
      </c>
      <c r="X5" s="23" t="s">
        <v>0</v>
      </c>
      <c r="Y5" s="24" t="s">
        <v>0</v>
      </c>
      <c r="Z5" s="24" t="s">
        <v>350</v>
      </c>
    </row>
    <row r="6" ht="15.75" customHeight="1" spans="1:26" x14ac:dyDescent="0.25">
      <c r="A6" s="187" t="s">
        <v>274</v>
      </c>
      <c r="B6" s="20" t="s">
        <v>0</v>
      </c>
      <c r="C6" s="20" t="s">
        <v>0</v>
      </c>
      <c r="D6" s="20" t="s">
        <v>0</v>
      </c>
      <c r="E6" s="20" t="s">
        <v>0</v>
      </c>
      <c r="F6" s="20" t="s">
        <v>0</v>
      </c>
      <c r="G6" s="20" t="s">
        <v>0</v>
      </c>
      <c r="H6" s="20" t="s">
        <v>0</v>
      </c>
      <c r="I6" s="20" t="s">
        <v>0</v>
      </c>
      <c r="J6" s="21" t="s">
        <v>0</v>
      </c>
      <c r="K6" s="22" t="s">
        <v>359</v>
      </c>
      <c r="L6" s="23" t="s">
        <v>360</v>
      </c>
      <c r="M6" s="23" t="s">
        <v>0</v>
      </c>
      <c r="N6" s="23" t="s">
        <v>361</v>
      </c>
      <c r="O6" s="23" t="s">
        <v>362</v>
      </c>
      <c r="P6" s="23" t="s">
        <v>363</v>
      </c>
      <c r="Q6" s="23" t="s">
        <v>0</v>
      </c>
      <c r="R6" s="23" t="s">
        <v>0</v>
      </c>
      <c r="S6" s="23" t="s">
        <v>0</v>
      </c>
      <c r="T6" s="23" t="s">
        <v>364</v>
      </c>
      <c r="U6" s="23" t="s">
        <v>0</v>
      </c>
      <c r="V6" s="23" t="s">
        <v>0</v>
      </c>
      <c r="W6" s="23" t="s">
        <v>0</v>
      </c>
      <c r="X6" s="23" t="s">
        <v>0</v>
      </c>
      <c r="Y6" s="24" t="s">
        <v>0</v>
      </c>
      <c r="Z6" s="24" t="s">
        <v>359</v>
      </c>
    </row>
    <row r="7" ht="15.75" customHeight="1" spans="1:26" x14ac:dyDescent="0.25">
      <c r="A7" s="187" t="s">
        <v>114</v>
      </c>
      <c r="B7" s="20" t="s">
        <v>0</v>
      </c>
      <c r="C7" s="20" t="s">
        <v>279</v>
      </c>
      <c r="D7" s="20" t="s">
        <v>279</v>
      </c>
      <c r="E7" s="20" t="s">
        <v>279</v>
      </c>
      <c r="F7" s="20" t="s">
        <v>0</v>
      </c>
      <c r="G7" s="20" t="s">
        <v>0</v>
      </c>
      <c r="H7" s="20" t="s">
        <v>0</v>
      </c>
      <c r="I7" s="20" t="s">
        <v>0</v>
      </c>
      <c r="J7" s="21" t="s">
        <v>0</v>
      </c>
      <c r="K7" s="22" t="s">
        <v>0</v>
      </c>
      <c r="L7" s="23" t="s">
        <v>280</v>
      </c>
      <c r="M7" s="23" t="s">
        <v>0</v>
      </c>
      <c r="N7" s="23" t="s">
        <v>0</v>
      </c>
      <c r="O7" s="23" t="s">
        <v>0</v>
      </c>
      <c r="P7" s="23" t="s">
        <v>0</v>
      </c>
      <c r="Q7" s="23" t="s">
        <v>0</v>
      </c>
      <c r="R7" s="23" t="s">
        <v>0</v>
      </c>
      <c r="S7" s="23" t="s">
        <v>0</v>
      </c>
      <c r="T7" s="23" t="s">
        <v>0</v>
      </c>
      <c r="U7" s="23" t="s">
        <v>0</v>
      </c>
      <c r="V7" s="23" t="s">
        <v>0</v>
      </c>
      <c r="W7" s="23" t="s">
        <v>0</v>
      </c>
      <c r="X7" s="23" t="s">
        <v>0</v>
      </c>
      <c r="Y7" s="24" t="s">
        <v>0</v>
      </c>
      <c r="Z7" s="24" t="s">
        <v>0</v>
      </c>
    </row>
    <row r="8" ht="15.75" customHeight="1" spans="1:26" x14ac:dyDescent="0.25">
      <c r="A8" s="187" t="s">
        <v>365</v>
      </c>
      <c r="B8" s="20" t="s">
        <v>0</v>
      </c>
      <c r="C8" s="20" t="s">
        <v>282</v>
      </c>
      <c r="D8" s="20" t="s">
        <v>0</v>
      </c>
      <c r="E8" s="20" t="s">
        <v>287</v>
      </c>
      <c r="F8" s="20" t="s">
        <v>0</v>
      </c>
      <c r="G8" s="20" t="s">
        <v>124</v>
      </c>
      <c r="H8" s="20" t="s">
        <v>0</v>
      </c>
      <c r="I8" s="20" t="s">
        <v>0</v>
      </c>
      <c r="J8" s="21" t="s">
        <v>0</v>
      </c>
      <c r="K8" s="22" t="s">
        <v>0</v>
      </c>
      <c r="L8" s="23" t="s">
        <v>366</v>
      </c>
      <c r="M8" s="23" t="s">
        <v>0</v>
      </c>
      <c r="N8" s="23" t="s">
        <v>0</v>
      </c>
      <c r="O8" s="23" t="s">
        <v>0</v>
      </c>
      <c r="P8" s="23" t="s">
        <v>0</v>
      </c>
      <c r="Q8" s="23" t="s">
        <v>0</v>
      </c>
      <c r="R8" s="23" t="s">
        <v>0</v>
      </c>
      <c r="S8" s="23" t="s">
        <v>0</v>
      </c>
      <c r="T8" s="23" t="s">
        <v>0</v>
      </c>
      <c r="U8" s="23" t="s">
        <v>0</v>
      </c>
      <c r="V8" s="23" t="s">
        <v>0</v>
      </c>
      <c r="W8" s="23" t="s">
        <v>0</v>
      </c>
      <c r="X8" s="23" t="s">
        <v>0</v>
      </c>
      <c r="Y8" s="24" t="s">
        <v>0</v>
      </c>
      <c r="Z8" s="24" t="s">
        <v>0</v>
      </c>
    </row>
    <row r="9" ht="15.75" customHeight="1" spans="1:26" x14ac:dyDescent="0.25">
      <c r="A9" s="187" t="s">
        <v>367</v>
      </c>
      <c r="B9" s="20" t="s">
        <v>0</v>
      </c>
      <c r="C9" s="20" t="s">
        <v>0</v>
      </c>
      <c r="D9" s="20" t="s">
        <v>285</v>
      </c>
      <c r="E9" s="20" t="s">
        <v>0</v>
      </c>
      <c r="F9" s="20" t="s">
        <v>0</v>
      </c>
      <c r="G9" s="20" t="s">
        <v>0</v>
      </c>
      <c r="H9" s="20" t="s">
        <v>0</v>
      </c>
      <c r="I9" s="20" t="s">
        <v>0</v>
      </c>
      <c r="J9" s="21" t="s">
        <v>0</v>
      </c>
      <c r="K9" s="22" t="s">
        <v>0</v>
      </c>
      <c r="L9" s="23" t="s">
        <v>285</v>
      </c>
      <c r="M9" s="23" t="s">
        <v>0</v>
      </c>
      <c r="N9" s="23" t="s">
        <v>0</v>
      </c>
      <c r="O9" s="23" t="s">
        <v>0</v>
      </c>
      <c r="P9" s="23" t="s">
        <v>0</v>
      </c>
      <c r="Q9" s="23" t="s">
        <v>0</v>
      </c>
      <c r="R9" s="23" t="s">
        <v>0</v>
      </c>
      <c r="S9" s="23" t="s">
        <v>0</v>
      </c>
      <c r="T9" s="23" t="s">
        <v>0</v>
      </c>
      <c r="U9" s="23" t="s">
        <v>0</v>
      </c>
      <c r="V9" s="23" t="s">
        <v>0</v>
      </c>
      <c r="W9" s="23" t="s">
        <v>0</v>
      </c>
      <c r="X9" s="23" t="s">
        <v>0</v>
      </c>
      <c r="Y9" s="24" t="s">
        <v>0</v>
      </c>
      <c r="Z9" s="24" t="s">
        <v>0</v>
      </c>
    </row>
    <row r="10" ht="15.75" customHeight="1" spans="1:27" x14ac:dyDescent="0.25">
      <c r="A10" s="19" t="s">
        <v>19</v>
      </c>
      <c r="B10" s="27" t="s">
        <v>0</v>
      </c>
      <c r="C10" s="27" t="s">
        <v>293</v>
      </c>
      <c r="D10" s="27" t="s">
        <v>279</v>
      </c>
      <c r="E10" s="27" t="s">
        <v>292</v>
      </c>
      <c r="F10" s="27" t="s">
        <v>268</v>
      </c>
      <c r="G10" s="27" t="s">
        <v>0</v>
      </c>
      <c r="H10" s="27" t="s">
        <v>0</v>
      </c>
      <c r="I10" s="27" t="s">
        <v>0</v>
      </c>
      <c r="J10" s="188" t="s">
        <v>368</v>
      </c>
      <c r="K10" s="22" t="s">
        <v>369</v>
      </c>
      <c r="L10" s="23" t="s">
        <v>370</v>
      </c>
      <c r="M10" s="28" t="s">
        <v>0</v>
      </c>
      <c r="N10" s="28" t="s">
        <v>0</v>
      </c>
      <c r="O10" s="28" t="s">
        <v>0</v>
      </c>
      <c r="P10" s="28" t="s">
        <v>0</v>
      </c>
      <c r="Q10" s="28" t="s">
        <v>369</v>
      </c>
      <c r="R10" s="28" t="s">
        <v>0</v>
      </c>
      <c r="S10" s="28" t="s">
        <v>0</v>
      </c>
      <c r="T10" s="28" t="s">
        <v>0</v>
      </c>
      <c r="U10" s="28" t="s">
        <v>0</v>
      </c>
      <c r="V10" s="28" t="s">
        <v>0</v>
      </c>
      <c r="W10" s="28" t="s">
        <v>0</v>
      </c>
      <c r="X10" s="28" t="s">
        <v>0</v>
      </c>
      <c r="Y10" s="24" t="s">
        <v>0</v>
      </c>
      <c r="Z10" s="24" t="s">
        <v>369</v>
      </c>
      <c r="AA10" s="203"/>
    </row>
    <row r="11" ht="15.75" customHeight="1" spans="1:27" x14ac:dyDescent="0.25">
      <c r="A11" s="19" t="s">
        <v>371</v>
      </c>
      <c r="B11" s="27" t="s">
        <v>0</v>
      </c>
      <c r="C11" s="27" t="s">
        <v>0</v>
      </c>
      <c r="D11" s="27" t="s">
        <v>0</v>
      </c>
      <c r="E11" s="27" t="s">
        <v>290</v>
      </c>
      <c r="F11" s="27" t="s">
        <v>0</v>
      </c>
      <c r="G11" s="27" t="s">
        <v>0</v>
      </c>
      <c r="H11" s="27" t="s">
        <v>0</v>
      </c>
      <c r="I11" s="27" t="s">
        <v>0</v>
      </c>
      <c r="J11" s="188" t="s">
        <v>0</v>
      </c>
      <c r="K11" s="22" t="s">
        <v>0</v>
      </c>
      <c r="L11" s="23" t="s">
        <v>290</v>
      </c>
      <c r="M11" s="28" t="s">
        <v>0</v>
      </c>
      <c r="N11" s="28" t="s">
        <v>0</v>
      </c>
      <c r="O11" s="28" t="s">
        <v>0</v>
      </c>
      <c r="P11" s="28" t="s">
        <v>0</v>
      </c>
      <c r="Q11" s="28" t="s">
        <v>0</v>
      </c>
      <c r="R11" s="28" t="s">
        <v>0</v>
      </c>
      <c r="S11" s="28" t="s">
        <v>0</v>
      </c>
      <c r="T11" s="28" t="s">
        <v>0</v>
      </c>
      <c r="U11" s="28" t="s">
        <v>0</v>
      </c>
      <c r="V11" s="28" t="s">
        <v>0</v>
      </c>
      <c r="W11" s="28" t="s">
        <v>0</v>
      </c>
      <c r="X11" s="28" t="s">
        <v>0</v>
      </c>
      <c r="Y11" s="24" t="s">
        <v>0</v>
      </c>
      <c r="Z11" s="24" t="s">
        <v>0</v>
      </c>
      <c r="AA11" s="203"/>
    </row>
    <row r="12" ht="15.75" customHeight="1" spans="1:26" x14ac:dyDescent="0.25">
      <c r="A12" s="26" t="s">
        <v>33</v>
      </c>
      <c r="B12" s="27" t="s">
        <v>0</v>
      </c>
      <c r="C12" s="27" t="s">
        <v>279</v>
      </c>
      <c r="D12" s="27" t="s">
        <v>314</v>
      </c>
      <c r="E12" s="27" t="s">
        <v>315</v>
      </c>
      <c r="F12" s="27" t="s">
        <v>310</v>
      </c>
      <c r="G12" s="27" t="s">
        <v>0</v>
      </c>
      <c r="H12" s="27" t="s">
        <v>279</v>
      </c>
      <c r="I12" s="27" t="s">
        <v>0</v>
      </c>
      <c r="J12" s="188" t="s">
        <v>372</v>
      </c>
      <c r="K12" s="22" t="s">
        <v>373</v>
      </c>
      <c r="L12" s="23" t="s">
        <v>374</v>
      </c>
      <c r="M12" s="28" t="s">
        <v>0</v>
      </c>
      <c r="N12" s="28" t="s">
        <v>0</v>
      </c>
      <c r="O12" s="28" t="s">
        <v>375</v>
      </c>
      <c r="P12" s="28" t="s">
        <v>0</v>
      </c>
      <c r="Q12" s="28" t="s">
        <v>0</v>
      </c>
      <c r="R12" s="28" t="s">
        <v>376</v>
      </c>
      <c r="S12" s="28" t="s">
        <v>0</v>
      </c>
      <c r="T12" s="28" t="s">
        <v>377</v>
      </c>
      <c r="U12" s="28" t="s">
        <v>0</v>
      </c>
      <c r="V12" s="28" t="s">
        <v>0</v>
      </c>
      <c r="W12" s="28" t="s">
        <v>0</v>
      </c>
      <c r="X12" s="28" t="s">
        <v>0</v>
      </c>
      <c r="Y12" s="24" t="s">
        <v>0</v>
      </c>
      <c r="Z12" s="24" t="s">
        <v>373</v>
      </c>
    </row>
    <row r="13" ht="15.75" customHeight="1" spans="1:26" x14ac:dyDescent="0.25">
      <c r="A13" s="19" t="s">
        <v>60</v>
      </c>
      <c r="B13" s="27" t="s">
        <v>0</v>
      </c>
      <c r="C13" s="27" t="s">
        <v>0</v>
      </c>
      <c r="D13" s="27" t="s">
        <v>0</v>
      </c>
      <c r="E13" s="27" t="s">
        <v>0</v>
      </c>
      <c r="F13" s="27" t="s">
        <v>0</v>
      </c>
      <c r="G13" s="27" t="s">
        <v>0</v>
      </c>
      <c r="H13" s="27" t="s">
        <v>0</v>
      </c>
      <c r="I13" s="27" t="s">
        <v>0</v>
      </c>
      <c r="J13" s="188" t="s">
        <v>378</v>
      </c>
      <c r="K13" s="22" t="s">
        <v>183</v>
      </c>
      <c r="L13" s="23" t="s">
        <v>379</v>
      </c>
      <c r="M13" s="28" t="s">
        <v>0</v>
      </c>
      <c r="N13" s="28" t="s">
        <v>0</v>
      </c>
      <c r="O13" s="28" t="s">
        <v>0</v>
      </c>
      <c r="P13" s="28" t="s">
        <v>0</v>
      </c>
      <c r="Q13" s="28" t="s">
        <v>0</v>
      </c>
      <c r="R13" s="28" t="s">
        <v>0</v>
      </c>
      <c r="S13" s="28" t="s">
        <v>0</v>
      </c>
      <c r="T13" s="28" t="s">
        <v>0</v>
      </c>
      <c r="U13" s="28" t="s">
        <v>0</v>
      </c>
      <c r="V13" s="28" t="s">
        <v>183</v>
      </c>
      <c r="W13" s="28" t="s">
        <v>0</v>
      </c>
      <c r="X13" s="28" t="s">
        <v>0</v>
      </c>
      <c r="Y13" s="24" t="s">
        <v>0</v>
      </c>
      <c r="Z13" s="24" t="s">
        <v>183</v>
      </c>
    </row>
    <row r="14" ht="15.75" customHeight="1" spans="1:26" x14ac:dyDescent="0.25">
      <c r="A14" s="19" t="s">
        <v>380</v>
      </c>
      <c r="B14" s="27" t="s">
        <v>0</v>
      </c>
      <c r="C14" s="27" t="s">
        <v>0</v>
      </c>
      <c r="D14" s="27" t="s">
        <v>297</v>
      </c>
      <c r="E14" s="27" t="s">
        <v>293</v>
      </c>
      <c r="F14" s="27" t="s">
        <v>0</v>
      </c>
      <c r="G14" s="27" t="s">
        <v>298</v>
      </c>
      <c r="H14" s="27" t="s">
        <v>0</v>
      </c>
      <c r="I14" s="27" t="s">
        <v>0</v>
      </c>
      <c r="J14" s="188" t="s">
        <v>0</v>
      </c>
      <c r="K14" s="22" t="s">
        <v>0</v>
      </c>
      <c r="L14" s="23" t="s">
        <v>299</v>
      </c>
      <c r="M14" s="28" t="s">
        <v>0</v>
      </c>
      <c r="N14" s="28" t="s">
        <v>0</v>
      </c>
      <c r="O14" s="28" t="s">
        <v>0</v>
      </c>
      <c r="P14" s="28" t="s">
        <v>0</v>
      </c>
      <c r="Q14" s="28" t="s">
        <v>0</v>
      </c>
      <c r="R14" s="28" t="s">
        <v>0</v>
      </c>
      <c r="S14" s="28" t="s">
        <v>0</v>
      </c>
      <c r="T14" s="28" t="s">
        <v>0</v>
      </c>
      <c r="U14" s="28" t="s">
        <v>0</v>
      </c>
      <c r="V14" s="28" t="s">
        <v>0</v>
      </c>
      <c r="W14" s="28" t="s">
        <v>0</v>
      </c>
      <c r="X14" s="28" t="s">
        <v>0</v>
      </c>
      <c r="Y14" s="24" t="s">
        <v>0</v>
      </c>
      <c r="Z14" s="24" t="s">
        <v>0</v>
      </c>
    </row>
    <row r="15" ht="15.75" customHeight="1" spans="1:26" x14ac:dyDescent="0.25">
      <c r="A15" s="26" t="s">
        <v>41</v>
      </c>
      <c r="B15" s="27" t="s">
        <v>0</v>
      </c>
      <c r="C15" s="27" t="s">
        <v>279</v>
      </c>
      <c r="D15" s="27" t="s">
        <v>0</v>
      </c>
      <c r="E15" s="27" t="s">
        <v>280</v>
      </c>
      <c r="F15" s="27" t="s">
        <v>280</v>
      </c>
      <c r="G15" s="27" t="s">
        <v>0</v>
      </c>
      <c r="H15" s="27" t="s">
        <v>0</v>
      </c>
      <c r="I15" s="27" t="s">
        <v>381</v>
      </c>
      <c r="J15" s="188" t="s">
        <v>382</v>
      </c>
      <c r="K15" s="22" t="s">
        <v>0</v>
      </c>
      <c r="L15" s="23" t="s">
        <v>383</v>
      </c>
      <c r="M15" s="28" t="s">
        <v>0</v>
      </c>
      <c r="N15" s="28" t="s">
        <v>0</v>
      </c>
      <c r="O15" s="28" t="s">
        <v>0</v>
      </c>
      <c r="P15" s="28" t="s">
        <v>0</v>
      </c>
      <c r="Q15" s="28" t="s">
        <v>0</v>
      </c>
      <c r="R15" s="28" t="s">
        <v>0</v>
      </c>
      <c r="S15" s="28" t="s">
        <v>0</v>
      </c>
      <c r="T15" s="28" t="s">
        <v>0</v>
      </c>
      <c r="U15" s="28" t="s">
        <v>0</v>
      </c>
      <c r="V15" s="28" t="s">
        <v>0</v>
      </c>
      <c r="W15" s="28" t="s">
        <v>0</v>
      </c>
      <c r="X15" s="28" t="s">
        <v>0</v>
      </c>
      <c r="Y15" s="24" t="s">
        <v>0</v>
      </c>
      <c r="Z15" s="24" t="s">
        <v>0</v>
      </c>
    </row>
    <row r="16" ht="15.75" customHeight="1" spans="1:26" x14ac:dyDescent="0.25">
      <c r="A16" s="19" t="s">
        <v>384</v>
      </c>
      <c r="B16" s="27" t="s">
        <v>0</v>
      </c>
      <c r="C16" s="27" t="s">
        <v>0</v>
      </c>
      <c r="D16" s="27" t="s">
        <v>0</v>
      </c>
      <c r="E16" s="27" t="s">
        <v>0</v>
      </c>
      <c r="F16" s="27" t="s">
        <v>0</v>
      </c>
      <c r="G16" s="27" t="s">
        <v>0</v>
      </c>
      <c r="H16" s="27" t="s">
        <v>0</v>
      </c>
      <c r="I16" s="27" t="s">
        <v>0</v>
      </c>
      <c r="J16" s="188" t="s">
        <v>385</v>
      </c>
      <c r="K16" s="22" t="s">
        <v>0</v>
      </c>
      <c r="L16" s="23" t="s">
        <v>385</v>
      </c>
      <c r="M16" s="28" t="s">
        <v>0</v>
      </c>
      <c r="N16" s="28" t="s">
        <v>0</v>
      </c>
      <c r="O16" s="28" t="s">
        <v>0</v>
      </c>
      <c r="P16" s="28" t="s">
        <v>0</v>
      </c>
      <c r="Q16" s="28" t="s">
        <v>0</v>
      </c>
      <c r="R16" s="28" t="s">
        <v>0</v>
      </c>
      <c r="S16" s="28" t="s">
        <v>0</v>
      </c>
      <c r="T16" s="28" t="s">
        <v>0</v>
      </c>
      <c r="U16" s="28" t="s">
        <v>0</v>
      </c>
      <c r="V16" s="28" t="s">
        <v>0</v>
      </c>
      <c r="W16" s="28" t="s">
        <v>0</v>
      </c>
      <c r="X16" s="28" t="s">
        <v>0</v>
      </c>
      <c r="Y16" s="24" t="s">
        <v>0</v>
      </c>
      <c r="Z16" s="24" t="s">
        <v>0</v>
      </c>
    </row>
    <row r="17" ht="15.75" customHeight="1" spans="1:26" x14ac:dyDescent="0.25">
      <c r="A17" s="19" t="s">
        <v>45</v>
      </c>
      <c r="B17" s="27" t="s">
        <v>0</v>
      </c>
      <c r="C17" s="27" t="s">
        <v>0</v>
      </c>
      <c r="D17" s="27" t="s">
        <v>0</v>
      </c>
      <c r="E17" s="27" t="s">
        <v>0</v>
      </c>
      <c r="F17" s="27" t="s">
        <v>0</v>
      </c>
      <c r="G17" s="27" t="s">
        <v>0</v>
      </c>
      <c r="H17" s="27" t="s">
        <v>0</v>
      </c>
      <c r="I17" s="27" t="s">
        <v>0</v>
      </c>
      <c r="J17" s="188" t="s">
        <v>0</v>
      </c>
      <c r="K17" s="22" t="s">
        <v>386</v>
      </c>
      <c r="L17" s="23" t="s">
        <v>387</v>
      </c>
      <c r="M17" s="28" t="s">
        <v>388</v>
      </c>
      <c r="N17" s="28" t="s">
        <v>389</v>
      </c>
      <c r="O17" s="28" t="s">
        <v>390</v>
      </c>
      <c r="P17" s="28" t="s">
        <v>391</v>
      </c>
      <c r="Q17" s="28" t="s">
        <v>392</v>
      </c>
      <c r="R17" s="28" t="s">
        <v>393</v>
      </c>
      <c r="S17" s="28" t="s">
        <v>394</v>
      </c>
      <c r="T17" s="28" t="s">
        <v>395</v>
      </c>
      <c r="U17" s="28" t="s">
        <v>396</v>
      </c>
      <c r="V17" s="28" t="s">
        <v>397</v>
      </c>
      <c r="W17" s="28" t="s">
        <v>398</v>
      </c>
      <c r="X17" s="28" t="s">
        <v>399</v>
      </c>
      <c r="Y17" s="24" t="s">
        <v>0</v>
      </c>
      <c r="Z17" s="24" t="s">
        <v>386</v>
      </c>
    </row>
    <row r="18" ht="15.75" customHeight="1" spans="1:26" x14ac:dyDescent="0.25">
      <c r="A18" s="19" t="s">
        <v>400</v>
      </c>
      <c r="B18" s="27" t="s">
        <v>0</v>
      </c>
      <c r="C18" s="27" t="s">
        <v>0</v>
      </c>
      <c r="D18" s="27" t="s">
        <v>0</v>
      </c>
      <c r="E18" s="27" t="s">
        <v>0</v>
      </c>
      <c r="F18" s="27" t="s">
        <v>0</v>
      </c>
      <c r="G18" s="27" t="s">
        <v>0</v>
      </c>
      <c r="H18" s="27" t="s">
        <v>0</v>
      </c>
      <c r="I18" s="27" t="s">
        <v>0</v>
      </c>
      <c r="J18" s="188" t="s">
        <v>401</v>
      </c>
      <c r="K18" s="22" t="s">
        <v>0</v>
      </c>
      <c r="L18" s="23" t="s">
        <v>401</v>
      </c>
      <c r="M18" s="28" t="s">
        <v>0</v>
      </c>
      <c r="N18" s="28" t="s">
        <v>0</v>
      </c>
      <c r="O18" s="28" t="s">
        <v>0</v>
      </c>
      <c r="P18" s="28" t="s">
        <v>0</v>
      </c>
      <c r="Q18" s="28" t="s">
        <v>0</v>
      </c>
      <c r="R18" s="28" t="s">
        <v>0</v>
      </c>
      <c r="S18" s="28" t="s">
        <v>0</v>
      </c>
      <c r="T18" s="28" t="s">
        <v>0</v>
      </c>
      <c r="U18" s="28" t="s">
        <v>0</v>
      </c>
      <c r="V18" s="28" t="s">
        <v>0</v>
      </c>
      <c r="W18" s="28" t="s">
        <v>0</v>
      </c>
      <c r="X18" s="28" t="s">
        <v>0</v>
      </c>
      <c r="Y18" s="24" t="s">
        <v>0</v>
      </c>
      <c r="Z18" s="24" t="s">
        <v>0</v>
      </c>
    </row>
    <row r="19" ht="15.75" customHeight="1" spans="1:26" x14ac:dyDescent="0.25">
      <c r="A19" s="26" t="s">
        <v>43</v>
      </c>
      <c r="B19" s="27" t="s">
        <v>0</v>
      </c>
      <c r="C19" s="27" t="s">
        <v>279</v>
      </c>
      <c r="D19" s="27" t="s">
        <v>150</v>
      </c>
      <c r="E19" s="27" t="s">
        <v>310</v>
      </c>
      <c r="F19" s="27" t="s">
        <v>150</v>
      </c>
      <c r="G19" s="27" t="s">
        <v>124</v>
      </c>
      <c r="H19" s="27" t="s">
        <v>311</v>
      </c>
      <c r="I19" s="27" t="s">
        <v>282</v>
      </c>
      <c r="J19" s="188" t="s">
        <v>402</v>
      </c>
      <c r="K19" s="22" t="s">
        <v>0</v>
      </c>
      <c r="L19" s="23" t="s">
        <v>403</v>
      </c>
      <c r="M19" s="28" t="s">
        <v>0</v>
      </c>
      <c r="N19" s="28" t="s">
        <v>0</v>
      </c>
      <c r="O19" s="28" t="s">
        <v>0</v>
      </c>
      <c r="P19" s="28" t="s">
        <v>0</v>
      </c>
      <c r="Q19" s="28" t="s">
        <v>0</v>
      </c>
      <c r="R19" s="28" t="s">
        <v>0</v>
      </c>
      <c r="S19" s="28" t="s">
        <v>0</v>
      </c>
      <c r="T19" s="28" t="s">
        <v>0</v>
      </c>
      <c r="U19" s="28" t="s">
        <v>0</v>
      </c>
      <c r="V19" s="28" t="s">
        <v>0</v>
      </c>
      <c r="W19" s="28" t="s">
        <v>0</v>
      </c>
      <c r="X19" s="28" t="s">
        <v>0</v>
      </c>
      <c r="Y19" s="24" t="s">
        <v>0</v>
      </c>
      <c r="Z19" s="28" t="s">
        <v>0</v>
      </c>
    </row>
    <row r="20" ht="16.5" customHeight="1" spans="1:26" x14ac:dyDescent="0.25">
      <c r="A20" s="34" t="s">
        <v>0</v>
      </c>
      <c r="B20" s="37" t="s">
        <v>0</v>
      </c>
      <c r="C20" s="37" t="s">
        <v>328</v>
      </c>
      <c r="D20" s="37" t="s">
        <v>326</v>
      </c>
      <c r="E20" s="37" t="s">
        <v>327</v>
      </c>
      <c r="F20" s="37" t="s">
        <v>329</v>
      </c>
      <c r="G20" s="37" t="s">
        <v>330</v>
      </c>
      <c r="H20" s="37" t="s">
        <v>331</v>
      </c>
      <c r="I20" s="37" t="s">
        <v>404</v>
      </c>
      <c r="J20" s="37" t="s">
        <v>405</v>
      </c>
      <c r="K20" s="37" t="s">
        <v>406</v>
      </c>
      <c r="L20" s="37" t="s">
        <v>407</v>
      </c>
      <c r="M20" s="37" t="s">
        <v>408</v>
      </c>
      <c r="N20" s="37" t="s">
        <v>409</v>
      </c>
      <c r="O20" s="37" t="s">
        <v>410</v>
      </c>
      <c r="P20" s="37" t="s">
        <v>411</v>
      </c>
      <c r="Q20" s="37" t="s">
        <v>412</v>
      </c>
      <c r="R20" s="37" t="s">
        <v>413</v>
      </c>
      <c r="S20" s="37" t="s">
        <v>414</v>
      </c>
      <c r="T20" s="37" t="s">
        <v>415</v>
      </c>
      <c r="U20" s="37" t="s">
        <v>396</v>
      </c>
      <c r="V20" s="37" t="s">
        <v>416</v>
      </c>
      <c r="W20" s="37" t="s">
        <v>398</v>
      </c>
      <c r="X20" s="37" t="s">
        <v>399</v>
      </c>
      <c r="Y20" s="193" t="s">
        <v>73</v>
      </c>
      <c r="Z20" s="38" t="s">
        <v>406</v>
      </c>
    </row>
    <row r="21" spans="1:26" x14ac:dyDescent="0.25">
      <c r="A21" t="s">
        <v>0</v>
      </c>
      <c r="B21" t="s">
        <v>0</v>
      </c>
      <c r="C21" t="s">
        <v>0</v>
      </c>
      <c r="D21" t="s">
        <v>0</v>
      </c>
      <c r="E21" t="s">
        <v>0</v>
      </c>
      <c r="F21" t="s">
        <v>0</v>
      </c>
      <c r="G21" t="s">
        <v>0</v>
      </c>
      <c r="H21" t="s">
        <v>0</v>
      </c>
      <c r="I21" t="s">
        <v>0</v>
      </c>
      <c r="J21" t="s">
        <v>0</v>
      </c>
      <c r="K21" t="s">
        <v>0</v>
      </c>
      <c r="L21" t="s">
        <v>0</v>
      </c>
      <c r="M21" t="s">
        <v>0</v>
      </c>
      <c r="N21" t="s">
        <v>0</v>
      </c>
      <c r="O21" t="s">
        <v>0</v>
      </c>
      <c r="P21" t="s">
        <v>0</v>
      </c>
      <c r="Q21" t="s">
        <v>0</v>
      </c>
      <c r="R21" t="s">
        <v>0</v>
      </c>
      <c r="S21" t="s">
        <v>0</v>
      </c>
      <c r="T21" t="s">
        <v>0</v>
      </c>
      <c r="U21" t="s">
        <v>0</v>
      </c>
      <c r="V21" t="s">
        <v>0</v>
      </c>
      <c r="W21" t="s">
        <v>0</v>
      </c>
      <c r="X21" t="s">
        <v>0</v>
      </c>
      <c r="Y21" t="s">
        <v>0</v>
      </c>
      <c r="Z21" t="s">
        <v>0</v>
      </c>
    </row>
    <row r="22" spans="1:26" x14ac:dyDescent="0.25">
      <c r="A22" t="s">
        <v>0</v>
      </c>
      <c r="B22" t="s">
        <v>0</v>
      </c>
      <c r="C22" t="s">
        <v>0</v>
      </c>
      <c r="D22" t="s">
        <v>0</v>
      </c>
      <c r="E22" t="s">
        <v>0</v>
      </c>
      <c r="F22" t="s">
        <v>0</v>
      </c>
      <c r="G22" t="s">
        <v>0</v>
      </c>
      <c r="H22" t="s">
        <v>0</v>
      </c>
      <c r="I22" t="s">
        <v>0</v>
      </c>
      <c r="J22" t="s">
        <v>0</v>
      </c>
      <c r="K22" t="s">
        <v>0</v>
      </c>
      <c r="L22" t="s">
        <v>0</v>
      </c>
      <c r="M22" t="s">
        <v>0</v>
      </c>
      <c r="N22" t="s">
        <v>0</v>
      </c>
      <c r="O22" t="s">
        <v>0</v>
      </c>
      <c r="P22" t="s">
        <v>0</v>
      </c>
      <c r="Q22" t="s">
        <v>0</v>
      </c>
      <c r="R22" t="s">
        <v>0</v>
      </c>
      <c r="S22" t="s">
        <v>0</v>
      </c>
      <c r="T22" t="s">
        <v>0</v>
      </c>
      <c r="U22" t="s">
        <v>0</v>
      </c>
      <c r="V22" t="s">
        <v>0</v>
      </c>
      <c r="W22" t="s">
        <v>0</v>
      </c>
      <c r="X22" t="s">
        <v>0</v>
      </c>
      <c r="Y22" t="s">
        <v>0</v>
      </c>
      <c r="Z22" t="s">
        <v>0</v>
      </c>
    </row>
    <row r="23" spans="1:26" x14ac:dyDescent="0.25">
      <c r="A23" t="s">
        <v>0</v>
      </c>
      <c r="B23" t="s">
        <v>0</v>
      </c>
      <c r="C23" t="s">
        <v>0</v>
      </c>
      <c r="D23" t="s">
        <v>0</v>
      </c>
      <c r="E23" t="s">
        <v>0</v>
      </c>
      <c r="F23" t="s">
        <v>0</v>
      </c>
      <c r="G23" t="s">
        <v>0</v>
      </c>
      <c r="H23" t="s">
        <v>0</v>
      </c>
      <c r="I23" t="s">
        <v>0</v>
      </c>
      <c r="J23" t="s">
        <v>0</v>
      </c>
      <c r="K23" t="s">
        <v>0</v>
      </c>
      <c r="L23" t="s">
        <v>0</v>
      </c>
      <c r="M23" t="s">
        <v>0</v>
      </c>
      <c r="N23" t="s">
        <v>0</v>
      </c>
      <c r="O23" t="s">
        <v>0</v>
      </c>
      <c r="P23" t="s">
        <v>0</v>
      </c>
      <c r="Q23" t="s">
        <v>0</v>
      </c>
      <c r="R23" t="s">
        <v>0</v>
      </c>
      <c r="S23" t="s">
        <v>0</v>
      </c>
      <c r="T23" t="s">
        <v>0</v>
      </c>
      <c r="U23" t="s">
        <v>0</v>
      </c>
      <c r="V23" t="s">
        <v>0</v>
      </c>
      <c r="W23" t="s">
        <v>0</v>
      </c>
      <c r="X23" t="s">
        <v>0</v>
      </c>
      <c r="Y23" t="s">
        <v>0</v>
      </c>
      <c r="Z23" t="s">
        <v>0</v>
      </c>
    </row>
    <row r="24" ht="38.25" customHeight="1" spans="1:28" x14ac:dyDescent="0.25">
      <c r="A24" s="39" t="s">
        <v>0</v>
      </c>
      <c r="B24" s="204" t="s">
        <v>0</v>
      </c>
      <c r="C24" s="204" t="s">
        <v>0</v>
      </c>
      <c r="D24" s="204" t="s">
        <v>0</v>
      </c>
      <c r="E24" s="204" t="s">
        <v>0</v>
      </c>
      <c r="F24" s="204" t="s">
        <v>0</v>
      </c>
      <c r="G24" s="204" t="s">
        <v>0</v>
      </c>
      <c r="H24" s="204" t="s">
        <v>0</v>
      </c>
      <c r="I24" s="204" t="s">
        <v>0</v>
      </c>
      <c r="J24" t="s">
        <v>0</v>
      </c>
      <c r="K24" t="s">
        <v>0</v>
      </c>
      <c r="L24" t="s">
        <v>0</v>
      </c>
      <c r="M24" t="s">
        <v>0</v>
      </c>
      <c r="N24" t="s">
        <v>0</v>
      </c>
      <c r="O24" t="s">
        <v>0</v>
      </c>
      <c r="P24" t="s">
        <v>0</v>
      </c>
      <c r="Q24" t="s">
        <v>0</v>
      </c>
      <c r="R24" s="203" t="s">
        <v>0</v>
      </c>
      <c r="S24" s="203" t="s">
        <v>0</v>
      </c>
      <c r="T24" s="203" t="s">
        <v>0</v>
      </c>
      <c r="U24" s="203" t="s">
        <v>0</v>
      </c>
      <c r="V24" s="203" t="s">
        <v>0</v>
      </c>
      <c r="W24" s="203" t="s">
        <v>0</v>
      </c>
      <c r="X24" s="203" t="s">
        <v>0</v>
      </c>
      <c r="Y24" s="203" t="s">
        <v>0</v>
      </c>
      <c r="Z24" s="203" t="s">
        <v>0</v>
      </c>
      <c r="AA24" s="203"/>
      <c r="AB24" s="203"/>
    </row>
    <row r="25" ht="16.5" customHeight="1" spans="1:28" x14ac:dyDescent="0.25">
      <c r="A25" s="40" t="s">
        <v>200</v>
      </c>
      <c r="B25" s="41" t="s">
        <v>201</v>
      </c>
      <c r="C25" s="42"/>
      <c r="D25" s="42"/>
      <c r="E25" s="42"/>
      <c r="F25" s="42"/>
      <c r="G25" s="42"/>
      <c r="H25" s="42"/>
      <c r="I25" s="42"/>
      <c r="J25" s="42"/>
      <c r="K25" s="42"/>
      <c r="L25" s="43"/>
      <c r="M25" s="41" t="s">
        <v>76</v>
      </c>
      <c r="N25" s="42"/>
      <c r="O25" s="42"/>
      <c r="P25" s="44" t="s">
        <v>77</v>
      </c>
      <c r="Q25" s="45"/>
      <c r="R25" s="205" t="s">
        <v>0</v>
      </c>
      <c r="S25" s="203" t="s">
        <v>0</v>
      </c>
      <c r="T25" s="203" t="s">
        <v>0</v>
      </c>
      <c r="U25" s="203" t="s">
        <v>0</v>
      </c>
      <c r="V25" s="203" t="s">
        <v>0</v>
      </c>
      <c r="W25" s="203" t="s">
        <v>0</v>
      </c>
      <c r="X25" s="203" t="s">
        <v>0</v>
      </c>
      <c r="Y25" s="203" t="s">
        <v>0</v>
      </c>
      <c r="Z25" s="203" t="s">
        <v>0</v>
      </c>
      <c r="AA25" s="203"/>
      <c r="AB25" s="203"/>
    </row>
    <row r="26" ht="36" customHeight="1" spans="1:28" x14ac:dyDescent="0.25">
      <c r="A26" s="54" t="s">
        <v>417</v>
      </c>
      <c r="B26" s="55" t="s">
        <v>418</v>
      </c>
      <c r="C26" s="56"/>
      <c r="D26" s="56"/>
      <c r="E26" s="56"/>
      <c r="F26" s="56"/>
      <c r="G26" s="56"/>
      <c r="H26" s="56"/>
      <c r="I26" s="56"/>
      <c r="J26" s="56"/>
      <c r="K26" s="56"/>
      <c r="L26" s="57"/>
      <c r="M26" s="169" t="s">
        <v>419</v>
      </c>
      <c r="N26" s="206"/>
      <c r="O26" s="206"/>
      <c r="P26" s="85">
        <v>54864</v>
      </c>
      <c r="Q26" s="86"/>
      <c r="R26" s="132" t="s">
        <v>0</v>
      </c>
      <c r="S26" s="203" t="s">
        <v>0</v>
      </c>
      <c r="T26" s="203" t="s">
        <v>0</v>
      </c>
      <c r="U26" s="203" t="s">
        <v>0</v>
      </c>
      <c r="V26" s="203" t="s">
        <v>0</v>
      </c>
      <c r="W26" s="203" t="s">
        <v>0</v>
      </c>
      <c r="X26" s="203" t="s">
        <v>0</v>
      </c>
      <c r="Y26" s="203" t="s">
        <v>0</v>
      </c>
      <c r="Z26" s="203" t="s">
        <v>0</v>
      </c>
      <c r="AA26" s="203"/>
      <c r="AB26" s="203"/>
    </row>
    <row r="27" ht="15" customHeight="1" spans="1:28" x14ac:dyDescent="0.25">
      <c r="A27" s="133" t="s">
        <v>205</v>
      </c>
      <c r="B27" s="81" t="s">
        <v>206</v>
      </c>
      <c r="C27" s="134"/>
      <c r="D27" s="134"/>
      <c r="E27" s="134"/>
      <c r="F27" s="134"/>
      <c r="G27" s="134"/>
      <c r="H27" s="134"/>
      <c r="I27" s="134"/>
      <c r="J27" s="134"/>
      <c r="K27" s="134"/>
      <c r="L27" s="84"/>
      <c r="M27" s="81" t="s">
        <v>420</v>
      </c>
      <c r="N27" s="134"/>
      <c r="O27" s="134"/>
      <c r="P27" s="85">
        <v>17500</v>
      </c>
      <c r="Q27" s="86"/>
      <c r="R27" s="132" t="s">
        <v>0</v>
      </c>
      <c r="S27" s="203" t="s">
        <v>0</v>
      </c>
      <c r="T27" s="203" t="s">
        <v>0</v>
      </c>
      <c r="U27" s="203" t="s">
        <v>0</v>
      </c>
      <c r="V27" s="203" t="s">
        <v>0</v>
      </c>
      <c r="W27" s="203" t="s">
        <v>0</v>
      </c>
      <c r="X27" s="203" t="s">
        <v>0</v>
      </c>
      <c r="Y27" s="203" t="s">
        <v>0</v>
      </c>
      <c r="Z27" s="203" t="s">
        <v>0</v>
      </c>
      <c r="AA27" s="203"/>
      <c r="AB27" s="203"/>
    </row>
    <row r="28" ht="35.25" customHeight="1" spans="1:28" x14ac:dyDescent="0.25">
      <c r="A28" s="54" t="s">
        <v>205</v>
      </c>
      <c r="B28" s="169" t="s">
        <v>421</v>
      </c>
      <c r="C28" s="170"/>
      <c r="D28" s="170"/>
      <c r="E28" s="170"/>
      <c r="F28" s="170"/>
      <c r="G28" s="170"/>
      <c r="H28" s="170"/>
      <c r="I28" s="170"/>
      <c r="J28" s="170"/>
      <c r="K28" s="170"/>
      <c r="L28" s="171"/>
      <c r="M28" s="169" t="s">
        <v>422</v>
      </c>
      <c r="N28" s="206"/>
      <c r="O28" s="206"/>
      <c r="P28" s="207">
        <v>33000</v>
      </c>
      <c r="Q28" s="208"/>
      <c r="R28" s="132" t="s">
        <v>0</v>
      </c>
      <c r="S28" s="203" t="s">
        <v>0</v>
      </c>
      <c r="T28" s="203" t="s">
        <v>0</v>
      </c>
      <c r="U28" s="203" t="s">
        <v>0</v>
      </c>
      <c r="V28" s="203" t="s">
        <v>0</v>
      </c>
      <c r="W28" s="203" t="s">
        <v>0</v>
      </c>
      <c r="X28" s="203" t="s">
        <v>0</v>
      </c>
      <c r="Y28" s="203" t="s">
        <v>0</v>
      </c>
      <c r="Z28" s="203" t="s">
        <v>0</v>
      </c>
      <c r="AA28" s="203"/>
      <c r="AB28" s="203"/>
    </row>
    <row r="29" ht="34.5" customHeight="1" spans="1:26" x14ac:dyDescent="0.25">
      <c r="A29" s="54" t="s">
        <v>417</v>
      </c>
      <c r="B29" s="81" t="s">
        <v>423</v>
      </c>
      <c r="C29" s="134"/>
      <c r="D29" s="134"/>
      <c r="E29" s="134"/>
      <c r="F29" s="134"/>
      <c r="G29" s="134"/>
      <c r="H29" s="134"/>
      <c r="I29" s="134"/>
      <c r="J29" s="134"/>
      <c r="K29" s="134"/>
      <c r="L29" s="84"/>
      <c r="M29" s="81" t="s">
        <v>424</v>
      </c>
      <c r="N29" s="82"/>
      <c r="O29" s="83"/>
      <c r="P29" s="85">
        <f>223860/4</f>
        <v>55965</v>
      </c>
      <c r="Q29" s="86"/>
      <c r="R29" s="132" t="s">
        <v>0</v>
      </c>
      <c r="S29" t="s">
        <v>0</v>
      </c>
      <c r="T29" t="s">
        <v>0</v>
      </c>
      <c r="U29" t="s">
        <v>0</v>
      </c>
      <c r="V29" t="s">
        <v>0</v>
      </c>
      <c r="W29" t="s">
        <v>0</v>
      </c>
      <c r="X29" t="s">
        <v>0</v>
      </c>
      <c r="Y29" t="s">
        <v>0</v>
      </c>
      <c r="Z29" t="s">
        <v>0</v>
      </c>
    </row>
    <row r="30" ht="30.75" customHeight="1" spans="1:26" x14ac:dyDescent="0.25">
      <c r="A30" s="54" t="s">
        <v>208</v>
      </c>
      <c r="B30" s="81" t="s">
        <v>425</v>
      </c>
      <c r="C30" s="134"/>
      <c r="D30" s="134"/>
      <c r="E30" s="134"/>
      <c r="F30" s="134"/>
      <c r="G30" s="134"/>
      <c r="H30" s="134"/>
      <c r="I30" s="134"/>
      <c r="J30" s="134"/>
      <c r="K30" s="134"/>
      <c r="L30" s="84"/>
      <c r="M30" s="81" t="s">
        <v>426</v>
      </c>
      <c r="N30" s="82"/>
      <c r="O30" s="83"/>
      <c r="P30" s="85">
        <v>610</v>
      </c>
      <c r="Q30" s="86"/>
      <c r="R30" s="132" t="s">
        <v>0</v>
      </c>
      <c r="S30" t="s">
        <v>0</v>
      </c>
      <c r="T30" t="s">
        <v>0</v>
      </c>
      <c r="U30" t="s">
        <v>0</v>
      </c>
      <c r="V30" t="s">
        <v>0</v>
      </c>
      <c r="W30" t="s">
        <v>0</v>
      </c>
      <c r="X30" t="s">
        <v>0</v>
      </c>
      <c r="Y30" t="s">
        <v>0</v>
      </c>
      <c r="Z30" t="s">
        <v>0</v>
      </c>
    </row>
    <row r="31" ht="30" customHeight="1" spans="1:26" s="80" customFormat="1" x14ac:dyDescent="0.25">
      <c r="A31" s="54" t="s">
        <v>208</v>
      </c>
      <c r="B31" s="172" t="s">
        <v>427</v>
      </c>
      <c r="C31" s="82"/>
      <c r="D31" s="82"/>
      <c r="E31" s="82"/>
      <c r="F31" s="82"/>
      <c r="G31" s="82"/>
      <c r="H31" s="82"/>
      <c r="I31" s="82"/>
      <c r="J31" s="82"/>
      <c r="K31" s="82"/>
      <c r="L31" s="83"/>
      <c r="M31" s="81" t="s">
        <v>428</v>
      </c>
      <c r="N31" s="82"/>
      <c r="O31" s="82"/>
      <c r="P31" s="141">
        <v>19426</v>
      </c>
      <c r="Q31" s="142"/>
      <c r="R31" s="80" t="s">
        <v>0</v>
      </c>
      <c r="S31" s="80" t="s">
        <v>0</v>
      </c>
      <c r="T31" s="80" t="s">
        <v>0</v>
      </c>
      <c r="U31" s="80" t="s">
        <v>0</v>
      </c>
      <c r="V31" s="80" t="s">
        <v>0</v>
      </c>
      <c r="W31" s="80" t="s">
        <v>0</v>
      </c>
      <c r="X31" s="80" t="s">
        <v>0</v>
      </c>
      <c r="Y31" s="80" t="s">
        <v>0</v>
      </c>
      <c r="Z31" s="80" t="s">
        <v>0</v>
      </c>
    </row>
    <row r="32" ht="30" customHeight="1" spans="1:26" x14ac:dyDescent="0.25">
      <c r="A32" s="60" t="s">
        <v>429</v>
      </c>
      <c r="B32" s="75" t="s">
        <v>430</v>
      </c>
      <c r="C32" s="76"/>
      <c r="D32" s="76"/>
      <c r="E32" s="76"/>
      <c r="F32" s="76"/>
      <c r="G32" s="76"/>
      <c r="H32" s="76"/>
      <c r="I32" s="76"/>
      <c r="J32" s="76"/>
      <c r="K32" s="76"/>
      <c r="L32" s="77"/>
      <c r="M32" s="81" t="s">
        <v>428</v>
      </c>
      <c r="N32" s="82"/>
      <c r="O32" s="82"/>
      <c r="P32" s="141">
        <v>65000</v>
      </c>
      <c r="Q32" s="142"/>
      <c r="R32" s="80" t="s">
        <v>0</v>
      </c>
      <c r="S32" t="s">
        <v>0</v>
      </c>
      <c r="T32" t="s">
        <v>0</v>
      </c>
      <c r="U32" t="s">
        <v>0</v>
      </c>
      <c r="V32" t="s">
        <v>0</v>
      </c>
      <c r="W32" t="s">
        <v>0</v>
      </c>
      <c r="X32" t="s">
        <v>0</v>
      </c>
      <c r="Y32" t="s">
        <v>0</v>
      </c>
      <c r="Z32" t="s">
        <v>0</v>
      </c>
    </row>
    <row r="33" ht="30" customHeight="1" spans="1:26" x14ac:dyDescent="0.25">
      <c r="A33" s="60" t="s">
        <v>205</v>
      </c>
      <c r="B33" s="75" t="s">
        <v>431</v>
      </c>
      <c r="C33" s="76"/>
      <c r="D33" s="76"/>
      <c r="E33" s="76"/>
      <c r="F33" s="76"/>
      <c r="G33" s="76"/>
      <c r="H33" s="76"/>
      <c r="I33" s="76"/>
      <c r="J33" s="76"/>
      <c r="K33" s="76"/>
      <c r="L33" s="77"/>
      <c r="M33" s="81" t="s">
        <v>222</v>
      </c>
      <c r="N33" s="82"/>
      <c r="O33" s="83"/>
      <c r="P33" s="141">
        <v>4812.5</v>
      </c>
      <c r="Q33" s="142"/>
      <c r="R33" s="80" t="s">
        <v>0</v>
      </c>
      <c r="S33" t="s">
        <v>0</v>
      </c>
      <c r="T33" t="s">
        <v>0</v>
      </c>
      <c r="U33" t="s">
        <v>0</v>
      </c>
      <c r="V33" t="s">
        <v>0</v>
      </c>
      <c r="W33" t="s">
        <v>0</v>
      </c>
      <c r="X33" t="s">
        <v>0</v>
      </c>
      <c r="Y33" t="s">
        <v>0</v>
      </c>
      <c r="Z33" t="s">
        <v>0</v>
      </c>
    </row>
    <row r="34" ht="30.75" customHeight="1" spans="1:26" x14ac:dyDescent="0.25">
      <c r="A34" s="60" t="s">
        <v>432</v>
      </c>
      <c r="B34" s="75" t="s">
        <v>433</v>
      </c>
      <c r="C34" s="76"/>
      <c r="D34" s="76"/>
      <c r="E34" s="76"/>
      <c r="F34" s="76"/>
      <c r="G34" s="76"/>
      <c r="H34" s="76"/>
      <c r="I34" s="76"/>
      <c r="J34" s="76"/>
      <c r="K34" s="76"/>
      <c r="L34" s="77"/>
      <c r="M34" s="81" t="s">
        <v>231</v>
      </c>
      <c r="N34" s="82"/>
      <c r="O34" s="83"/>
      <c r="P34" s="85">
        <v>6550</v>
      </c>
      <c r="Q34" s="86"/>
      <c r="R34" s="80" t="s">
        <v>0</v>
      </c>
      <c r="S34" t="s">
        <v>0</v>
      </c>
      <c r="T34" t="s">
        <v>0</v>
      </c>
      <c r="U34" t="s">
        <v>0</v>
      </c>
      <c r="V34" t="s">
        <v>0</v>
      </c>
      <c r="W34" t="s">
        <v>0</v>
      </c>
      <c r="X34" t="s">
        <v>0</v>
      </c>
      <c r="Y34" t="s">
        <v>0</v>
      </c>
      <c r="Z34" t="s">
        <v>0</v>
      </c>
    </row>
    <row r="35" ht="30.75" customHeight="1" spans="1:26" x14ac:dyDescent="0.25">
      <c r="A35" s="60" t="s">
        <v>434</v>
      </c>
      <c r="B35" s="68" t="s">
        <v>435</v>
      </c>
      <c r="C35" s="69"/>
      <c r="D35" s="69"/>
      <c r="E35" s="69"/>
      <c r="F35" s="69"/>
      <c r="G35" s="69"/>
      <c r="H35" s="69"/>
      <c r="I35" s="69"/>
      <c r="J35" s="69"/>
      <c r="K35" s="69"/>
      <c r="L35" s="70"/>
      <c r="M35" s="81" t="s">
        <v>436</v>
      </c>
      <c r="N35" s="82"/>
      <c r="O35" s="83"/>
      <c r="P35" s="85">
        <v>80000</v>
      </c>
      <c r="Q35" s="86"/>
      <c r="R35" s="80" t="s">
        <v>0</v>
      </c>
      <c r="S35" t="s">
        <v>0</v>
      </c>
      <c r="T35" t="s">
        <v>0</v>
      </c>
      <c r="U35" t="s">
        <v>0</v>
      </c>
      <c r="V35" t="s">
        <v>0</v>
      </c>
      <c r="W35" t="s">
        <v>0</v>
      </c>
      <c r="X35" t="s">
        <v>0</v>
      </c>
      <c r="Y35" t="s">
        <v>0</v>
      </c>
      <c r="Z35" t="s">
        <v>0</v>
      </c>
    </row>
    <row r="36" spans="1:26" x14ac:dyDescent="0.25">
      <c r="A36" s="60" t="s">
        <v>0</v>
      </c>
      <c r="B36" s="68"/>
      <c r="C36" s="69"/>
      <c r="D36" s="69"/>
      <c r="E36" s="69"/>
      <c r="F36" s="69"/>
      <c r="G36" s="69"/>
      <c r="H36" s="69"/>
      <c r="I36" s="69"/>
      <c r="J36" s="69"/>
      <c r="K36" s="69"/>
      <c r="L36" s="70"/>
      <c r="M36" s="172"/>
      <c r="N36" s="82"/>
      <c r="O36" s="83"/>
      <c r="P36" s="71"/>
      <c r="Q36" s="209"/>
      <c r="R36" s="210" t="s">
        <v>0</v>
      </c>
      <c r="S36" t="s">
        <v>0</v>
      </c>
      <c r="T36" t="s">
        <v>0</v>
      </c>
      <c r="U36" t="s">
        <v>0</v>
      </c>
      <c r="V36" t="s">
        <v>0</v>
      </c>
      <c r="W36" t="s">
        <v>0</v>
      </c>
      <c r="X36" t="s">
        <v>0</v>
      </c>
      <c r="Y36" t="s">
        <v>0</v>
      </c>
      <c r="Z36" t="s">
        <v>0</v>
      </c>
    </row>
    <row r="37" ht="15.75" customHeight="1" spans="1:26" x14ac:dyDescent="0.25">
      <c r="A37" s="60" t="s">
        <v>0</v>
      </c>
      <c r="B37" s="68"/>
      <c r="C37" s="69"/>
      <c r="D37" s="69"/>
      <c r="E37" s="69"/>
      <c r="F37" s="69"/>
      <c r="G37" s="69"/>
      <c r="H37" s="69"/>
      <c r="I37" s="69"/>
      <c r="J37" s="69"/>
      <c r="K37" s="69"/>
      <c r="L37" s="70"/>
      <c r="M37" s="172"/>
      <c r="N37" s="82"/>
      <c r="O37" s="83"/>
      <c r="P37" s="85"/>
      <c r="Q37" s="86"/>
      <c r="R37" s="80" t="s">
        <v>0</v>
      </c>
      <c r="S37" t="s">
        <v>0</v>
      </c>
      <c r="T37" t="s">
        <v>0</v>
      </c>
      <c r="U37" t="s">
        <v>0</v>
      </c>
      <c r="V37" t="s">
        <v>0</v>
      </c>
      <c r="W37" t="s">
        <v>0</v>
      </c>
      <c r="X37" t="s">
        <v>0</v>
      </c>
      <c r="Y37" t="s">
        <v>0</v>
      </c>
      <c r="Z37" t="s">
        <v>0</v>
      </c>
    </row>
    <row r="38" spans="1:26" x14ac:dyDescent="0.25">
      <c r="A38" s="60" t="s">
        <v>0</v>
      </c>
      <c r="B38" s="68"/>
      <c r="C38" s="69"/>
      <c r="D38" s="69"/>
      <c r="E38" s="69"/>
      <c r="F38" s="69"/>
      <c r="G38" s="69"/>
      <c r="H38" s="69"/>
      <c r="I38" s="69"/>
      <c r="J38" s="69"/>
      <c r="K38" s="69"/>
      <c r="L38" s="70"/>
      <c r="M38" s="172"/>
      <c r="N38" s="82"/>
      <c r="O38" s="83"/>
      <c r="P38" s="211"/>
      <c r="Q38" s="212"/>
      <c r="R38" s="80" t="s">
        <v>0</v>
      </c>
      <c r="S38" t="s">
        <v>0</v>
      </c>
      <c r="T38" t="s">
        <v>0</v>
      </c>
      <c r="U38" t="s">
        <v>0</v>
      </c>
      <c r="V38" t="s">
        <v>0</v>
      </c>
      <c r="W38" t="s">
        <v>0</v>
      </c>
      <c r="X38" t="s">
        <v>0</v>
      </c>
      <c r="Y38" t="s">
        <v>0</v>
      </c>
      <c r="Z38" t="s">
        <v>0</v>
      </c>
    </row>
    <row r="39" ht="15.75" customHeight="1" spans="1:26" x14ac:dyDescent="0.25">
      <c r="A39" s="213" t="s">
        <v>0</v>
      </c>
      <c r="B39" s="88"/>
      <c r="C39" s="89"/>
      <c r="D39" s="89"/>
      <c r="E39" s="89"/>
      <c r="F39" s="89"/>
      <c r="G39" s="89"/>
      <c r="H39" s="89"/>
      <c r="I39" s="89"/>
      <c r="J39" s="89"/>
      <c r="K39" s="89"/>
      <c r="L39" s="90"/>
      <c r="M39" s="88"/>
      <c r="N39" s="89"/>
      <c r="O39" s="90"/>
      <c r="P39" s="214"/>
      <c r="Q39" s="215"/>
      <c r="R39" t="s">
        <v>0</v>
      </c>
      <c r="S39" t="s">
        <v>0</v>
      </c>
      <c r="T39" t="s">
        <v>0</v>
      </c>
      <c r="U39" t="s">
        <v>0</v>
      </c>
      <c r="V39" t="s">
        <v>0</v>
      </c>
      <c r="W39" t="s">
        <v>0</v>
      </c>
      <c r="X39" t="s">
        <v>0</v>
      </c>
      <c r="Y39" t="s">
        <v>0</v>
      </c>
      <c r="Z39" t="s">
        <v>0</v>
      </c>
    </row>
    <row r="40" ht="15.75" customHeight="1" spans="1:26" x14ac:dyDescent="0.25">
      <c r="A40" s="93" t="s">
        <v>0</v>
      </c>
      <c r="B40" s="94"/>
      <c r="C40" s="95"/>
      <c r="D40" s="95"/>
      <c r="E40" s="95"/>
      <c r="F40" s="95"/>
      <c r="G40" s="95"/>
      <c r="H40" s="95"/>
      <c r="I40" s="95"/>
      <c r="J40" s="95"/>
      <c r="K40" s="95"/>
      <c r="L40" s="96"/>
      <c r="M40" s="97" t="s">
        <v>96</v>
      </c>
      <c r="N40" s="98"/>
      <c r="O40" s="98"/>
      <c r="P40" s="99">
        <f>SUM(P26:R39)</f>
        <v>337727.5</v>
      </c>
      <c r="Q40" s="100"/>
      <c r="R40" s="167" t="s">
        <v>0</v>
      </c>
      <c r="S40" t="s">
        <v>0</v>
      </c>
      <c r="T40" t="s">
        <v>0</v>
      </c>
      <c r="U40" t="s">
        <v>0</v>
      </c>
      <c r="V40" t="s">
        <v>0</v>
      </c>
      <c r="W40" t="s">
        <v>0</v>
      </c>
      <c r="X40" t="s">
        <v>0</v>
      </c>
      <c r="Y40" t="s">
        <v>0</v>
      </c>
      <c r="Z40" t="s">
        <v>0</v>
      </c>
    </row>
    <row r="41" spans="1:26" x14ac:dyDescent="0.25">
      <c r="A41" t="s">
        <v>0</v>
      </c>
      <c r="B41" t="s">
        <v>0</v>
      </c>
      <c r="C41" t="s">
        <v>0</v>
      </c>
      <c r="D41" t="s">
        <v>0</v>
      </c>
      <c r="E41" t="s">
        <v>0</v>
      </c>
      <c r="F41" t="s">
        <v>0</v>
      </c>
      <c r="G41" t="s">
        <v>0</v>
      </c>
      <c r="H41" t="s">
        <v>0</v>
      </c>
      <c r="I41" t="s">
        <v>0</v>
      </c>
      <c r="J41" t="s">
        <v>0</v>
      </c>
      <c r="K41" t="s">
        <v>0</v>
      </c>
      <c r="L41" t="s">
        <v>0</v>
      </c>
      <c r="M41" t="s">
        <v>0</v>
      </c>
      <c r="N41" t="s">
        <v>0</v>
      </c>
      <c r="O41" t="s">
        <v>0</v>
      </c>
      <c r="P41" t="s">
        <v>0</v>
      </c>
      <c r="Q41" t="s">
        <v>0</v>
      </c>
      <c r="R41" t="s">
        <v>0</v>
      </c>
      <c r="S41" t="s">
        <v>0</v>
      </c>
      <c r="T41" t="s">
        <v>0</v>
      </c>
      <c r="U41" t="s">
        <v>0</v>
      </c>
      <c r="V41" t="s">
        <v>0</v>
      </c>
      <c r="W41" t="s">
        <v>0</v>
      </c>
      <c r="X41" t="s">
        <v>0</v>
      </c>
      <c r="Y41" t="s">
        <v>0</v>
      </c>
      <c r="Z41" t="s">
        <v>0</v>
      </c>
    </row>
    <row r="42" ht="15.75" customHeight="1" spans="1:26" x14ac:dyDescent="0.25">
      <c r="A42" t="s">
        <v>0</v>
      </c>
      <c r="B42" t="s">
        <v>0</v>
      </c>
      <c r="C42" t="s">
        <v>0</v>
      </c>
      <c r="D42" t="s">
        <v>0</v>
      </c>
      <c r="E42" t="s">
        <v>0</v>
      </c>
      <c r="F42" t="s">
        <v>0</v>
      </c>
      <c r="G42" t="s">
        <v>0</v>
      </c>
      <c r="H42" t="s">
        <v>0</v>
      </c>
      <c r="I42" t="s">
        <v>0</v>
      </c>
      <c r="J42" t="s">
        <v>0</v>
      </c>
      <c r="K42" t="s">
        <v>0</v>
      </c>
      <c r="L42" t="s">
        <v>0</v>
      </c>
      <c r="M42" t="s">
        <v>0</v>
      </c>
      <c r="N42" t="s">
        <v>0</v>
      </c>
      <c r="O42" t="s">
        <v>0</v>
      </c>
      <c r="P42" t="s">
        <v>0</v>
      </c>
      <c r="Q42" t="s">
        <v>0</v>
      </c>
      <c r="R42" t="s">
        <v>0</v>
      </c>
      <c r="S42" t="s">
        <v>0</v>
      </c>
      <c r="T42" t="s">
        <v>0</v>
      </c>
      <c r="U42" t="s">
        <v>0</v>
      </c>
      <c r="V42" t="s">
        <v>0</v>
      </c>
      <c r="W42" t="s">
        <v>0</v>
      </c>
      <c r="X42" t="s">
        <v>0</v>
      </c>
      <c r="Y42" t="s">
        <v>0</v>
      </c>
      <c r="Z42" t="s">
        <v>0</v>
      </c>
    </row>
    <row r="43" ht="16.5" customHeight="1" spans="1:26" x14ac:dyDescent="0.25">
      <c r="A43" s="40" t="s">
        <v>74</v>
      </c>
      <c r="B43" s="41" t="s">
        <v>437</v>
      </c>
      <c r="C43" s="42"/>
      <c r="D43" s="42"/>
      <c r="E43" s="42"/>
      <c r="F43" s="42"/>
      <c r="G43" s="42"/>
      <c r="H43" s="42"/>
      <c r="I43" s="42"/>
      <c r="J43" s="42"/>
      <c r="K43" s="42"/>
      <c r="L43" s="43"/>
      <c r="M43" s="41" t="s">
        <v>76</v>
      </c>
      <c r="N43" s="42"/>
      <c r="O43" s="42"/>
      <c r="P43" s="44" t="s">
        <v>77</v>
      </c>
      <c r="Q43" s="45"/>
      <c r="R43" t="s">
        <v>0</v>
      </c>
      <c r="S43" t="s">
        <v>0</v>
      </c>
      <c r="T43" t="s">
        <v>0</v>
      </c>
      <c r="U43" t="s">
        <v>0</v>
      </c>
      <c r="V43" t="s">
        <v>0</v>
      </c>
      <c r="W43" t="s">
        <v>0</v>
      </c>
      <c r="X43" t="s">
        <v>0</v>
      </c>
      <c r="Y43" t="s">
        <v>0</v>
      </c>
      <c r="Z43" t="s">
        <v>0</v>
      </c>
    </row>
    <row r="44" spans="1:26" x14ac:dyDescent="0.25">
      <c r="A44" s="54" t="s">
        <v>0</v>
      </c>
      <c r="B44" s="55"/>
      <c r="C44" s="56"/>
      <c r="D44" s="56"/>
      <c r="E44" s="56"/>
      <c r="F44" s="56"/>
      <c r="G44" s="56"/>
      <c r="H44" s="56"/>
      <c r="I44" s="56"/>
      <c r="J44" s="56"/>
      <c r="K44" s="56"/>
      <c r="L44" s="57"/>
      <c r="M44" s="64"/>
      <c r="N44" s="140"/>
      <c r="O44" s="140"/>
      <c r="P44" s="85"/>
      <c r="Q44" s="86"/>
      <c r="R44" t="s">
        <v>0</v>
      </c>
      <c r="S44" t="s">
        <v>0</v>
      </c>
      <c r="T44" t="s">
        <v>0</v>
      </c>
      <c r="U44" t="s">
        <v>0</v>
      </c>
      <c r="V44" t="s">
        <v>0</v>
      </c>
      <c r="W44" t="s">
        <v>0</v>
      </c>
      <c r="X44" t="s">
        <v>0</v>
      </c>
      <c r="Y44" t="s">
        <v>0</v>
      </c>
      <c r="Z44" t="s">
        <v>0</v>
      </c>
    </row>
    <row r="45" spans="1:26" x14ac:dyDescent="0.25">
      <c r="A45" s="133" t="s">
        <v>0</v>
      </c>
      <c r="B45" s="81"/>
      <c r="C45" s="134"/>
      <c r="D45" s="134"/>
      <c r="E45" s="134"/>
      <c r="F45" s="134"/>
      <c r="G45" s="134"/>
      <c r="H45" s="134"/>
      <c r="I45" s="134"/>
      <c r="J45" s="134"/>
      <c r="K45" s="134"/>
      <c r="L45" s="84"/>
      <c r="M45" s="81"/>
      <c r="N45" s="134"/>
      <c r="O45" s="134"/>
      <c r="P45" s="85"/>
      <c r="Q45" s="86"/>
      <c r="R45" t="s">
        <v>0</v>
      </c>
      <c r="S45" t="s">
        <v>0</v>
      </c>
      <c r="T45" t="s">
        <v>0</v>
      </c>
      <c r="U45" t="s">
        <v>0</v>
      </c>
      <c r="V45" t="s">
        <v>0</v>
      </c>
      <c r="W45" t="s">
        <v>0</v>
      </c>
      <c r="X45" t="s">
        <v>0</v>
      </c>
      <c r="Y45" t="s">
        <v>0</v>
      </c>
      <c r="Z45" t="s">
        <v>0</v>
      </c>
    </row>
    <row r="46" spans="1:26" x14ac:dyDescent="0.25">
      <c r="A46" s="54" t="s">
        <v>0</v>
      </c>
      <c r="B46" s="169"/>
      <c r="C46" s="170"/>
      <c r="D46" s="170"/>
      <c r="E46" s="170"/>
      <c r="F46" s="170"/>
      <c r="G46" s="170"/>
      <c r="H46" s="170"/>
      <c r="I46" s="170"/>
      <c r="J46" s="170"/>
      <c r="K46" s="170"/>
      <c r="L46" s="171"/>
      <c r="M46" s="216"/>
      <c r="N46" s="206"/>
      <c r="O46" s="206"/>
      <c r="P46" s="207"/>
      <c r="Q46" s="208"/>
      <c r="R46" t="s">
        <v>0</v>
      </c>
      <c r="S46" t="s">
        <v>0</v>
      </c>
      <c r="T46" t="s">
        <v>0</v>
      </c>
      <c r="U46" t="s">
        <v>0</v>
      </c>
      <c r="V46" t="s">
        <v>0</v>
      </c>
      <c r="W46" t="s">
        <v>0</v>
      </c>
      <c r="X46" t="s">
        <v>0</v>
      </c>
      <c r="Y46" t="s">
        <v>0</v>
      </c>
      <c r="Z46" t="s">
        <v>0</v>
      </c>
    </row>
    <row r="47" spans="1:26" x14ac:dyDescent="0.25">
      <c r="A47" s="54" t="s">
        <v>0</v>
      </c>
      <c r="B47" s="81"/>
      <c r="C47" s="134"/>
      <c r="D47" s="134"/>
      <c r="E47" s="134"/>
      <c r="F47" s="134"/>
      <c r="G47" s="134"/>
      <c r="H47" s="134"/>
      <c r="I47" s="134"/>
      <c r="J47" s="134"/>
      <c r="K47" s="134"/>
      <c r="L47" s="84"/>
      <c r="M47" s="172"/>
      <c r="N47" s="82"/>
      <c r="O47" s="83"/>
      <c r="P47" s="85"/>
      <c r="Q47" s="86"/>
      <c r="R47" t="s">
        <v>0</v>
      </c>
      <c r="S47" t="s">
        <v>0</v>
      </c>
      <c r="T47" t="s">
        <v>0</v>
      </c>
      <c r="U47" t="s">
        <v>0</v>
      </c>
      <c r="V47" t="s">
        <v>0</v>
      </c>
      <c r="W47" t="s">
        <v>0</v>
      </c>
      <c r="X47" t="s">
        <v>0</v>
      </c>
      <c r="Y47" t="s">
        <v>0</v>
      </c>
      <c r="Z47" t="s">
        <v>0</v>
      </c>
    </row>
    <row r="48" spans="1:26" x14ac:dyDescent="0.25">
      <c r="A48" s="54" t="s">
        <v>0</v>
      </c>
      <c r="B48" s="81"/>
      <c r="C48" s="134"/>
      <c r="D48" s="134"/>
      <c r="E48" s="134"/>
      <c r="F48" s="134"/>
      <c r="G48" s="134"/>
      <c r="H48" s="134"/>
      <c r="I48" s="134"/>
      <c r="J48" s="134"/>
      <c r="K48" s="134"/>
      <c r="L48" s="84"/>
      <c r="M48" s="81"/>
      <c r="N48" s="82"/>
      <c r="O48" s="83"/>
      <c r="P48" s="85"/>
      <c r="Q48" s="86"/>
      <c r="R48" t="s">
        <v>0</v>
      </c>
      <c r="S48" t="s">
        <v>0</v>
      </c>
      <c r="T48" t="s">
        <v>0</v>
      </c>
      <c r="U48" t="s">
        <v>0</v>
      </c>
      <c r="V48" t="s">
        <v>0</v>
      </c>
      <c r="W48" t="s">
        <v>0</v>
      </c>
      <c r="X48" t="s">
        <v>0</v>
      </c>
      <c r="Y48" t="s">
        <v>0</v>
      </c>
      <c r="Z48" t="s">
        <v>0</v>
      </c>
    </row>
    <row r="49" spans="1:26" x14ac:dyDescent="0.25">
      <c r="A49" s="60" t="s">
        <v>0</v>
      </c>
      <c r="B49" s="68"/>
      <c r="C49" s="69"/>
      <c r="D49" s="69"/>
      <c r="E49" s="69"/>
      <c r="F49" s="69"/>
      <c r="G49" s="69"/>
      <c r="H49" s="69"/>
      <c r="I49" s="69"/>
      <c r="J49" s="69"/>
      <c r="K49" s="69"/>
      <c r="L49" s="70"/>
      <c r="M49" s="81"/>
      <c r="N49" s="82"/>
      <c r="O49" s="82"/>
      <c r="P49" s="141"/>
      <c r="Q49" s="142"/>
      <c r="R49" t="s">
        <v>0</v>
      </c>
      <c r="S49" t="s">
        <v>0</v>
      </c>
      <c r="T49" t="s">
        <v>0</v>
      </c>
      <c r="U49" t="s">
        <v>0</v>
      </c>
      <c r="V49" t="s">
        <v>0</v>
      </c>
      <c r="W49" t="s">
        <v>0</v>
      </c>
      <c r="X49" t="s">
        <v>0</v>
      </c>
      <c r="Y49" t="s">
        <v>0</v>
      </c>
      <c r="Z49" t="s">
        <v>0</v>
      </c>
    </row>
    <row r="50" spans="1:26" x14ac:dyDescent="0.25">
      <c r="A50" s="196" t="s">
        <v>0</v>
      </c>
      <c r="B50" s="68"/>
      <c r="C50" s="69"/>
      <c r="D50" s="69"/>
      <c r="E50" s="69"/>
      <c r="F50" s="69"/>
      <c r="G50" s="69"/>
      <c r="H50" s="69"/>
      <c r="I50" s="69"/>
      <c r="J50" s="69"/>
      <c r="K50" s="69"/>
      <c r="L50" s="70"/>
      <c r="M50" s="172"/>
      <c r="N50" s="82"/>
      <c r="O50" s="83"/>
      <c r="P50" s="141"/>
      <c r="Q50" s="142"/>
      <c r="R50" t="s">
        <v>0</v>
      </c>
      <c r="S50" t="s">
        <v>0</v>
      </c>
      <c r="T50" t="s">
        <v>0</v>
      </c>
      <c r="U50" t="s">
        <v>0</v>
      </c>
      <c r="V50" t="s">
        <v>0</v>
      </c>
      <c r="W50" t="s">
        <v>0</v>
      </c>
      <c r="X50" t="s">
        <v>0</v>
      </c>
      <c r="Y50" t="s">
        <v>0</v>
      </c>
      <c r="Z50" t="s">
        <v>0</v>
      </c>
    </row>
    <row r="51" spans="1:26" x14ac:dyDescent="0.25">
      <c r="A51" s="196" t="s">
        <v>0</v>
      </c>
      <c r="B51" s="68"/>
      <c r="C51" s="69"/>
      <c r="D51" s="69"/>
      <c r="E51" s="69"/>
      <c r="F51" s="69"/>
      <c r="G51" s="69"/>
      <c r="H51" s="69"/>
      <c r="I51" s="69"/>
      <c r="J51" s="69"/>
      <c r="K51" s="69"/>
      <c r="L51" s="70"/>
      <c r="M51" s="172"/>
      <c r="N51" s="82"/>
      <c r="O51" s="83"/>
      <c r="P51" s="141"/>
      <c r="Q51" s="142"/>
      <c r="R51" t="s">
        <v>0</v>
      </c>
      <c r="S51" t="s">
        <v>0</v>
      </c>
      <c r="T51" t="s">
        <v>0</v>
      </c>
      <c r="U51" t="s">
        <v>0</v>
      </c>
      <c r="V51" t="s">
        <v>0</v>
      </c>
      <c r="W51" t="s">
        <v>0</v>
      </c>
      <c r="X51" t="s">
        <v>0</v>
      </c>
      <c r="Y51" t="s">
        <v>0</v>
      </c>
      <c r="Z51" t="s">
        <v>0</v>
      </c>
    </row>
    <row r="52" spans="1:26" x14ac:dyDescent="0.25">
      <c r="A52" s="196" t="s">
        <v>0</v>
      </c>
      <c r="B52" s="68"/>
      <c r="C52" s="69"/>
      <c r="D52" s="69"/>
      <c r="E52" s="69"/>
      <c r="F52" s="69"/>
      <c r="G52" s="69"/>
      <c r="H52" s="69"/>
      <c r="I52" s="69"/>
      <c r="J52" s="69"/>
      <c r="K52" s="69"/>
      <c r="L52" s="70"/>
      <c r="M52" s="172"/>
      <c r="N52" s="82"/>
      <c r="O52" s="83"/>
      <c r="P52" s="141"/>
      <c r="Q52" s="142"/>
      <c r="R52" t="s">
        <v>0</v>
      </c>
      <c r="S52" t="s">
        <v>0</v>
      </c>
      <c r="T52" t="s">
        <v>0</v>
      </c>
      <c r="U52" t="s">
        <v>0</v>
      </c>
      <c r="V52" t="s">
        <v>0</v>
      </c>
      <c r="W52" t="s">
        <v>0</v>
      </c>
      <c r="X52" t="s">
        <v>0</v>
      </c>
      <c r="Y52" t="s">
        <v>0</v>
      </c>
      <c r="Z52" t="s">
        <v>0</v>
      </c>
    </row>
    <row r="53" ht="15.75" customHeight="1" spans="1:26" x14ac:dyDescent="0.25">
      <c r="A53" s="213" t="s">
        <v>0</v>
      </c>
      <c r="B53" s="88"/>
      <c r="C53" s="89"/>
      <c r="D53" s="89"/>
      <c r="E53" s="89"/>
      <c r="F53" s="89"/>
      <c r="G53" s="89"/>
      <c r="H53" s="89"/>
      <c r="I53" s="89"/>
      <c r="J53" s="89"/>
      <c r="K53" s="89"/>
      <c r="L53" s="90"/>
      <c r="M53" s="88"/>
      <c r="N53" s="89"/>
      <c r="O53" s="90"/>
      <c r="P53" s="217"/>
      <c r="Q53" s="218"/>
      <c r="R53" t="s">
        <v>0</v>
      </c>
      <c r="S53" t="s">
        <v>0</v>
      </c>
      <c r="T53" t="s">
        <v>0</v>
      </c>
      <c r="U53" t="s">
        <v>0</v>
      </c>
      <c r="V53" t="s">
        <v>0</v>
      </c>
      <c r="W53" t="s">
        <v>0</v>
      </c>
      <c r="X53" t="s">
        <v>0</v>
      </c>
      <c r="Y53" t="s">
        <v>0</v>
      </c>
      <c r="Z53" t="s">
        <v>0</v>
      </c>
    </row>
    <row r="54" ht="15.75" customHeight="1" spans="1:26" x14ac:dyDescent="0.25">
      <c r="A54" s="93" t="s">
        <v>0</v>
      </c>
      <c r="B54" s="94"/>
      <c r="C54" s="95"/>
      <c r="D54" s="95"/>
      <c r="E54" s="95"/>
      <c r="F54" s="95"/>
      <c r="G54" s="95"/>
      <c r="H54" s="95"/>
      <c r="I54" s="95"/>
      <c r="J54" s="95"/>
      <c r="K54" s="95"/>
      <c r="L54" s="96"/>
      <c r="M54" s="97" t="s">
        <v>96</v>
      </c>
      <c r="N54" s="98"/>
      <c r="O54" s="98"/>
      <c r="P54" s="99">
        <f>SUM(P44:R53)</f>
        <v>0</v>
      </c>
      <c r="Q54" s="100"/>
      <c r="R54" t="s">
        <v>0</v>
      </c>
      <c r="S54" t="s">
        <v>0</v>
      </c>
      <c r="T54" t="s">
        <v>0</v>
      </c>
      <c r="U54" t="s">
        <v>0</v>
      </c>
      <c r="V54" t="s">
        <v>0</v>
      </c>
      <c r="W54" t="s">
        <v>0</v>
      </c>
      <c r="X54" t="s">
        <v>0</v>
      </c>
      <c r="Y54" t="s">
        <v>0</v>
      </c>
      <c r="Z54" t="s">
        <v>0</v>
      </c>
    </row>
  </sheetData>
  <mergeCells count="86">
    <mergeCell ref="A1:I1"/>
    <mergeCell ref="J1:Z1"/>
    <mergeCell ref="B25:L25"/>
    <mergeCell ref="M25:O25"/>
    <mergeCell ref="P25:Q25"/>
    <mergeCell ref="B26:L26"/>
    <mergeCell ref="M26:O26"/>
    <mergeCell ref="P26:Q26"/>
    <mergeCell ref="B27:L27"/>
    <mergeCell ref="M27:O27"/>
    <mergeCell ref="P27:Q27"/>
    <mergeCell ref="B28:L28"/>
    <mergeCell ref="M28:O28"/>
    <mergeCell ref="P28:Q28"/>
    <mergeCell ref="B29:L29"/>
    <mergeCell ref="M29:O29"/>
    <mergeCell ref="P29:Q29"/>
    <mergeCell ref="B30:L30"/>
    <mergeCell ref="M30:O30"/>
    <mergeCell ref="P30:Q30"/>
    <mergeCell ref="B31:L31"/>
    <mergeCell ref="M31:O31"/>
    <mergeCell ref="P31:Q31"/>
    <mergeCell ref="B32:L32"/>
    <mergeCell ref="M32:O32"/>
    <mergeCell ref="P32:Q32"/>
    <mergeCell ref="B33:L33"/>
    <mergeCell ref="M33:O33"/>
    <mergeCell ref="P33:Q33"/>
    <mergeCell ref="B34:L34"/>
    <mergeCell ref="M34:O34"/>
    <mergeCell ref="P34:Q34"/>
    <mergeCell ref="B35:L35"/>
    <mergeCell ref="M35:O35"/>
    <mergeCell ref="P35:Q35"/>
    <mergeCell ref="B36:L36"/>
    <mergeCell ref="M36:O36"/>
    <mergeCell ref="P36:Q36"/>
    <mergeCell ref="B37:L37"/>
    <mergeCell ref="M37:O37"/>
    <mergeCell ref="P37:Q37"/>
    <mergeCell ref="B38:L38"/>
    <mergeCell ref="M38:O38"/>
    <mergeCell ref="P38:Q38"/>
    <mergeCell ref="B39:L39"/>
    <mergeCell ref="M39:O39"/>
    <mergeCell ref="P39:Q39"/>
    <mergeCell ref="B40:L40"/>
    <mergeCell ref="M40:O40"/>
    <mergeCell ref="P40:Q40"/>
    <mergeCell ref="B43:L43"/>
    <mergeCell ref="M43:O43"/>
    <mergeCell ref="P43:Q43"/>
    <mergeCell ref="B44:L44"/>
    <mergeCell ref="M44:O44"/>
    <mergeCell ref="P44:Q44"/>
    <mergeCell ref="B45:L45"/>
    <mergeCell ref="M45:O45"/>
    <mergeCell ref="P45:Q45"/>
    <mergeCell ref="B46:L46"/>
    <mergeCell ref="M46:O46"/>
    <mergeCell ref="P46:Q46"/>
    <mergeCell ref="B47:L47"/>
    <mergeCell ref="M47:O47"/>
    <mergeCell ref="P47:Q47"/>
    <mergeCell ref="B48:L48"/>
    <mergeCell ref="M48:O48"/>
    <mergeCell ref="P48:Q48"/>
    <mergeCell ref="B49:L49"/>
    <mergeCell ref="M49:O49"/>
    <mergeCell ref="P49:Q49"/>
    <mergeCell ref="B50:L50"/>
    <mergeCell ref="M50:O50"/>
    <mergeCell ref="P50:Q50"/>
    <mergeCell ref="B51:L51"/>
    <mergeCell ref="M51:O51"/>
    <mergeCell ref="P51:Q51"/>
    <mergeCell ref="B52:L52"/>
    <mergeCell ref="M52:O52"/>
    <mergeCell ref="P52:Q52"/>
    <mergeCell ref="B53:L53"/>
    <mergeCell ref="M53:O53"/>
    <mergeCell ref="P53:Q53"/>
    <mergeCell ref="B54:L54"/>
    <mergeCell ref="M54:O54"/>
    <mergeCell ref="P54:Q54"/>
  </mergeCells>
  <pageMargins left="0.7" right="0.7" top="0.75" bottom="0.75" header="0.3" footer="0.3"/>
  <pageSetup paperSize="256" orientation="landscape" horizontalDpi="4294967293" verticalDpi="0" scale="59" fitToWidth="1" fitToHeight="0"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workbookViewId="0" zoomScale="100" zoomScaleNormal="100">
      <selection activeCell="Q4" sqref="Q4"/>
    </sheetView>
  </sheetViews>
  <sheetFormatPr defaultRowHeight="15" outlineLevelRow="0" outlineLevelCol="0" x14ac:dyDescent="0.25"/>
  <cols>
    <col min="1" max="1" width="36.5703125" customWidth="1"/>
    <col min="2" max="2" width="18.7109375" hidden="1" customWidth="1"/>
    <col min="3" max="3" width="16.7109375" hidden="1" customWidth="1"/>
    <col min="4" max="4" width="19.5703125" customWidth="1"/>
    <col min="5" max="5" width="22" customWidth="1"/>
    <col min="6" max="6" width="21.85546875" customWidth="1"/>
    <col min="7" max="7" width="12" customWidth="1"/>
    <col min="8" max="10" width="10.28515625" customWidth="1"/>
    <col min="11" max="11" width="11.28515625" customWidth="1"/>
    <col min="12" max="16" width="10.28515625" customWidth="1"/>
    <col min="17" max="17" width="12.5703125" customWidth="1"/>
    <col min="18" max="19" width="13.28515625" customWidth="1"/>
    <col min="20" max="20" width="13.140625" customWidth="1"/>
  </cols>
  <sheetData>
    <row r="1" ht="72.75" customHeight="1" spans="1:20" x14ac:dyDescent="0.25">
      <c r="A1" s="1" t="s">
        <v>0</v>
      </c>
      <c r="B1" s="261" t="s">
        <v>728</v>
      </c>
      <c r="C1" s="2" t="s">
        <v>255</v>
      </c>
      <c r="D1" s="3" t="s">
        <v>98</v>
      </c>
      <c r="E1" s="4" t="s">
        <v>904</v>
      </c>
      <c r="F1" s="5" t="s">
        <v>905</v>
      </c>
      <c r="G1" s="6" t="s">
        <v>5</v>
      </c>
      <c r="H1" s="7" t="s">
        <v>6</v>
      </c>
      <c r="I1" s="8" t="s">
        <v>7</v>
      </c>
      <c r="J1" s="7" t="s">
        <v>8</v>
      </c>
      <c r="K1" s="8" t="s">
        <v>9</v>
      </c>
      <c r="L1" s="7" t="s">
        <v>10</v>
      </c>
      <c r="M1" s="8" t="s">
        <v>11</v>
      </c>
      <c r="N1" s="7" t="s">
        <v>12</v>
      </c>
      <c r="O1" s="8" t="s">
        <v>13</v>
      </c>
      <c r="P1" s="7" t="s">
        <v>14</v>
      </c>
      <c r="Q1" s="8" t="s">
        <v>15</v>
      </c>
      <c r="R1" s="7" t="s">
        <v>16</v>
      </c>
      <c r="S1" s="9" t="s">
        <v>0</v>
      </c>
      <c r="T1" s="10" t="s">
        <v>17</v>
      </c>
    </row>
    <row r="2" ht="16.5" customHeight="1" spans="1:20" x14ac:dyDescent="0.25">
      <c r="A2" s="12" t="s">
        <v>906</v>
      </c>
      <c r="B2" s="103" t="s">
        <v>0</v>
      </c>
      <c r="C2" s="13" t="s">
        <v>0</v>
      </c>
      <c r="D2" s="13"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05" t="s">
        <v>0</v>
      </c>
      <c r="T2" s="16" t="s">
        <v>0</v>
      </c>
    </row>
    <row r="3" ht="15.75" customHeight="1" spans="1:20" x14ac:dyDescent="0.25">
      <c r="A3" s="187" t="s">
        <v>907</v>
      </c>
      <c r="B3" s="263" t="s">
        <v>908</v>
      </c>
      <c r="C3" s="20" t="s">
        <v>0</v>
      </c>
      <c r="D3" s="21" t="s">
        <v>909</v>
      </c>
      <c r="E3" s="22" t="s">
        <v>910</v>
      </c>
      <c r="F3" s="23" t="s">
        <v>911</v>
      </c>
      <c r="G3" s="23" t="s">
        <v>912</v>
      </c>
      <c r="H3" s="23" t="s">
        <v>913</v>
      </c>
      <c r="I3" s="23" t="s">
        <v>914</v>
      </c>
      <c r="J3" s="23" t="s">
        <v>913</v>
      </c>
      <c r="K3" s="23" t="s">
        <v>913</v>
      </c>
      <c r="L3" s="23" t="s">
        <v>915</v>
      </c>
      <c r="M3" s="23" t="s">
        <v>916</v>
      </c>
      <c r="N3" s="23" t="s">
        <v>912</v>
      </c>
      <c r="O3" s="23" t="s">
        <v>912</v>
      </c>
      <c r="P3" s="23" t="s">
        <v>912</v>
      </c>
      <c r="Q3" s="23" t="s">
        <v>912</v>
      </c>
      <c r="R3" s="23" t="s">
        <v>0</v>
      </c>
      <c r="S3" s="24" t="s">
        <v>0</v>
      </c>
      <c r="T3" s="24" t="s">
        <v>910</v>
      </c>
    </row>
    <row r="4" ht="15.75" customHeight="1" spans="1:20" x14ac:dyDescent="0.25">
      <c r="A4" s="26" t="s">
        <v>41</v>
      </c>
      <c r="B4" s="272" t="s">
        <v>780</v>
      </c>
      <c r="C4" s="27" t="s">
        <v>0</v>
      </c>
      <c r="D4" s="188" t="s">
        <v>917</v>
      </c>
      <c r="E4" s="22" t="s">
        <v>0</v>
      </c>
      <c r="F4" s="23" t="s">
        <v>917</v>
      </c>
      <c r="G4" s="28" t="s">
        <v>0</v>
      </c>
      <c r="H4" s="28" t="s">
        <v>0</v>
      </c>
      <c r="I4" s="28" t="s">
        <v>0</v>
      </c>
      <c r="J4" s="28" t="s">
        <v>0</v>
      </c>
      <c r="K4" s="28" t="s">
        <v>0</v>
      </c>
      <c r="L4" s="28" t="s">
        <v>0</v>
      </c>
      <c r="M4" s="28" t="s">
        <v>0</v>
      </c>
      <c r="N4" s="28" t="s">
        <v>0</v>
      </c>
      <c r="O4" s="28" t="s">
        <v>0</v>
      </c>
      <c r="P4" s="28" t="s">
        <v>0</v>
      </c>
      <c r="Q4" s="28" t="s">
        <v>0</v>
      </c>
      <c r="R4" s="28" t="s">
        <v>0</v>
      </c>
      <c r="S4" s="24" t="s">
        <v>0</v>
      </c>
      <c r="T4" s="24" t="s">
        <v>0</v>
      </c>
    </row>
    <row r="5" ht="16.5" customHeight="1" spans="1:20" x14ac:dyDescent="0.25">
      <c r="A5" s="34" t="s">
        <v>0</v>
      </c>
      <c r="B5" s="193" t="s">
        <v>96</v>
      </c>
      <c r="C5" s="37" t="s">
        <v>0</v>
      </c>
      <c r="D5" s="37" t="s">
        <v>918</v>
      </c>
      <c r="E5" s="37" t="s">
        <v>910</v>
      </c>
      <c r="F5" s="37" t="s">
        <v>919</v>
      </c>
      <c r="G5" s="37" t="s">
        <v>912</v>
      </c>
      <c r="H5" s="37" t="s">
        <v>913</v>
      </c>
      <c r="I5" s="37" t="s">
        <v>914</v>
      </c>
      <c r="J5" s="37" t="s">
        <v>913</v>
      </c>
      <c r="K5" s="37" t="s">
        <v>913</v>
      </c>
      <c r="L5" s="37" t="s">
        <v>915</v>
      </c>
      <c r="M5" s="37" t="s">
        <v>916</v>
      </c>
      <c r="N5" s="37" t="s">
        <v>912</v>
      </c>
      <c r="O5" s="37" t="s">
        <v>912</v>
      </c>
      <c r="P5" s="37" t="s">
        <v>912</v>
      </c>
      <c r="Q5" s="37" t="s">
        <v>912</v>
      </c>
      <c r="R5" s="37" t="s">
        <v>0</v>
      </c>
      <c r="S5" s="193" t="s">
        <v>73</v>
      </c>
      <c r="T5" s="192" t="s">
        <v>910</v>
      </c>
    </row>
    <row r="9" ht="37.5" customHeight="1" spans="1:3" x14ac:dyDescent="0.25">
      <c r="A9" s="39"/>
      <c r="B9" s="204"/>
      <c r="C9" s="204"/>
    </row>
    <row r="12" ht="15.75" customHeight="1" spans="3:3" x14ac:dyDescent="0.25">
      <c r="C12" s="39"/>
    </row>
    <row r="13" ht="37.5" customHeight="1" spans="2:2" x14ac:dyDescent="0.25">
      <c r="B13" s="204"/>
    </row>
  </sheetData>
  <pageMargins left="0.7" right="0.7" top="0.75" bottom="0.75" header="0.3" footer="0.3"/>
  <pageSetup paperSize="9" orientation="portrait" horizontalDpi="4294967293" verticalDpi="0" scale="100" fitToWidth="1" fitToHeight="1" firstPageNumber="1" useFirstPageNumber="1" copies="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9"/>
  <sheetViews>
    <sheetView workbookViewId="0" zoomScale="90" zoomScaleNormal="90">
      <selection activeCell="X23" sqref="X23"/>
    </sheetView>
  </sheetViews>
  <sheetFormatPr defaultRowHeight="15" outlineLevelRow="0" outlineLevelCol="0" x14ac:dyDescent="0.25"/>
  <cols>
    <col min="1" max="1" width="40.140625" customWidth="1"/>
    <col min="2" max="2" width="16.7109375" hidden="1" customWidth="1"/>
    <col min="3" max="9" width="16.7109375" customWidth="1"/>
    <col min="10" max="11" width="17.85546875" customWidth="1"/>
    <col min="12" max="12" width="18.7109375" customWidth="1"/>
    <col min="13" max="13" width="13" customWidth="1"/>
    <col min="14" max="14" width="14" customWidth="1"/>
    <col min="15" max="15" width="13.28515625" customWidth="1"/>
    <col min="16" max="16" width="15.28515625" customWidth="1"/>
    <col min="17" max="17" width="13.5703125" customWidth="1"/>
    <col min="18" max="18" width="14" customWidth="1"/>
    <col min="19" max="19" width="12.85546875" customWidth="1"/>
    <col min="20" max="20" width="12.140625" customWidth="1"/>
    <col min="21" max="21" width="11.7109375" customWidth="1"/>
    <col min="22" max="22" width="12.28515625" customWidth="1"/>
    <col min="23" max="23" width="10.42578125" customWidth="1"/>
    <col min="24" max="25" width="12" customWidth="1"/>
    <col min="26" max="26" width="14.7109375" customWidth="1"/>
  </cols>
  <sheetData>
    <row r="1" ht="43.5" customHeight="1" spans="1:26" s="80" customFormat="1" x14ac:dyDescent="0.25">
      <c r="A1" s="80" t="s">
        <v>0</v>
      </c>
      <c r="B1" s="80" t="s">
        <v>0</v>
      </c>
      <c r="C1" s="219" t="s">
        <v>342</v>
      </c>
      <c r="D1" s="220"/>
      <c r="E1" s="220"/>
      <c r="F1" s="220"/>
      <c r="G1" s="220"/>
      <c r="H1" s="220"/>
      <c r="I1" s="221"/>
      <c r="J1" s="199"/>
      <c r="K1" s="200"/>
      <c r="L1" s="200"/>
      <c r="M1" s="200"/>
      <c r="N1" s="200"/>
      <c r="O1" s="200"/>
      <c r="P1" s="200"/>
      <c r="Q1" s="200"/>
      <c r="R1" s="200"/>
      <c r="S1" s="200"/>
      <c r="T1" s="200"/>
      <c r="U1" s="200"/>
      <c r="V1" s="200"/>
      <c r="W1" s="200"/>
      <c r="X1" s="200"/>
      <c r="Y1" s="200"/>
      <c r="Z1" s="201"/>
    </row>
    <row r="2" ht="72.75" customHeight="1" spans="1:26" x14ac:dyDescent="0.25">
      <c r="A2" s="1" t="s">
        <v>0</v>
      </c>
      <c r="B2" s="181" t="s">
        <v>438</v>
      </c>
      <c r="C2" s="181" t="s">
        <v>256</v>
      </c>
      <c r="D2" s="181" t="s">
        <v>344</v>
      </c>
      <c r="E2" s="181" t="s">
        <v>343</v>
      </c>
      <c r="F2" s="181" t="s">
        <v>259</v>
      </c>
      <c r="G2" s="181" t="s">
        <v>260</v>
      </c>
      <c r="H2" s="181" t="s">
        <v>439</v>
      </c>
      <c r="I2" s="181" t="s">
        <v>262</v>
      </c>
      <c r="J2" s="202" t="s">
        <v>98</v>
      </c>
      <c r="K2" s="4" t="s">
        <v>3</v>
      </c>
      <c r="L2" s="185" t="s">
        <v>345</v>
      </c>
      <c r="M2" s="6" t="s">
        <v>5</v>
      </c>
      <c r="N2" s="7" t="s">
        <v>6</v>
      </c>
      <c r="O2" s="8" t="s">
        <v>7</v>
      </c>
      <c r="P2" s="7" t="s">
        <v>8</v>
      </c>
      <c r="Q2" s="8" t="s">
        <v>9</v>
      </c>
      <c r="R2" s="7" t="s">
        <v>10</v>
      </c>
      <c r="S2" s="8" t="s">
        <v>11</v>
      </c>
      <c r="T2" s="7" t="s">
        <v>12</v>
      </c>
      <c r="U2" s="8" t="s">
        <v>13</v>
      </c>
      <c r="V2" s="7" t="s">
        <v>14</v>
      </c>
      <c r="W2" s="8" t="s">
        <v>15</v>
      </c>
      <c r="X2" s="7" t="s">
        <v>16</v>
      </c>
      <c r="Y2" s="9" t="s">
        <v>0</v>
      </c>
      <c r="Z2" s="10" t="s">
        <v>17</v>
      </c>
    </row>
    <row r="3" ht="16.5" customHeight="1" spans="1:26" x14ac:dyDescent="0.25">
      <c r="A3" s="12" t="s">
        <v>440</v>
      </c>
      <c r="B3" s="13" t="s">
        <v>0</v>
      </c>
      <c r="C3" s="13" t="s">
        <v>0</v>
      </c>
      <c r="D3" s="13" t="s">
        <v>0</v>
      </c>
      <c r="E3" s="13" t="s">
        <v>0</v>
      </c>
      <c r="F3" s="13" t="s">
        <v>0</v>
      </c>
      <c r="G3" s="13" t="s">
        <v>0</v>
      </c>
      <c r="H3" s="13" t="s">
        <v>0</v>
      </c>
      <c r="I3" s="13" t="s">
        <v>0</v>
      </c>
      <c r="J3" s="13" t="s">
        <v>0</v>
      </c>
      <c r="K3" s="14" t="s">
        <v>0</v>
      </c>
      <c r="L3" s="15" t="s">
        <v>0</v>
      </c>
      <c r="M3" s="105" t="s">
        <v>0</v>
      </c>
      <c r="N3" s="16" t="s">
        <v>0</v>
      </c>
      <c r="O3" s="17" t="s">
        <v>0</v>
      </c>
      <c r="P3" s="16" t="s">
        <v>0</v>
      </c>
      <c r="Q3" s="17" t="s">
        <v>0</v>
      </c>
      <c r="R3" s="16" t="s">
        <v>0</v>
      </c>
      <c r="S3" s="17" t="s">
        <v>0</v>
      </c>
      <c r="T3" s="16" t="s">
        <v>0</v>
      </c>
      <c r="U3" s="17" t="s">
        <v>0</v>
      </c>
      <c r="V3" s="16" t="s">
        <v>0</v>
      </c>
      <c r="W3" s="17" t="s">
        <v>0</v>
      </c>
      <c r="X3" s="16" t="s">
        <v>0</v>
      </c>
      <c r="Y3" s="105" t="s">
        <v>0</v>
      </c>
      <c r="Z3" s="16" t="s">
        <v>0</v>
      </c>
    </row>
    <row r="4" ht="15.75" customHeight="1" spans="1:26" x14ac:dyDescent="0.25">
      <c r="A4" s="187" t="s">
        <v>441</v>
      </c>
      <c r="B4" s="20" t="s">
        <v>0</v>
      </c>
      <c r="C4" s="20" t="s">
        <v>0</v>
      </c>
      <c r="D4" s="20" t="s">
        <v>0</v>
      </c>
      <c r="E4" s="20" t="s">
        <v>0</v>
      </c>
      <c r="F4" s="20" t="s">
        <v>0</v>
      </c>
      <c r="G4" s="20" t="s">
        <v>0</v>
      </c>
      <c r="H4" s="20" t="s">
        <v>0</v>
      </c>
      <c r="I4" s="20" t="s">
        <v>0</v>
      </c>
      <c r="J4" s="21" t="s">
        <v>279</v>
      </c>
      <c r="K4" s="22" t="s">
        <v>0</v>
      </c>
      <c r="L4" s="23" t="s">
        <v>279</v>
      </c>
      <c r="M4" s="23" t="s">
        <v>0</v>
      </c>
      <c r="N4" s="23" t="s">
        <v>0</v>
      </c>
      <c r="O4" s="23" t="s">
        <v>0</v>
      </c>
      <c r="P4" s="23" t="s">
        <v>0</v>
      </c>
      <c r="Q4" s="23" t="s">
        <v>0</v>
      </c>
      <c r="R4" s="23" t="s">
        <v>0</v>
      </c>
      <c r="S4" s="23" t="s">
        <v>0</v>
      </c>
      <c r="T4" s="23" t="s">
        <v>0</v>
      </c>
      <c r="U4" s="23" t="s">
        <v>0</v>
      </c>
      <c r="V4" s="23" t="s">
        <v>0</v>
      </c>
      <c r="W4" s="23" t="s">
        <v>0</v>
      </c>
      <c r="X4" s="23" t="s">
        <v>0</v>
      </c>
      <c r="Y4" s="24" t="s">
        <v>0</v>
      </c>
      <c r="Z4" s="24" t="s">
        <v>0</v>
      </c>
    </row>
    <row r="5" ht="15.75" customHeight="1" spans="1:26" x14ac:dyDescent="0.25">
      <c r="A5" s="187" t="s">
        <v>269</v>
      </c>
      <c r="B5" s="20" t="s">
        <v>0</v>
      </c>
      <c r="C5" s="20" t="s">
        <v>0</v>
      </c>
      <c r="D5" s="20" t="s">
        <v>0</v>
      </c>
      <c r="E5" s="20" t="s">
        <v>0</v>
      </c>
      <c r="F5" s="20" t="s">
        <v>0</v>
      </c>
      <c r="G5" s="20" t="s">
        <v>0</v>
      </c>
      <c r="H5" s="20" t="s">
        <v>0</v>
      </c>
      <c r="I5" s="20" t="s">
        <v>0</v>
      </c>
      <c r="J5" s="21" t="s">
        <v>0</v>
      </c>
      <c r="K5" s="22" t="s">
        <v>442</v>
      </c>
      <c r="L5" s="23" t="s">
        <v>443</v>
      </c>
      <c r="M5" s="23" t="s">
        <v>444</v>
      </c>
      <c r="N5" s="23" t="s">
        <v>445</v>
      </c>
      <c r="O5" s="23" t="s">
        <v>446</v>
      </c>
      <c r="P5" s="23" t="s">
        <v>447</v>
      </c>
      <c r="Q5" s="23" t="s">
        <v>448</v>
      </c>
      <c r="R5" s="23" t="s">
        <v>449</v>
      </c>
      <c r="S5" s="23" t="s">
        <v>450</v>
      </c>
      <c r="T5" s="23" t="s">
        <v>125</v>
      </c>
      <c r="U5" s="23" t="s">
        <v>451</v>
      </c>
      <c r="V5" s="23" t="s">
        <v>0</v>
      </c>
      <c r="W5" s="23" t="s">
        <v>0</v>
      </c>
      <c r="X5" s="23" t="s">
        <v>0</v>
      </c>
      <c r="Y5" s="24" t="s">
        <v>0</v>
      </c>
      <c r="Z5" s="24" t="s">
        <v>442</v>
      </c>
    </row>
    <row r="6" ht="15.75" customHeight="1" spans="1:26" x14ac:dyDescent="0.25">
      <c r="A6" s="187" t="s">
        <v>274</v>
      </c>
      <c r="B6" s="20" t="s">
        <v>0</v>
      </c>
      <c r="C6" s="20" t="s">
        <v>0</v>
      </c>
      <c r="D6" s="20" t="s">
        <v>0</v>
      </c>
      <c r="E6" s="20" t="s">
        <v>0</v>
      </c>
      <c r="F6" s="20" t="s">
        <v>0</v>
      </c>
      <c r="G6" s="20" t="s">
        <v>0</v>
      </c>
      <c r="H6" s="20" t="s">
        <v>0</v>
      </c>
      <c r="I6" s="20" t="s">
        <v>0</v>
      </c>
      <c r="J6" s="21" t="s">
        <v>0</v>
      </c>
      <c r="K6" s="22" t="s">
        <v>452</v>
      </c>
      <c r="L6" s="23" t="s">
        <v>453</v>
      </c>
      <c r="M6" s="23" t="s">
        <v>0</v>
      </c>
      <c r="N6" s="23" t="s">
        <v>454</v>
      </c>
      <c r="O6" s="23" t="s">
        <v>455</v>
      </c>
      <c r="P6" s="23" t="s">
        <v>456</v>
      </c>
      <c r="Q6" s="23" t="s">
        <v>0</v>
      </c>
      <c r="R6" s="23" t="s">
        <v>0</v>
      </c>
      <c r="S6" s="23" t="s">
        <v>0</v>
      </c>
      <c r="T6" s="23" t="s">
        <v>457</v>
      </c>
      <c r="U6" s="23" t="s">
        <v>0</v>
      </c>
      <c r="V6" s="23" t="s">
        <v>0</v>
      </c>
      <c r="W6" s="23" t="s">
        <v>0</v>
      </c>
      <c r="X6" s="23" t="s">
        <v>0</v>
      </c>
      <c r="Y6" s="24" t="s">
        <v>0</v>
      </c>
      <c r="Z6" s="24" t="s">
        <v>452</v>
      </c>
    </row>
    <row r="7" ht="15.75" customHeight="1" spans="1:26" x14ac:dyDescent="0.25">
      <c r="A7" s="19" t="s">
        <v>276</v>
      </c>
      <c r="B7" s="27" t="s">
        <v>0</v>
      </c>
      <c r="C7" s="27" t="s">
        <v>0</v>
      </c>
      <c r="D7" s="27" t="s">
        <v>0</v>
      </c>
      <c r="E7" s="27" t="s">
        <v>0</v>
      </c>
      <c r="F7" s="27" t="s">
        <v>0</v>
      </c>
      <c r="G7" s="27" t="s">
        <v>0</v>
      </c>
      <c r="H7" s="27" t="s">
        <v>0</v>
      </c>
      <c r="I7" s="27" t="s">
        <v>0</v>
      </c>
      <c r="J7" s="188" t="s">
        <v>319</v>
      </c>
      <c r="K7" s="22" t="s">
        <v>458</v>
      </c>
      <c r="L7" s="23" t="s">
        <v>459</v>
      </c>
      <c r="M7" s="28" t="s">
        <v>0</v>
      </c>
      <c r="N7" s="28" t="s">
        <v>0</v>
      </c>
      <c r="O7" s="28" t="s">
        <v>0</v>
      </c>
      <c r="P7" s="28" t="s">
        <v>0</v>
      </c>
      <c r="Q7" s="28" t="s">
        <v>0</v>
      </c>
      <c r="R7" s="28" t="s">
        <v>0</v>
      </c>
      <c r="S7" s="28" t="s">
        <v>0</v>
      </c>
      <c r="T7" s="28" t="s">
        <v>0</v>
      </c>
      <c r="U7" s="28" t="s">
        <v>0</v>
      </c>
      <c r="V7" s="28" t="s">
        <v>458</v>
      </c>
      <c r="W7" s="28" t="s">
        <v>0</v>
      </c>
      <c r="X7" s="28" t="s">
        <v>0</v>
      </c>
      <c r="Y7" s="24" t="s">
        <v>0</v>
      </c>
      <c r="Z7" s="24" t="s">
        <v>458</v>
      </c>
    </row>
    <row r="8" ht="15.75" customHeight="1" spans="1:26" x14ac:dyDescent="0.25">
      <c r="A8" s="19" t="s">
        <v>267</v>
      </c>
      <c r="B8" s="27" t="s">
        <v>0</v>
      </c>
      <c r="C8" s="27" t="s">
        <v>0</v>
      </c>
      <c r="D8" s="27" t="s">
        <v>0</v>
      </c>
      <c r="E8" s="27" t="s">
        <v>0</v>
      </c>
      <c r="F8" s="27" t="s">
        <v>0</v>
      </c>
      <c r="G8" s="27" t="s">
        <v>0</v>
      </c>
      <c r="H8" s="27" t="s">
        <v>0</v>
      </c>
      <c r="I8" s="27" t="s">
        <v>0</v>
      </c>
      <c r="J8" s="188" t="s">
        <v>282</v>
      </c>
      <c r="K8" s="22" t="s">
        <v>0</v>
      </c>
      <c r="L8" s="23" t="s">
        <v>282</v>
      </c>
      <c r="M8" s="28" t="s">
        <v>0</v>
      </c>
      <c r="N8" s="28" t="s">
        <v>0</v>
      </c>
      <c r="O8" s="28" t="s">
        <v>0</v>
      </c>
      <c r="P8" s="28" t="s">
        <v>0</v>
      </c>
      <c r="Q8" s="28" t="s">
        <v>0</v>
      </c>
      <c r="R8" s="28" t="s">
        <v>0</v>
      </c>
      <c r="S8" s="28" t="s">
        <v>0</v>
      </c>
      <c r="T8" s="28" t="s">
        <v>0</v>
      </c>
      <c r="U8" s="28" t="s">
        <v>0</v>
      </c>
      <c r="V8" s="28" t="s">
        <v>0</v>
      </c>
      <c r="W8" s="28" t="s">
        <v>0</v>
      </c>
      <c r="X8" s="28" t="s">
        <v>0</v>
      </c>
      <c r="Y8" s="24" t="s">
        <v>0</v>
      </c>
      <c r="Z8" s="24" t="s">
        <v>0</v>
      </c>
    </row>
    <row r="9" ht="15.75" customHeight="1" spans="1:26" x14ac:dyDescent="0.25">
      <c r="A9" s="19" t="s">
        <v>460</v>
      </c>
      <c r="B9" s="27" t="s">
        <v>0</v>
      </c>
      <c r="C9" s="27" t="s">
        <v>0</v>
      </c>
      <c r="D9" s="27" t="s">
        <v>287</v>
      </c>
      <c r="E9" s="27" t="s">
        <v>282</v>
      </c>
      <c r="F9" s="27" t="s">
        <v>0</v>
      </c>
      <c r="G9" s="27" t="s">
        <v>124</v>
      </c>
      <c r="H9" s="27" t="s">
        <v>0</v>
      </c>
      <c r="I9" s="27" t="s">
        <v>0</v>
      </c>
      <c r="J9" s="188" t="s">
        <v>0</v>
      </c>
      <c r="K9" s="22" t="s">
        <v>461</v>
      </c>
      <c r="L9" s="23" t="s">
        <v>462</v>
      </c>
      <c r="M9" s="28" t="s">
        <v>0</v>
      </c>
      <c r="N9" s="28" t="s">
        <v>0</v>
      </c>
      <c r="O9" s="28" t="s">
        <v>0</v>
      </c>
      <c r="P9" s="28" t="s">
        <v>0</v>
      </c>
      <c r="Q9" s="28" t="s">
        <v>0</v>
      </c>
      <c r="R9" s="28" t="s">
        <v>463</v>
      </c>
      <c r="S9" s="28" t="s">
        <v>464</v>
      </c>
      <c r="T9" s="28" t="s">
        <v>0</v>
      </c>
      <c r="U9" s="28" t="s">
        <v>0</v>
      </c>
      <c r="V9" s="28" t="s">
        <v>183</v>
      </c>
      <c r="W9" s="28" t="s">
        <v>0</v>
      </c>
      <c r="X9" s="28" t="s">
        <v>0</v>
      </c>
      <c r="Y9" s="24" t="s">
        <v>0</v>
      </c>
      <c r="Z9" s="24" t="s">
        <v>461</v>
      </c>
    </row>
    <row r="10" ht="15.75" customHeight="1" spans="1:26" x14ac:dyDescent="0.25">
      <c r="A10" s="19" t="s">
        <v>465</v>
      </c>
      <c r="B10" s="27" t="s">
        <v>0</v>
      </c>
      <c r="C10" s="27" t="s">
        <v>282</v>
      </c>
      <c r="D10" s="27" t="s">
        <v>282</v>
      </c>
      <c r="E10" s="27" t="s">
        <v>282</v>
      </c>
      <c r="F10" s="27" t="s">
        <v>0</v>
      </c>
      <c r="G10" s="27" t="s">
        <v>0</v>
      </c>
      <c r="H10" s="27" t="s">
        <v>156</v>
      </c>
      <c r="I10" s="27" t="s">
        <v>156</v>
      </c>
      <c r="J10" s="188" t="s">
        <v>0</v>
      </c>
      <c r="K10" s="22" t="s">
        <v>466</v>
      </c>
      <c r="L10" s="23" t="s">
        <v>467</v>
      </c>
      <c r="M10" s="28" t="s">
        <v>0</v>
      </c>
      <c r="N10" s="28" t="s">
        <v>0</v>
      </c>
      <c r="O10" s="28" t="s">
        <v>0</v>
      </c>
      <c r="P10" s="28" t="s">
        <v>0</v>
      </c>
      <c r="Q10" s="28" t="s">
        <v>0</v>
      </c>
      <c r="R10" s="28" t="s">
        <v>0</v>
      </c>
      <c r="S10" s="28" t="s">
        <v>466</v>
      </c>
      <c r="T10" s="28" t="s">
        <v>0</v>
      </c>
      <c r="U10" s="28" t="s">
        <v>0</v>
      </c>
      <c r="V10" s="28" t="s">
        <v>0</v>
      </c>
      <c r="W10" s="28" t="s">
        <v>0</v>
      </c>
      <c r="X10" s="28" t="s">
        <v>0</v>
      </c>
      <c r="Y10" s="24" t="s">
        <v>0</v>
      </c>
      <c r="Z10" s="24" t="s">
        <v>466</v>
      </c>
    </row>
    <row r="11" ht="15.75" customHeight="1" spans="1:26" x14ac:dyDescent="0.25">
      <c r="A11" s="19" t="s">
        <v>367</v>
      </c>
      <c r="B11" s="27" t="s">
        <v>0</v>
      </c>
      <c r="C11" s="27" t="s">
        <v>285</v>
      </c>
      <c r="D11" s="27" t="s">
        <v>0</v>
      </c>
      <c r="E11" s="27" t="s">
        <v>0</v>
      </c>
      <c r="F11" s="27" t="s">
        <v>0</v>
      </c>
      <c r="G11" s="27" t="s">
        <v>0</v>
      </c>
      <c r="H11" s="27" t="s">
        <v>0</v>
      </c>
      <c r="I11" s="27" t="s">
        <v>0</v>
      </c>
      <c r="J11" s="188" t="s">
        <v>0</v>
      </c>
      <c r="K11" s="22" t="s">
        <v>0</v>
      </c>
      <c r="L11" s="23" t="s">
        <v>285</v>
      </c>
      <c r="M11" s="28" t="s">
        <v>0</v>
      </c>
      <c r="N11" s="28" t="s">
        <v>0</v>
      </c>
      <c r="O11" s="28" t="s">
        <v>0</v>
      </c>
      <c r="P11" s="28" t="s">
        <v>0</v>
      </c>
      <c r="Q11" s="28" t="s">
        <v>0</v>
      </c>
      <c r="R11" s="28" t="s">
        <v>0</v>
      </c>
      <c r="S11" s="28" t="s">
        <v>0</v>
      </c>
      <c r="T11" s="28" t="s">
        <v>0</v>
      </c>
      <c r="U11" s="28" t="s">
        <v>0</v>
      </c>
      <c r="V11" s="28" t="s">
        <v>0</v>
      </c>
      <c r="W11" s="28" t="s">
        <v>0</v>
      </c>
      <c r="X11" s="28" t="s">
        <v>0</v>
      </c>
      <c r="Y11" s="24" t="s">
        <v>0</v>
      </c>
      <c r="Z11" s="24" t="s">
        <v>0</v>
      </c>
    </row>
    <row r="12" ht="15.75" customHeight="1" spans="1:26" x14ac:dyDescent="0.25">
      <c r="A12" s="19" t="s">
        <v>468</v>
      </c>
      <c r="B12" s="27" t="s">
        <v>0</v>
      </c>
      <c r="C12" s="27" t="s">
        <v>0</v>
      </c>
      <c r="D12" s="27" t="s">
        <v>0</v>
      </c>
      <c r="E12" s="27" t="s">
        <v>0</v>
      </c>
      <c r="F12" s="27" t="s">
        <v>0</v>
      </c>
      <c r="G12" s="27" t="s">
        <v>0</v>
      </c>
      <c r="H12" s="27" t="s">
        <v>0</v>
      </c>
      <c r="I12" s="27" t="s">
        <v>0</v>
      </c>
      <c r="J12" s="188" t="s">
        <v>319</v>
      </c>
      <c r="K12" s="22" t="s">
        <v>469</v>
      </c>
      <c r="L12" s="23" t="s">
        <v>470</v>
      </c>
      <c r="M12" s="28" t="s">
        <v>0</v>
      </c>
      <c r="N12" s="28" t="s">
        <v>0</v>
      </c>
      <c r="O12" s="28" t="s">
        <v>0</v>
      </c>
      <c r="P12" s="28" t="s">
        <v>0</v>
      </c>
      <c r="Q12" s="28" t="s">
        <v>0</v>
      </c>
      <c r="R12" s="28" t="s">
        <v>471</v>
      </c>
      <c r="S12" s="28" t="s">
        <v>0</v>
      </c>
      <c r="T12" s="28" t="s">
        <v>0</v>
      </c>
      <c r="U12" s="28" t="s">
        <v>472</v>
      </c>
      <c r="V12" s="28" t="s">
        <v>0</v>
      </c>
      <c r="W12" s="28" t="s">
        <v>473</v>
      </c>
      <c r="X12" s="28" t="s">
        <v>0</v>
      </c>
      <c r="Y12" s="24" t="s">
        <v>0</v>
      </c>
      <c r="Z12" s="24" t="s">
        <v>469</v>
      </c>
    </row>
    <row r="13" ht="15.75" customHeight="1" spans="1:26" x14ac:dyDescent="0.25">
      <c r="A13" s="19" t="s">
        <v>474</v>
      </c>
      <c r="B13" s="27" t="s">
        <v>0</v>
      </c>
      <c r="C13" s="27" t="s">
        <v>0</v>
      </c>
      <c r="D13" s="27" t="s">
        <v>0</v>
      </c>
      <c r="E13" s="27" t="s">
        <v>0</v>
      </c>
      <c r="F13" s="27" t="s">
        <v>0</v>
      </c>
      <c r="G13" s="27" t="s">
        <v>0</v>
      </c>
      <c r="H13" s="27" t="s">
        <v>0</v>
      </c>
      <c r="I13" s="27" t="s">
        <v>0</v>
      </c>
      <c r="J13" s="188" t="s">
        <v>0</v>
      </c>
      <c r="K13" s="22" t="s">
        <v>472</v>
      </c>
      <c r="L13" s="23" t="s">
        <v>475</v>
      </c>
      <c r="M13" s="28" t="s">
        <v>0</v>
      </c>
      <c r="N13" s="28" t="s">
        <v>0</v>
      </c>
      <c r="O13" s="28" t="s">
        <v>0</v>
      </c>
      <c r="P13" s="28" t="s">
        <v>0</v>
      </c>
      <c r="Q13" s="28" t="s">
        <v>0</v>
      </c>
      <c r="R13" s="28" t="s">
        <v>0</v>
      </c>
      <c r="S13" s="28" t="s">
        <v>0</v>
      </c>
      <c r="T13" s="28" t="s">
        <v>0</v>
      </c>
      <c r="U13" s="28" t="s">
        <v>472</v>
      </c>
      <c r="V13" s="28" t="s">
        <v>0</v>
      </c>
      <c r="W13" s="28" t="s">
        <v>0</v>
      </c>
      <c r="X13" s="28" t="s">
        <v>0</v>
      </c>
      <c r="Y13" s="24" t="s">
        <v>0</v>
      </c>
      <c r="Z13" s="24" t="s">
        <v>472</v>
      </c>
    </row>
    <row r="14" ht="15.75" customHeight="1" spans="1:26" x14ac:dyDescent="0.25">
      <c r="A14" s="19" t="s">
        <v>380</v>
      </c>
      <c r="B14" s="27" t="s">
        <v>0</v>
      </c>
      <c r="C14" s="27" t="s">
        <v>297</v>
      </c>
      <c r="D14" s="27" t="s">
        <v>293</v>
      </c>
      <c r="E14" s="27" t="s">
        <v>0</v>
      </c>
      <c r="F14" s="27" t="s">
        <v>0</v>
      </c>
      <c r="G14" s="27" t="s">
        <v>298</v>
      </c>
      <c r="H14" s="27" t="s">
        <v>0</v>
      </c>
      <c r="I14" s="27" t="s">
        <v>0</v>
      </c>
      <c r="J14" s="188" t="s">
        <v>0</v>
      </c>
      <c r="K14" s="22" t="s">
        <v>0</v>
      </c>
      <c r="L14" s="23" t="s">
        <v>299</v>
      </c>
      <c r="M14" s="28" t="s">
        <v>0</v>
      </c>
      <c r="N14" s="28" t="s">
        <v>0</v>
      </c>
      <c r="O14" s="28" t="s">
        <v>0</v>
      </c>
      <c r="P14" s="28" t="s">
        <v>0</v>
      </c>
      <c r="Q14" s="28" t="s">
        <v>0</v>
      </c>
      <c r="R14" s="28" t="s">
        <v>0</v>
      </c>
      <c r="S14" s="28" t="s">
        <v>0</v>
      </c>
      <c r="T14" s="28" t="s">
        <v>0</v>
      </c>
      <c r="U14" s="28" t="s">
        <v>0</v>
      </c>
      <c r="V14" s="28" t="s">
        <v>0</v>
      </c>
      <c r="W14" s="28" t="s">
        <v>0</v>
      </c>
      <c r="X14" s="28" t="s">
        <v>0</v>
      </c>
      <c r="Y14" s="24" t="s">
        <v>0</v>
      </c>
      <c r="Z14" s="24" t="s">
        <v>0</v>
      </c>
    </row>
    <row r="15" ht="15.75" customHeight="1" spans="1:26" x14ac:dyDescent="0.25">
      <c r="A15" s="19" t="s">
        <v>114</v>
      </c>
      <c r="B15" s="27" t="s">
        <v>0</v>
      </c>
      <c r="C15" s="27" t="s">
        <v>279</v>
      </c>
      <c r="D15" s="27" t="s">
        <v>279</v>
      </c>
      <c r="E15" s="27" t="s">
        <v>279</v>
      </c>
      <c r="F15" s="27" t="s">
        <v>0</v>
      </c>
      <c r="G15" s="27" t="s">
        <v>0</v>
      </c>
      <c r="H15" s="27" t="s">
        <v>0</v>
      </c>
      <c r="I15" s="27" t="s">
        <v>0</v>
      </c>
      <c r="J15" s="188" t="s">
        <v>0</v>
      </c>
      <c r="K15" s="22" t="s">
        <v>476</v>
      </c>
      <c r="L15" s="23" t="s">
        <v>477</v>
      </c>
      <c r="M15" s="28" t="s">
        <v>0</v>
      </c>
      <c r="N15" s="28" t="s">
        <v>478</v>
      </c>
      <c r="O15" s="28" t="s">
        <v>0</v>
      </c>
      <c r="P15" s="28" t="s">
        <v>479</v>
      </c>
      <c r="Q15" s="28" t="s">
        <v>0</v>
      </c>
      <c r="R15" s="28" t="s">
        <v>480</v>
      </c>
      <c r="S15" s="28" t="s">
        <v>481</v>
      </c>
      <c r="T15" s="28" t="s">
        <v>0</v>
      </c>
      <c r="U15" s="28" t="s">
        <v>0</v>
      </c>
      <c r="V15" s="28" t="s">
        <v>482</v>
      </c>
      <c r="W15" s="28" t="s">
        <v>0</v>
      </c>
      <c r="X15" s="28" t="s">
        <v>0</v>
      </c>
      <c r="Y15" s="24" t="s">
        <v>0</v>
      </c>
      <c r="Z15" s="24" t="s">
        <v>476</v>
      </c>
    </row>
    <row r="16" ht="15.75" customHeight="1" spans="1:26" x14ac:dyDescent="0.25">
      <c r="A16" s="19" t="s">
        <v>483</v>
      </c>
      <c r="B16" s="27" t="s">
        <v>0</v>
      </c>
      <c r="C16" s="27" t="s">
        <v>0</v>
      </c>
      <c r="D16" s="27" t="s">
        <v>290</v>
      </c>
      <c r="E16" s="27" t="s">
        <v>0</v>
      </c>
      <c r="F16" s="27" t="s">
        <v>0</v>
      </c>
      <c r="G16" s="27" t="s">
        <v>0</v>
      </c>
      <c r="H16" s="27" t="s">
        <v>0</v>
      </c>
      <c r="I16" s="27" t="s">
        <v>0</v>
      </c>
      <c r="J16" s="188" t="s">
        <v>0</v>
      </c>
      <c r="K16" s="22" t="s">
        <v>0</v>
      </c>
      <c r="L16" s="23" t="s">
        <v>290</v>
      </c>
      <c r="M16" s="28" t="s">
        <v>0</v>
      </c>
      <c r="N16" s="28" t="s">
        <v>0</v>
      </c>
      <c r="O16" s="28" t="s">
        <v>0</v>
      </c>
      <c r="P16" s="28" t="s">
        <v>0</v>
      </c>
      <c r="Q16" s="28" t="s">
        <v>0</v>
      </c>
      <c r="R16" s="28" t="s">
        <v>0</v>
      </c>
      <c r="S16" s="28" t="s">
        <v>0</v>
      </c>
      <c r="T16" s="28" t="s">
        <v>0</v>
      </c>
      <c r="U16" s="28" t="s">
        <v>0</v>
      </c>
      <c r="V16" s="28" t="s">
        <v>0</v>
      </c>
      <c r="W16" s="28" t="s">
        <v>0</v>
      </c>
      <c r="X16" s="28" t="s">
        <v>0</v>
      </c>
      <c r="Y16" s="24" t="s">
        <v>0</v>
      </c>
      <c r="Z16" s="24" t="s">
        <v>0</v>
      </c>
    </row>
    <row r="17" ht="15.75" customHeight="1" spans="1:26" x14ac:dyDescent="0.25">
      <c r="A17" s="19" t="s">
        <v>19</v>
      </c>
      <c r="B17" s="27" t="s">
        <v>0</v>
      </c>
      <c r="C17" s="27" t="s">
        <v>279</v>
      </c>
      <c r="D17" s="27" t="s">
        <v>292</v>
      </c>
      <c r="E17" s="27" t="s">
        <v>293</v>
      </c>
      <c r="F17" s="27" t="s">
        <v>268</v>
      </c>
      <c r="G17" s="27" t="s">
        <v>0</v>
      </c>
      <c r="H17" s="27" t="s">
        <v>0</v>
      </c>
      <c r="I17" s="27" t="s">
        <v>0</v>
      </c>
      <c r="J17" s="188" t="s">
        <v>484</v>
      </c>
      <c r="K17" s="22" t="s">
        <v>485</v>
      </c>
      <c r="L17" s="23" t="s">
        <v>486</v>
      </c>
      <c r="M17" s="28" t="s">
        <v>0</v>
      </c>
      <c r="N17" s="28" t="s">
        <v>0</v>
      </c>
      <c r="O17" s="28" t="s">
        <v>0</v>
      </c>
      <c r="P17" s="28" t="s">
        <v>0</v>
      </c>
      <c r="Q17" s="28" t="s">
        <v>487</v>
      </c>
      <c r="R17" s="28" t="s">
        <v>0</v>
      </c>
      <c r="S17" s="28" t="s">
        <v>488</v>
      </c>
      <c r="T17" s="28" t="s">
        <v>0</v>
      </c>
      <c r="U17" s="28" t="s">
        <v>0</v>
      </c>
      <c r="V17" s="28" t="s">
        <v>0</v>
      </c>
      <c r="W17" s="28" t="s">
        <v>0</v>
      </c>
      <c r="X17" s="28" t="s">
        <v>0</v>
      </c>
      <c r="Y17" s="24" t="s">
        <v>0</v>
      </c>
      <c r="Z17" s="24" t="s">
        <v>485</v>
      </c>
    </row>
    <row r="18" ht="15.75" customHeight="1" spans="1:26" x14ac:dyDescent="0.25">
      <c r="A18" s="19" t="s">
        <v>489</v>
      </c>
      <c r="B18" s="27" t="s">
        <v>0</v>
      </c>
      <c r="C18" s="27" t="s">
        <v>0</v>
      </c>
      <c r="D18" s="27" t="s">
        <v>0</v>
      </c>
      <c r="E18" s="27" t="s">
        <v>0</v>
      </c>
      <c r="F18" s="27" t="s">
        <v>0</v>
      </c>
      <c r="G18" s="27" t="s">
        <v>0</v>
      </c>
      <c r="H18" s="27" t="s">
        <v>0</v>
      </c>
      <c r="I18" s="27" t="s">
        <v>0</v>
      </c>
      <c r="J18" s="188" t="s">
        <v>490</v>
      </c>
      <c r="K18" s="22" t="s">
        <v>0</v>
      </c>
      <c r="L18" s="23" t="s">
        <v>490</v>
      </c>
      <c r="M18" s="28" t="s">
        <v>0</v>
      </c>
      <c r="N18" s="28" t="s">
        <v>0</v>
      </c>
      <c r="O18" s="28" t="s">
        <v>0</v>
      </c>
      <c r="P18" s="28" t="s">
        <v>0</v>
      </c>
      <c r="Q18" s="28" t="s">
        <v>0</v>
      </c>
      <c r="R18" s="28" t="s">
        <v>0</v>
      </c>
      <c r="S18" s="28" t="s">
        <v>0</v>
      </c>
      <c r="T18" s="28" t="s">
        <v>0</v>
      </c>
      <c r="U18" s="28" t="s">
        <v>0</v>
      </c>
      <c r="V18" s="28" t="s">
        <v>0</v>
      </c>
      <c r="W18" s="28" t="s">
        <v>0</v>
      </c>
      <c r="X18" s="28" t="s">
        <v>0</v>
      </c>
      <c r="Y18" s="24" t="s">
        <v>0</v>
      </c>
      <c r="Z18" s="24" t="s">
        <v>0</v>
      </c>
    </row>
    <row r="19" ht="15.75" customHeight="1" spans="1:26" x14ac:dyDescent="0.25">
      <c r="A19" s="19" t="s">
        <v>491</v>
      </c>
      <c r="B19" s="27" t="s">
        <v>0</v>
      </c>
      <c r="C19" s="27" t="s">
        <v>0</v>
      </c>
      <c r="D19" s="27" t="s">
        <v>0</v>
      </c>
      <c r="E19" s="27" t="s">
        <v>0</v>
      </c>
      <c r="F19" s="27" t="s">
        <v>0</v>
      </c>
      <c r="G19" s="27" t="s">
        <v>0</v>
      </c>
      <c r="H19" s="27" t="s">
        <v>0</v>
      </c>
      <c r="I19" s="27" t="s">
        <v>0</v>
      </c>
      <c r="J19" s="188" t="s">
        <v>492</v>
      </c>
      <c r="K19" s="22" t="s">
        <v>0</v>
      </c>
      <c r="L19" s="23" t="s">
        <v>492</v>
      </c>
      <c r="M19" s="28" t="s">
        <v>0</v>
      </c>
      <c r="N19" s="28" t="s">
        <v>0</v>
      </c>
      <c r="O19" s="28" t="s">
        <v>0</v>
      </c>
      <c r="P19" s="28" t="s">
        <v>0</v>
      </c>
      <c r="Q19" s="28" t="s">
        <v>0</v>
      </c>
      <c r="R19" s="28" t="s">
        <v>0</v>
      </c>
      <c r="S19" s="28" t="s">
        <v>0</v>
      </c>
      <c r="T19" s="28" t="s">
        <v>0</v>
      </c>
      <c r="U19" s="28" t="s">
        <v>0</v>
      </c>
      <c r="V19" s="28" t="s">
        <v>0</v>
      </c>
      <c r="W19" s="28" t="s">
        <v>0</v>
      </c>
      <c r="X19" s="28" t="s">
        <v>0</v>
      </c>
      <c r="Y19" s="24" t="s">
        <v>0</v>
      </c>
      <c r="Z19" s="24" t="s">
        <v>0</v>
      </c>
    </row>
    <row r="20" ht="15.75" customHeight="1" spans="1:26" x14ac:dyDescent="0.25">
      <c r="A20" s="31" t="s">
        <v>493</v>
      </c>
      <c r="B20" s="27" t="s">
        <v>0</v>
      </c>
      <c r="C20" s="27" t="s">
        <v>0</v>
      </c>
      <c r="D20" s="27" t="s">
        <v>0</v>
      </c>
      <c r="E20" s="27" t="s">
        <v>0</v>
      </c>
      <c r="F20" s="27" t="s">
        <v>0</v>
      </c>
      <c r="G20" s="27" t="s">
        <v>0</v>
      </c>
      <c r="H20" s="27" t="s">
        <v>0</v>
      </c>
      <c r="I20" s="27" t="s">
        <v>0</v>
      </c>
      <c r="J20" s="188" t="s">
        <v>0</v>
      </c>
      <c r="K20" s="22" t="s">
        <v>0</v>
      </c>
      <c r="L20" s="23" t="s">
        <v>0</v>
      </c>
      <c r="M20" s="28" t="s">
        <v>0</v>
      </c>
      <c r="N20" s="28" t="s">
        <v>0</v>
      </c>
      <c r="O20" s="28" t="s">
        <v>0</v>
      </c>
      <c r="P20" s="28" t="s">
        <v>0</v>
      </c>
      <c r="Q20" s="28" t="s">
        <v>0</v>
      </c>
      <c r="R20" s="28" t="s">
        <v>0</v>
      </c>
      <c r="S20" s="28" t="s">
        <v>0</v>
      </c>
      <c r="T20" s="28" t="s">
        <v>0</v>
      </c>
      <c r="U20" s="28" t="s">
        <v>0</v>
      </c>
      <c r="V20" s="28" t="s">
        <v>0</v>
      </c>
      <c r="W20" s="28" t="s">
        <v>0</v>
      </c>
      <c r="X20" s="28" t="s">
        <v>0</v>
      </c>
      <c r="Y20" s="24" t="s">
        <v>0</v>
      </c>
      <c r="Z20" s="24" t="s">
        <v>0</v>
      </c>
    </row>
    <row r="21" ht="15.75" customHeight="1" spans="1:26" x14ac:dyDescent="0.25">
      <c r="A21" s="26" t="s">
        <v>43</v>
      </c>
      <c r="B21" s="27" t="s">
        <v>0</v>
      </c>
      <c r="C21" s="27" t="s">
        <v>150</v>
      </c>
      <c r="D21" s="27" t="s">
        <v>310</v>
      </c>
      <c r="E21" s="27" t="s">
        <v>279</v>
      </c>
      <c r="F21" s="27" t="s">
        <v>150</v>
      </c>
      <c r="G21" s="27" t="s">
        <v>124</v>
      </c>
      <c r="H21" s="27" t="s">
        <v>311</v>
      </c>
      <c r="I21" s="27" t="s">
        <v>282</v>
      </c>
      <c r="J21" s="188" t="s">
        <v>0</v>
      </c>
      <c r="K21" s="22" t="s">
        <v>494</v>
      </c>
      <c r="L21" s="23" t="s">
        <v>495</v>
      </c>
      <c r="M21" s="28" t="s">
        <v>0</v>
      </c>
      <c r="N21" s="28" t="s">
        <v>0</v>
      </c>
      <c r="O21" s="28" t="s">
        <v>0</v>
      </c>
      <c r="P21" s="28" t="s">
        <v>0</v>
      </c>
      <c r="Q21" s="28" t="s">
        <v>496</v>
      </c>
      <c r="R21" s="28" t="s">
        <v>0</v>
      </c>
      <c r="S21" s="28" t="s">
        <v>0</v>
      </c>
      <c r="T21" s="28" t="s">
        <v>497</v>
      </c>
      <c r="U21" s="28" t="s">
        <v>0</v>
      </c>
      <c r="V21" s="28" t="s">
        <v>0</v>
      </c>
      <c r="W21" s="28" t="s">
        <v>0</v>
      </c>
      <c r="X21" s="28" t="s">
        <v>0</v>
      </c>
      <c r="Y21" s="24" t="s">
        <v>0</v>
      </c>
      <c r="Z21" s="24" t="s">
        <v>494</v>
      </c>
    </row>
    <row r="22" ht="15.75" customHeight="1" spans="1:26" x14ac:dyDescent="0.25">
      <c r="A22" s="26" t="s">
        <v>45</v>
      </c>
      <c r="B22" s="27" t="s">
        <v>0</v>
      </c>
      <c r="C22" s="27" t="s">
        <v>0</v>
      </c>
      <c r="D22" s="27" t="s">
        <v>0</v>
      </c>
      <c r="E22" s="27" t="s">
        <v>0</v>
      </c>
      <c r="F22" s="27" t="s">
        <v>0</v>
      </c>
      <c r="G22" s="27" t="s">
        <v>0</v>
      </c>
      <c r="H22" s="27" t="s">
        <v>0</v>
      </c>
      <c r="I22" s="27" t="s">
        <v>0</v>
      </c>
      <c r="J22" s="188" t="s">
        <v>0</v>
      </c>
      <c r="K22" s="22" t="s">
        <v>498</v>
      </c>
      <c r="L22" s="23" t="s">
        <v>499</v>
      </c>
      <c r="M22" s="28" t="s">
        <v>500</v>
      </c>
      <c r="N22" s="28" t="s">
        <v>501</v>
      </c>
      <c r="O22" s="28" t="s">
        <v>502</v>
      </c>
      <c r="P22" s="28" t="s">
        <v>503</v>
      </c>
      <c r="Q22" s="28" t="s">
        <v>504</v>
      </c>
      <c r="R22" s="28" t="s">
        <v>0</v>
      </c>
      <c r="S22" s="28" t="s">
        <v>505</v>
      </c>
      <c r="T22" s="28" t="s">
        <v>506</v>
      </c>
      <c r="U22" s="28" t="s">
        <v>170</v>
      </c>
      <c r="V22" s="28" t="s">
        <v>507</v>
      </c>
      <c r="W22" s="28" t="s">
        <v>167</v>
      </c>
      <c r="X22" s="28" t="s">
        <v>508</v>
      </c>
      <c r="Y22" s="24" t="s">
        <v>0</v>
      </c>
      <c r="Z22" s="24" t="s">
        <v>498</v>
      </c>
    </row>
    <row r="23" ht="15.75" customHeight="1" spans="1:26" x14ac:dyDescent="0.25">
      <c r="A23" s="26" t="s">
        <v>60</v>
      </c>
      <c r="B23" s="27" t="s">
        <v>0</v>
      </c>
      <c r="C23" s="27" t="s">
        <v>0</v>
      </c>
      <c r="D23" s="27" t="s">
        <v>0</v>
      </c>
      <c r="E23" s="27" t="s">
        <v>0</v>
      </c>
      <c r="F23" s="27" t="s">
        <v>0</v>
      </c>
      <c r="G23" s="27" t="s">
        <v>0</v>
      </c>
      <c r="H23" s="27" t="s">
        <v>0</v>
      </c>
      <c r="I23" s="27" t="s">
        <v>0</v>
      </c>
      <c r="J23" s="188" t="s">
        <v>509</v>
      </c>
      <c r="K23" s="22" t="s">
        <v>0</v>
      </c>
      <c r="L23" s="23" t="s">
        <v>509</v>
      </c>
      <c r="M23" s="28" t="s">
        <v>0</v>
      </c>
      <c r="N23" s="28" t="s">
        <v>0</v>
      </c>
      <c r="O23" s="28" t="s">
        <v>0</v>
      </c>
      <c r="P23" s="28" t="s">
        <v>0</v>
      </c>
      <c r="Q23" s="28" t="s">
        <v>0</v>
      </c>
      <c r="R23" s="28" t="s">
        <v>0</v>
      </c>
      <c r="S23" s="28" t="s">
        <v>0</v>
      </c>
      <c r="T23" s="28" t="s">
        <v>0</v>
      </c>
      <c r="U23" s="28" t="s">
        <v>0</v>
      </c>
      <c r="V23" s="28" t="s">
        <v>0</v>
      </c>
      <c r="W23" s="28" t="s">
        <v>0</v>
      </c>
      <c r="X23" s="28" t="s">
        <v>0</v>
      </c>
      <c r="Y23" s="24" t="s">
        <v>0</v>
      </c>
      <c r="Z23" s="24" t="s">
        <v>0</v>
      </c>
    </row>
    <row r="24" ht="15.75" customHeight="1" spans="1:26" x14ac:dyDescent="0.25">
      <c r="A24" s="19" t="s">
        <v>41</v>
      </c>
      <c r="B24" s="27" t="s">
        <v>0</v>
      </c>
      <c r="C24" s="27" t="s">
        <v>0</v>
      </c>
      <c r="D24" s="27" t="s">
        <v>280</v>
      </c>
      <c r="E24" s="27" t="s">
        <v>279</v>
      </c>
      <c r="F24" s="27" t="s">
        <v>280</v>
      </c>
      <c r="G24" s="27" t="s">
        <v>0</v>
      </c>
      <c r="H24" s="27" t="s">
        <v>0</v>
      </c>
      <c r="I24" s="27" t="s">
        <v>0</v>
      </c>
      <c r="J24" s="188" t="s">
        <v>0</v>
      </c>
      <c r="K24" s="22" t="s">
        <v>510</v>
      </c>
      <c r="L24" s="23" t="s">
        <v>511</v>
      </c>
      <c r="M24" s="28" t="s">
        <v>0</v>
      </c>
      <c r="N24" s="28" t="s">
        <v>0</v>
      </c>
      <c r="O24" s="28" t="s">
        <v>0</v>
      </c>
      <c r="P24" s="28" t="s">
        <v>0</v>
      </c>
      <c r="Q24" s="28" t="s">
        <v>0</v>
      </c>
      <c r="R24" s="28" t="s">
        <v>510</v>
      </c>
      <c r="S24" s="28" t="s">
        <v>0</v>
      </c>
      <c r="T24" s="28" t="s">
        <v>0</v>
      </c>
      <c r="U24" s="28" t="s">
        <v>0</v>
      </c>
      <c r="V24" s="28" t="s">
        <v>0</v>
      </c>
      <c r="W24" s="28" t="s">
        <v>0</v>
      </c>
      <c r="X24" s="28" t="s">
        <v>0</v>
      </c>
      <c r="Y24" s="24" t="s">
        <v>0</v>
      </c>
      <c r="Z24" s="24" t="s">
        <v>510</v>
      </c>
    </row>
    <row r="25" ht="15.75" customHeight="1" spans="1:26" x14ac:dyDescent="0.25">
      <c r="A25" s="26" t="s">
        <v>33</v>
      </c>
      <c r="B25" s="27" t="s">
        <v>0</v>
      </c>
      <c r="C25" s="27" t="s">
        <v>314</v>
      </c>
      <c r="D25" s="27" t="s">
        <v>315</v>
      </c>
      <c r="E25" s="27" t="s">
        <v>279</v>
      </c>
      <c r="F25" s="27" t="s">
        <v>310</v>
      </c>
      <c r="G25" s="27" t="s">
        <v>0</v>
      </c>
      <c r="H25" s="27" t="s">
        <v>279</v>
      </c>
      <c r="I25" s="27" t="s">
        <v>0</v>
      </c>
      <c r="J25" s="188" t="s">
        <v>512</v>
      </c>
      <c r="K25" s="22" t="s">
        <v>513</v>
      </c>
      <c r="L25" s="23" t="s">
        <v>514</v>
      </c>
      <c r="M25" s="28" t="s">
        <v>0</v>
      </c>
      <c r="N25" s="28" t="s">
        <v>0</v>
      </c>
      <c r="O25" s="28" t="s">
        <v>0</v>
      </c>
      <c r="P25" s="28" t="s">
        <v>515</v>
      </c>
      <c r="Q25" s="28" t="s">
        <v>516</v>
      </c>
      <c r="R25" s="28" t="s">
        <v>0</v>
      </c>
      <c r="S25" s="28" t="s">
        <v>0</v>
      </c>
      <c r="T25" s="28" t="s">
        <v>517</v>
      </c>
      <c r="U25" s="28" t="s">
        <v>0</v>
      </c>
      <c r="V25" s="28" t="s">
        <v>518</v>
      </c>
      <c r="W25" s="28" t="s">
        <v>0</v>
      </c>
      <c r="X25" s="28" t="s">
        <v>0</v>
      </c>
      <c r="Y25" s="24" t="s">
        <v>0</v>
      </c>
      <c r="Z25" s="24" t="s">
        <v>513</v>
      </c>
    </row>
    <row r="26" ht="16.5" customHeight="1" spans="1:26" x14ac:dyDescent="0.25">
      <c r="A26" s="34" t="s">
        <v>0</v>
      </c>
      <c r="B26" s="37" t="s">
        <v>0</v>
      </c>
      <c r="C26" s="37" t="s">
        <v>326</v>
      </c>
      <c r="D26" s="37" t="s">
        <v>327</v>
      </c>
      <c r="E26" s="37" t="s">
        <v>328</v>
      </c>
      <c r="F26" s="37" t="s">
        <v>329</v>
      </c>
      <c r="G26" s="37" t="s">
        <v>330</v>
      </c>
      <c r="H26" s="37" t="s">
        <v>331</v>
      </c>
      <c r="I26" s="37" t="s">
        <v>332</v>
      </c>
      <c r="J26" s="37" t="s">
        <v>519</v>
      </c>
      <c r="K26" s="37" t="s">
        <v>520</v>
      </c>
      <c r="L26" s="37" t="s">
        <v>521</v>
      </c>
      <c r="M26" s="37" t="s">
        <v>522</v>
      </c>
      <c r="N26" s="37" t="s">
        <v>523</v>
      </c>
      <c r="O26" s="37" t="s">
        <v>524</v>
      </c>
      <c r="P26" s="37" t="s">
        <v>525</v>
      </c>
      <c r="Q26" s="37" t="s">
        <v>526</v>
      </c>
      <c r="R26" s="37" t="s">
        <v>527</v>
      </c>
      <c r="S26" s="37" t="s">
        <v>528</v>
      </c>
      <c r="T26" s="37" t="s">
        <v>529</v>
      </c>
      <c r="U26" s="37" t="s">
        <v>530</v>
      </c>
      <c r="V26" s="37" t="s">
        <v>531</v>
      </c>
      <c r="W26" s="37" t="s">
        <v>532</v>
      </c>
      <c r="X26" s="37" t="s">
        <v>508</v>
      </c>
      <c r="Y26" s="193" t="s">
        <v>73</v>
      </c>
      <c r="Z26" s="192" t="s">
        <v>520</v>
      </c>
    </row>
    <row r="27" spans="1:26" x14ac:dyDescent="0.25">
      <c r="A27" t="s">
        <v>0</v>
      </c>
      <c r="B27" t="s">
        <v>0</v>
      </c>
      <c r="C27" t="s">
        <v>0</v>
      </c>
      <c r="D27" t="s">
        <v>0</v>
      </c>
      <c r="E27" t="s">
        <v>0</v>
      </c>
      <c r="F27" t="s">
        <v>0</v>
      </c>
      <c r="G27" t="s">
        <v>0</v>
      </c>
      <c r="H27" t="s">
        <v>0</v>
      </c>
      <c r="I27" t="s">
        <v>0</v>
      </c>
      <c r="J27" t="s">
        <v>0</v>
      </c>
      <c r="K27" t="s">
        <v>0</v>
      </c>
      <c r="L27" t="s">
        <v>0</v>
      </c>
      <c r="M27" t="s">
        <v>0</v>
      </c>
      <c r="N27" t="s">
        <v>0</v>
      </c>
      <c r="O27" t="s">
        <v>0</v>
      </c>
      <c r="P27" t="s">
        <v>0</v>
      </c>
      <c r="Q27" t="s">
        <v>0</v>
      </c>
      <c r="R27" t="s">
        <v>0</v>
      </c>
      <c r="S27" t="s">
        <v>0</v>
      </c>
      <c r="T27" t="s">
        <v>0</v>
      </c>
      <c r="U27" t="s">
        <v>0</v>
      </c>
      <c r="V27" t="s">
        <v>0</v>
      </c>
      <c r="W27" t="s">
        <v>0</v>
      </c>
      <c r="X27" t="s">
        <v>0</v>
      </c>
      <c r="Y27" t="s">
        <v>0</v>
      </c>
      <c r="Z27" t="s">
        <v>0</v>
      </c>
    </row>
    <row r="28" ht="15.75" customHeight="1" spans="1:26" x14ac:dyDescent="0.25">
      <c r="A28" t="s">
        <v>0</v>
      </c>
      <c r="B28" t="s">
        <v>0</v>
      </c>
      <c r="C28" t="s">
        <v>0</v>
      </c>
      <c r="D28" t="s">
        <v>0</v>
      </c>
      <c r="E28" t="s">
        <v>0</v>
      </c>
      <c r="F28" t="s">
        <v>0</v>
      </c>
      <c r="G28" t="s">
        <v>0</v>
      </c>
      <c r="H28" t="s">
        <v>0</v>
      </c>
      <c r="I28" t="s">
        <v>0</v>
      </c>
      <c r="J28" t="s">
        <v>0</v>
      </c>
      <c r="K28" t="s">
        <v>0</v>
      </c>
      <c r="L28" t="s">
        <v>0</v>
      </c>
      <c r="M28" t="s">
        <v>0</v>
      </c>
      <c r="N28" t="s">
        <v>0</v>
      </c>
      <c r="O28" t="s">
        <v>0</v>
      </c>
      <c r="P28" t="s">
        <v>0</v>
      </c>
      <c r="Q28" t="s">
        <v>0</v>
      </c>
      <c r="R28" t="s">
        <v>0</v>
      </c>
      <c r="S28" t="s">
        <v>0</v>
      </c>
      <c r="T28" t="s">
        <v>0</v>
      </c>
      <c r="U28" t="s">
        <v>0</v>
      </c>
      <c r="V28" t="s">
        <v>0</v>
      </c>
      <c r="W28" t="s">
        <v>0</v>
      </c>
      <c r="X28" t="s">
        <v>0</v>
      </c>
      <c r="Y28" t="s">
        <v>0</v>
      </c>
      <c r="Z28" t="s">
        <v>0</v>
      </c>
    </row>
    <row r="29" ht="16.5" customHeight="1" spans="1:26" x14ac:dyDescent="0.25">
      <c r="A29" s="40" t="s">
        <v>200</v>
      </c>
      <c r="B29" s="41" t="s">
        <v>201</v>
      </c>
      <c r="C29" s="42"/>
      <c r="D29" s="42"/>
      <c r="E29" s="42"/>
      <c r="F29" s="42"/>
      <c r="G29" s="42"/>
      <c r="H29" s="42"/>
      <c r="I29" s="42"/>
      <c r="J29" s="42"/>
      <c r="K29" s="42"/>
      <c r="L29" s="43"/>
      <c r="M29" s="41" t="s">
        <v>76</v>
      </c>
      <c r="N29" s="42"/>
      <c r="O29" s="43"/>
      <c r="P29" s="222" t="s">
        <v>77</v>
      </c>
      <c r="Q29" s="223"/>
      <c r="R29" t="s">
        <v>0</v>
      </c>
      <c r="S29" t="s">
        <v>0</v>
      </c>
      <c r="T29" t="s">
        <v>0</v>
      </c>
      <c r="U29" t="s">
        <v>0</v>
      </c>
      <c r="V29" t="s">
        <v>0</v>
      </c>
      <c r="W29" t="s">
        <v>0</v>
      </c>
      <c r="X29" t="s">
        <v>0</v>
      </c>
      <c r="Y29" t="s">
        <v>0</v>
      </c>
      <c r="Z29" t="s">
        <v>0</v>
      </c>
    </row>
    <row r="30" ht="30" customHeight="1" spans="1:26" x14ac:dyDescent="0.25">
      <c r="A30" s="54" t="s">
        <v>417</v>
      </c>
      <c r="B30" s="55" t="s">
        <v>533</v>
      </c>
      <c r="C30" s="56"/>
      <c r="D30" s="56"/>
      <c r="E30" s="56"/>
      <c r="F30" s="56"/>
      <c r="G30" s="56"/>
      <c r="H30" s="56"/>
      <c r="I30" s="56"/>
      <c r="J30" s="56"/>
      <c r="K30" s="56"/>
      <c r="L30" s="57"/>
      <c r="M30" s="169" t="s">
        <v>419</v>
      </c>
      <c r="N30" s="206"/>
      <c r="O30" s="206"/>
      <c r="P30" s="224">
        <v>54864</v>
      </c>
      <c r="Q30" s="225"/>
      <c r="R30" t="s">
        <v>0</v>
      </c>
      <c r="S30" t="s">
        <v>0</v>
      </c>
      <c r="T30" t="s">
        <v>0</v>
      </c>
      <c r="U30" t="s">
        <v>0</v>
      </c>
      <c r="V30" t="s">
        <v>0</v>
      </c>
      <c r="W30" t="s">
        <v>0</v>
      </c>
      <c r="X30" t="s">
        <v>0</v>
      </c>
      <c r="Y30" t="s">
        <v>0</v>
      </c>
      <c r="Z30" t="s">
        <v>0</v>
      </c>
    </row>
    <row r="31" ht="30" customHeight="1" spans="1:26" x14ac:dyDescent="0.25">
      <c r="A31" s="133" t="s">
        <v>205</v>
      </c>
      <c r="B31" s="81" t="s">
        <v>206</v>
      </c>
      <c r="C31" s="134"/>
      <c r="D31" s="134"/>
      <c r="E31" s="134"/>
      <c r="F31" s="134"/>
      <c r="G31" s="134"/>
      <c r="H31" s="134"/>
      <c r="I31" s="134"/>
      <c r="J31" s="134"/>
      <c r="K31" s="134"/>
      <c r="L31" s="84"/>
      <c r="M31" s="81" t="s">
        <v>420</v>
      </c>
      <c r="N31" s="134"/>
      <c r="O31" s="134"/>
      <c r="P31" s="85">
        <v>17500</v>
      </c>
      <c r="Q31" s="86"/>
      <c r="R31" t="s">
        <v>0</v>
      </c>
      <c r="S31" t="s">
        <v>0</v>
      </c>
      <c r="T31" t="s">
        <v>0</v>
      </c>
      <c r="U31" t="s">
        <v>0</v>
      </c>
      <c r="V31" t="s">
        <v>0</v>
      </c>
      <c r="W31" t="s">
        <v>0</v>
      </c>
      <c r="X31" t="s">
        <v>0</v>
      </c>
      <c r="Y31" t="s">
        <v>0</v>
      </c>
      <c r="Z31" t="s">
        <v>0</v>
      </c>
    </row>
    <row r="32" spans="1:26" x14ac:dyDescent="0.25">
      <c r="A32" s="54" t="s">
        <v>417</v>
      </c>
      <c r="B32" s="81" t="s">
        <v>423</v>
      </c>
      <c r="C32" s="134"/>
      <c r="D32" s="134"/>
      <c r="E32" s="134"/>
      <c r="F32" s="134"/>
      <c r="G32" s="134"/>
      <c r="H32" s="134"/>
      <c r="I32" s="134"/>
      <c r="J32" s="134"/>
      <c r="K32" s="134"/>
      <c r="L32" s="84"/>
      <c r="M32" s="172" t="s">
        <v>534</v>
      </c>
      <c r="N32" s="82"/>
      <c r="O32" s="83"/>
      <c r="P32" s="85">
        <f>223860/4</f>
        <v>55965</v>
      </c>
      <c r="Q32" s="86"/>
      <c r="R32" t="s">
        <v>0</v>
      </c>
      <c r="S32" t="s">
        <v>0</v>
      </c>
      <c r="T32" t="s">
        <v>0</v>
      </c>
      <c r="U32" t="s">
        <v>0</v>
      </c>
      <c r="V32" t="s">
        <v>0</v>
      </c>
      <c r="W32" t="s">
        <v>0</v>
      </c>
      <c r="X32" t="s">
        <v>0</v>
      </c>
      <c r="Y32" t="s">
        <v>0</v>
      </c>
      <c r="Z32" t="s">
        <v>0</v>
      </c>
    </row>
    <row r="33" ht="30" customHeight="1" spans="1:26" x14ac:dyDescent="0.25">
      <c r="A33" s="168" t="s">
        <v>208</v>
      </c>
      <c r="B33" s="169" t="s">
        <v>535</v>
      </c>
      <c r="C33" s="170"/>
      <c r="D33" s="170"/>
      <c r="E33" s="170"/>
      <c r="F33" s="170"/>
      <c r="G33" s="170"/>
      <c r="H33" s="170"/>
      <c r="I33" s="170"/>
      <c r="J33" s="170"/>
      <c r="K33" s="170"/>
      <c r="L33" s="171"/>
      <c r="M33" s="169" t="s">
        <v>536</v>
      </c>
      <c r="N33" s="206"/>
      <c r="O33" s="206"/>
      <c r="P33" s="207">
        <v>22230</v>
      </c>
      <c r="Q33" s="208"/>
      <c r="R33" t="s">
        <v>0</v>
      </c>
      <c r="S33" t="s">
        <v>0</v>
      </c>
      <c r="T33" t="s">
        <v>0</v>
      </c>
      <c r="U33" t="s">
        <v>0</v>
      </c>
      <c r="V33" t="s">
        <v>0</v>
      </c>
      <c r="W33" t="s">
        <v>0</v>
      </c>
      <c r="X33" t="s">
        <v>0</v>
      </c>
      <c r="Y33" t="s">
        <v>0</v>
      </c>
      <c r="Z33" t="s">
        <v>0</v>
      </c>
    </row>
    <row r="34" ht="31.5" customHeight="1" spans="1:26" x14ac:dyDescent="0.25">
      <c r="A34" s="168" t="s">
        <v>537</v>
      </c>
      <c r="B34" s="169" t="s">
        <v>538</v>
      </c>
      <c r="C34" s="170"/>
      <c r="D34" s="170"/>
      <c r="E34" s="170"/>
      <c r="F34" s="170"/>
      <c r="G34" s="170"/>
      <c r="H34" s="170"/>
      <c r="I34" s="170"/>
      <c r="J34" s="170"/>
      <c r="K34" s="170"/>
      <c r="L34" s="171"/>
      <c r="M34" s="169" t="s">
        <v>539</v>
      </c>
      <c r="N34" s="206"/>
      <c r="O34" s="206"/>
      <c r="P34" s="207">
        <v>19990</v>
      </c>
      <c r="Q34" s="208"/>
      <c r="R34" t="s">
        <v>0</v>
      </c>
      <c r="S34" t="s">
        <v>0</v>
      </c>
      <c r="T34" t="s">
        <v>0</v>
      </c>
      <c r="U34" t="s">
        <v>0</v>
      </c>
      <c r="V34" t="s">
        <v>0</v>
      </c>
      <c r="W34" t="s">
        <v>0</v>
      </c>
      <c r="X34" t="s">
        <v>0</v>
      </c>
      <c r="Y34" t="s">
        <v>0</v>
      </c>
      <c r="Z34" t="s">
        <v>0</v>
      </c>
    </row>
    <row r="35" ht="15.75" customHeight="1" spans="1:26" x14ac:dyDescent="0.25">
      <c r="A35" s="54" t="s">
        <v>540</v>
      </c>
      <c r="B35" s="55" t="s">
        <v>541</v>
      </c>
      <c r="C35" s="56"/>
      <c r="D35" s="56"/>
      <c r="E35" s="56"/>
      <c r="F35" s="56"/>
      <c r="G35" s="56"/>
      <c r="H35" s="56"/>
      <c r="I35" s="56"/>
      <c r="J35" s="56"/>
      <c r="K35" s="56"/>
      <c r="L35" s="57"/>
      <c r="M35" s="64" t="s">
        <v>542</v>
      </c>
      <c r="N35" s="140"/>
      <c r="O35" s="140"/>
      <c r="P35" s="85">
        <v>50000</v>
      </c>
      <c r="Q35" s="86"/>
      <c r="R35" t="s">
        <v>0</v>
      </c>
      <c r="S35" t="s">
        <v>0</v>
      </c>
      <c r="T35" t="s">
        <v>0</v>
      </c>
      <c r="U35" t="s">
        <v>0</v>
      </c>
      <c r="V35" t="s">
        <v>0</v>
      </c>
      <c r="W35" t="s">
        <v>0</v>
      </c>
      <c r="X35" t="s">
        <v>0</v>
      </c>
      <c r="Y35" t="s">
        <v>0</v>
      </c>
      <c r="Z35" t="s">
        <v>0</v>
      </c>
    </row>
    <row r="36" ht="31.5" customHeight="1" spans="1:26" x14ac:dyDescent="0.25">
      <c r="A36" s="168" t="s">
        <v>543</v>
      </c>
      <c r="B36" s="81" t="s">
        <v>544</v>
      </c>
      <c r="C36" s="134"/>
      <c r="D36" s="134"/>
      <c r="E36" s="134"/>
      <c r="F36" s="134"/>
      <c r="G36" s="134"/>
      <c r="H36" s="134"/>
      <c r="I36" s="134"/>
      <c r="J36" s="134"/>
      <c r="K36" s="134"/>
      <c r="L36" s="84"/>
      <c r="M36" s="169" t="s">
        <v>545</v>
      </c>
      <c r="N36" s="206"/>
      <c r="O36" s="206"/>
      <c r="P36" s="85">
        <v>19020</v>
      </c>
      <c r="Q36" s="86"/>
      <c r="R36" t="s">
        <v>0</v>
      </c>
      <c r="S36" t="s">
        <v>0</v>
      </c>
      <c r="T36" t="s">
        <v>0</v>
      </c>
      <c r="U36" t="s">
        <v>0</v>
      </c>
      <c r="V36" t="s">
        <v>0</v>
      </c>
      <c r="W36" t="s">
        <v>0</v>
      </c>
      <c r="X36" t="s">
        <v>0</v>
      </c>
      <c r="Y36" t="s">
        <v>0</v>
      </c>
      <c r="Z36" t="s">
        <v>0</v>
      </c>
    </row>
    <row r="37" ht="31.5" customHeight="1" spans="1:26" x14ac:dyDescent="0.25">
      <c r="A37" s="168" t="s">
        <v>546</v>
      </c>
      <c r="B37" s="81" t="s">
        <v>547</v>
      </c>
      <c r="C37" s="134"/>
      <c r="D37" s="134"/>
      <c r="E37" s="134"/>
      <c r="F37" s="134"/>
      <c r="G37" s="134"/>
      <c r="H37" s="134"/>
      <c r="I37" s="134"/>
      <c r="J37" s="134"/>
      <c r="K37" s="134"/>
      <c r="L37" s="84"/>
      <c r="M37" s="169" t="s">
        <v>548</v>
      </c>
      <c r="N37" s="206"/>
      <c r="O37" s="206"/>
      <c r="P37" s="85">
        <v>659000</v>
      </c>
      <c r="Q37" s="86"/>
      <c r="R37" t="s">
        <v>0</v>
      </c>
      <c r="S37" t="s">
        <v>0</v>
      </c>
      <c r="T37" t="s">
        <v>0</v>
      </c>
      <c r="U37" t="s">
        <v>0</v>
      </c>
      <c r="V37" t="s">
        <v>0</v>
      </c>
      <c r="W37" t="s">
        <v>0</v>
      </c>
      <c r="X37" t="s">
        <v>0</v>
      </c>
      <c r="Y37" t="s">
        <v>0</v>
      </c>
      <c r="Z37" t="s">
        <v>0</v>
      </c>
    </row>
    <row r="38" ht="31.5" customHeight="1" spans="1:26" x14ac:dyDescent="0.25">
      <c r="A38" s="168" t="s">
        <v>549</v>
      </c>
      <c r="B38" s="81" t="s">
        <v>550</v>
      </c>
      <c r="C38" s="134"/>
      <c r="D38" s="134"/>
      <c r="E38" s="134"/>
      <c r="F38" s="134"/>
      <c r="G38" s="134"/>
      <c r="H38" s="134"/>
      <c r="I38" s="134"/>
      <c r="J38" s="134"/>
      <c r="K38" s="134"/>
      <c r="L38" s="84"/>
      <c r="M38" s="81" t="s">
        <v>551</v>
      </c>
      <c r="N38" s="82"/>
      <c r="O38" s="83"/>
      <c r="P38" s="85">
        <v>10920</v>
      </c>
      <c r="Q38" s="86"/>
      <c r="R38" t="s">
        <v>0</v>
      </c>
      <c r="S38" t="s">
        <v>0</v>
      </c>
      <c r="T38" t="s">
        <v>0</v>
      </c>
      <c r="U38" t="s">
        <v>0</v>
      </c>
      <c r="V38" t="s">
        <v>0</v>
      </c>
      <c r="W38" t="s">
        <v>0</v>
      </c>
      <c r="X38" t="s">
        <v>0</v>
      </c>
      <c r="Y38" t="s">
        <v>0</v>
      </c>
      <c r="Z38" t="s">
        <v>0</v>
      </c>
    </row>
    <row r="39" ht="31.5" customHeight="1" spans="1:26" x14ac:dyDescent="0.25">
      <c r="A39" s="168" t="s">
        <v>549</v>
      </c>
      <c r="B39" s="81" t="s">
        <v>552</v>
      </c>
      <c r="C39" s="134"/>
      <c r="D39" s="134"/>
      <c r="E39" s="134"/>
      <c r="F39" s="134"/>
      <c r="G39" s="134"/>
      <c r="H39" s="134"/>
      <c r="I39" s="134"/>
      <c r="J39" s="134"/>
      <c r="K39" s="134"/>
      <c r="L39" s="84"/>
      <c r="M39" s="81" t="s">
        <v>553</v>
      </c>
      <c r="N39" s="82"/>
      <c r="O39" s="83"/>
      <c r="P39" s="85">
        <v>3348</v>
      </c>
      <c r="Q39" s="86"/>
      <c r="R39" t="s">
        <v>0</v>
      </c>
      <c r="S39" t="s">
        <v>0</v>
      </c>
      <c r="T39" t="s">
        <v>0</v>
      </c>
      <c r="U39" t="s">
        <v>0</v>
      </c>
      <c r="V39" t="s">
        <v>0</v>
      </c>
      <c r="W39" t="s">
        <v>0</v>
      </c>
      <c r="X39" t="s">
        <v>0</v>
      </c>
      <c r="Y39" t="s">
        <v>0</v>
      </c>
      <c r="Z39" t="s">
        <v>0</v>
      </c>
    </row>
    <row r="40" ht="31.5" customHeight="1" spans="1:26" x14ac:dyDescent="0.25">
      <c r="A40" s="168" t="s">
        <v>205</v>
      </c>
      <c r="B40" s="81" t="s">
        <v>554</v>
      </c>
      <c r="C40" s="134"/>
      <c r="D40" s="134"/>
      <c r="E40" s="134"/>
      <c r="F40" s="134"/>
      <c r="G40" s="134"/>
      <c r="H40" s="134"/>
      <c r="I40" s="134"/>
      <c r="J40" s="134"/>
      <c r="K40" s="134"/>
      <c r="L40" s="84"/>
      <c r="M40" s="81" t="s">
        <v>222</v>
      </c>
      <c r="N40" s="82"/>
      <c r="O40" s="83"/>
      <c r="P40" s="85">
        <v>4812.5</v>
      </c>
      <c r="Q40" s="86"/>
      <c r="R40" t="s">
        <v>0</v>
      </c>
      <c r="S40" t="s">
        <v>0</v>
      </c>
      <c r="T40" t="s">
        <v>0</v>
      </c>
      <c r="U40" t="s">
        <v>0</v>
      </c>
      <c r="V40" t="s">
        <v>0</v>
      </c>
      <c r="W40" t="s">
        <v>0</v>
      </c>
      <c r="X40" t="s">
        <v>0</v>
      </c>
      <c r="Y40" t="s">
        <v>0</v>
      </c>
      <c r="Z40" t="s">
        <v>0</v>
      </c>
    </row>
    <row r="41" ht="48.75" customHeight="1" spans="1:26" x14ac:dyDescent="0.25">
      <c r="A41" s="168" t="s">
        <v>555</v>
      </c>
      <c r="B41" s="81" t="s">
        <v>556</v>
      </c>
      <c r="C41" s="134"/>
      <c r="D41" s="134"/>
      <c r="E41" s="134"/>
      <c r="F41" s="134"/>
      <c r="G41" s="134"/>
      <c r="H41" s="134"/>
      <c r="I41" s="134"/>
      <c r="J41" s="134"/>
      <c r="K41" s="134"/>
      <c r="L41" s="84"/>
      <c r="M41" s="81" t="s">
        <v>557</v>
      </c>
      <c r="N41" s="82"/>
      <c r="O41" s="83"/>
      <c r="P41" s="85">
        <v>42080</v>
      </c>
      <c r="Q41" s="86"/>
      <c r="R41" t="s">
        <v>0</v>
      </c>
      <c r="S41" t="s">
        <v>0</v>
      </c>
      <c r="T41" t="s">
        <v>0</v>
      </c>
      <c r="U41" t="s">
        <v>0</v>
      </c>
      <c r="V41" t="s">
        <v>0</v>
      </c>
      <c r="W41" t="s">
        <v>0</v>
      </c>
      <c r="X41" t="s">
        <v>0</v>
      </c>
      <c r="Y41" t="s">
        <v>0</v>
      </c>
      <c r="Z41" t="s">
        <v>0</v>
      </c>
    </row>
    <row r="42" ht="32.25" customHeight="1" spans="1:26" x14ac:dyDescent="0.25">
      <c r="A42" s="133" t="s">
        <v>432</v>
      </c>
      <c r="B42" s="81" t="s">
        <v>423</v>
      </c>
      <c r="C42" s="134"/>
      <c r="D42" s="134"/>
      <c r="E42" s="134"/>
      <c r="F42" s="134"/>
      <c r="G42" s="134"/>
      <c r="H42" s="134"/>
      <c r="I42" s="134"/>
      <c r="J42" s="134"/>
      <c r="K42" s="134"/>
      <c r="L42" s="84"/>
      <c r="M42" s="81" t="s">
        <v>231</v>
      </c>
      <c r="N42" s="82"/>
      <c r="O42" s="83"/>
      <c r="P42" s="85">
        <v>6550</v>
      </c>
      <c r="Q42" s="86"/>
      <c r="R42" t="s">
        <v>0</v>
      </c>
      <c r="S42" t="s">
        <v>0</v>
      </c>
      <c r="T42" t="s">
        <v>0</v>
      </c>
      <c r="U42" t="s">
        <v>0</v>
      </c>
      <c r="V42" t="s">
        <v>0</v>
      </c>
      <c r="W42" t="s">
        <v>0</v>
      </c>
      <c r="X42" t="s">
        <v>0</v>
      </c>
      <c r="Y42" t="s">
        <v>0</v>
      </c>
      <c r="Z42" t="s">
        <v>0</v>
      </c>
    </row>
    <row r="43" ht="35.25" customHeight="1" spans="1:26" x14ac:dyDescent="0.25">
      <c r="A43" s="133" t="s">
        <v>558</v>
      </c>
      <c r="B43" s="81" t="s">
        <v>559</v>
      </c>
      <c r="C43" s="134"/>
      <c r="D43" s="134"/>
      <c r="E43" s="134"/>
      <c r="F43" s="134"/>
      <c r="G43" s="134"/>
      <c r="H43" s="134"/>
      <c r="I43" s="134"/>
      <c r="J43" s="134"/>
      <c r="K43" s="134"/>
      <c r="L43" s="84"/>
      <c r="M43" s="81" t="s">
        <v>560</v>
      </c>
      <c r="N43" s="82"/>
      <c r="O43" s="83"/>
      <c r="P43" s="85">
        <v>6200</v>
      </c>
      <c r="Q43" s="86"/>
      <c r="R43" t="s">
        <v>0</v>
      </c>
      <c r="S43" t="s">
        <v>0</v>
      </c>
      <c r="T43" t="s">
        <v>0</v>
      </c>
      <c r="U43" t="s">
        <v>0</v>
      </c>
      <c r="V43" t="s">
        <v>0</v>
      </c>
      <c r="W43" t="s">
        <v>0</v>
      </c>
      <c r="X43" t="s">
        <v>0</v>
      </c>
      <c r="Y43" t="s">
        <v>0</v>
      </c>
      <c r="Z43" t="s">
        <v>0</v>
      </c>
    </row>
    <row r="44" ht="30.75" customHeight="1" spans="1:26" x14ac:dyDescent="0.25">
      <c r="A44" s="133" t="s">
        <v>561</v>
      </c>
      <c r="B44" s="81" t="s">
        <v>562</v>
      </c>
      <c r="C44" s="134"/>
      <c r="D44" s="134"/>
      <c r="E44" s="134"/>
      <c r="F44" s="134"/>
      <c r="G44" s="134"/>
      <c r="H44" s="134"/>
      <c r="I44" s="134"/>
      <c r="J44" s="134"/>
      <c r="K44" s="134"/>
      <c r="L44" s="84"/>
      <c r="M44" s="81" t="s">
        <v>563</v>
      </c>
      <c r="N44" s="82"/>
      <c r="O44" s="83"/>
      <c r="P44" s="85">
        <v>80000</v>
      </c>
      <c r="Q44" s="86"/>
      <c r="R44" t="s">
        <v>0</v>
      </c>
      <c r="S44" t="s">
        <v>0</v>
      </c>
      <c r="T44" t="s">
        <v>0</v>
      </c>
      <c r="U44" t="s">
        <v>0</v>
      </c>
      <c r="V44" t="s">
        <v>0</v>
      </c>
      <c r="W44" t="s">
        <v>0</v>
      </c>
      <c r="X44" t="s">
        <v>0</v>
      </c>
      <c r="Y44" t="s">
        <v>0</v>
      </c>
      <c r="Z44" t="s">
        <v>0</v>
      </c>
    </row>
    <row r="45" spans="1:26" x14ac:dyDescent="0.25">
      <c r="A45" s="133" t="s">
        <v>0</v>
      </c>
      <c r="B45" s="47"/>
      <c r="C45" s="48"/>
      <c r="D45" s="48"/>
      <c r="E45" s="48"/>
      <c r="F45" s="48"/>
      <c r="G45" s="48"/>
      <c r="H45" s="48"/>
      <c r="I45" s="48"/>
      <c r="J45" s="48"/>
      <c r="K45" s="48"/>
      <c r="L45" s="49"/>
      <c r="M45" s="226"/>
      <c r="N45" s="227"/>
      <c r="O45" s="227"/>
      <c r="P45" s="207"/>
      <c r="Q45" s="208"/>
      <c r="R45" t="s">
        <v>0</v>
      </c>
      <c r="S45" t="s">
        <v>0</v>
      </c>
      <c r="T45" t="s">
        <v>0</v>
      </c>
      <c r="U45" t="s">
        <v>0</v>
      </c>
      <c r="V45" t="s">
        <v>0</v>
      </c>
      <c r="W45" t="s">
        <v>0</v>
      </c>
      <c r="X45" t="s">
        <v>0</v>
      </c>
      <c r="Y45" t="s">
        <v>0</v>
      </c>
      <c r="Z45" t="s">
        <v>0</v>
      </c>
    </row>
    <row r="46" spans="1:26" x14ac:dyDescent="0.25">
      <c r="A46" s="228" t="s">
        <v>0</v>
      </c>
      <c r="B46" s="229" t="s">
        <v>0</v>
      </c>
      <c r="C46" s="230"/>
      <c r="D46" s="230"/>
      <c r="E46" s="230"/>
      <c r="F46" s="230"/>
      <c r="G46" s="230"/>
      <c r="H46" s="230"/>
      <c r="I46" s="230"/>
      <c r="J46" s="230"/>
      <c r="K46" s="230"/>
      <c r="L46" s="231"/>
      <c r="M46" s="172"/>
      <c r="N46" s="82"/>
      <c r="O46" s="83"/>
      <c r="P46" s="85"/>
      <c r="Q46" s="86"/>
      <c r="R46" t="s">
        <v>0</v>
      </c>
      <c r="S46" t="s">
        <v>0</v>
      </c>
      <c r="T46" t="s">
        <v>0</v>
      </c>
      <c r="U46" t="s">
        <v>0</v>
      </c>
      <c r="V46" t="s">
        <v>0</v>
      </c>
      <c r="W46" t="s">
        <v>0</v>
      </c>
      <c r="X46" t="s">
        <v>0</v>
      </c>
      <c r="Y46" t="s">
        <v>0</v>
      </c>
      <c r="Z46" t="s">
        <v>0</v>
      </c>
    </row>
    <row r="47" ht="15.75" customHeight="1" spans="1:26" x14ac:dyDescent="0.25">
      <c r="A47" s="232" t="s">
        <v>0</v>
      </c>
      <c r="B47" s="88"/>
      <c r="C47" s="89"/>
      <c r="D47" s="89"/>
      <c r="E47" s="89"/>
      <c r="F47" s="89"/>
      <c r="G47" s="89"/>
      <c r="H47" s="89"/>
      <c r="I47" s="89"/>
      <c r="J47" s="89"/>
      <c r="K47" s="89"/>
      <c r="L47" s="90"/>
      <c r="M47" s="88"/>
      <c r="N47" s="89"/>
      <c r="O47" s="90"/>
      <c r="P47" s="91"/>
      <c r="Q47" s="92"/>
      <c r="R47" t="s">
        <v>0</v>
      </c>
      <c r="S47" t="s">
        <v>0</v>
      </c>
      <c r="T47" t="s">
        <v>0</v>
      </c>
      <c r="U47" t="s">
        <v>0</v>
      </c>
      <c r="V47" t="s">
        <v>0</v>
      </c>
      <c r="W47" t="s">
        <v>0</v>
      </c>
      <c r="X47" t="s">
        <v>0</v>
      </c>
      <c r="Y47" t="s">
        <v>0</v>
      </c>
      <c r="Z47" t="s">
        <v>0</v>
      </c>
    </row>
    <row r="48" ht="15.75" customHeight="1" spans="1:26" x14ac:dyDescent="0.25">
      <c r="A48" s="93" t="s">
        <v>0</v>
      </c>
      <c r="B48" s="94"/>
      <c r="C48" s="95"/>
      <c r="D48" s="95"/>
      <c r="E48" s="95"/>
      <c r="F48" s="95"/>
      <c r="G48" s="95"/>
      <c r="H48" s="95"/>
      <c r="I48" s="95"/>
      <c r="J48" s="95"/>
      <c r="K48" s="95"/>
      <c r="L48" s="96"/>
      <c r="M48" s="97" t="s">
        <v>96</v>
      </c>
      <c r="N48" s="98"/>
      <c r="O48" s="233"/>
      <c r="P48" s="99">
        <f>SUM(P30:R47)</f>
        <v>1052479.5</v>
      </c>
      <c r="Q48" s="100"/>
      <c r="R48" t="s">
        <v>0</v>
      </c>
      <c r="S48" t="s">
        <v>0</v>
      </c>
      <c r="T48" t="s">
        <v>0</v>
      </c>
      <c r="U48" t="s">
        <v>0</v>
      </c>
      <c r="V48" t="s">
        <v>0</v>
      </c>
      <c r="W48" t="s">
        <v>0</v>
      </c>
      <c r="X48" t="s">
        <v>0</v>
      </c>
      <c r="Y48" t="s">
        <v>0</v>
      </c>
      <c r="Z48" t="s">
        <v>0</v>
      </c>
    </row>
    <row r="49" spans="1:26" x14ac:dyDescent="0.25">
      <c r="A49" t="s">
        <v>0</v>
      </c>
      <c r="B49" t="s">
        <v>0</v>
      </c>
      <c r="C49" t="s">
        <v>0</v>
      </c>
      <c r="D49" t="s">
        <v>0</v>
      </c>
      <c r="E49" t="s">
        <v>0</v>
      </c>
      <c r="F49" t="s">
        <v>0</v>
      </c>
      <c r="G49" t="s">
        <v>0</v>
      </c>
      <c r="H49" t="s">
        <v>0</v>
      </c>
      <c r="I49" t="s">
        <v>0</v>
      </c>
      <c r="J49" t="s">
        <v>0</v>
      </c>
      <c r="K49" t="s">
        <v>0</v>
      </c>
      <c r="L49" t="s">
        <v>0</v>
      </c>
      <c r="M49" t="s">
        <v>0</v>
      </c>
      <c r="N49" t="s">
        <v>0</v>
      </c>
      <c r="O49" t="s">
        <v>0</v>
      </c>
      <c r="P49" t="s">
        <v>0</v>
      </c>
      <c r="Q49" t="s">
        <v>0</v>
      </c>
      <c r="R49" t="s">
        <v>0</v>
      </c>
      <c r="S49" t="s">
        <v>0</v>
      </c>
      <c r="T49" t="s">
        <v>0</v>
      </c>
      <c r="U49" t="s">
        <v>0</v>
      </c>
      <c r="V49" t="s">
        <v>0</v>
      </c>
      <c r="W49" t="s">
        <v>0</v>
      </c>
      <c r="X49" t="s">
        <v>0</v>
      </c>
      <c r="Y49" t="s">
        <v>0</v>
      </c>
      <c r="Z49" t="s">
        <v>0</v>
      </c>
    </row>
    <row r="50" ht="15.75" customHeight="1" spans="1:26" x14ac:dyDescent="0.25">
      <c r="A50" t="s">
        <v>0</v>
      </c>
      <c r="B50" t="s">
        <v>0</v>
      </c>
      <c r="C50" t="s">
        <v>0</v>
      </c>
      <c r="D50" t="s">
        <v>0</v>
      </c>
      <c r="E50" t="s">
        <v>0</v>
      </c>
      <c r="F50" t="s">
        <v>0</v>
      </c>
      <c r="G50" t="s">
        <v>0</v>
      </c>
      <c r="H50" t="s">
        <v>0</v>
      </c>
      <c r="I50" t="s">
        <v>0</v>
      </c>
      <c r="J50" t="s">
        <v>0</v>
      </c>
      <c r="K50" t="s">
        <v>0</v>
      </c>
      <c r="L50" t="s">
        <v>0</v>
      </c>
      <c r="M50" t="s">
        <v>0</v>
      </c>
      <c r="N50" t="s">
        <v>0</v>
      </c>
      <c r="O50" t="s">
        <v>0</v>
      </c>
      <c r="P50" t="s">
        <v>0</v>
      </c>
      <c r="Q50" t="s">
        <v>0</v>
      </c>
      <c r="R50" t="s">
        <v>0</v>
      </c>
      <c r="S50" t="s">
        <v>0</v>
      </c>
      <c r="T50" t="s">
        <v>0</v>
      </c>
      <c r="U50" t="s">
        <v>0</v>
      </c>
      <c r="V50" t="s">
        <v>0</v>
      </c>
      <c r="W50" t="s">
        <v>0</v>
      </c>
      <c r="X50" t="s">
        <v>0</v>
      </c>
      <c r="Y50" t="s">
        <v>0</v>
      </c>
      <c r="Z50" t="s">
        <v>0</v>
      </c>
    </row>
    <row r="51" ht="16.5" customHeight="1" spans="1:26" x14ac:dyDescent="0.25">
      <c r="A51" s="40" t="s">
        <v>74</v>
      </c>
      <c r="B51" s="41" t="s">
        <v>564</v>
      </c>
      <c r="C51" s="42"/>
      <c r="D51" s="42"/>
      <c r="E51" s="42"/>
      <c r="F51" s="42"/>
      <c r="G51" s="42"/>
      <c r="H51" s="42"/>
      <c r="I51" s="42"/>
      <c r="J51" s="42"/>
      <c r="K51" s="42"/>
      <c r="L51" s="43"/>
      <c r="M51" s="41" t="s">
        <v>76</v>
      </c>
      <c r="N51" s="42"/>
      <c r="O51" s="43"/>
      <c r="P51" s="222" t="s">
        <v>77</v>
      </c>
      <c r="Q51" s="223"/>
      <c r="R51" t="s">
        <v>0</v>
      </c>
      <c r="S51" t="s">
        <v>0</v>
      </c>
      <c r="T51" t="s">
        <v>0</v>
      </c>
      <c r="U51" t="s">
        <v>0</v>
      </c>
      <c r="V51" t="s">
        <v>0</v>
      </c>
      <c r="W51" t="s">
        <v>0</v>
      </c>
      <c r="X51" t="s">
        <v>0</v>
      </c>
      <c r="Y51" t="s">
        <v>0</v>
      </c>
      <c r="Z51" t="s">
        <v>0</v>
      </c>
    </row>
    <row r="52" ht="15.75" customHeight="1" spans="1:26" x14ac:dyDescent="0.25">
      <c r="A52" s="54" t="s">
        <v>565</v>
      </c>
      <c r="B52" s="55" t="s">
        <v>566</v>
      </c>
      <c r="C52" s="56"/>
      <c r="D52" s="56"/>
      <c r="E52" s="56"/>
      <c r="F52" s="56"/>
      <c r="G52" s="56"/>
      <c r="H52" s="56"/>
      <c r="I52" s="56"/>
      <c r="J52" s="56"/>
      <c r="K52" s="56"/>
      <c r="L52" s="57"/>
      <c r="M52" s="64" t="s">
        <v>567</v>
      </c>
      <c r="N52" s="140"/>
      <c r="O52" s="140"/>
      <c r="P52" s="224">
        <v>3700</v>
      </c>
      <c r="Q52" s="225"/>
      <c r="R52" t="s">
        <v>0</v>
      </c>
      <c r="S52" t="s">
        <v>0</v>
      </c>
      <c r="T52" t="s">
        <v>0</v>
      </c>
      <c r="U52" t="s">
        <v>0</v>
      </c>
      <c r="V52" t="s">
        <v>0</v>
      </c>
      <c r="W52" t="s">
        <v>0</v>
      </c>
      <c r="X52" t="s">
        <v>0</v>
      </c>
      <c r="Y52" t="s">
        <v>0</v>
      </c>
      <c r="Z52" t="s">
        <v>0</v>
      </c>
    </row>
    <row r="53" spans="1:26" x14ac:dyDescent="0.25">
      <c r="A53" s="133" t="s">
        <v>568</v>
      </c>
      <c r="B53" s="81" t="s">
        <v>569</v>
      </c>
      <c r="C53" s="134"/>
      <c r="D53" s="134"/>
      <c r="E53" s="134"/>
      <c r="F53" s="134"/>
      <c r="G53" s="134"/>
      <c r="H53" s="134"/>
      <c r="I53" s="134"/>
      <c r="J53" s="134"/>
      <c r="K53" s="134"/>
      <c r="L53" s="84"/>
      <c r="M53" s="81" t="s">
        <v>570</v>
      </c>
      <c r="N53" s="134"/>
      <c r="O53" s="134"/>
      <c r="P53" s="85">
        <v>1150</v>
      </c>
      <c r="Q53" s="86"/>
      <c r="R53" t="s">
        <v>0</v>
      </c>
      <c r="S53" t="s">
        <v>0</v>
      </c>
      <c r="T53" t="s">
        <v>0</v>
      </c>
      <c r="U53" t="s">
        <v>0</v>
      </c>
      <c r="V53" t="s">
        <v>0</v>
      </c>
      <c r="W53" t="s">
        <v>0</v>
      </c>
      <c r="X53" t="s">
        <v>0</v>
      </c>
      <c r="Y53" t="s">
        <v>0</v>
      </c>
      <c r="Z53" t="s">
        <v>0</v>
      </c>
    </row>
    <row r="54" ht="15" customHeight="1" spans="1:26" x14ac:dyDescent="0.25">
      <c r="A54" s="54" t="s">
        <v>571</v>
      </c>
      <c r="B54" s="234" t="s">
        <v>572</v>
      </c>
      <c r="C54" s="235"/>
      <c r="D54" s="235"/>
      <c r="E54" s="235"/>
      <c r="F54" s="235"/>
      <c r="G54" s="235"/>
      <c r="H54" s="235"/>
      <c r="I54" s="235"/>
      <c r="J54" s="235"/>
      <c r="K54" s="235"/>
      <c r="L54" s="236"/>
      <c r="M54" s="172" t="s">
        <v>573</v>
      </c>
      <c r="N54" s="82"/>
      <c r="O54" s="83"/>
      <c r="P54" s="85">
        <v>1150</v>
      </c>
      <c r="Q54" s="86"/>
      <c r="R54" t="s">
        <v>0</v>
      </c>
      <c r="S54" t="s">
        <v>0</v>
      </c>
      <c r="T54" t="s">
        <v>0</v>
      </c>
      <c r="U54" t="s">
        <v>0</v>
      </c>
      <c r="V54" t="s">
        <v>0</v>
      </c>
      <c r="W54" t="s">
        <v>0</v>
      </c>
      <c r="X54" t="s">
        <v>0</v>
      </c>
      <c r="Y54" t="s">
        <v>0</v>
      </c>
      <c r="Z54" t="s">
        <v>0</v>
      </c>
    </row>
    <row r="55" ht="15.75" customHeight="1" spans="1:26" x14ac:dyDescent="0.25">
      <c r="A55" s="168" t="s">
        <v>571</v>
      </c>
      <c r="B55" s="55" t="s">
        <v>566</v>
      </c>
      <c r="C55" s="56"/>
      <c r="D55" s="56"/>
      <c r="E55" s="56"/>
      <c r="F55" s="56"/>
      <c r="G55" s="56"/>
      <c r="H55" s="56"/>
      <c r="I55" s="56"/>
      <c r="J55" s="56"/>
      <c r="K55" s="56"/>
      <c r="L55" s="57"/>
      <c r="M55" s="169" t="s">
        <v>567</v>
      </c>
      <c r="N55" s="206"/>
      <c r="O55" s="206"/>
      <c r="P55" s="207">
        <v>3700</v>
      </c>
      <c r="Q55" s="208"/>
      <c r="R55" t="s">
        <v>0</v>
      </c>
      <c r="S55" t="s">
        <v>0</v>
      </c>
      <c r="T55" t="s">
        <v>0</v>
      </c>
      <c r="U55" t="s">
        <v>0</v>
      </c>
      <c r="V55" t="s">
        <v>0</v>
      </c>
      <c r="W55" t="s">
        <v>0</v>
      </c>
      <c r="X55" t="s">
        <v>0</v>
      </c>
      <c r="Y55" t="s">
        <v>0</v>
      </c>
      <c r="Z55" t="s">
        <v>0</v>
      </c>
    </row>
    <row r="56" ht="14.25" customHeight="1" spans="1:26" x14ac:dyDescent="0.25">
      <c r="A56" s="168" t="s">
        <v>574</v>
      </c>
      <c r="B56" s="169" t="s">
        <v>575</v>
      </c>
      <c r="C56" s="170"/>
      <c r="D56" s="170"/>
      <c r="E56" s="170"/>
      <c r="F56" s="170"/>
      <c r="G56" s="170"/>
      <c r="H56" s="170"/>
      <c r="I56" s="170"/>
      <c r="J56" s="170"/>
      <c r="K56" s="170"/>
      <c r="L56" s="171"/>
      <c r="M56" s="169" t="s">
        <v>576</v>
      </c>
      <c r="N56" s="206"/>
      <c r="O56" s="206"/>
      <c r="P56" s="207">
        <v>22268.5</v>
      </c>
      <c r="Q56" s="208"/>
      <c r="R56" t="s">
        <v>0</v>
      </c>
      <c r="S56" t="s">
        <v>0</v>
      </c>
      <c r="T56" t="s">
        <v>0</v>
      </c>
      <c r="U56" t="s">
        <v>0</v>
      </c>
      <c r="V56" t="s">
        <v>0</v>
      </c>
      <c r="W56" t="s">
        <v>0</v>
      </c>
      <c r="X56" t="s">
        <v>0</v>
      </c>
      <c r="Y56" t="s">
        <v>0</v>
      </c>
      <c r="Z56" t="s">
        <v>0</v>
      </c>
    </row>
    <row r="57" spans="1:26" x14ac:dyDescent="0.25">
      <c r="A57" s="54" t="s">
        <v>577</v>
      </c>
      <c r="B57" s="169" t="s">
        <v>575</v>
      </c>
      <c r="C57" s="170"/>
      <c r="D57" s="170"/>
      <c r="E57" s="170"/>
      <c r="F57" s="170"/>
      <c r="G57" s="170"/>
      <c r="H57" s="170"/>
      <c r="I57" s="170"/>
      <c r="J57" s="170"/>
      <c r="K57" s="170"/>
      <c r="L57" s="171"/>
      <c r="M57" s="64" t="s">
        <v>578</v>
      </c>
      <c r="N57" s="140"/>
      <c r="O57" s="140"/>
      <c r="P57" s="85">
        <v>22632</v>
      </c>
      <c r="Q57" s="86"/>
      <c r="R57" t="s">
        <v>0</v>
      </c>
      <c r="S57" t="s">
        <v>0</v>
      </c>
      <c r="T57" t="s">
        <v>0</v>
      </c>
      <c r="U57" t="s">
        <v>0</v>
      </c>
      <c r="V57" t="s">
        <v>0</v>
      </c>
      <c r="W57" t="s">
        <v>0</v>
      </c>
      <c r="X57" t="s">
        <v>0</v>
      </c>
      <c r="Y57" t="s">
        <v>0</v>
      </c>
      <c r="Z57" t="s">
        <v>0</v>
      </c>
    </row>
    <row r="58" spans="1:26" x14ac:dyDescent="0.25">
      <c r="A58" s="168" t="s">
        <v>568</v>
      </c>
      <c r="B58" s="169" t="s">
        <v>579</v>
      </c>
      <c r="C58" s="170"/>
      <c r="D58" s="170"/>
      <c r="E58" s="170"/>
      <c r="F58" s="170"/>
      <c r="G58" s="170"/>
      <c r="H58" s="170"/>
      <c r="I58" s="170"/>
      <c r="J58" s="170"/>
      <c r="K58" s="170"/>
      <c r="L58" s="171"/>
      <c r="M58" s="172" t="s">
        <v>580</v>
      </c>
      <c r="N58" s="82"/>
      <c r="O58" s="83"/>
      <c r="P58" s="85">
        <v>9377.5</v>
      </c>
      <c r="Q58" s="86"/>
      <c r="R58" t="s">
        <v>0</v>
      </c>
      <c r="S58" t="s">
        <v>0</v>
      </c>
      <c r="T58" t="s">
        <v>0</v>
      </c>
      <c r="U58" t="s">
        <v>0</v>
      </c>
      <c r="V58" t="s">
        <v>0</v>
      </c>
      <c r="W58" t="s">
        <v>0</v>
      </c>
      <c r="X58" t="s">
        <v>0</v>
      </c>
      <c r="Y58" t="s">
        <v>0</v>
      </c>
      <c r="Z58" t="s">
        <v>0</v>
      </c>
    </row>
    <row r="59" spans="1:26" x14ac:dyDescent="0.25">
      <c r="A59" s="168" t="s">
        <v>571</v>
      </c>
      <c r="B59" s="169" t="s">
        <v>579</v>
      </c>
      <c r="C59" s="170"/>
      <c r="D59" s="170"/>
      <c r="E59" s="170"/>
      <c r="F59" s="170"/>
      <c r="G59" s="170"/>
      <c r="H59" s="170"/>
      <c r="I59" s="170"/>
      <c r="J59" s="170"/>
      <c r="K59" s="170"/>
      <c r="L59" s="171"/>
      <c r="M59" s="172" t="s">
        <v>580</v>
      </c>
      <c r="N59" s="82"/>
      <c r="O59" s="83"/>
      <c r="P59" s="85">
        <v>10545</v>
      </c>
      <c r="Q59" s="86"/>
      <c r="R59" t="s">
        <v>0</v>
      </c>
      <c r="S59" t="s">
        <v>0</v>
      </c>
      <c r="T59" t="s">
        <v>0</v>
      </c>
      <c r="U59" t="s">
        <v>0</v>
      </c>
      <c r="V59" t="s">
        <v>0</v>
      </c>
      <c r="W59" t="s">
        <v>0</v>
      </c>
      <c r="X59" t="s">
        <v>0</v>
      </c>
      <c r="Y59" t="s">
        <v>0</v>
      </c>
      <c r="Z59" t="s">
        <v>0</v>
      </c>
    </row>
    <row r="60" spans="1:26" x14ac:dyDescent="0.25">
      <c r="A60" s="168" t="s">
        <v>565</v>
      </c>
      <c r="B60" s="81" t="s">
        <v>581</v>
      </c>
      <c r="C60" s="134"/>
      <c r="D60" s="134"/>
      <c r="E60" s="134"/>
      <c r="F60" s="134"/>
      <c r="G60" s="134"/>
      <c r="H60" s="134"/>
      <c r="I60" s="134"/>
      <c r="J60" s="134"/>
      <c r="K60" s="134"/>
      <c r="L60" s="84"/>
      <c r="M60" s="172" t="s">
        <v>582</v>
      </c>
      <c r="N60" s="82"/>
      <c r="O60" s="83"/>
      <c r="P60" s="85">
        <v>1950</v>
      </c>
      <c r="Q60" s="86"/>
      <c r="R60" t="s">
        <v>0</v>
      </c>
      <c r="S60" t="s">
        <v>0</v>
      </c>
      <c r="T60" t="s">
        <v>0</v>
      </c>
      <c r="U60" t="s">
        <v>0</v>
      </c>
      <c r="V60" t="s">
        <v>0</v>
      </c>
      <c r="W60" t="s">
        <v>0</v>
      </c>
      <c r="X60" t="s">
        <v>0</v>
      </c>
      <c r="Y60" t="s">
        <v>0</v>
      </c>
      <c r="Z60" t="s">
        <v>0</v>
      </c>
    </row>
    <row r="61" ht="13.5" customHeight="1" spans="1:26" x14ac:dyDescent="0.25">
      <c r="A61" s="168" t="s">
        <v>577</v>
      </c>
      <c r="B61" s="81" t="s">
        <v>583</v>
      </c>
      <c r="C61" s="134"/>
      <c r="D61" s="134"/>
      <c r="E61" s="134"/>
      <c r="F61" s="134"/>
      <c r="G61" s="134"/>
      <c r="H61" s="134"/>
      <c r="I61" s="134"/>
      <c r="J61" s="134"/>
      <c r="K61" s="134"/>
      <c r="L61" s="84"/>
      <c r="M61" s="172" t="s">
        <v>584</v>
      </c>
      <c r="N61" s="82"/>
      <c r="O61" s="83"/>
      <c r="P61" s="85">
        <v>1000</v>
      </c>
      <c r="Q61" s="86"/>
      <c r="R61" t="s">
        <v>0</v>
      </c>
      <c r="S61" t="s">
        <v>0</v>
      </c>
      <c r="T61" t="s">
        <v>0</v>
      </c>
      <c r="U61" t="s">
        <v>0</v>
      </c>
      <c r="V61" t="s">
        <v>0</v>
      </c>
      <c r="W61" t="s">
        <v>0</v>
      </c>
      <c r="X61" t="s">
        <v>0</v>
      </c>
      <c r="Y61" t="s">
        <v>0</v>
      </c>
      <c r="Z61" t="s">
        <v>0</v>
      </c>
    </row>
    <row r="62" ht="13.5" customHeight="1" spans="1:26" x14ac:dyDescent="0.25">
      <c r="A62" s="168" t="s">
        <v>571</v>
      </c>
      <c r="B62" s="81" t="s">
        <v>585</v>
      </c>
      <c r="C62" s="134"/>
      <c r="D62" s="134"/>
      <c r="E62" s="134"/>
      <c r="F62" s="134"/>
      <c r="G62" s="134"/>
      <c r="H62" s="134"/>
      <c r="I62" s="134"/>
      <c r="J62" s="134"/>
      <c r="K62" s="134"/>
      <c r="L62" s="84"/>
      <c r="M62" s="172" t="s">
        <v>586</v>
      </c>
      <c r="N62" s="82"/>
      <c r="O62" s="83"/>
      <c r="P62" s="85">
        <v>1000</v>
      </c>
      <c r="Q62" s="86"/>
      <c r="R62" t="s">
        <v>0</v>
      </c>
      <c r="S62" t="s">
        <v>0</v>
      </c>
      <c r="T62" t="s">
        <v>0</v>
      </c>
      <c r="U62" t="s">
        <v>0</v>
      </c>
      <c r="V62" t="s">
        <v>0</v>
      </c>
      <c r="W62" t="s">
        <v>0</v>
      </c>
      <c r="X62" t="s">
        <v>0</v>
      </c>
      <c r="Y62" t="s">
        <v>0</v>
      </c>
      <c r="Z62" t="s">
        <v>0</v>
      </c>
    </row>
    <row r="63" ht="15" customHeight="1" spans="1:26" x14ac:dyDescent="0.25">
      <c r="A63" s="168" t="s">
        <v>587</v>
      </c>
      <c r="B63" s="81" t="s">
        <v>588</v>
      </c>
      <c r="C63" s="134"/>
      <c r="D63" s="134"/>
      <c r="E63" s="134"/>
      <c r="F63" s="134"/>
      <c r="G63" s="134"/>
      <c r="H63" s="134"/>
      <c r="I63" s="134"/>
      <c r="J63" s="134"/>
      <c r="K63" s="134"/>
      <c r="L63" s="84"/>
      <c r="M63" s="172" t="s">
        <v>589</v>
      </c>
      <c r="N63" s="82"/>
      <c r="O63" s="83"/>
      <c r="P63" s="85">
        <v>7692</v>
      </c>
      <c r="Q63" s="86"/>
      <c r="R63" t="s">
        <v>0</v>
      </c>
      <c r="S63" t="s">
        <v>0</v>
      </c>
      <c r="T63" t="s">
        <v>0</v>
      </c>
      <c r="U63" t="s">
        <v>0</v>
      </c>
      <c r="V63" t="s">
        <v>0</v>
      </c>
      <c r="W63" t="s">
        <v>0</v>
      </c>
      <c r="X63" t="s">
        <v>0</v>
      </c>
      <c r="Y63" t="s">
        <v>0</v>
      </c>
      <c r="Z63" t="s">
        <v>0</v>
      </c>
    </row>
    <row r="64" ht="15.75" customHeight="1" spans="1:26" x14ac:dyDescent="0.25">
      <c r="A64" s="168" t="s">
        <v>565</v>
      </c>
      <c r="B64" s="81" t="s">
        <v>590</v>
      </c>
      <c r="C64" s="134"/>
      <c r="D64" s="134"/>
      <c r="E64" s="134"/>
      <c r="F64" s="134"/>
      <c r="G64" s="134"/>
      <c r="H64" s="134"/>
      <c r="I64" s="134"/>
      <c r="J64" s="134"/>
      <c r="K64" s="134"/>
      <c r="L64" s="84"/>
      <c r="M64" s="172" t="s">
        <v>591</v>
      </c>
      <c r="N64" s="82"/>
      <c r="O64" s="83"/>
      <c r="P64" s="211">
        <v>3650</v>
      </c>
      <c r="Q64" s="212"/>
      <c r="R64" t="s">
        <v>0</v>
      </c>
      <c r="S64" t="s">
        <v>0</v>
      </c>
      <c r="T64" t="s">
        <v>0</v>
      </c>
      <c r="U64" t="s">
        <v>0</v>
      </c>
      <c r="V64" t="s">
        <v>0</v>
      </c>
      <c r="W64" t="s">
        <v>0</v>
      </c>
      <c r="X64" t="s">
        <v>0</v>
      </c>
      <c r="Y64" t="s">
        <v>0</v>
      </c>
      <c r="Z64" t="s">
        <v>0</v>
      </c>
    </row>
    <row r="65" spans="1:26" x14ac:dyDescent="0.25">
      <c r="A65" s="168" t="s">
        <v>577</v>
      </c>
      <c r="B65" s="81" t="s">
        <v>592</v>
      </c>
      <c r="C65" s="134"/>
      <c r="D65" s="134"/>
      <c r="E65" s="134"/>
      <c r="F65" s="134"/>
      <c r="G65" s="134"/>
      <c r="H65" s="134"/>
      <c r="I65" s="134"/>
      <c r="J65" s="134"/>
      <c r="K65" s="134"/>
      <c r="L65" s="84"/>
      <c r="M65" s="172" t="s">
        <v>593</v>
      </c>
      <c r="N65" s="82"/>
      <c r="O65" s="83"/>
      <c r="P65" s="211">
        <v>3000</v>
      </c>
      <c r="Q65" s="212"/>
      <c r="R65" t="s">
        <v>0</v>
      </c>
      <c r="S65" t="s">
        <v>0</v>
      </c>
      <c r="T65" t="s">
        <v>0</v>
      </c>
      <c r="U65" t="s">
        <v>0</v>
      </c>
      <c r="V65" t="s">
        <v>0</v>
      </c>
      <c r="W65" t="s">
        <v>0</v>
      </c>
      <c r="X65" t="s">
        <v>0</v>
      </c>
      <c r="Y65" t="s">
        <v>0</v>
      </c>
      <c r="Z65" t="s">
        <v>0</v>
      </c>
    </row>
    <row r="66" ht="15" customHeight="1" spans="1:26" x14ac:dyDescent="0.25">
      <c r="A66" s="168" t="s">
        <v>587</v>
      </c>
      <c r="B66" s="81" t="s">
        <v>594</v>
      </c>
      <c r="C66" s="134"/>
      <c r="D66" s="134"/>
      <c r="E66" s="134"/>
      <c r="F66" s="134"/>
      <c r="G66" s="134"/>
      <c r="H66" s="134"/>
      <c r="I66" s="134"/>
      <c r="J66" s="134"/>
      <c r="K66" s="134"/>
      <c r="L66" s="84"/>
      <c r="M66" s="172" t="s">
        <v>595</v>
      </c>
      <c r="N66" s="82"/>
      <c r="O66" s="83"/>
      <c r="P66" s="211">
        <v>850</v>
      </c>
      <c r="Q66" s="212"/>
      <c r="R66" t="s">
        <v>0</v>
      </c>
      <c r="S66" t="s">
        <v>0</v>
      </c>
      <c r="T66" t="s">
        <v>0</v>
      </c>
      <c r="U66" t="s">
        <v>0</v>
      </c>
      <c r="V66" t="s">
        <v>0</v>
      </c>
      <c r="W66" t="s">
        <v>0</v>
      </c>
      <c r="X66" t="s">
        <v>0</v>
      </c>
      <c r="Y66" t="s">
        <v>0</v>
      </c>
      <c r="Z66" t="s">
        <v>0</v>
      </c>
    </row>
    <row r="67" ht="15.75" customHeight="1" spans="1:26" x14ac:dyDescent="0.25">
      <c r="A67" s="133" t="s">
        <v>596</v>
      </c>
      <c r="B67" s="81" t="s">
        <v>594</v>
      </c>
      <c r="C67" s="134"/>
      <c r="D67" s="134"/>
      <c r="E67" s="134"/>
      <c r="F67" s="134"/>
      <c r="G67" s="134"/>
      <c r="H67" s="134"/>
      <c r="I67" s="134"/>
      <c r="J67" s="134"/>
      <c r="K67" s="134"/>
      <c r="L67" s="84"/>
      <c r="M67" s="172" t="s">
        <v>595</v>
      </c>
      <c r="N67" s="82"/>
      <c r="O67" s="83"/>
      <c r="P67" s="211">
        <v>850</v>
      </c>
      <c r="Q67" s="212"/>
      <c r="R67" t="s">
        <v>0</v>
      </c>
      <c r="S67" t="s">
        <v>0</v>
      </c>
      <c r="T67" t="s">
        <v>0</v>
      </c>
      <c r="U67" t="s">
        <v>0</v>
      </c>
      <c r="V67" t="s">
        <v>0</v>
      </c>
      <c r="W67" t="s">
        <v>0</v>
      </c>
      <c r="X67" t="s">
        <v>0</v>
      </c>
      <c r="Y67" t="s">
        <v>0</v>
      </c>
      <c r="Z67" t="s">
        <v>0</v>
      </c>
    </row>
    <row r="68" ht="15" customHeight="1" spans="1:26" x14ac:dyDescent="0.25">
      <c r="A68" s="133" t="s">
        <v>568</v>
      </c>
      <c r="B68" s="81" t="s">
        <v>0</v>
      </c>
      <c r="C68" s="134" t="s">
        <v>597</v>
      </c>
      <c r="D68" s="134"/>
      <c r="E68" s="134"/>
      <c r="F68" s="134"/>
      <c r="G68" s="134"/>
      <c r="H68" s="134"/>
      <c r="I68" s="134"/>
      <c r="J68" s="134"/>
      <c r="K68" s="134"/>
      <c r="L68" s="84"/>
      <c r="M68" s="172" t="s">
        <v>598</v>
      </c>
      <c r="N68" s="82"/>
      <c r="O68" s="83"/>
      <c r="P68" s="85">
        <v>1850</v>
      </c>
      <c r="Q68" s="86"/>
      <c r="R68" t="s">
        <v>0</v>
      </c>
      <c r="S68" t="s">
        <v>0</v>
      </c>
      <c r="T68" t="s">
        <v>0</v>
      </c>
      <c r="U68" t="s">
        <v>0</v>
      </c>
      <c r="V68" t="s">
        <v>0</v>
      </c>
      <c r="W68" t="s">
        <v>0</v>
      </c>
      <c r="X68" t="s">
        <v>0</v>
      </c>
      <c r="Y68" t="s">
        <v>0</v>
      </c>
      <c r="Z68" t="s">
        <v>0</v>
      </c>
    </row>
    <row r="69" ht="14.25" customHeight="1" spans="1:26" x14ac:dyDescent="0.25">
      <c r="A69" s="133" t="s">
        <v>599</v>
      </c>
      <c r="B69" s="81" t="s">
        <v>0</v>
      </c>
      <c r="C69" s="134" t="s">
        <v>600</v>
      </c>
      <c r="D69" s="134"/>
      <c r="E69" s="134"/>
      <c r="F69" s="134"/>
      <c r="G69" s="134"/>
      <c r="H69" s="134"/>
      <c r="I69" s="134"/>
      <c r="J69" s="134"/>
      <c r="K69" s="134"/>
      <c r="L69" s="84"/>
      <c r="M69" s="172" t="s">
        <v>595</v>
      </c>
      <c r="N69" s="82"/>
      <c r="O69" s="83"/>
      <c r="P69" s="85">
        <v>850</v>
      </c>
      <c r="Q69" s="86"/>
      <c r="R69" t="s">
        <v>0</v>
      </c>
      <c r="S69" t="s">
        <v>0</v>
      </c>
      <c r="T69" t="s">
        <v>0</v>
      </c>
      <c r="U69" t="s">
        <v>0</v>
      </c>
      <c r="V69" t="s">
        <v>0</v>
      </c>
      <c r="W69" t="s">
        <v>0</v>
      </c>
      <c r="X69" t="s">
        <v>0</v>
      </c>
      <c r="Y69" t="s">
        <v>0</v>
      </c>
      <c r="Z69" t="s">
        <v>0</v>
      </c>
    </row>
    <row r="70" spans="1:26" x14ac:dyDescent="0.25">
      <c r="A70" s="133" t="s">
        <v>0</v>
      </c>
      <c r="B70" s="81" t="s">
        <v>0</v>
      </c>
      <c r="C70" s="134"/>
      <c r="D70" s="134"/>
      <c r="E70" s="134"/>
      <c r="F70" s="134"/>
      <c r="G70" s="134"/>
      <c r="H70" s="134"/>
      <c r="I70" s="134"/>
      <c r="J70" s="134"/>
      <c r="K70" s="134"/>
      <c r="L70" s="84"/>
      <c r="M70" s="172"/>
      <c r="N70" s="82"/>
      <c r="O70" s="83"/>
      <c r="P70" s="85"/>
      <c r="Q70" s="86"/>
      <c r="R70" t="s">
        <v>0</v>
      </c>
      <c r="S70" t="s">
        <v>0</v>
      </c>
      <c r="T70" t="s">
        <v>0</v>
      </c>
      <c r="U70" t="s">
        <v>0</v>
      </c>
      <c r="V70" t="s">
        <v>0</v>
      </c>
      <c r="W70" t="s">
        <v>0</v>
      </c>
      <c r="X70" t="s">
        <v>0</v>
      </c>
      <c r="Y70" t="s">
        <v>0</v>
      </c>
      <c r="Z70" t="s">
        <v>0</v>
      </c>
    </row>
    <row r="71" spans="1:26" x14ac:dyDescent="0.25">
      <c r="A71" s="133" t="s">
        <v>0</v>
      </c>
      <c r="B71" s="81" t="s">
        <v>0</v>
      </c>
      <c r="C71" s="134"/>
      <c r="D71" s="134"/>
      <c r="E71" s="134"/>
      <c r="F71" s="134"/>
      <c r="G71" s="134"/>
      <c r="H71" s="134"/>
      <c r="I71" s="134"/>
      <c r="J71" s="134"/>
      <c r="K71" s="134"/>
      <c r="L71" s="84"/>
      <c r="M71" s="172"/>
      <c r="N71" s="82"/>
      <c r="O71" s="83"/>
      <c r="P71" s="85"/>
      <c r="Q71" s="86"/>
      <c r="R71" t="s">
        <v>0</v>
      </c>
      <c r="S71" t="s">
        <v>0</v>
      </c>
      <c r="T71" t="s">
        <v>0</v>
      </c>
      <c r="U71" t="s">
        <v>0</v>
      </c>
      <c r="V71" t="s">
        <v>0</v>
      </c>
      <c r="W71" t="s">
        <v>0</v>
      </c>
      <c r="X71" t="s">
        <v>0</v>
      </c>
      <c r="Y71" t="s">
        <v>0</v>
      </c>
      <c r="Z71" t="s">
        <v>0</v>
      </c>
    </row>
    <row r="72" spans="1:26" x14ac:dyDescent="0.25">
      <c r="A72" s="133" t="s">
        <v>0</v>
      </c>
      <c r="B72" s="81" t="s">
        <v>0</v>
      </c>
      <c r="C72" s="134"/>
      <c r="D72" s="134"/>
      <c r="E72" s="134"/>
      <c r="F72" s="134"/>
      <c r="G72" s="134"/>
      <c r="H72" s="134"/>
      <c r="I72" s="134"/>
      <c r="J72" s="134"/>
      <c r="K72" s="134"/>
      <c r="L72" s="84"/>
      <c r="M72" s="172"/>
      <c r="N72" s="82"/>
      <c r="O72" s="83"/>
      <c r="P72" s="85"/>
      <c r="Q72" s="86"/>
      <c r="R72" t="s">
        <v>0</v>
      </c>
      <c r="S72" t="s">
        <v>0</v>
      </c>
      <c r="T72" t="s">
        <v>0</v>
      </c>
      <c r="U72" t="s">
        <v>0</v>
      </c>
      <c r="V72" t="s">
        <v>0</v>
      </c>
      <c r="W72" t="s">
        <v>0</v>
      </c>
      <c r="X72" t="s">
        <v>0</v>
      </c>
      <c r="Y72" t="s">
        <v>0</v>
      </c>
      <c r="Z72" t="s">
        <v>0</v>
      </c>
    </row>
    <row r="73" spans="1:26" x14ac:dyDescent="0.25">
      <c r="A73" s="133" t="s">
        <v>0</v>
      </c>
      <c r="B73" s="81" t="s">
        <v>0</v>
      </c>
      <c r="C73" s="134"/>
      <c r="D73" s="134"/>
      <c r="E73" s="134"/>
      <c r="F73" s="134"/>
      <c r="G73" s="134"/>
      <c r="H73" s="134"/>
      <c r="I73" s="134"/>
      <c r="J73" s="134"/>
      <c r="K73" s="134"/>
      <c r="L73" s="84"/>
      <c r="M73" s="172"/>
      <c r="N73" s="82"/>
      <c r="O73" s="83"/>
      <c r="P73" s="85"/>
      <c r="Q73" s="86"/>
      <c r="R73" t="s">
        <v>0</v>
      </c>
      <c r="S73" t="s">
        <v>0</v>
      </c>
      <c r="T73" t="s">
        <v>0</v>
      </c>
      <c r="U73" t="s">
        <v>0</v>
      </c>
      <c r="V73" t="s">
        <v>0</v>
      </c>
      <c r="W73" t="s">
        <v>0</v>
      </c>
      <c r="X73" t="s">
        <v>0</v>
      </c>
      <c r="Y73" t="s">
        <v>0</v>
      </c>
      <c r="Z73" t="s">
        <v>0</v>
      </c>
    </row>
    <row r="74" spans="1:26" x14ac:dyDescent="0.25">
      <c r="A74" s="133" t="s">
        <v>0</v>
      </c>
      <c r="B74" s="81"/>
      <c r="C74" s="134"/>
      <c r="D74" s="134"/>
      <c r="E74" s="134"/>
      <c r="F74" s="134"/>
      <c r="G74" s="134"/>
      <c r="H74" s="134"/>
      <c r="I74" s="134"/>
      <c r="J74" s="134"/>
      <c r="K74" s="134"/>
      <c r="L74" s="84"/>
      <c r="M74" s="172"/>
      <c r="N74" s="82"/>
      <c r="O74" s="83"/>
      <c r="P74" s="211"/>
      <c r="Q74" s="212"/>
      <c r="R74" t="s">
        <v>0</v>
      </c>
      <c r="S74" t="s">
        <v>0</v>
      </c>
      <c r="T74" t="s">
        <v>0</v>
      </c>
      <c r="U74" t="s">
        <v>0</v>
      </c>
      <c r="V74" t="s">
        <v>0</v>
      </c>
      <c r="W74" t="s">
        <v>0</v>
      </c>
      <c r="X74" t="s">
        <v>0</v>
      </c>
      <c r="Y74" t="s">
        <v>0</v>
      </c>
      <c r="Z74" t="s">
        <v>0</v>
      </c>
    </row>
    <row r="75" spans="1:26" x14ac:dyDescent="0.25">
      <c r="A75" s="133" t="s">
        <v>0</v>
      </c>
      <c r="B75" s="47"/>
      <c r="C75" s="48"/>
      <c r="D75" s="48"/>
      <c r="E75" s="48"/>
      <c r="F75" s="48"/>
      <c r="G75" s="48"/>
      <c r="H75" s="48"/>
      <c r="I75" s="48"/>
      <c r="J75" s="48"/>
      <c r="K75" s="48"/>
      <c r="L75" s="49"/>
      <c r="M75" s="226"/>
      <c r="N75" s="227"/>
      <c r="O75" s="227"/>
      <c r="P75" s="237"/>
      <c r="Q75" s="238"/>
      <c r="R75" t="s">
        <v>0</v>
      </c>
      <c r="S75" t="s">
        <v>0</v>
      </c>
      <c r="T75" t="s">
        <v>0</v>
      </c>
      <c r="U75" t="s">
        <v>0</v>
      </c>
      <c r="V75" t="s">
        <v>0</v>
      </c>
      <c r="W75" t="s">
        <v>0</v>
      </c>
      <c r="X75" t="s">
        <v>0</v>
      </c>
      <c r="Y75" t="s">
        <v>0</v>
      </c>
      <c r="Z75" t="s">
        <v>0</v>
      </c>
    </row>
    <row r="76" ht="15.75" customHeight="1" spans="1:26" x14ac:dyDescent="0.25">
      <c r="A76" s="232" t="s">
        <v>0</v>
      </c>
      <c r="B76" s="88"/>
      <c r="C76" s="89"/>
      <c r="D76" s="89"/>
      <c r="E76" s="89"/>
      <c r="F76" s="89"/>
      <c r="G76" s="89"/>
      <c r="H76" s="89"/>
      <c r="I76" s="89"/>
      <c r="J76" s="89"/>
      <c r="K76" s="89"/>
      <c r="L76" s="90"/>
      <c r="M76" s="88"/>
      <c r="N76" s="89"/>
      <c r="O76" s="90"/>
      <c r="P76" s="214"/>
      <c r="Q76" s="215"/>
      <c r="R76" t="s">
        <v>0</v>
      </c>
      <c r="S76" t="s">
        <v>0</v>
      </c>
      <c r="T76" t="s">
        <v>0</v>
      </c>
      <c r="U76" t="s">
        <v>0</v>
      </c>
      <c r="V76" t="s">
        <v>0</v>
      </c>
      <c r="W76" t="s">
        <v>0</v>
      </c>
      <c r="X76" t="s">
        <v>0</v>
      </c>
      <c r="Y76" t="s">
        <v>0</v>
      </c>
      <c r="Z76" t="s">
        <v>0</v>
      </c>
    </row>
    <row r="77" ht="15.75" customHeight="1" spans="1:26" x14ac:dyDescent="0.25">
      <c r="A77" s="93" t="s">
        <v>0</v>
      </c>
      <c r="B77" s="94"/>
      <c r="C77" s="95"/>
      <c r="D77" s="95"/>
      <c r="E77" s="95"/>
      <c r="F77" s="95"/>
      <c r="G77" s="95"/>
      <c r="H77" s="95"/>
      <c r="I77" s="95"/>
      <c r="J77" s="95"/>
      <c r="K77" s="95"/>
      <c r="L77" s="96"/>
      <c r="M77" s="97" t="s">
        <v>96</v>
      </c>
      <c r="N77" s="98"/>
      <c r="O77" s="233"/>
      <c r="P77" s="99">
        <f>SUM(P52:R76)</f>
        <v>97215</v>
      </c>
      <c r="Q77" s="100"/>
      <c r="R77" t="s">
        <v>0</v>
      </c>
      <c r="S77" t="s">
        <v>0</v>
      </c>
      <c r="T77" t="s">
        <v>0</v>
      </c>
      <c r="U77" t="s">
        <v>0</v>
      </c>
      <c r="V77" t="s">
        <v>0</v>
      </c>
      <c r="W77" t="s">
        <v>0</v>
      </c>
      <c r="X77" t="s">
        <v>0</v>
      </c>
      <c r="Y77" t="s">
        <v>0</v>
      </c>
      <c r="Z77" t="s">
        <v>0</v>
      </c>
    </row>
    <row r="79" spans="10:12" x14ac:dyDescent="0.25">
      <c r="J79" s="239"/>
      <c r="K79" s="239"/>
      <c r="L79" s="239"/>
    </row>
  </sheetData>
  <mergeCells count="143">
    <mergeCell ref="C1:I1"/>
    <mergeCell ref="J1:Z1"/>
    <mergeCell ref="B29:L29"/>
    <mergeCell ref="M29:O29"/>
    <mergeCell ref="P29:Q29"/>
    <mergeCell ref="B30:L30"/>
    <mergeCell ref="M30:O30"/>
    <mergeCell ref="P30:Q30"/>
    <mergeCell ref="B31:L31"/>
    <mergeCell ref="M31:O31"/>
    <mergeCell ref="P31:Q31"/>
    <mergeCell ref="B32:L32"/>
    <mergeCell ref="M32:O32"/>
    <mergeCell ref="P32:Q32"/>
    <mergeCell ref="B33:L33"/>
    <mergeCell ref="M33:O33"/>
    <mergeCell ref="P33:Q33"/>
    <mergeCell ref="B34:L34"/>
    <mergeCell ref="M34:O34"/>
    <mergeCell ref="P34:Q34"/>
    <mergeCell ref="B35:L35"/>
    <mergeCell ref="M35:O35"/>
    <mergeCell ref="P35:Q35"/>
    <mergeCell ref="B36:L36"/>
    <mergeCell ref="M36:O36"/>
    <mergeCell ref="P36:Q36"/>
    <mergeCell ref="B37:L37"/>
    <mergeCell ref="M37:O37"/>
    <mergeCell ref="P37:Q37"/>
    <mergeCell ref="B38:L38"/>
    <mergeCell ref="M38:O38"/>
    <mergeCell ref="P38:Q38"/>
    <mergeCell ref="B39:L39"/>
    <mergeCell ref="M39:O39"/>
    <mergeCell ref="P39:Q39"/>
    <mergeCell ref="B40:L40"/>
    <mergeCell ref="M40:O40"/>
    <mergeCell ref="P40:Q40"/>
    <mergeCell ref="B41:L41"/>
    <mergeCell ref="M41:O41"/>
    <mergeCell ref="P41:Q41"/>
    <mergeCell ref="B42:L42"/>
    <mergeCell ref="M42:O42"/>
    <mergeCell ref="P42:Q42"/>
    <mergeCell ref="B43:L43"/>
    <mergeCell ref="M43:O43"/>
    <mergeCell ref="P43:Q43"/>
    <mergeCell ref="B44:L44"/>
    <mergeCell ref="M44:O44"/>
    <mergeCell ref="P44:Q44"/>
    <mergeCell ref="B45:L45"/>
    <mergeCell ref="M45:O45"/>
    <mergeCell ref="P45:Q45"/>
    <mergeCell ref="C46:L46"/>
    <mergeCell ref="M46:O46"/>
    <mergeCell ref="P46:Q46"/>
    <mergeCell ref="B47:L47"/>
    <mergeCell ref="M47:O47"/>
    <mergeCell ref="P47:Q47"/>
    <mergeCell ref="B48:L48"/>
    <mergeCell ref="M48:O48"/>
    <mergeCell ref="P48:Q48"/>
    <mergeCell ref="B51:L51"/>
    <mergeCell ref="M51:O51"/>
    <mergeCell ref="P51:Q51"/>
    <mergeCell ref="B52:L52"/>
    <mergeCell ref="M52:O52"/>
    <mergeCell ref="P52:Q52"/>
    <mergeCell ref="B53:L53"/>
    <mergeCell ref="M53:O53"/>
    <mergeCell ref="P53:Q53"/>
    <mergeCell ref="B54:L54"/>
    <mergeCell ref="M54:O54"/>
    <mergeCell ref="P54:Q54"/>
    <mergeCell ref="B55:L55"/>
    <mergeCell ref="M55:O55"/>
    <mergeCell ref="P55:Q55"/>
    <mergeCell ref="B56:L56"/>
    <mergeCell ref="M56:O56"/>
    <mergeCell ref="P56:Q56"/>
    <mergeCell ref="B57:L57"/>
    <mergeCell ref="M57:O57"/>
    <mergeCell ref="P57:Q57"/>
    <mergeCell ref="B58:L58"/>
    <mergeCell ref="M58:O58"/>
    <mergeCell ref="P58:Q58"/>
    <mergeCell ref="B59:L59"/>
    <mergeCell ref="M59:O59"/>
    <mergeCell ref="P59:Q59"/>
    <mergeCell ref="B60:L60"/>
    <mergeCell ref="M60:O60"/>
    <mergeCell ref="P60:Q60"/>
    <mergeCell ref="B61:L61"/>
    <mergeCell ref="M61:O61"/>
    <mergeCell ref="P61:Q61"/>
    <mergeCell ref="B62:L62"/>
    <mergeCell ref="M62:O62"/>
    <mergeCell ref="P62:Q62"/>
    <mergeCell ref="B63:L63"/>
    <mergeCell ref="M63:O63"/>
    <mergeCell ref="P63:Q63"/>
    <mergeCell ref="B64:L64"/>
    <mergeCell ref="M64:O64"/>
    <mergeCell ref="P64:Q64"/>
    <mergeCell ref="B65:L65"/>
    <mergeCell ref="M65:O65"/>
    <mergeCell ref="P65:Q65"/>
    <mergeCell ref="B66:L66"/>
    <mergeCell ref="M66:O66"/>
    <mergeCell ref="P66:Q66"/>
    <mergeCell ref="B67:L67"/>
    <mergeCell ref="M67:O67"/>
    <mergeCell ref="P67:Q67"/>
    <mergeCell ref="C68:L68"/>
    <mergeCell ref="M68:O68"/>
    <mergeCell ref="P68:Q68"/>
    <mergeCell ref="C69:L69"/>
    <mergeCell ref="M69:O69"/>
    <mergeCell ref="P69:Q69"/>
    <mergeCell ref="C70:L70"/>
    <mergeCell ref="M70:O70"/>
    <mergeCell ref="P70:Q70"/>
    <mergeCell ref="C71:L71"/>
    <mergeCell ref="M71:O71"/>
    <mergeCell ref="P71:Q71"/>
    <mergeCell ref="C72:L72"/>
    <mergeCell ref="M72:O72"/>
    <mergeCell ref="P72:Q72"/>
    <mergeCell ref="C73:L73"/>
    <mergeCell ref="M73:O73"/>
    <mergeCell ref="P73:Q73"/>
    <mergeCell ref="B74:L74"/>
    <mergeCell ref="M74:O74"/>
    <mergeCell ref="P74:Q74"/>
    <mergeCell ref="B75:L75"/>
    <mergeCell ref="M75:O75"/>
    <mergeCell ref="P75:Q75"/>
    <mergeCell ref="B76:L76"/>
    <mergeCell ref="M76:O76"/>
    <mergeCell ref="P76:Q76"/>
    <mergeCell ref="B77:L77"/>
    <mergeCell ref="M77:O77"/>
    <mergeCell ref="P77:Q77"/>
  </mergeCells>
  <pageMargins left="0.7" right="0.7" top="0.75" bottom="0.75" header="0.3" footer="0.3"/>
  <pageSetup paperSize="256" orientation="landscape" horizontalDpi="4294967293" verticalDpi="0" scale="56" fitToWidth="1" fitToHeight="0" firstPageNumber="1" useFirstPageNumber="1" copies="1"/>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0"/>
  <sheetViews>
    <sheetView workbookViewId="0" zoomScale="90" zoomScaleNormal="90">
      <selection activeCell="B27" sqref="B27"/>
    </sheetView>
  </sheetViews>
  <sheetFormatPr defaultRowHeight="15" outlineLevelRow="0" outlineLevelCol="0" x14ac:dyDescent="0.25"/>
  <cols>
    <col min="1" max="1" width="47.42578125" customWidth="1"/>
    <col min="2" max="2" width="16.7109375" hidden="1" customWidth="1"/>
    <col min="3" max="9" width="16.7109375" customWidth="1"/>
    <col min="10" max="10" width="18" customWidth="1"/>
    <col min="11" max="11" width="20.140625" customWidth="1"/>
    <col min="12" max="12" width="24.7109375" customWidth="1"/>
    <col min="13" max="13" width="15.42578125" customWidth="1"/>
    <col min="14" max="14" width="14.140625" customWidth="1"/>
    <col min="15" max="15" width="14.85546875" customWidth="1"/>
    <col min="16" max="16" width="11.7109375" customWidth="1"/>
    <col min="17" max="17" width="11.28515625" customWidth="1"/>
    <col min="18" max="19" width="12.5703125" customWidth="1"/>
    <col min="20" max="20" width="12.42578125" customWidth="1"/>
    <col min="21" max="21" width="11.85546875" customWidth="1"/>
    <col min="22" max="22" width="11" customWidth="1"/>
    <col min="23" max="23" width="11.28515625" customWidth="1"/>
    <col min="24" max="25" width="12.7109375" customWidth="1"/>
    <col min="26" max="26" width="13.5703125" customWidth="1"/>
  </cols>
  <sheetData>
    <row r="1" ht="52.5" customHeight="1" spans="1:26" s="240" customFormat="1" x14ac:dyDescent="0.25">
      <c r="A1" s="240" t="s">
        <v>0</v>
      </c>
      <c r="B1" s="240" t="s">
        <v>0</v>
      </c>
      <c r="C1" s="241" t="s">
        <v>342</v>
      </c>
      <c r="D1" s="241"/>
      <c r="E1" s="241"/>
      <c r="F1" s="241"/>
      <c r="G1" s="241"/>
      <c r="H1" s="241"/>
      <c r="I1" s="241"/>
      <c r="J1" s="242"/>
      <c r="K1" s="243"/>
      <c r="L1" s="243"/>
      <c r="M1" s="243"/>
      <c r="N1" s="243"/>
      <c r="O1" s="243"/>
      <c r="P1" s="243"/>
      <c r="Q1" s="243"/>
      <c r="R1" s="243"/>
      <c r="S1" s="243"/>
      <c r="T1" s="243"/>
      <c r="U1" s="243"/>
      <c r="V1" s="243"/>
      <c r="W1" s="243"/>
      <c r="X1" s="243"/>
      <c r="Y1" s="243"/>
      <c r="Z1" s="244"/>
    </row>
    <row r="2" ht="72.75" customHeight="1" spans="1:26" x14ac:dyDescent="0.25">
      <c r="A2" s="1" t="s">
        <v>0</v>
      </c>
      <c r="B2" s="2" t="s">
        <v>601</v>
      </c>
      <c r="C2" s="181" t="s">
        <v>602</v>
      </c>
      <c r="D2" s="181" t="s">
        <v>344</v>
      </c>
      <c r="E2" s="183" t="s">
        <v>343</v>
      </c>
      <c r="F2" s="183" t="s">
        <v>603</v>
      </c>
      <c r="G2" s="183" t="s">
        <v>260</v>
      </c>
      <c r="H2" s="183" t="s">
        <v>261</v>
      </c>
      <c r="I2" s="183" t="s">
        <v>262</v>
      </c>
      <c r="J2" s="184" t="s">
        <v>98</v>
      </c>
      <c r="K2" s="4" t="s">
        <v>3</v>
      </c>
      <c r="L2" s="185" t="s">
        <v>345</v>
      </c>
      <c r="M2" s="6" t="s">
        <v>5</v>
      </c>
      <c r="N2" s="7" t="s">
        <v>6</v>
      </c>
      <c r="O2" s="8" t="s">
        <v>7</v>
      </c>
      <c r="P2" s="7" t="s">
        <v>8</v>
      </c>
      <c r="Q2" s="8" t="s">
        <v>9</v>
      </c>
      <c r="R2" s="7" t="s">
        <v>10</v>
      </c>
      <c r="S2" s="8" t="s">
        <v>11</v>
      </c>
      <c r="T2" s="7" t="s">
        <v>12</v>
      </c>
      <c r="U2" s="8" t="s">
        <v>13</v>
      </c>
      <c r="V2" s="7" t="s">
        <v>14</v>
      </c>
      <c r="W2" s="8" t="s">
        <v>15</v>
      </c>
      <c r="X2" s="7" t="s">
        <v>16</v>
      </c>
      <c r="Y2" s="9" t="s">
        <v>0</v>
      </c>
      <c r="Z2" s="10" t="s">
        <v>17</v>
      </c>
    </row>
    <row r="3" ht="16.5" customHeight="1" spans="1:26" x14ac:dyDescent="0.25">
      <c r="A3" s="12" t="s">
        <v>604</v>
      </c>
      <c r="B3" s="13" t="s">
        <v>0</v>
      </c>
      <c r="C3" s="13" t="s">
        <v>0</v>
      </c>
      <c r="D3" s="13" t="s">
        <v>0</v>
      </c>
      <c r="E3" s="13" t="s">
        <v>0</v>
      </c>
      <c r="F3" s="13" t="s">
        <v>0</v>
      </c>
      <c r="G3" s="13" t="s">
        <v>0</v>
      </c>
      <c r="H3" s="13" t="s">
        <v>0</v>
      </c>
      <c r="I3" s="13" t="s">
        <v>0</v>
      </c>
      <c r="J3" s="13" t="s">
        <v>0</v>
      </c>
      <c r="K3" s="14" t="s">
        <v>0</v>
      </c>
      <c r="L3" s="15" t="s">
        <v>0</v>
      </c>
      <c r="M3" s="105" t="s">
        <v>0</v>
      </c>
      <c r="N3" s="16" t="s">
        <v>0</v>
      </c>
      <c r="O3" s="17" t="s">
        <v>0</v>
      </c>
      <c r="P3" s="16" t="s">
        <v>0</v>
      </c>
      <c r="Q3" s="17" t="s">
        <v>0</v>
      </c>
      <c r="R3" s="16" t="s">
        <v>0</v>
      </c>
      <c r="S3" s="17" t="s">
        <v>0</v>
      </c>
      <c r="T3" s="16" t="s">
        <v>0</v>
      </c>
      <c r="U3" s="17" t="s">
        <v>0</v>
      </c>
      <c r="V3" s="16" t="s">
        <v>0</v>
      </c>
      <c r="W3" s="17" t="s">
        <v>0</v>
      </c>
      <c r="X3" s="16" t="s">
        <v>0</v>
      </c>
      <c r="Y3" s="105" t="s">
        <v>0</v>
      </c>
      <c r="Z3" s="16" t="s">
        <v>0</v>
      </c>
    </row>
    <row r="4" ht="15.75" customHeight="1" spans="1:26" x14ac:dyDescent="0.25">
      <c r="A4" s="19" t="s">
        <v>19</v>
      </c>
      <c r="B4" s="27" t="s">
        <v>0</v>
      </c>
      <c r="C4" s="27" t="s">
        <v>279</v>
      </c>
      <c r="D4" s="27" t="s">
        <v>292</v>
      </c>
      <c r="E4" s="27" t="s">
        <v>293</v>
      </c>
      <c r="F4" s="27" t="s">
        <v>268</v>
      </c>
      <c r="G4" s="27" t="s">
        <v>0</v>
      </c>
      <c r="H4" s="27" t="s">
        <v>0</v>
      </c>
      <c r="I4" s="27" t="s">
        <v>0</v>
      </c>
      <c r="J4" s="188" t="s">
        <v>605</v>
      </c>
      <c r="K4" s="112" t="s">
        <v>606</v>
      </c>
      <c r="L4" s="28" t="s">
        <v>607</v>
      </c>
      <c r="M4" s="28" t="s">
        <v>0</v>
      </c>
      <c r="N4" s="28" t="s">
        <v>0</v>
      </c>
      <c r="O4" s="28" t="s">
        <v>0</v>
      </c>
      <c r="P4" s="28" t="s">
        <v>0</v>
      </c>
      <c r="Q4" s="28" t="s">
        <v>0</v>
      </c>
      <c r="R4" s="28" t="s">
        <v>0</v>
      </c>
      <c r="S4" s="28" t="s">
        <v>0</v>
      </c>
      <c r="T4" s="28" t="s">
        <v>606</v>
      </c>
      <c r="U4" s="28" t="s">
        <v>0</v>
      </c>
      <c r="V4" s="28" t="s">
        <v>0</v>
      </c>
      <c r="W4" s="28" t="s">
        <v>0</v>
      </c>
      <c r="X4" s="28" t="s">
        <v>0</v>
      </c>
      <c r="Y4" s="24" t="s">
        <v>0</v>
      </c>
      <c r="Z4" s="24" t="s">
        <v>606</v>
      </c>
    </row>
    <row r="5" ht="15.75" customHeight="1" spans="1:26" x14ac:dyDescent="0.25">
      <c r="A5" s="19" t="s">
        <v>269</v>
      </c>
      <c r="B5" s="27" t="s">
        <v>0</v>
      </c>
      <c r="C5" s="27" t="s">
        <v>0</v>
      </c>
      <c r="D5" s="27" t="s">
        <v>0</v>
      </c>
      <c r="E5" s="27" t="s">
        <v>0</v>
      </c>
      <c r="F5" s="27" t="s">
        <v>0</v>
      </c>
      <c r="G5" s="27" t="s">
        <v>0</v>
      </c>
      <c r="H5" s="27" t="s">
        <v>0</v>
      </c>
      <c r="I5" s="27" t="s">
        <v>0</v>
      </c>
      <c r="J5" s="188" t="s">
        <v>0</v>
      </c>
      <c r="K5" s="112" t="s">
        <v>608</v>
      </c>
      <c r="L5" s="28" t="s">
        <v>609</v>
      </c>
      <c r="M5" s="28" t="s">
        <v>610</v>
      </c>
      <c r="N5" s="28" t="s">
        <v>611</v>
      </c>
      <c r="O5" s="28" t="s">
        <v>612</v>
      </c>
      <c r="P5" s="28" t="s">
        <v>613</v>
      </c>
      <c r="Q5" s="28" t="s">
        <v>614</v>
      </c>
      <c r="R5" s="28" t="s">
        <v>615</v>
      </c>
      <c r="S5" s="28" t="s">
        <v>616</v>
      </c>
      <c r="T5" s="28" t="s">
        <v>617</v>
      </c>
      <c r="U5" s="28" t="s">
        <v>618</v>
      </c>
      <c r="V5" s="28" t="s">
        <v>619</v>
      </c>
      <c r="W5" s="28" t="s">
        <v>0</v>
      </c>
      <c r="X5" s="28" t="s">
        <v>0</v>
      </c>
      <c r="Y5" s="24" t="s">
        <v>0</v>
      </c>
      <c r="Z5" s="24" t="s">
        <v>608</v>
      </c>
    </row>
    <row r="6" ht="15.75" customHeight="1" spans="1:26" x14ac:dyDescent="0.25">
      <c r="A6" s="19" t="s">
        <v>274</v>
      </c>
      <c r="B6" s="27" t="s">
        <v>0</v>
      </c>
      <c r="C6" s="27" t="s">
        <v>0</v>
      </c>
      <c r="D6" s="27" t="s">
        <v>0</v>
      </c>
      <c r="E6" s="27" t="s">
        <v>0</v>
      </c>
      <c r="F6" s="27" t="s">
        <v>0</v>
      </c>
      <c r="G6" s="27" t="s">
        <v>0</v>
      </c>
      <c r="H6" s="27" t="s">
        <v>0</v>
      </c>
      <c r="I6" s="27" t="s">
        <v>0</v>
      </c>
      <c r="J6" s="188" t="s">
        <v>0</v>
      </c>
      <c r="K6" s="112" t="s">
        <v>620</v>
      </c>
      <c r="L6" s="28" t="s">
        <v>621</v>
      </c>
      <c r="M6" s="28" t="s">
        <v>0</v>
      </c>
      <c r="N6" s="28" t="s">
        <v>622</v>
      </c>
      <c r="O6" s="28" t="s">
        <v>623</v>
      </c>
      <c r="P6" s="28" t="s">
        <v>624</v>
      </c>
      <c r="Q6" s="28" t="s">
        <v>0</v>
      </c>
      <c r="R6" s="28" t="s">
        <v>0</v>
      </c>
      <c r="S6" s="28" t="s">
        <v>0</v>
      </c>
      <c r="T6" s="28" t="s">
        <v>625</v>
      </c>
      <c r="U6" s="28" t="s">
        <v>0</v>
      </c>
      <c r="V6" s="28" t="s">
        <v>0</v>
      </c>
      <c r="W6" s="28" t="s">
        <v>0</v>
      </c>
      <c r="X6" s="28" t="s">
        <v>0</v>
      </c>
      <c r="Y6" s="24" t="s">
        <v>0</v>
      </c>
      <c r="Z6" s="24" t="s">
        <v>620</v>
      </c>
    </row>
    <row r="7" ht="15.75" customHeight="1" spans="1:26" x14ac:dyDescent="0.25">
      <c r="A7" s="19" t="s">
        <v>31</v>
      </c>
      <c r="B7" s="27" t="s">
        <v>0</v>
      </c>
      <c r="C7" s="27" t="s">
        <v>282</v>
      </c>
      <c r="D7" s="27" t="s">
        <v>282</v>
      </c>
      <c r="E7" s="27" t="s">
        <v>282</v>
      </c>
      <c r="F7" s="27" t="s">
        <v>0</v>
      </c>
      <c r="G7" s="27" t="s">
        <v>0</v>
      </c>
      <c r="H7" s="27" t="s">
        <v>156</v>
      </c>
      <c r="I7" s="27" t="s">
        <v>156</v>
      </c>
      <c r="J7" s="188" t="s">
        <v>0</v>
      </c>
      <c r="K7" s="112" t="s">
        <v>128</v>
      </c>
      <c r="L7" s="28" t="s">
        <v>626</v>
      </c>
      <c r="M7" s="28" t="s">
        <v>0</v>
      </c>
      <c r="N7" s="28" t="s">
        <v>0</v>
      </c>
      <c r="O7" s="28" t="s">
        <v>0</v>
      </c>
      <c r="P7" s="28" t="s">
        <v>0</v>
      </c>
      <c r="Q7" s="28" t="s">
        <v>0</v>
      </c>
      <c r="R7" s="28" t="s">
        <v>0</v>
      </c>
      <c r="S7" s="28" t="s">
        <v>128</v>
      </c>
      <c r="T7" s="28" t="s">
        <v>0</v>
      </c>
      <c r="U7" s="28" t="s">
        <v>0</v>
      </c>
      <c r="V7" s="28" t="s">
        <v>0</v>
      </c>
      <c r="W7" s="28" t="s">
        <v>0</v>
      </c>
      <c r="X7" s="28" t="s">
        <v>0</v>
      </c>
      <c r="Y7" s="24" t="s">
        <v>0</v>
      </c>
      <c r="Z7" s="24" t="s">
        <v>128</v>
      </c>
    </row>
    <row r="8" ht="15.75" customHeight="1" spans="1:26" x14ac:dyDescent="0.25">
      <c r="A8" s="19" t="s">
        <v>114</v>
      </c>
      <c r="B8" s="27" t="s">
        <v>0</v>
      </c>
      <c r="C8" s="27" t="s">
        <v>279</v>
      </c>
      <c r="D8" s="27" t="s">
        <v>279</v>
      </c>
      <c r="E8" s="27" t="s">
        <v>279</v>
      </c>
      <c r="F8" s="27" t="s">
        <v>0</v>
      </c>
      <c r="G8" s="27" t="s">
        <v>0</v>
      </c>
      <c r="H8" s="27" t="s">
        <v>0</v>
      </c>
      <c r="I8" s="27" t="s">
        <v>0</v>
      </c>
      <c r="J8" s="188" t="s">
        <v>0</v>
      </c>
      <c r="K8" s="112" t="s">
        <v>627</v>
      </c>
      <c r="L8" s="28" t="s">
        <v>628</v>
      </c>
      <c r="M8" s="28" t="s">
        <v>0</v>
      </c>
      <c r="N8" s="28" t="s">
        <v>629</v>
      </c>
      <c r="O8" s="28" t="s">
        <v>630</v>
      </c>
      <c r="P8" s="28" t="s">
        <v>0</v>
      </c>
      <c r="Q8" s="28" t="s">
        <v>631</v>
      </c>
      <c r="R8" s="28" t="s">
        <v>632</v>
      </c>
      <c r="S8" s="28" t="s">
        <v>633</v>
      </c>
      <c r="T8" s="28" t="s">
        <v>0</v>
      </c>
      <c r="U8" s="28" t="s">
        <v>0</v>
      </c>
      <c r="V8" s="28">
        <v>850</v>
      </c>
      <c r="W8" s="28" t="s">
        <v>0</v>
      </c>
      <c r="X8" s="28" t="s">
        <v>0</v>
      </c>
      <c r="Y8" s="24" t="s">
        <v>0</v>
      </c>
      <c r="Z8" s="24" t="s">
        <v>627</v>
      </c>
    </row>
    <row r="9" ht="15.75" customHeight="1" spans="1:26" x14ac:dyDescent="0.25">
      <c r="A9" s="26" t="s">
        <v>43</v>
      </c>
      <c r="B9" s="27" t="s">
        <v>0</v>
      </c>
      <c r="C9" s="27" t="s">
        <v>150</v>
      </c>
      <c r="D9" s="27" t="s">
        <v>310</v>
      </c>
      <c r="E9" s="27" t="s">
        <v>279</v>
      </c>
      <c r="F9" s="27" t="s">
        <v>150</v>
      </c>
      <c r="G9" s="27" t="s">
        <v>124</v>
      </c>
      <c r="H9" s="27" t="s">
        <v>311</v>
      </c>
      <c r="I9" s="27" t="s">
        <v>282</v>
      </c>
      <c r="J9" s="188" t="s">
        <v>634</v>
      </c>
      <c r="K9" s="112" t="s">
        <v>0</v>
      </c>
      <c r="L9" s="28" t="s">
        <v>635</v>
      </c>
      <c r="M9" s="28" t="s">
        <v>0</v>
      </c>
      <c r="N9" s="28" t="s">
        <v>0</v>
      </c>
      <c r="O9" s="28" t="s">
        <v>0</v>
      </c>
      <c r="P9" s="28" t="s">
        <v>0</v>
      </c>
      <c r="Q9" s="28" t="s">
        <v>0</v>
      </c>
      <c r="R9" s="28" t="s">
        <v>0</v>
      </c>
      <c r="S9" s="28" t="s">
        <v>0</v>
      </c>
      <c r="T9" s="28" t="s">
        <v>0</v>
      </c>
      <c r="U9" s="28" t="s">
        <v>0</v>
      </c>
      <c r="V9" s="28" t="s">
        <v>0</v>
      </c>
      <c r="W9" s="28" t="s">
        <v>0</v>
      </c>
      <c r="X9" s="28" t="s">
        <v>0</v>
      </c>
      <c r="Y9" s="24" t="s">
        <v>0</v>
      </c>
      <c r="Z9" s="24" t="s">
        <v>0</v>
      </c>
    </row>
    <row r="10" ht="15.75" customHeight="1" spans="1:26" x14ac:dyDescent="0.25">
      <c r="A10" s="26" t="s">
        <v>636</v>
      </c>
      <c r="B10" s="27" t="s">
        <v>0</v>
      </c>
      <c r="C10" s="27" t="s">
        <v>0</v>
      </c>
      <c r="D10" s="27" t="s">
        <v>290</v>
      </c>
      <c r="E10" s="27" t="s">
        <v>0</v>
      </c>
      <c r="F10" s="27" t="s">
        <v>0</v>
      </c>
      <c r="G10" s="27" t="s">
        <v>0</v>
      </c>
      <c r="H10" s="27" t="s">
        <v>0</v>
      </c>
      <c r="I10" s="27" t="s">
        <v>0</v>
      </c>
      <c r="J10" s="188" t="s">
        <v>0</v>
      </c>
      <c r="K10" s="112" t="s">
        <v>0</v>
      </c>
      <c r="L10" s="28" t="s">
        <v>290</v>
      </c>
      <c r="M10" s="28" t="s">
        <v>0</v>
      </c>
      <c r="N10" s="28" t="s">
        <v>0</v>
      </c>
      <c r="O10" s="28" t="s">
        <v>0</v>
      </c>
      <c r="P10" s="28" t="s">
        <v>0</v>
      </c>
      <c r="Q10" s="28" t="s">
        <v>0</v>
      </c>
      <c r="R10" s="28" t="s">
        <v>0</v>
      </c>
      <c r="S10" s="28" t="s">
        <v>0</v>
      </c>
      <c r="T10" s="28" t="s">
        <v>0</v>
      </c>
      <c r="U10" s="28" t="s">
        <v>0</v>
      </c>
      <c r="V10" s="28" t="s">
        <v>0</v>
      </c>
      <c r="W10" s="28" t="s">
        <v>0</v>
      </c>
      <c r="X10" s="28" t="s">
        <v>0</v>
      </c>
      <c r="Y10" s="24" t="s">
        <v>0</v>
      </c>
      <c r="Z10" s="24" t="s">
        <v>0</v>
      </c>
    </row>
    <row r="11" ht="15.75" customHeight="1" spans="1:26" x14ac:dyDescent="0.25">
      <c r="A11" s="26" t="s">
        <v>367</v>
      </c>
      <c r="B11" s="27" t="s">
        <v>0</v>
      </c>
      <c r="C11" s="27" t="s">
        <v>285</v>
      </c>
      <c r="D11" s="27" t="s">
        <v>0</v>
      </c>
      <c r="E11" s="27" t="s">
        <v>0</v>
      </c>
      <c r="F11" s="27" t="s">
        <v>0</v>
      </c>
      <c r="G11" s="27" t="s">
        <v>0</v>
      </c>
      <c r="H11" s="27" t="s">
        <v>0</v>
      </c>
      <c r="I11" s="27" t="s">
        <v>0</v>
      </c>
      <c r="J11" s="188" t="s">
        <v>0</v>
      </c>
      <c r="K11" s="112" t="s">
        <v>0</v>
      </c>
      <c r="L11" s="28" t="s">
        <v>285</v>
      </c>
      <c r="M11" s="28" t="s">
        <v>0</v>
      </c>
      <c r="N11" s="28" t="s">
        <v>0</v>
      </c>
      <c r="O11" s="28" t="s">
        <v>0</v>
      </c>
      <c r="P11" s="28" t="s">
        <v>0</v>
      </c>
      <c r="Q11" s="28" t="s">
        <v>0</v>
      </c>
      <c r="R11" s="28" t="s">
        <v>0</v>
      </c>
      <c r="S11" s="28" t="s">
        <v>0</v>
      </c>
      <c r="T11" s="28" t="s">
        <v>0</v>
      </c>
      <c r="U11" s="28" t="s">
        <v>0</v>
      </c>
      <c r="V11" s="28" t="s">
        <v>0</v>
      </c>
      <c r="W11" s="28" t="s">
        <v>0</v>
      </c>
      <c r="X11" s="28" t="s">
        <v>0</v>
      </c>
      <c r="Y11" s="24" t="s">
        <v>0</v>
      </c>
      <c r="Z11" s="24" t="s">
        <v>0</v>
      </c>
    </row>
    <row r="12" ht="15.75" customHeight="1" spans="1:26" x14ac:dyDescent="0.25">
      <c r="A12" s="26" t="s">
        <v>637</v>
      </c>
      <c r="B12" s="27" t="s">
        <v>0</v>
      </c>
      <c r="C12" s="27" t="s">
        <v>0</v>
      </c>
      <c r="D12" s="27" t="s">
        <v>0</v>
      </c>
      <c r="E12" s="27" t="s">
        <v>0</v>
      </c>
      <c r="F12" s="27" t="s">
        <v>0</v>
      </c>
      <c r="G12" s="27" t="s">
        <v>0</v>
      </c>
      <c r="H12" s="27" t="s">
        <v>0</v>
      </c>
      <c r="I12" s="27" t="s">
        <v>0</v>
      </c>
      <c r="J12" s="188" t="s">
        <v>0</v>
      </c>
      <c r="K12" s="112" t="s">
        <v>0</v>
      </c>
      <c r="L12" s="28" t="s">
        <v>0</v>
      </c>
      <c r="M12" s="28" t="s">
        <v>0</v>
      </c>
      <c r="N12" s="28" t="s">
        <v>0</v>
      </c>
      <c r="O12" s="28" t="s">
        <v>0</v>
      </c>
      <c r="P12" s="28" t="s">
        <v>0</v>
      </c>
      <c r="Q12" s="28" t="s">
        <v>0</v>
      </c>
      <c r="R12" s="28" t="s">
        <v>0</v>
      </c>
      <c r="S12" s="28" t="s">
        <v>0</v>
      </c>
      <c r="T12" s="28" t="s">
        <v>0</v>
      </c>
      <c r="U12" s="28" t="s">
        <v>0</v>
      </c>
      <c r="V12" s="28" t="s">
        <v>0</v>
      </c>
      <c r="W12" s="28" t="s">
        <v>0</v>
      </c>
      <c r="X12" s="28" t="s">
        <v>0</v>
      </c>
      <c r="Y12" s="24" t="s">
        <v>0</v>
      </c>
      <c r="Z12" s="24" t="s">
        <v>0</v>
      </c>
    </row>
    <row r="13" ht="15.75" customHeight="1" spans="1:26" x14ac:dyDescent="0.25">
      <c r="A13" s="26" t="s">
        <v>638</v>
      </c>
      <c r="B13" s="27" t="s">
        <v>0</v>
      </c>
      <c r="C13" s="27" t="s">
        <v>0</v>
      </c>
      <c r="D13" s="27" t="s">
        <v>0</v>
      </c>
      <c r="E13" s="27" t="s">
        <v>0</v>
      </c>
      <c r="F13" s="27" t="s">
        <v>0</v>
      </c>
      <c r="G13" s="27" t="s">
        <v>0</v>
      </c>
      <c r="H13" s="27" t="s">
        <v>0</v>
      </c>
      <c r="I13" s="27" t="s">
        <v>0</v>
      </c>
      <c r="J13" s="188" t="s">
        <v>639</v>
      </c>
      <c r="K13" s="112" t="s">
        <v>0</v>
      </c>
      <c r="L13" s="28" t="s">
        <v>639</v>
      </c>
      <c r="M13" s="28" t="s">
        <v>0</v>
      </c>
      <c r="N13" s="28" t="s">
        <v>0</v>
      </c>
      <c r="O13" s="28" t="s">
        <v>0</v>
      </c>
      <c r="P13" s="28" t="s">
        <v>0</v>
      </c>
      <c r="Q13" s="28" t="s">
        <v>0</v>
      </c>
      <c r="R13" s="28" t="s">
        <v>0</v>
      </c>
      <c r="S13" s="28" t="s">
        <v>0</v>
      </c>
      <c r="T13" s="28" t="s">
        <v>0</v>
      </c>
      <c r="U13" s="28" t="s">
        <v>0</v>
      </c>
      <c r="V13" s="28" t="s">
        <v>0</v>
      </c>
      <c r="W13" s="28" t="s">
        <v>0</v>
      </c>
      <c r="X13" s="28" t="s">
        <v>0</v>
      </c>
      <c r="Y13" s="24" t="s">
        <v>0</v>
      </c>
      <c r="Z13" s="24" t="s">
        <v>0</v>
      </c>
    </row>
    <row r="14" ht="15.75" customHeight="1" spans="1:26" x14ac:dyDescent="0.25">
      <c r="A14" s="26" t="s">
        <v>380</v>
      </c>
      <c r="B14" s="27" t="s">
        <v>0</v>
      </c>
      <c r="C14" s="27" t="s">
        <v>297</v>
      </c>
      <c r="D14" s="27" t="s">
        <v>293</v>
      </c>
      <c r="E14" s="27" t="s">
        <v>0</v>
      </c>
      <c r="F14" s="27" t="s">
        <v>0</v>
      </c>
      <c r="G14" s="27" t="s">
        <v>298</v>
      </c>
      <c r="H14" s="27" t="s">
        <v>0</v>
      </c>
      <c r="I14" s="27" t="s">
        <v>0</v>
      </c>
      <c r="J14" s="188" t="s">
        <v>0</v>
      </c>
      <c r="K14" s="112" t="s">
        <v>0</v>
      </c>
      <c r="L14" s="28" t="s">
        <v>299</v>
      </c>
      <c r="M14" s="28" t="s">
        <v>0</v>
      </c>
      <c r="N14" s="28" t="s">
        <v>0</v>
      </c>
      <c r="O14" s="28" t="s">
        <v>0</v>
      </c>
      <c r="P14" s="28" t="s">
        <v>0</v>
      </c>
      <c r="Q14" s="28" t="s">
        <v>0</v>
      </c>
      <c r="R14" s="28" t="s">
        <v>0</v>
      </c>
      <c r="S14" s="28" t="s">
        <v>0</v>
      </c>
      <c r="T14" s="28" t="s">
        <v>0</v>
      </c>
      <c r="U14" s="28" t="s">
        <v>0</v>
      </c>
      <c r="V14" s="28" t="s">
        <v>0</v>
      </c>
      <c r="W14" s="28" t="s">
        <v>0</v>
      </c>
      <c r="X14" s="28" t="s">
        <v>0</v>
      </c>
      <c r="Y14" s="24" t="s">
        <v>0</v>
      </c>
      <c r="Z14" s="24" t="s">
        <v>0</v>
      </c>
    </row>
    <row r="15" ht="15.75" customHeight="1" spans="1:26" x14ac:dyDescent="0.25">
      <c r="A15" s="19" t="s">
        <v>640</v>
      </c>
      <c r="B15" s="27" t="s">
        <v>0</v>
      </c>
      <c r="C15" s="27" t="s">
        <v>0</v>
      </c>
      <c r="D15" s="27" t="s">
        <v>0</v>
      </c>
      <c r="E15" s="27" t="s">
        <v>0</v>
      </c>
      <c r="F15" s="27" t="s">
        <v>0</v>
      </c>
      <c r="G15" s="27" t="s">
        <v>0</v>
      </c>
      <c r="H15" s="27" t="s">
        <v>0</v>
      </c>
      <c r="I15" s="27" t="s">
        <v>0</v>
      </c>
      <c r="J15" s="188" t="s">
        <v>641</v>
      </c>
      <c r="K15" s="112" t="s">
        <v>0</v>
      </c>
      <c r="L15" s="28" t="s">
        <v>641</v>
      </c>
      <c r="M15" s="28" t="s">
        <v>0</v>
      </c>
      <c r="N15" s="28" t="s">
        <v>0</v>
      </c>
      <c r="O15" s="28" t="s">
        <v>0</v>
      </c>
      <c r="P15" s="28" t="s">
        <v>0</v>
      </c>
      <c r="Q15" s="28" t="s">
        <v>0</v>
      </c>
      <c r="R15" s="28" t="s">
        <v>0</v>
      </c>
      <c r="S15" s="28" t="s">
        <v>0</v>
      </c>
      <c r="T15" s="28" t="s">
        <v>0</v>
      </c>
      <c r="U15" s="28" t="s">
        <v>0</v>
      </c>
      <c r="V15" s="28" t="s">
        <v>0</v>
      </c>
      <c r="W15" s="28" t="s">
        <v>0</v>
      </c>
      <c r="X15" s="28" t="s">
        <v>0</v>
      </c>
      <c r="Y15" s="24" t="s">
        <v>0</v>
      </c>
      <c r="Z15" s="24" t="s">
        <v>0</v>
      </c>
    </row>
    <row r="16" ht="15.75" customHeight="1" spans="1:26" x14ac:dyDescent="0.25">
      <c r="A16" s="19" t="s">
        <v>45</v>
      </c>
      <c r="B16" s="27" t="s">
        <v>0</v>
      </c>
      <c r="C16" s="27" t="s">
        <v>0</v>
      </c>
      <c r="D16" s="27" t="s">
        <v>0</v>
      </c>
      <c r="E16" s="27" t="s">
        <v>0</v>
      </c>
      <c r="F16" s="27" t="s">
        <v>0</v>
      </c>
      <c r="G16" s="27" t="s">
        <v>0</v>
      </c>
      <c r="H16" s="27" t="s">
        <v>0</v>
      </c>
      <c r="I16" s="27" t="s">
        <v>0</v>
      </c>
      <c r="J16" s="188" t="s">
        <v>0</v>
      </c>
      <c r="K16" s="112" t="s">
        <v>642</v>
      </c>
      <c r="L16" s="28" t="s">
        <v>643</v>
      </c>
      <c r="M16" s="28" t="s">
        <v>644</v>
      </c>
      <c r="N16" s="28" t="s">
        <v>645</v>
      </c>
      <c r="O16" s="28" t="s">
        <v>646</v>
      </c>
      <c r="P16" s="28" t="s">
        <v>647</v>
      </c>
      <c r="Q16" s="28" t="s">
        <v>648</v>
      </c>
      <c r="R16" s="28" t="s">
        <v>649</v>
      </c>
      <c r="S16" s="28" t="s">
        <v>650</v>
      </c>
      <c r="T16" s="28" t="s">
        <v>651</v>
      </c>
      <c r="U16" s="28" t="s">
        <v>652</v>
      </c>
      <c r="V16" s="28" t="s">
        <v>653</v>
      </c>
      <c r="W16" s="28" t="s">
        <v>654</v>
      </c>
      <c r="X16" s="28" t="s">
        <v>655</v>
      </c>
      <c r="Y16" s="24" t="s">
        <v>0</v>
      </c>
      <c r="Z16" s="24" t="s">
        <v>642</v>
      </c>
    </row>
    <row r="17" ht="15.75" customHeight="1" spans="1:26" x14ac:dyDescent="0.25">
      <c r="A17" s="26" t="s">
        <v>33</v>
      </c>
      <c r="B17" s="27" t="s">
        <v>0</v>
      </c>
      <c r="C17" s="27" t="s">
        <v>314</v>
      </c>
      <c r="D17" s="27" t="s">
        <v>315</v>
      </c>
      <c r="E17" s="27" t="s">
        <v>279</v>
      </c>
      <c r="F17" s="27" t="s">
        <v>310</v>
      </c>
      <c r="G17" s="27" t="s">
        <v>0</v>
      </c>
      <c r="H17" s="27" t="s">
        <v>279</v>
      </c>
      <c r="I17" s="27" t="s">
        <v>0</v>
      </c>
      <c r="J17" s="188" t="s">
        <v>656</v>
      </c>
      <c r="K17" s="112" t="s">
        <v>657</v>
      </c>
      <c r="L17" s="28" t="s">
        <v>658</v>
      </c>
      <c r="M17" s="28" t="s">
        <v>0</v>
      </c>
      <c r="N17" s="28" t="s">
        <v>659</v>
      </c>
      <c r="O17" s="28" t="s">
        <v>515</v>
      </c>
      <c r="P17" s="28" t="s">
        <v>0</v>
      </c>
      <c r="Q17" s="28" t="s">
        <v>0</v>
      </c>
      <c r="R17" s="28" t="s">
        <v>0</v>
      </c>
      <c r="S17" s="28" t="s">
        <v>0</v>
      </c>
      <c r="T17" s="28" t="s">
        <v>377</v>
      </c>
      <c r="U17" s="28" t="s">
        <v>107</v>
      </c>
      <c r="V17" s="28" t="s">
        <v>509</v>
      </c>
      <c r="W17" s="28" t="s">
        <v>150</v>
      </c>
      <c r="X17" s="28" t="s">
        <v>0</v>
      </c>
      <c r="Y17" s="24" t="s">
        <v>0</v>
      </c>
      <c r="Z17" s="24" t="s">
        <v>657</v>
      </c>
    </row>
    <row r="18" ht="15.75" customHeight="1" spans="1:26" x14ac:dyDescent="0.25">
      <c r="A18" s="26" t="s">
        <v>660</v>
      </c>
      <c r="B18" s="27" t="s">
        <v>0</v>
      </c>
      <c r="C18" s="27" t="s">
        <v>0</v>
      </c>
      <c r="D18" s="27" t="s">
        <v>0</v>
      </c>
      <c r="E18" s="27" t="s">
        <v>0</v>
      </c>
      <c r="F18" s="27" t="s">
        <v>0</v>
      </c>
      <c r="G18" s="27" t="s">
        <v>0</v>
      </c>
      <c r="H18" s="27" t="s">
        <v>0</v>
      </c>
      <c r="I18" s="27" t="s">
        <v>0</v>
      </c>
      <c r="J18" s="188" t="s">
        <v>661</v>
      </c>
      <c r="K18" s="112" t="s">
        <v>0</v>
      </c>
      <c r="L18" s="28" t="s">
        <v>661</v>
      </c>
      <c r="M18" s="28" t="s">
        <v>0</v>
      </c>
      <c r="N18" s="28" t="s">
        <v>0</v>
      </c>
      <c r="O18" s="28" t="s">
        <v>0</v>
      </c>
      <c r="P18" s="28" t="s">
        <v>0</v>
      </c>
      <c r="Q18" s="28" t="s">
        <v>0</v>
      </c>
      <c r="R18" s="28" t="s">
        <v>0</v>
      </c>
      <c r="S18" s="28" t="s">
        <v>0</v>
      </c>
      <c r="T18" s="28" t="s">
        <v>0</v>
      </c>
      <c r="U18" s="28" t="s">
        <v>0</v>
      </c>
      <c r="V18" s="28" t="s">
        <v>0</v>
      </c>
      <c r="W18" s="28" t="s">
        <v>0</v>
      </c>
      <c r="X18" s="28" t="s">
        <v>0</v>
      </c>
      <c r="Y18" s="24" t="s">
        <v>0</v>
      </c>
      <c r="Z18" s="24" t="s">
        <v>0</v>
      </c>
    </row>
    <row r="19" ht="15.75" customHeight="1" spans="1:26" x14ac:dyDescent="0.25">
      <c r="A19" s="26" t="s">
        <v>41</v>
      </c>
      <c r="B19" s="27" t="s">
        <v>0</v>
      </c>
      <c r="C19" s="27" t="s">
        <v>0</v>
      </c>
      <c r="D19" s="27" t="s">
        <v>280</v>
      </c>
      <c r="E19" s="27" t="s">
        <v>279</v>
      </c>
      <c r="F19" s="27" t="s">
        <v>280</v>
      </c>
      <c r="G19" s="27" t="s">
        <v>0</v>
      </c>
      <c r="H19" s="27" t="s">
        <v>0</v>
      </c>
      <c r="I19" s="27" t="s">
        <v>0</v>
      </c>
      <c r="J19" s="188" t="s">
        <v>22</v>
      </c>
      <c r="K19" s="112" t="s">
        <v>662</v>
      </c>
      <c r="L19" s="28" t="s">
        <v>663</v>
      </c>
      <c r="M19" s="28" t="s">
        <v>0</v>
      </c>
      <c r="N19" s="28" t="s">
        <v>0</v>
      </c>
      <c r="O19" s="28" t="s">
        <v>0</v>
      </c>
      <c r="P19" s="28" t="s">
        <v>0</v>
      </c>
      <c r="Q19" s="28" t="s">
        <v>0</v>
      </c>
      <c r="R19" s="28" t="s">
        <v>662</v>
      </c>
      <c r="S19" s="28" t="s">
        <v>0</v>
      </c>
      <c r="T19" s="28" t="s">
        <v>0</v>
      </c>
      <c r="U19" s="28" t="s">
        <v>0</v>
      </c>
      <c r="V19" s="28" t="s">
        <v>0</v>
      </c>
      <c r="W19" s="28" t="s">
        <v>0</v>
      </c>
      <c r="X19" s="28" t="s">
        <v>0</v>
      </c>
      <c r="Y19" s="24" t="s">
        <v>0</v>
      </c>
      <c r="Z19" s="24" t="s">
        <v>662</v>
      </c>
    </row>
    <row r="20" ht="15.75" customHeight="1" spans="1:26" x14ac:dyDescent="0.25">
      <c r="A20" s="26" t="s">
        <v>664</v>
      </c>
      <c r="B20" s="27" t="s">
        <v>0</v>
      </c>
      <c r="C20" s="27" t="s">
        <v>0</v>
      </c>
      <c r="D20" s="27" t="s">
        <v>0</v>
      </c>
      <c r="E20" s="27" t="s">
        <v>0</v>
      </c>
      <c r="F20" s="27" t="s">
        <v>0</v>
      </c>
      <c r="G20" s="27" t="s">
        <v>0</v>
      </c>
      <c r="H20" s="27" t="s">
        <v>0</v>
      </c>
      <c r="I20" s="27" t="s">
        <v>0</v>
      </c>
      <c r="J20" s="188" t="s">
        <v>0</v>
      </c>
      <c r="K20" s="112" t="s">
        <v>0</v>
      </c>
      <c r="L20" s="28" t="s">
        <v>0</v>
      </c>
      <c r="M20" s="28" t="s">
        <v>0</v>
      </c>
      <c r="N20" s="28" t="s">
        <v>0</v>
      </c>
      <c r="O20" s="28" t="s">
        <v>0</v>
      </c>
      <c r="P20" s="28" t="s">
        <v>0</v>
      </c>
      <c r="Q20" s="28" t="s">
        <v>0</v>
      </c>
      <c r="R20" s="28" t="s">
        <v>0</v>
      </c>
      <c r="S20" s="28" t="s">
        <v>0</v>
      </c>
      <c r="T20" s="28" t="s">
        <v>0</v>
      </c>
      <c r="U20" s="28" t="s">
        <v>0</v>
      </c>
      <c r="V20" s="28" t="s">
        <v>0</v>
      </c>
      <c r="W20" s="28" t="s">
        <v>0</v>
      </c>
      <c r="X20" s="28" t="s">
        <v>0</v>
      </c>
      <c r="Y20" s="24" t="s">
        <v>0</v>
      </c>
      <c r="Z20" s="24" t="s">
        <v>0</v>
      </c>
    </row>
    <row r="21" ht="15.75" customHeight="1" spans="1:26" x14ac:dyDescent="0.25">
      <c r="A21" s="26" t="s">
        <v>665</v>
      </c>
      <c r="B21" s="27" t="s">
        <v>0</v>
      </c>
      <c r="C21" s="27" t="s">
        <v>0</v>
      </c>
      <c r="D21" s="27" t="s">
        <v>0</v>
      </c>
      <c r="E21" s="27" t="s">
        <v>0</v>
      </c>
      <c r="F21" s="27" t="s">
        <v>666</v>
      </c>
      <c r="G21" s="27" t="s">
        <v>0</v>
      </c>
      <c r="H21" s="27" t="s">
        <v>0</v>
      </c>
      <c r="I21" s="27" t="s">
        <v>0</v>
      </c>
      <c r="J21" s="188" t="s">
        <v>0</v>
      </c>
      <c r="K21" s="112" t="s">
        <v>0</v>
      </c>
      <c r="L21" s="28" t="s">
        <v>666</v>
      </c>
      <c r="M21" s="28" t="s">
        <v>0</v>
      </c>
      <c r="N21" s="28" t="s">
        <v>0</v>
      </c>
      <c r="O21" s="28" t="s">
        <v>0</v>
      </c>
      <c r="P21" s="28" t="s">
        <v>0</v>
      </c>
      <c r="Q21" s="28" t="s">
        <v>0</v>
      </c>
      <c r="R21" s="28" t="s">
        <v>0</v>
      </c>
      <c r="S21" s="28" t="s">
        <v>0</v>
      </c>
      <c r="T21" s="28" t="s">
        <v>0</v>
      </c>
      <c r="U21" s="28" t="s">
        <v>0</v>
      </c>
      <c r="V21" s="28" t="s">
        <v>0</v>
      </c>
      <c r="W21" s="28" t="s">
        <v>0</v>
      </c>
      <c r="X21" s="28" t="s">
        <v>0</v>
      </c>
      <c r="Y21" s="24" t="s">
        <v>0</v>
      </c>
      <c r="Z21" s="24" t="s">
        <v>0</v>
      </c>
    </row>
    <row r="22" ht="15.75" customHeight="1" spans="1:26" x14ac:dyDescent="0.25">
      <c r="A22" s="31" t="s">
        <v>493</v>
      </c>
      <c r="B22" s="27" t="s">
        <v>0</v>
      </c>
      <c r="C22" s="27" t="s">
        <v>0</v>
      </c>
      <c r="D22" s="27" t="s">
        <v>0</v>
      </c>
      <c r="E22" s="27" t="s">
        <v>0</v>
      </c>
      <c r="F22" s="27" t="s">
        <v>0</v>
      </c>
      <c r="G22" s="27" t="s">
        <v>0</v>
      </c>
      <c r="H22" s="27" t="s">
        <v>0</v>
      </c>
      <c r="I22" s="27" t="s">
        <v>0</v>
      </c>
      <c r="J22" s="188" t="s">
        <v>667</v>
      </c>
      <c r="K22" s="112" t="s">
        <v>0</v>
      </c>
      <c r="L22" s="28" t="s">
        <v>667</v>
      </c>
      <c r="M22" s="28" t="s">
        <v>0</v>
      </c>
      <c r="N22" s="28" t="s">
        <v>0</v>
      </c>
      <c r="O22" s="28" t="s">
        <v>0</v>
      </c>
      <c r="P22" s="28" t="s">
        <v>0</v>
      </c>
      <c r="Q22" s="28" t="s">
        <v>0</v>
      </c>
      <c r="R22" s="28" t="s">
        <v>0</v>
      </c>
      <c r="S22" s="28" t="s">
        <v>0</v>
      </c>
      <c r="T22" s="28" t="s">
        <v>0</v>
      </c>
      <c r="U22" s="28" t="s">
        <v>0</v>
      </c>
      <c r="V22" s="28" t="s">
        <v>0</v>
      </c>
      <c r="W22" s="28" t="s">
        <v>0</v>
      </c>
      <c r="X22" s="28" t="s">
        <v>0</v>
      </c>
      <c r="Y22" s="24" t="s">
        <v>0</v>
      </c>
      <c r="Z22" s="24" t="s">
        <v>0</v>
      </c>
    </row>
    <row r="23" ht="15.75" customHeight="1" spans="1:26" x14ac:dyDescent="0.25">
      <c r="A23" s="31" t="s">
        <v>460</v>
      </c>
      <c r="B23" s="27" t="s">
        <v>0</v>
      </c>
      <c r="C23" s="27" t="s">
        <v>0</v>
      </c>
      <c r="D23" s="27" t="s">
        <v>287</v>
      </c>
      <c r="E23" s="27" t="s">
        <v>282</v>
      </c>
      <c r="F23" s="27" t="s">
        <v>0</v>
      </c>
      <c r="G23" s="27" t="s">
        <v>124</v>
      </c>
      <c r="H23" s="27" t="s">
        <v>0</v>
      </c>
      <c r="I23" s="27" t="s">
        <v>0</v>
      </c>
      <c r="J23" s="188" t="s">
        <v>668</v>
      </c>
      <c r="K23" s="112" t="s">
        <v>669</v>
      </c>
      <c r="L23" s="28" t="s">
        <v>670</v>
      </c>
      <c r="M23" s="28" t="s">
        <v>0</v>
      </c>
      <c r="N23" s="28" t="s">
        <v>0</v>
      </c>
      <c r="O23" s="28" t="s">
        <v>0</v>
      </c>
      <c r="P23" s="28" t="s">
        <v>0</v>
      </c>
      <c r="Q23" s="28" t="s">
        <v>0</v>
      </c>
      <c r="R23" s="28" t="s">
        <v>669</v>
      </c>
      <c r="S23" s="28" t="s">
        <v>0</v>
      </c>
      <c r="T23" s="28" t="s">
        <v>0</v>
      </c>
      <c r="U23" s="28" t="s">
        <v>0</v>
      </c>
      <c r="V23" s="28" t="s">
        <v>0</v>
      </c>
      <c r="W23" s="28" t="s">
        <v>0</v>
      </c>
      <c r="X23" s="28" t="s">
        <v>0</v>
      </c>
      <c r="Y23" s="24" t="s">
        <v>0</v>
      </c>
      <c r="Z23" s="24" t="s">
        <v>669</v>
      </c>
    </row>
    <row r="24" ht="16.5" customHeight="1" spans="1:26" x14ac:dyDescent="0.25">
      <c r="A24" s="34" t="s">
        <v>0</v>
      </c>
      <c r="B24" s="37" t="s">
        <v>0</v>
      </c>
      <c r="C24" s="37" t="s">
        <v>326</v>
      </c>
      <c r="D24" s="37" t="s">
        <v>327</v>
      </c>
      <c r="E24" s="37" t="s">
        <v>328</v>
      </c>
      <c r="F24" s="37" t="s">
        <v>671</v>
      </c>
      <c r="G24" s="37" t="s">
        <v>330</v>
      </c>
      <c r="H24" s="37" t="s">
        <v>331</v>
      </c>
      <c r="I24" s="37" t="s">
        <v>332</v>
      </c>
      <c r="J24" s="37" t="s">
        <v>672</v>
      </c>
      <c r="K24" s="37" t="s">
        <v>673</v>
      </c>
      <c r="L24" s="37" t="s">
        <v>674</v>
      </c>
      <c r="M24" s="37" t="s">
        <v>675</v>
      </c>
      <c r="N24" s="37" t="s">
        <v>676</v>
      </c>
      <c r="O24" s="37" t="s">
        <v>677</v>
      </c>
      <c r="P24" s="37" t="s">
        <v>678</v>
      </c>
      <c r="Q24" s="37" t="s">
        <v>679</v>
      </c>
      <c r="R24" s="37" t="s">
        <v>680</v>
      </c>
      <c r="S24" s="37" t="s">
        <v>681</v>
      </c>
      <c r="T24" s="37" t="s">
        <v>682</v>
      </c>
      <c r="U24" s="37" t="s">
        <v>683</v>
      </c>
      <c r="V24" s="37" t="s">
        <v>684</v>
      </c>
      <c r="W24" s="37" t="s">
        <v>685</v>
      </c>
      <c r="X24" s="37" t="s">
        <v>655</v>
      </c>
      <c r="Y24" s="37" t="s">
        <v>73</v>
      </c>
      <c r="Z24" s="245" t="s">
        <v>673</v>
      </c>
    </row>
    <row r="25" spans="1:26"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c r="T25" t="s">
        <v>0</v>
      </c>
      <c r="U25" t="s">
        <v>0</v>
      </c>
      <c r="V25" t="s">
        <v>0</v>
      </c>
      <c r="W25" t="s">
        <v>0</v>
      </c>
      <c r="X25" t="s">
        <v>0</v>
      </c>
      <c r="Y25" t="s">
        <v>0</v>
      </c>
      <c r="Z25" t="s">
        <v>0</v>
      </c>
    </row>
    <row r="26" ht="15.75" customHeight="1" spans="1:26"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c r="U26" t="s">
        <v>0</v>
      </c>
      <c r="V26" t="s">
        <v>0</v>
      </c>
      <c r="W26" t="s">
        <v>0</v>
      </c>
      <c r="X26" t="s">
        <v>0</v>
      </c>
      <c r="Y26" t="s">
        <v>0</v>
      </c>
      <c r="Z26" t="s">
        <v>0</v>
      </c>
    </row>
    <row r="27" ht="16.5" customHeight="1" spans="1:26" x14ac:dyDescent="0.25">
      <c r="A27" s="40" t="s">
        <v>200</v>
      </c>
      <c r="B27" s="41" t="s">
        <v>201</v>
      </c>
      <c r="C27" s="42"/>
      <c r="D27" s="42"/>
      <c r="E27" s="42"/>
      <c r="F27" s="42"/>
      <c r="G27" s="42"/>
      <c r="H27" s="42"/>
      <c r="I27" s="42"/>
      <c r="J27" s="42"/>
      <c r="K27" s="42"/>
      <c r="L27" s="41" t="s">
        <v>76</v>
      </c>
      <c r="M27" s="43"/>
      <c r="N27" s="44" t="s">
        <v>77</v>
      </c>
      <c r="O27" s="45"/>
      <c r="P27" t="s">
        <v>0</v>
      </c>
      <c r="Q27" t="s">
        <v>0</v>
      </c>
      <c r="R27" t="s">
        <v>0</v>
      </c>
      <c r="S27" t="s">
        <v>0</v>
      </c>
      <c r="T27" t="s">
        <v>0</v>
      </c>
      <c r="U27" t="s">
        <v>0</v>
      </c>
      <c r="V27" t="s">
        <v>0</v>
      </c>
      <c r="W27" t="s">
        <v>0</v>
      </c>
      <c r="X27" t="s">
        <v>0</v>
      </c>
      <c r="Y27" t="s">
        <v>0</v>
      </c>
      <c r="Z27" t="s">
        <v>0</v>
      </c>
    </row>
    <row r="28" ht="48.75" customHeight="1" spans="1:26" x14ac:dyDescent="0.25">
      <c r="A28" s="54" t="s">
        <v>417</v>
      </c>
      <c r="B28" s="246" t="s">
        <v>686</v>
      </c>
      <c r="C28" s="247"/>
      <c r="D28" s="247"/>
      <c r="E28" s="247"/>
      <c r="F28" s="247"/>
      <c r="G28" s="247"/>
      <c r="H28" s="247"/>
      <c r="I28" s="247"/>
      <c r="J28" s="247"/>
      <c r="K28" s="247"/>
      <c r="L28" s="127" t="s">
        <v>419</v>
      </c>
      <c r="M28" s="51"/>
      <c r="N28" s="224">
        <v>54864</v>
      </c>
      <c r="O28" s="225"/>
      <c r="P28" s="135"/>
      <c r="Q28" s="135"/>
      <c r="R28" t="s">
        <v>0</v>
      </c>
      <c r="S28" t="s">
        <v>0</v>
      </c>
      <c r="T28" t="s">
        <v>0</v>
      </c>
      <c r="U28" t="s">
        <v>0</v>
      </c>
      <c r="V28" t="s">
        <v>0</v>
      </c>
      <c r="W28" t="s">
        <v>0</v>
      </c>
      <c r="X28" t="s">
        <v>0</v>
      </c>
      <c r="Y28" t="s">
        <v>0</v>
      </c>
      <c r="Z28" t="s">
        <v>0</v>
      </c>
    </row>
    <row r="29" ht="15" customHeight="1" spans="1:26" x14ac:dyDescent="0.25">
      <c r="A29" s="54" t="s">
        <v>417</v>
      </c>
      <c r="B29" s="81" t="s">
        <v>423</v>
      </c>
      <c r="C29" s="134"/>
      <c r="D29" s="134"/>
      <c r="E29" s="134"/>
      <c r="F29" s="134"/>
      <c r="G29" s="134"/>
      <c r="H29" s="134"/>
      <c r="I29" s="134"/>
      <c r="J29" s="134"/>
      <c r="K29" s="134"/>
      <c r="L29" s="172" t="s">
        <v>534</v>
      </c>
      <c r="M29" s="83"/>
      <c r="N29" s="211">
        <v>55965</v>
      </c>
      <c r="O29" s="212"/>
      <c r="P29" s="135"/>
      <c r="Q29" s="135"/>
      <c r="R29" t="s">
        <v>0</v>
      </c>
      <c r="S29" t="s">
        <v>0</v>
      </c>
      <c r="T29" t="s">
        <v>0</v>
      </c>
      <c r="U29" t="s">
        <v>0</v>
      </c>
      <c r="V29" t="s">
        <v>0</v>
      </c>
      <c r="W29" t="s">
        <v>0</v>
      </c>
      <c r="X29" t="s">
        <v>0</v>
      </c>
      <c r="Y29" t="s">
        <v>0</v>
      </c>
      <c r="Z29" t="s">
        <v>0</v>
      </c>
    </row>
    <row r="30" ht="43.5" customHeight="1" spans="1:26" x14ac:dyDescent="0.25">
      <c r="A30" s="248" t="s">
        <v>687</v>
      </c>
      <c r="B30" s="81" t="s">
        <v>688</v>
      </c>
      <c r="C30" s="134"/>
      <c r="D30" s="134"/>
      <c r="E30" s="134"/>
      <c r="F30" s="134"/>
      <c r="G30" s="134"/>
      <c r="H30" s="134"/>
      <c r="I30" s="134"/>
      <c r="J30" s="134"/>
      <c r="K30" s="134"/>
      <c r="L30" s="172" t="s">
        <v>689</v>
      </c>
      <c r="M30" s="83"/>
      <c r="N30" s="58">
        <v>98000</v>
      </c>
      <c r="O30" s="59"/>
      <c r="P30" t="s">
        <v>0</v>
      </c>
      <c r="Q30" t="s">
        <v>0</v>
      </c>
      <c r="R30" t="s">
        <v>0</v>
      </c>
      <c r="S30" t="s">
        <v>0</v>
      </c>
      <c r="T30" t="s">
        <v>0</v>
      </c>
      <c r="U30" t="s">
        <v>0</v>
      </c>
      <c r="V30" t="s">
        <v>0</v>
      </c>
      <c r="W30" t="s">
        <v>0</v>
      </c>
      <c r="X30" t="s">
        <v>0</v>
      </c>
      <c r="Y30" t="s">
        <v>0</v>
      </c>
      <c r="Z30" t="s">
        <v>0</v>
      </c>
    </row>
    <row r="31" ht="28.5" customHeight="1" spans="1:26" x14ac:dyDescent="0.25">
      <c r="A31" s="54" t="s">
        <v>690</v>
      </c>
      <c r="B31" s="55" t="s">
        <v>691</v>
      </c>
      <c r="C31" s="56"/>
      <c r="D31" s="56"/>
      <c r="E31" s="56"/>
      <c r="F31" s="56"/>
      <c r="G31" s="56"/>
      <c r="H31" s="56"/>
      <c r="I31" s="56"/>
      <c r="J31" s="56"/>
      <c r="K31" s="56"/>
      <c r="L31" s="47" t="s">
        <v>692</v>
      </c>
      <c r="M31" s="49"/>
      <c r="N31" s="249">
        <v>399200</v>
      </c>
      <c r="O31" s="250"/>
      <c r="P31" t="s">
        <v>0</v>
      </c>
      <c r="Q31" t="s">
        <v>0</v>
      </c>
      <c r="R31" t="s">
        <v>0</v>
      </c>
      <c r="S31" t="s">
        <v>0</v>
      </c>
      <c r="T31" t="s">
        <v>0</v>
      </c>
      <c r="U31" t="s">
        <v>0</v>
      </c>
      <c r="V31" t="s">
        <v>0</v>
      </c>
      <c r="W31" t="s">
        <v>0</v>
      </c>
      <c r="X31" t="s">
        <v>0</v>
      </c>
      <c r="Y31" t="s">
        <v>0</v>
      </c>
      <c r="Z31" t="s">
        <v>0</v>
      </c>
    </row>
    <row r="32" ht="28.5" customHeight="1" spans="1:26" x14ac:dyDescent="0.25">
      <c r="A32" s="54" t="s">
        <v>693</v>
      </c>
      <c r="B32" s="81" t="s">
        <v>694</v>
      </c>
      <c r="C32" s="134"/>
      <c r="D32" s="134"/>
      <c r="E32" s="134"/>
      <c r="F32" s="134"/>
      <c r="G32" s="134"/>
      <c r="H32" s="134"/>
      <c r="I32" s="134"/>
      <c r="J32" s="134"/>
      <c r="K32" s="84"/>
      <c r="L32" s="81" t="s">
        <v>695</v>
      </c>
      <c r="M32" s="84"/>
      <c r="N32" s="85">
        <v>597000</v>
      </c>
      <c r="O32" s="86"/>
      <c r="P32" t="s">
        <v>0</v>
      </c>
      <c r="Q32" t="s">
        <v>0</v>
      </c>
      <c r="R32" t="s">
        <v>0</v>
      </c>
      <c r="S32" t="s">
        <v>0</v>
      </c>
      <c r="T32" t="s">
        <v>0</v>
      </c>
      <c r="U32" t="s">
        <v>0</v>
      </c>
      <c r="V32" t="s">
        <v>0</v>
      </c>
      <c r="W32" t="s">
        <v>0</v>
      </c>
      <c r="X32" t="s">
        <v>0</v>
      </c>
      <c r="Y32" t="s">
        <v>0</v>
      </c>
      <c r="Z32" t="s">
        <v>0</v>
      </c>
    </row>
    <row r="33" ht="30.75" customHeight="1" spans="1:26" x14ac:dyDescent="0.25">
      <c r="A33" s="54" t="s">
        <v>205</v>
      </c>
      <c r="B33" s="81" t="s">
        <v>696</v>
      </c>
      <c r="C33" s="134"/>
      <c r="D33" s="134"/>
      <c r="E33" s="134"/>
      <c r="F33" s="134"/>
      <c r="G33" s="134"/>
      <c r="H33" s="134"/>
      <c r="I33" s="134"/>
      <c r="J33" s="134"/>
      <c r="K33" s="84"/>
      <c r="L33" s="81" t="s">
        <v>222</v>
      </c>
      <c r="M33" s="84"/>
      <c r="N33" s="85">
        <v>4812.5</v>
      </c>
      <c r="O33" s="86"/>
      <c r="P33" t="s">
        <v>0</v>
      </c>
      <c r="Q33" t="s">
        <v>0</v>
      </c>
      <c r="R33" t="s">
        <v>0</v>
      </c>
      <c r="S33" t="s">
        <v>0</v>
      </c>
      <c r="T33" t="s">
        <v>0</v>
      </c>
      <c r="U33" t="s">
        <v>0</v>
      </c>
      <c r="V33" t="s">
        <v>0</v>
      </c>
      <c r="W33" t="s">
        <v>0</v>
      </c>
      <c r="X33" t="s">
        <v>0</v>
      </c>
      <c r="Y33" t="s">
        <v>0</v>
      </c>
      <c r="Z33" t="s">
        <v>0</v>
      </c>
    </row>
    <row r="34" ht="33" customHeight="1" spans="1:26" x14ac:dyDescent="0.25">
      <c r="A34" s="60" t="s">
        <v>208</v>
      </c>
      <c r="B34" s="55" t="s">
        <v>697</v>
      </c>
      <c r="C34" s="56"/>
      <c r="D34" s="56"/>
      <c r="E34" s="56"/>
      <c r="F34" s="56"/>
      <c r="G34" s="56"/>
      <c r="H34" s="56"/>
      <c r="I34" s="56"/>
      <c r="J34" s="56"/>
      <c r="K34" s="56"/>
      <c r="L34" s="75" t="s">
        <v>698</v>
      </c>
      <c r="M34" s="70"/>
      <c r="N34" s="251">
        <v>91591</v>
      </c>
      <c r="O34" s="252"/>
      <c r="P34" t="s">
        <v>0</v>
      </c>
      <c r="Q34" t="s">
        <v>0</v>
      </c>
      <c r="R34" t="s">
        <v>0</v>
      </c>
      <c r="S34" t="s">
        <v>0</v>
      </c>
      <c r="T34" t="s">
        <v>0</v>
      </c>
      <c r="U34" t="s">
        <v>0</v>
      </c>
      <c r="V34" t="s">
        <v>0</v>
      </c>
      <c r="W34" t="s">
        <v>0</v>
      </c>
      <c r="X34" t="s">
        <v>0</v>
      </c>
      <c r="Y34" t="s">
        <v>0</v>
      </c>
      <c r="Z34" t="s">
        <v>0</v>
      </c>
    </row>
    <row r="35" ht="35.25" customHeight="1" spans="1:26" x14ac:dyDescent="0.25">
      <c r="A35" s="60" t="s">
        <v>432</v>
      </c>
      <c r="B35" s="81" t="s">
        <v>699</v>
      </c>
      <c r="C35" s="134"/>
      <c r="D35" s="134"/>
      <c r="E35" s="134"/>
      <c r="F35" s="134"/>
      <c r="G35" s="134"/>
      <c r="H35" s="134"/>
      <c r="I35" s="134"/>
      <c r="J35" s="134"/>
      <c r="K35" s="84"/>
      <c r="L35" s="75" t="s">
        <v>231</v>
      </c>
      <c r="M35" s="70"/>
      <c r="N35" s="85">
        <v>6550</v>
      </c>
      <c r="O35" s="86"/>
      <c r="P35" t="s">
        <v>0</v>
      </c>
      <c r="Q35" t="s">
        <v>0</v>
      </c>
      <c r="R35" t="s">
        <v>0</v>
      </c>
      <c r="S35" t="s">
        <v>0</v>
      </c>
      <c r="T35" t="s">
        <v>0</v>
      </c>
      <c r="U35" t="s">
        <v>0</v>
      </c>
      <c r="V35" t="s">
        <v>0</v>
      </c>
      <c r="W35" t="s">
        <v>0</v>
      </c>
      <c r="X35" t="s">
        <v>0</v>
      </c>
      <c r="Y35" t="s">
        <v>0</v>
      </c>
      <c r="Z35" t="s">
        <v>0</v>
      </c>
    </row>
    <row r="36" ht="33" customHeight="1" spans="1:26" x14ac:dyDescent="0.25">
      <c r="A36" s="60" t="s">
        <v>429</v>
      </c>
      <c r="B36" s="81" t="s">
        <v>700</v>
      </c>
      <c r="C36" s="134"/>
      <c r="D36" s="134"/>
      <c r="E36" s="134"/>
      <c r="F36" s="134"/>
      <c r="G36" s="134"/>
      <c r="H36" s="134"/>
      <c r="I36" s="134"/>
      <c r="J36" s="134"/>
      <c r="K36" s="84"/>
      <c r="L36" s="75" t="s">
        <v>701</v>
      </c>
      <c r="M36" s="70"/>
      <c r="N36" s="85">
        <v>22000</v>
      </c>
      <c r="O36" s="86"/>
      <c r="P36" t="s">
        <v>0</v>
      </c>
      <c r="Q36" t="s">
        <v>0</v>
      </c>
      <c r="R36" t="s">
        <v>0</v>
      </c>
      <c r="S36" t="s">
        <v>0</v>
      </c>
      <c r="T36" t="s">
        <v>0</v>
      </c>
      <c r="U36" t="s">
        <v>0</v>
      </c>
      <c r="V36" t="s">
        <v>0</v>
      </c>
      <c r="W36" t="s">
        <v>0</v>
      </c>
      <c r="X36" t="s">
        <v>0</v>
      </c>
      <c r="Y36" t="s">
        <v>0</v>
      </c>
      <c r="Z36" t="s">
        <v>0</v>
      </c>
    </row>
    <row r="37" ht="16.5" customHeight="1" spans="1:26" x14ac:dyDescent="0.25">
      <c r="A37" s="60" t="s">
        <v>0</v>
      </c>
      <c r="B37" s="81"/>
      <c r="C37" s="134"/>
      <c r="D37" s="134"/>
      <c r="E37" s="134"/>
      <c r="F37" s="134"/>
      <c r="G37" s="134"/>
      <c r="H37" s="134"/>
      <c r="I37" s="134"/>
      <c r="J37" s="134"/>
      <c r="K37" s="84"/>
      <c r="L37" s="68"/>
      <c r="M37" s="70"/>
      <c r="N37" s="85"/>
      <c r="O37" s="86"/>
      <c r="P37" t="s">
        <v>0</v>
      </c>
      <c r="Q37" t="s">
        <v>0</v>
      </c>
      <c r="R37" t="s">
        <v>0</v>
      </c>
      <c r="S37" t="s">
        <v>0</v>
      </c>
      <c r="T37" t="s">
        <v>0</v>
      </c>
      <c r="U37" t="s">
        <v>0</v>
      </c>
      <c r="V37" t="s">
        <v>0</v>
      </c>
      <c r="W37" t="s">
        <v>0</v>
      </c>
      <c r="X37" t="s">
        <v>0</v>
      </c>
      <c r="Y37" t="s">
        <v>0</v>
      </c>
      <c r="Z37" t="s">
        <v>0</v>
      </c>
    </row>
    <row r="38" ht="15.75" customHeight="1" spans="1:26" x14ac:dyDescent="0.25">
      <c r="A38" s="87" t="s">
        <v>0</v>
      </c>
      <c r="B38" s="88"/>
      <c r="C38" s="89"/>
      <c r="D38" s="89"/>
      <c r="E38" s="89"/>
      <c r="F38" s="89"/>
      <c r="G38" s="89"/>
      <c r="H38" s="89"/>
      <c r="I38" s="89"/>
      <c r="J38" s="89"/>
      <c r="K38" s="89"/>
      <c r="L38" s="88"/>
      <c r="M38" s="90"/>
      <c r="N38" s="253"/>
      <c r="O38" s="254"/>
      <c r="P38" t="s">
        <v>0</v>
      </c>
      <c r="Q38" t="s">
        <v>0</v>
      </c>
      <c r="R38" t="s">
        <v>0</v>
      </c>
      <c r="S38" t="s">
        <v>0</v>
      </c>
      <c r="T38" t="s">
        <v>0</v>
      </c>
      <c r="U38" t="s">
        <v>0</v>
      </c>
      <c r="V38" t="s">
        <v>0</v>
      </c>
      <c r="W38" t="s">
        <v>0</v>
      </c>
      <c r="X38" t="s">
        <v>0</v>
      </c>
      <c r="Y38" t="s">
        <v>0</v>
      </c>
      <c r="Z38" t="s">
        <v>0</v>
      </c>
    </row>
    <row r="39" ht="15.75" customHeight="1" spans="1:26" x14ac:dyDescent="0.25">
      <c r="A39" s="93" t="s">
        <v>0</v>
      </c>
      <c r="B39" s="94" t="s">
        <v>0</v>
      </c>
      <c r="C39" s="95" t="s">
        <v>0</v>
      </c>
      <c r="D39" s="95" t="s">
        <v>0</v>
      </c>
      <c r="E39" s="95" t="s">
        <v>0</v>
      </c>
      <c r="F39" s="95" t="s">
        <v>0</v>
      </c>
      <c r="G39" s="95" t="s">
        <v>0</v>
      </c>
      <c r="H39" s="95" t="s">
        <v>0</v>
      </c>
      <c r="I39" s="95" t="s">
        <v>0</v>
      </c>
      <c r="J39" s="95"/>
      <c r="K39" s="96"/>
      <c r="L39" s="97" t="s">
        <v>96</v>
      </c>
      <c r="M39" s="233"/>
      <c r="N39" s="99">
        <f>SUM(N28:O38)</f>
        <v>1329982.5</v>
      </c>
      <c r="O39" s="100"/>
      <c r="P39" t="s">
        <v>0</v>
      </c>
      <c r="Q39" t="s">
        <v>0</v>
      </c>
      <c r="R39" t="s">
        <v>0</v>
      </c>
      <c r="S39" t="s">
        <v>0</v>
      </c>
      <c r="T39" t="s">
        <v>0</v>
      </c>
      <c r="U39" t="s">
        <v>0</v>
      </c>
      <c r="V39" t="s">
        <v>0</v>
      </c>
      <c r="W39" t="s">
        <v>0</v>
      </c>
      <c r="X39" t="s">
        <v>0</v>
      </c>
      <c r="Y39" t="s">
        <v>0</v>
      </c>
      <c r="Z39" t="s">
        <v>0</v>
      </c>
    </row>
    <row r="40" spans="1:26" x14ac:dyDescent="0.25">
      <c r="A40" t="s">
        <v>0</v>
      </c>
      <c r="B40" t="s">
        <v>0</v>
      </c>
      <c r="C40" t="s">
        <v>0</v>
      </c>
      <c r="D40" t="s">
        <v>0</v>
      </c>
      <c r="E40" t="s">
        <v>0</v>
      </c>
      <c r="F40" t="s">
        <v>0</v>
      </c>
      <c r="G40" t="s">
        <v>0</v>
      </c>
      <c r="H40" t="s">
        <v>0</v>
      </c>
      <c r="I40" t="s">
        <v>0</v>
      </c>
      <c r="J40" t="s">
        <v>0</v>
      </c>
      <c r="K40" t="s">
        <v>0</v>
      </c>
      <c r="L40" t="s">
        <v>0</v>
      </c>
      <c r="M40" t="s">
        <v>0</v>
      </c>
      <c r="N40" t="s">
        <v>0</v>
      </c>
      <c r="O40" t="s">
        <v>0</v>
      </c>
      <c r="P40" t="s">
        <v>0</v>
      </c>
      <c r="Q40" t="s">
        <v>0</v>
      </c>
      <c r="R40" t="s">
        <v>0</v>
      </c>
      <c r="S40" t="s">
        <v>0</v>
      </c>
      <c r="T40" t="s">
        <v>0</v>
      </c>
      <c r="U40" t="s">
        <v>0</v>
      </c>
      <c r="V40" t="s">
        <v>0</v>
      </c>
      <c r="W40" t="s">
        <v>0</v>
      </c>
      <c r="X40" t="s">
        <v>0</v>
      </c>
      <c r="Y40" t="s">
        <v>0</v>
      </c>
      <c r="Z40" t="s">
        <v>0</v>
      </c>
    </row>
    <row r="41" ht="15.75" customHeight="1" spans="1:26" x14ac:dyDescent="0.25">
      <c r="A41" t="s">
        <v>0</v>
      </c>
      <c r="B41" t="s">
        <v>0</v>
      </c>
      <c r="C41" t="s">
        <v>0</v>
      </c>
      <c r="D41" t="s">
        <v>0</v>
      </c>
      <c r="E41" t="s">
        <v>0</v>
      </c>
      <c r="F41" t="s">
        <v>0</v>
      </c>
      <c r="G41" t="s">
        <v>0</v>
      </c>
      <c r="H41" t="s">
        <v>0</v>
      </c>
      <c r="I41" t="s">
        <v>0</v>
      </c>
      <c r="J41" t="s">
        <v>0</v>
      </c>
      <c r="K41" t="s">
        <v>0</v>
      </c>
      <c r="L41" t="s">
        <v>0</v>
      </c>
      <c r="M41" t="s">
        <v>0</v>
      </c>
      <c r="N41" t="s">
        <v>0</v>
      </c>
      <c r="O41" t="s">
        <v>0</v>
      </c>
      <c r="P41" t="s">
        <v>0</v>
      </c>
      <c r="Q41" t="s">
        <v>0</v>
      </c>
      <c r="R41" t="s">
        <v>0</v>
      </c>
      <c r="S41" t="s">
        <v>0</v>
      </c>
      <c r="T41" t="s">
        <v>0</v>
      </c>
      <c r="U41" t="s">
        <v>0</v>
      </c>
      <c r="V41" t="s">
        <v>0</v>
      </c>
      <c r="W41" t="s">
        <v>0</v>
      </c>
      <c r="X41" t="s">
        <v>0</v>
      </c>
      <c r="Y41" t="s">
        <v>0</v>
      </c>
      <c r="Z41" t="s">
        <v>0</v>
      </c>
    </row>
    <row r="42" ht="16.5" customHeight="1" spans="1:26" x14ac:dyDescent="0.25">
      <c r="A42" s="40" t="s">
        <v>74</v>
      </c>
      <c r="B42" s="41" t="s">
        <v>437</v>
      </c>
      <c r="C42" s="42"/>
      <c r="D42" s="42"/>
      <c r="E42" s="42"/>
      <c r="F42" s="42"/>
      <c r="G42" s="42"/>
      <c r="H42" s="42"/>
      <c r="I42" s="42"/>
      <c r="J42" s="42"/>
      <c r="K42" s="42"/>
      <c r="L42" s="41" t="s">
        <v>76</v>
      </c>
      <c r="M42" s="43"/>
      <c r="N42" s="44" t="s">
        <v>77</v>
      </c>
      <c r="O42" s="45"/>
      <c r="P42" t="s">
        <v>0</v>
      </c>
      <c r="Q42" t="s">
        <v>0</v>
      </c>
      <c r="R42" t="s">
        <v>0</v>
      </c>
      <c r="S42" t="s">
        <v>0</v>
      </c>
      <c r="T42" t="s">
        <v>0</v>
      </c>
      <c r="U42" t="s">
        <v>0</v>
      </c>
      <c r="V42" t="s">
        <v>0</v>
      </c>
      <c r="W42" t="s">
        <v>0</v>
      </c>
      <c r="X42" t="s">
        <v>0</v>
      </c>
      <c r="Y42" t="s">
        <v>0</v>
      </c>
      <c r="Z42" t="s">
        <v>0</v>
      </c>
    </row>
    <row r="43" ht="50.25" customHeight="1" spans="1:26" x14ac:dyDescent="0.25">
      <c r="A43" s="54" t="s">
        <v>702</v>
      </c>
      <c r="B43" s="246" t="s">
        <v>703</v>
      </c>
      <c r="C43" s="247"/>
      <c r="D43" s="247"/>
      <c r="E43" s="247"/>
      <c r="F43" s="247"/>
      <c r="G43" s="247"/>
      <c r="H43" s="247"/>
      <c r="I43" s="247"/>
      <c r="J43" s="247"/>
      <c r="K43" s="247"/>
      <c r="L43" s="50" t="s">
        <v>704</v>
      </c>
      <c r="M43" s="51"/>
      <c r="N43" s="224">
        <v>2300</v>
      </c>
      <c r="O43" s="225"/>
      <c r="P43" t="s">
        <v>0</v>
      </c>
      <c r="Q43" t="s">
        <v>0</v>
      </c>
      <c r="R43" t="s">
        <v>0</v>
      </c>
      <c r="S43" t="s">
        <v>0</v>
      </c>
      <c r="T43" t="s">
        <v>0</v>
      </c>
      <c r="U43" t="s">
        <v>0</v>
      </c>
      <c r="V43" t="s">
        <v>0</v>
      </c>
      <c r="W43" t="s">
        <v>0</v>
      </c>
      <c r="X43" t="s">
        <v>0</v>
      </c>
      <c r="Y43" t="s">
        <v>0</v>
      </c>
      <c r="Z43" t="s">
        <v>0</v>
      </c>
    </row>
    <row r="44" ht="15" customHeight="1" spans="1:26" x14ac:dyDescent="0.25">
      <c r="A44" s="54" t="s">
        <v>705</v>
      </c>
      <c r="B44" s="81" t="s">
        <v>706</v>
      </c>
      <c r="C44" s="134"/>
      <c r="D44" s="134"/>
      <c r="E44" s="134"/>
      <c r="F44" s="134"/>
      <c r="G44" s="134"/>
      <c r="H44" s="134"/>
      <c r="I44" s="134"/>
      <c r="J44" s="134"/>
      <c r="K44" s="134"/>
      <c r="L44" s="172" t="s">
        <v>704</v>
      </c>
      <c r="M44" s="83"/>
      <c r="N44" s="211">
        <v>1150</v>
      </c>
      <c r="O44" s="212"/>
      <c r="P44" t="s">
        <v>0</v>
      </c>
      <c r="Q44" t="s">
        <v>0</v>
      </c>
      <c r="R44" t="s">
        <v>0</v>
      </c>
      <c r="S44" t="s">
        <v>0</v>
      </c>
      <c r="T44" t="s">
        <v>0</v>
      </c>
      <c r="U44" t="s">
        <v>0</v>
      </c>
      <c r="V44" t="s">
        <v>0</v>
      </c>
      <c r="W44" t="s">
        <v>0</v>
      </c>
      <c r="X44" t="s">
        <v>0</v>
      </c>
      <c r="Y44" t="s">
        <v>0</v>
      </c>
      <c r="Z44" t="s">
        <v>0</v>
      </c>
    </row>
    <row r="45" ht="19.5" customHeight="1" spans="1:26" x14ac:dyDescent="0.25">
      <c r="A45" s="248" t="s">
        <v>707</v>
      </c>
      <c r="B45" s="81" t="s">
        <v>706</v>
      </c>
      <c r="C45" s="134"/>
      <c r="D45" s="134"/>
      <c r="E45" s="134"/>
      <c r="F45" s="134"/>
      <c r="G45" s="134"/>
      <c r="H45" s="134"/>
      <c r="I45" s="134"/>
      <c r="J45" s="134"/>
      <c r="K45" s="84"/>
      <c r="L45" s="172" t="s">
        <v>704</v>
      </c>
      <c r="M45" s="83"/>
      <c r="N45" s="211">
        <v>1150</v>
      </c>
      <c r="O45" s="212"/>
      <c r="P45" t="s">
        <v>0</v>
      </c>
      <c r="Q45" t="s">
        <v>0</v>
      </c>
      <c r="R45" t="s">
        <v>0</v>
      </c>
      <c r="S45" t="s">
        <v>0</v>
      </c>
      <c r="T45" t="s">
        <v>0</v>
      </c>
      <c r="U45" t="s">
        <v>0</v>
      </c>
      <c r="V45" t="s">
        <v>0</v>
      </c>
      <c r="W45" t="s">
        <v>0</v>
      </c>
      <c r="X45" t="s">
        <v>0</v>
      </c>
      <c r="Y45" t="s">
        <v>0</v>
      </c>
      <c r="Z45" t="s">
        <v>0</v>
      </c>
    </row>
    <row r="46" ht="46.5" customHeight="1" spans="1:26" x14ac:dyDescent="0.25">
      <c r="A46" s="54" t="s">
        <v>93</v>
      </c>
      <c r="B46" s="147" t="s">
        <v>708</v>
      </c>
      <c r="C46" s="148"/>
      <c r="D46" s="148"/>
      <c r="E46" s="148"/>
      <c r="F46" s="148"/>
      <c r="G46" s="148"/>
      <c r="H46" s="148"/>
      <c r="I46" s="148"/>
      <c r="J46" s="148"/>
      <c r="K46" s="149"/>
      <c r="L46" s="81" t="s">
        <v>709</v>
      </c>
      <c r="M46" s="84"/>
      <c r="N46" s="249">
        <v>1500</v>
      </c>
      <c r="O46" s="250"/>
      <c r="P46" t="s">
        <v>0</v>
      </c>
      <c r="Q46" t="s">
        <v>0</v>
      </c>
      <c r="R46" t="s">
        <v>0</v>
      </c>
      <c r="S46" t="s">
        <v>0</v>
      </c>
      <c r="T46" t="s">
        <v>0</v>
      </c>
      <c r="U46" t="s">
        <v>0</v>
      </c>
      <c r="V46" t="s">
        <v>0</v>
      </c>
      <c r="W46" t="s">
        <v>0</v>
      </c>
      <c r="X46" t="s">
        <v>0</v>
      </c>
      <c r="Y46" t="s">
        <v>0</v>
      </c>
      <c r="Z46" t="s">
        <v>0</v>
      </c>
    </row>
    <row r="47" ht="50.25" customHeight="1" spans="1:26" x14ac:dyDescent="0.25">
      <c r="A47" s="54" t="s">
        <v>710</v>
      </c>
      <c r="B47" s="47" t="s">
        <v>703</v>
      </c>
      <c r="C47" s="48"/>
      <c r="D47" s="48"/>
      <c r="E47" s="48"/>
      <c r="F47" s="48"/>
      <c r="G47" s="48"/>
      <c r="H47" s="48"/>
      <c r="I47" s="48"/>
      <c r="J47" s="48"/>
      <c r="K47" s="48"/>
      <c r="L47" s="216" t="s">
        <v>704</v>
      </c>
      <c r="M47" s="255"/>
      <c r="N47" s="85">
        <v>2300</v>
      </c>
      <c r="O47" s="86"/>
      <c r="P47" t="s">
        <v>0</v>
      </c>
      <c r="Q47" t="s">
        <v>0</v>
      </c>
      <c r="R47" t="s">
        <v>0</v>
      </c>
      <c r="S47" t="s">
        <v>0</v>
      </c>
      <c r="T47" t="s">
        <v>0</v>
      </c>
      <c r="U47" t="s">
        <v>0</v>
      </c>
      <c r="V47" t="s">
        <v>0</v>
      </c>
      <c r="W47" t="s">
        <v>0</v>
      </c>
      <c r="X47" t="s">
        <v>0</v>
      </c>
      <c r="Y47" t="s">
        <v>0</v>
      </c>
      <c r="Z47" t="s">
        <v>0</v>
      </c>
    </row>
    <row r="48" ht="15.75" customHeight="1" spans="1:26" x14ac:dyDescent="0.25">
      <c r="A48" s="54" t="s">
        <v>702</v>
      </c>
      <c r="B48" s="81" t="s">
        <v>711</v>
      </c>
      <c r="C48" s="134"/>
      <c r="D48" s="134"/>
      <c r="E48" s="134"/>
      <c r="F48" s="134"/>
      <c r="G48" s="134"/>
      <c r="H48" s="134"/>
      <c r="I48" s="134"/>
      <c r="J48" s="134"/>
      <c r="K48" s="84"/>
      <c r="L48" s="81" t="s">
        <v>712</v>
      </c>
      <c r="M48" s="84"/>
      <c r="N48" s="85">
        <v>1150</v>
      </c>
      <c r="O48" s="86"/>
      <c r="P48" t="s">
        <v>0</v>
      </c>
      <c r="Q48" t="s">
        <v>0</v>
      </c>
      <c r="R48" t="s">
        <v>0</v>
      </c>
      <c r="S48" t="s">
        <v>0</v>
      </c>
      <c r="T48" t="s">
        <v>0</v>
      </c>
      <c r="U48" t="s">
        <v>0</v>
      </c>
      <c r="V48" t="s">
        <v>0</v>
      </c>
      <c r="W48" t="s">
        <v>0</v>
      </c>
      <c r="X48" t="s">
        <v>0</v>
      </c>
      <c r="Y48" t="s">
        <v>0</v>
      </c>
      <c r="Z48" t="s">
        <v>0</v>
      </c>
    </row>
    <row r="49" ht="17.25" customHeight="1" spans="1:26" x14ac:dyDescent="0.25">
      <c r="A49" s="228" t="s">
        <v>705</v>
      </c>
      <c r="B49" s="81" t="s">
        <v>711</v>
      </c>
      <c r="C49" s="134"/>
      <c r="D49" s="134"/>
      <c r="E49" s="134"/>
      <c r="F49" s="134"/>
      <c r="G49" s="134"/>
      <c r="H49" s="134"/>
      <c r="I49" s="134"/>
      <c r="J49" s="134"/>
      <c r="K49" s="84"/>
      <c r="L49" s="81" t="s">
        <v>712</v>
      </c>
      <c r="M49" s="84"/>
      <c r="N49" s="85">
        <v>1150</v>
      </c>
      <c r="O49" s="86"/>
      <c r="P49" t="s">
        <v>0</v>
      </c>
      <c r="Q49" t="s">
        <v>0</v>
      </c>
      <c r="R49" t="s">
        <v>0</v>
      </c>
      <c r="S49" t="s">
        <v>0</v>
      </c>
      <c r="T49" t="s">
        <v>0</v>
      </c>
      <c r="U49" t="s">
        <v>0</v>
      </c>
      <c r="V49" t="s">
        <v>0</v>
      </c>
      <c r="W49" t="s">
        <v>0</v>
      </c>
      <c r="X49" t="s">
        <v>0</v>
      </c>
      <c r="Y49" t="s">
        <v>0</v>
      </c>
      <c r="Z49" t="s">
        <v>0</v>
      </c>
    </row>
    <row r="50" ht="15.75" customHeight="1" spans="1:26" x14ac:dyDescent="0.25">
      <c r="A50" s="228" t="s">
        <v>705</v>
      </c>
      <c r="B50" s="81" t="s">
        <v>713</v>
      </c>
      <c r="C50" s="134"/>
      <c r="D50" s="134"/>
      <c r="E50" s="134"/>
      <c r="F50" s="134"/>
      <c r="G50" s="134"/>
      <c r="H50" s="134"/>
      <c r="I50" s="134"/>
      <c r="J50" s="134"/>
      <c r="K50" s="84"/>
      <c r="L50" s="81" t="s">
        <v>714</v>
      </c>
      <c r="M50" s="84"/>
      <c r="N50" s="85">
        <v>1150</v>
      </c>
      <c r="O50" s="86"/>
      <c r="P50" t="s">
        <v>0</v>
      </c>
      <c r="Q50" t="s">
        <v>0</v>
      </c>
      <c r="R50" t="s">
        <v>0</v>
      </c>
      <c r="S50" t="s">
        <v>0</v>
      </c>
      <c r="T50" t="s">
        <v>0</v>
      </c>
      <c r="U50" t="s">
        <v>0</v>
      </c>
      <c r="V50" t="s">
        <v>0</v>
      </c>
      <c r="W50" t="s">
        <v>0</v>
      </c>
      <c r="X50" t="s">
        <v>0</v>
      </c>
      <c r="Y50" t="s">
        <v>0</v>
      </c>
      <c r="Z50" t="s">
        <v>0</v>
      </c>
    </row>
    <row r="51" ht="83.25" customHeight="1" spans="1:26" x14ac:dyDescent="0.25">
      <c r="A51" s="228" t="s">
        <v>715</v>
      </c>
      <c r="B51" s="81" t="s">
        <v>716</v>
      </c>
      <c r="C51" s="134"/>
      <c r="D51" s="134"/>
      <c r="E51" s="134"/>
      <c r="F51" s="134"/>
      <c r="G51" s="134"/>
      <c r="H51" s="134"/>
      <c r="I51" s="134"/>
      <c r="J51" s="134"/>
      <c r="K51" s="84"/>
      <c r="L51" s="81" t="s">
        <v>717</v>
      </c>
      <c r="M51" s="84"/>
      <c r="N51" s="85">
        <v>3450</v>
      </c>
      <c r="O51" s="86"/>
      <c r="P51" t="s">
        <v>0</v>
      </c>
      <c r="Q51" t="s">
        <v>0</v>
      </c>
      <c r="R51" t="s">
        <v>0</v>
      </c>
      <c r="S51" t="s">
        <v>0</v>
      </c>
      <c r="T51" t="s">
        <v>0</v>
      </c>
      <c r="U51" t="s">
        <v>0</v>
      </c>
      <c r="V51" t="s">
        <v>0</v>
      </c>
      <c r="W51" t="s">
        <v>0</v>
      </c>
      <c r="X51" t="s">
        <v>0</v>
      </c>
      <c r="Y51" t="s">
        <v>0</v>
      </c>
      <c r="Z51" t="s">
        <v>0</v>
      </c>
    </row>
    <row r="52" ht="45.75" customHeight="1" spans="1:26" x14ac:dyDescent="0.25">
      <c r="A52" s="228" t="s">
        <v>710</v>
      </c>
      <c r="B52" s="147" t="s">
        <v>718</v>
      </c>
      <c r="C52" s="148"/>
      <c r="D52" s="148"/>
      <c r="E52" s="148"/>
      <c r="F52" s="148"/>
      <c r="G52" s="148"/>
      <c r="H52" s="148"/>
      <c r="I52" s="148"/>
      <c r="J52" s="148"/>
      <c r="K52" s="149"/>
      <c r="L52" s="81" t="s">
        <v>719</v>
      </c>
      <c r="M52" s="84"/>
      <c r="N52" s="85">
        <v>2300</v>
      </c>
      <c r="O52" s="86"/>
      <c r="P52" t="s">
        <v>0</v>
      </c>
      <c r="Q52" t="s">
        <v>0</v>
      </c>
      <c r="R52" t="s">
        <v>0</v>
      </c>
      <c r="S52" t="s">
        <v>0</v>
      </c>
      <c r="T52" t="s">
        <v>0</v>
      </c>
      <c r="U52" t="s">
        <v>0</v>
      </c>
      <c r="V52" t="s">
        <v>0</v>
      </c>
      <c r="W52" t="s">
        <v>0</v>
      </c>
      <c r="X52" t="s">
        <v>0</v>
      </c>
      <c r="Y52" t="s">
        <v>0</v>
      </c>
      <c r="Z52" t="s">
        <v>0</v>
      </c>
    </row>
    <row r="53" ht="15.75" customHeight="1" spans="1:26" x14ac:dyDescent="0.25">
      <c r="A53" s="228" t="s">
        <v>720</v>
      </c>
      <c r="B53" s="81" t="s">
        <v>721</v>
      </c>
      <c r="C53" s="134"/>
      <c r="D53" s="134"/>
      <c r="E53" s="134"/>
      <c r="F53" s="134"/>
      <c r="G53" s="134"/>
      <c r="H53" s="134"/>
      <c r="I53" s="134"/>
      <c r="J53" s="134"/>
      <c r="K53" s="84"/>
      <c r="L53" s="81" t="s">
        <v>722</v>
      </c>
      <c r="M53" s="84"/>
      <c r="N53" s="85">
        <v>1170</v>
      </c>
      <c r="O53" s="86"/>
      <c r="P53" t="s">
        <v>0</v>
      </c>
      <c r="Q53" t="s">
        <v>0</v>
      </c>
      <c r="R53" t="s">
        <v>0</v>
      </c>
      <c r="S53" t="s">
        <v>0</v>
      </c>
      <c r="T53" t="s">
        <v>0</v>
      </c>
      <c r="U53" t="s">
        <v>0</v>
      </c>
      <c r="V53" t="s">
        <v>0</v>
      </c>
      <c r="W53" t="s">
        <v>0</v>
      </c>
      <c r="X53" t="s">
        <v>0</v>
      </c>
      <c r="Y53" t="s">
        <v>0</v>
      </c>
      <c r="Z53" t="s">
        <v>0</v>
      </c>
    </row>
    <row r="54" ht="15.75" customHeight="1" spans="1:26" x14ac:dyDescent="0.25">
      <c r="A54" s="228" t="s">
        <v>705</v>
      </c>
      <c r="B54" s="81" t="s">
        <v>721</v>
      </c>
      <c r="C54" s="134"/>
      <c r="D54" s="134"/>
      <c r="E54" s="134"/>
      <c r="F54" s="134"/>
      <c r="G54" s="134"/>
      <c r="H54" s="134"/>
      <c r="I54" s="134"/>
      <c r="J54" s="134"/>
      <c r="K54" s="84"/>
      <c r="L54" s="81" t="s">
        <v>722</v>
      </c>
      <c r="M54" s="84"/>
      <c r="N54" s="85">
        <v>1170</v>
      </c>
      <c r="O54" s="86"/>
      <c r="P54" t="s">
        <v>0</v>
      </c>
      <c r="Q54" t="s">
        <v>0</v>
      </c>
      <c r="R54" t="s">
        <v>0</v>
      </c>
      <c r="S54" t="s">
        <v>0</v>
      </c>
      <c r="T54" t="s">
        <v>0</v>
      </c>
      <c r="U54" t="s">
        <v>0</v>
      </c>
      <c r="V54" t="s">
        <v>0</v>
      </c>
      <c r="W54" t="s">
        <v>0</v>
      </c>
      <c r="X54" t="s">
        <v>0</v>
      </c>
      <c r="Y54" t="s">
        <v>0</v>
      </c>
      <c r="Z54" t="s">
        <v>0</v>
      </c>
    </row>
    <row r="55" ht="16.5" customHeight="1" spans="1:26" x14ac:dyDescent="0.25">
      <c r="A55" s="228" t="s">
        <v>710</v>
      </c>
      <c r="B55" s="81" t="s">
        <v>721</v>
      </c>
      <c r="C55" s="134"/>
      <c r="D55" s="134"/>
      <c r="E55" s="134"/>
      <c r="F55" s="134"/>
      <c r="G55" s="134"/>
      <c r="H55" s="134"/>
      <c r="I55" s="134"/>
      <c r="J55" s="134"/>
      <c r="K55" s="84"/>
      <c r="L55" s="81" t="s">
        <v>722</v>
      </c>
      <c r="M55" s="84"/>
      <c r="N55" s="85">
        <v>1170</v>
      </c>
      <c r="O55" s="86"/>
      <c r="P55" t="s">
        <v>0</v>
      </c>
      <c r="Q55" t="s">
        <v>0</v>
      </c>
      <c r="R55" t="s">
        <v>0</v>
      </c>
      <c r="S55" t="s">
        <v>0</v>
      </c>
      <c r="T55" t="s">
        <v>0</v>
      </c>
      <c r="U55" t="s">
        <v>0</v>
      </c>
      <c r="V55" t="s">
        <v>0</v>
      </c>
      <c r="W55" t="s">
        <v>0</v>
      </c>
      <c r="X55" t="s">
        <v>0</v>
      </c>
      <c r="Y55" t="s">
        <v>0</v>
      </c>
      <c r="Z55" t="s">
        <v>0</v>
      </c>
    </row>
    <row r="56" ht="16.5" customHeight="1" spans="1:26" x14ac:dyDescent="0.25">
      <c r="A56" s="228" t="s">
        <v>723</v>
      </c>
      <c r="B56" s="81" t="s">
        <v>721</v>
      </c>
      <c r="C56" s="134"/>
      <c r="D56" s="134"/>
      <c r="E56" s="134"/>
      <c r="F56" s="134"/>
      <c r="G56" s="134"/>
      <c r="H56" s="134"/>
      <c r="I56" s="134"/>
      <c r="J56" s="134"/>
      <c r="K56" s="84"/>
      <c r="L56" s="81" t="s">
        <v>722</v>
      </c>
      <c r="M56" s="84"/>
      <c r="N56" s="85">
        <v>1170</v>
      </c>
      <c r="O56" s="86"/>
      <c r="P56" t="s">
        <v>0</v>
      </c>
      <c r="Q56" t="s">
        <v>0</v>
      </c>
      <c r="R56" t="s">
        <v>0</v>
      </c>
      <c r="S56" t="s">
        <v>0</v>
      </c>
      <c r="T56" t="s">
        <v>0</v>
      </c>
      <c r="U56" t="s">
        <v>0</v>
      </c>
      <c r="V56" t="s">
        <v>0</v>
      </c>
      <c r="W56" t="s">
        <v>0</v>
      </c>
      <c r="X56" t="s">
        <v>0</v>
      </c>
      <c r="Y56" t="s">
        <v>0</v>
      </c>
      <c r="Z56" t="s">
        <v>0</v>
      </c>
    </row>
    <row r="57" ht="14.25" customHeight="1" spans="1:26" x14ac:dyDescent="0.25">
      <c r="A57" s="228" t="s">
        <v>724</v>
      </c>
      <c r="B57" s="81" t="s">
        <v>721</v>
      </c>
      <c r="C57" s="134"/>
      <c r="D57" s="134"/>
      <c r="E57" s="134"/>
      <c r="F57" s="134"/>
      <c r="G57" s="134"/>
      <c r="H57" s="134"/>
      <c r="I57" s="134"/>
      <c r="J57" s="134"/>
      <c r="K57" s="84"/>
      <c r="L57" s="81" t="s">
        <v>722</v>
      </c>
      <c r="M57" s="84"/>
      <c r="N57" s="85">
        <v>1170</v>
      </c>
      <c r="O57" s="86"/>
      <c r="P57" t="s">
        <v>0</v>
      </c>
      <c r="Q57" t="s">
        <v>0</v>
      </c>
      <c r="R57" t="s">
        <v>0</v>
      </c>
      <c r="S57" t="s">
        <v>0</v>
      </c>
      <c r="T57" t="s">
        <v>0</v>
      </c>
      <c r="U57" t="s">
        <v>0</v>
      </c>
      <c r="V57" t="s">
        <v>0</v>
      </c>
      <c r="W57" t="s">
        <v>0</v>
      </c>
      <c r="X57" t="s">
        <v>0</v>
      </c>
      <c r="Y57" t="s">
        <v>0</v>
      </c>
      <c r="Z57" t="s">
        <v>0</v>
      </c>
    </row>
    <row r="58" ht="14.25" customHeight="1" spans="1:26" x14ac:dyDescent="0.25">
      <c r="A58" s="228" t="s">
        <v>715</v>
      </c>
      <c r="B58" s="81" t="s">
        <v>721</v>
      </c>
      <c r="C58" s="134"/>
      <c r="D58" s="134"/>
      <c r="E58" s="134"/>
      <c r="F58" s="134"/>
      <c r="G58" s="134"/>
      <c r="H58" s="134"/>
      <c r="I58" s="134"/>
      <c r="J58" s="134"/>
      <c r="K58" s="84"/>
      <c r="L58" s="81" t="s">
        <v>722</v>
      </c>
      <c r="M58" s="84"/>
      <c r="N58" s="85">
        <v>1170</v>
      </c>
      <c r="O58" s="86"/>
      <c r="P58" t="s">
        <v>0</v>
      </c>
      <c r="Q58" t="s">
        <v>0</v>
      </c>
      <c r="R58" t="s">
        <v>0</v>
      </c>
      <c r="S58" t="s">
        <v>0</v>
      </c>
      <c r="T58" t="s">
        <v>0</v>
      </c>
      <c r="U58" t="s">
        <v>0</v>
      </c>
      <c r="V58" t="s">
        <v>0</v>
      </c>
      <c r="W58" t="s">
        <v>0</v>
      </c>
      <c r="X58" t="s">
        <v>0</v>
      </c>
      <c r="Y58" t="s">
        <v>0</v>
      </c>
      <c r="Z58" t="s">
        <v>0</v>
      </c>
    </row>
    <row r="59" ht="14.25" customHeight="1" spans="1:26" x14ac:dyDescent="0.25">
      <c r="A59" s="228" t="s">
        <v>702</v>
      </c>
      <c r="B59" s="81" t="s">
        <v>721</v>
      </c>
      <c r="C59" s="134"/>
      <c r="D59" s="134"/>
      <c r="E59" s="134"/>
      <c r="F59" s="134"/>
      <c r="G59" s="134"/>
      <c r="H59" s="134"/>
      <c r="I59" s="134"/>
      <c r="J59" s="134"/>
      <c r="K59" s="84"/>
      <c r="L59" s="81" t="s">
        <v>722</v>
      </c>
      <c r="M59" s="84"/>
      <c r="N59" s="85">
        <v>1170</v>
      </c>
      <c r="O59" s="86"/>
      <c r="P59" t="s">
        <v>0</v>
      </c>
      <c r="Q59" t="s">
        <v>0</v>
      </c>
      <c r="R59" t="s">
        <v>0</v>
      </c>
      <c r="S59" t="s">
        <v>0</v>
      </c>
      <c r="T59" t="s">
        <v>0</v>
      </c>
      <c r="U59" t="s">
        <v>0</v>
      </c>
      <c r="V59" t="s">
        <v>0</v>
      </c>
      <c r="W59" t="s">
        <v>0</v>
      </c>
      <c r="X59" t="s">
        <v>0</v>
      </c>
      <c r="Y59" t="s">
        <v>0</v>
      </c>
      <c r="Z59" t="s">
        <v>0</v>
      </c>
    </row>
    <row r="60" ht="15" customHeight="1" spans="1:26" x14ac:dyDescent="0.25">
      <c r="A60" s="228" t="s">
        <v>707</v>
      </c>
      <c r="B60" s="81" t="s">
        <v>725</v>
      </c>
      <c r="C60" s="134"/>
      <c r="D60" s="134"/>
      <c r="E60" s="134"/>
      <c r="F60" s="134"/>
      <c r="G60" s="134"/>
      <c r="H60" s="134"/>
      <c r="I60" s="134"/>
      <c r="J60" s="134"/>
      <c r="K60" s="84"/>
      <c r="L60" s="81" t="s">
        <v>726</v>
      </c>
      <c r="M60" s="84"/>
      <c r="N60" s="85">
        <v>11750</v>
      </c>
      <c r="O60" s="86"/>
      <c r="P60" t="s">
        <v>0</v>
      </c>
      <c r="Q60" t="s">
        <v>0</v>
      </c>
      <c r="R60" t="s">
        <v>0</v>
      </c>
      <c r="S60" t="s">
        <v>0</v>
      </c>
      <c r="T60" t="s">
        <v>0</v>
      </c>
      <c r="U60" t="s">
        <v>0</v>
      </c>
      <c r="V60" t="s">
        <v>0</v>
      </c>
      <c r="W60" t="s">
        <v>0</v>
      </c>
      <c r="X60" t="s">
        <v>0</v>
      </c>
      <c r="Y60" t="s">
        <v>0</v>
      </c>
      <c r="Z60" t="s">
        <v>0</v>
      </c>
    </row>
    <row r="61" ht="15.75" customHeight="1" spans="1:26" x14ac:dyDescent="0.25">
      <c r="A61" s="228" t="s">
        <v>705</v>
      </c>
      <c r="B61" s="81" t="s">
        <v>727</v>
      </c>
      <c r="C61" s="134"/>
      <c r="D61" s="134"/>
      <c r="E61" s="134"/>
      <c r="F61" s="134"/>
      <c r="G61" s="134"/>
      <c r="H61" s="134"/>
      <c r="I61" s="134"/>
      <c r="J61" s="134"/>
      <c r="K61" s="84"/>
      <c r="L61" s="81" t="s">
        <v>595</v>
      </c>
      <c r="M61" s="84"/>
      <c r="N61" s="211">
        <v>850</v>
      </c>
      <c r="O61" s="212"/>
      <c r="P61" t="s">
        <v>0</v>
      </c>
      <c r="Q61" t="s">
        <v>0</v>
      </c>
      <c r="R61" t="s">
        <v>0</v>
      </c>
      <c r="S61" t="s">
        <v>0</v>
      </c>
      <c r="T61" t="s">
        <v>0</v>
      </c>
      <c r="U61" t="s">
        <v>0</v>
      </c>
      <c r="V61" t="s">
        <v>0</v>
      </c>
      <c r="W61" t="s">
        <v>0</v>
      </c>
      <c r="X61" t="s">
        <v>0</v>
      </c>
      <c r="Y61" t="s">
        <v>0</v>
      </c>
      <c r="Z61" t="s">
        <v>0</v>
      </c>
    </row>
    <row r="62" ht="16.5" customHeight="1" spans="1:26" x14ac:dyDescent="0.25">
      <c r="A62" s="228" t="s">
        <v>0</v>
      </c>
      <c r="B62" s="81"/>
      <c r="C62" s="134"/>
      <c r="D62" s="134"/>
      <c r="E62" s="134"/>
      <c r="F62" s="134"/>
      <c r="G62" s="134"/>
      <c r="H62" s="134"/>
      <c r="I62" s="134"/>
      <c r="J62" s="134"/>
      <c r="K62" s="84"/>
      <c r="L62" s="81"/>
      <c r="M62" s="84"/>
      <c r="N62" s="211"/>
      <c r="O62" s="212"/>
      <c r="P62" t="s">
        <v>0</v>
      </c>
      <c r="Q62" t="s">
        <v>0</v>
      </c>
      <c r="R62" t="s">
        <v>0</v>
      </c>
      <c r="S62" t="s">
        <v>0</v>
      </c>
      <c r="T62" t="s">
        <v>0</v>
      </c>
      <c r="U62" t="s">
        <v>0</v>
      </c>
      <c r="V62" t="s">
        <v>0</v>
      </c>
      <c r="W62" t="s">
        <v>0</v>
      </c>
      <c r="X62" t="s">
        <v>0</v>
      </c>
      <c r="Y62" t="s">
        <v>0</v>
      </c>
      <c r="Z62" t="s">
        <v>0</v>
      </c>
    </row>
    <row r="63" ht="16.5" customHeight="1" spans="1:26" x14ac:dyDescent="0.25">
      <c r="A63" s="228" t="s">
        <v>0</v>
      </c>
      <c r="B63" s="81" t="s">
        <v>0</v>
      </c>
      <c r="C63" s="134"/>
      <c r="D63" s="134"/>
      <c r="E63" s="134"/>
      <c r="F63" s="134"/>
      <c r="G63" s="134"/>
      <c r="H63" s="134"/>
      <c r="I63" s="134"/>
      <c r="J63" s="134"/>
      <c r="K63" s="84"/>
      <c r="L63" s="81"/>
      <c r="M63" s="84"/>
      <c r="N63" s="211"/>
      <c r="O63" s="212"/>
      <c r="P63" t="s">
        <v>0</v>
      </c>
      <c r="Q63" t="s">
        <v>0</v>
      </c>
      <c r="R63" t="s">
        <v>0</v>
      </c>
      <c r="S63" t="s">
        <v>0</v>
      </c>
      <c r="T63" t="s">
        <v>0</v>
      </c>
      <c r="U63" t="s">
        <v>0</v>
      </c>
      <c r="V63" t="s">
        <v>0</v>
      </c>
      <c r="W63" t="s">
        <v>0</v>
      </c>
      <c r="X63" t="s">
        <v>0</v>
      </c>
      <c r="Y63" t="s">
        <v>0</v>
      </c>
      <c r="Z63" t="s">
        <v>0</v>
      </c>
    </row>
    <row r="64" ht="16.5" customHeight="1" spans="1:26" x14ac:dyDescent="0.25">
      <c r="A64" s="228" t="s">
        <v>0</v>
      </c>
      <c r="B64" s="81" t="s">
        <v>0</v>
      </c>
      <c r="C64" s="134"/>
      <c r="D64" s="134"/>
      <c r="E64" s="134"/>
      <c r="F64" s="134"/>
      <c r="G64" s="134"/>
      <c r="H64" s="134"/>
      <c r="I64" s="134"/>
      <c r="J64" s="134"/>
      <c r="K64" s="84"/>
      <c r="L64" s="81"/>
      <c r="M64" s="84"/>
      <c r="N64" s="211"/>
      <c r="O64" s="212"/>
      <c r="P64" t="s">
        <v>0</v>
      </c>
      <c r="Q64" t="s">
        <v>0</v>
      </c>
      <c r="R64" t="s">
        <v>0</v>
      </c>
      <c r="S64" t="s">
        <v>0</v>
      </c>
      <c r="T64" t="s">
        <v>0</v>
      </c>
      <c r="U64" t="s">
        <v>0</v>
      </c>
      <c r="V64" t="s">
        <v>0</v>
      </c>
      <c r="W64" t="s">
        <v>0</v>
      </c>
      <c r="X64" t="s">
        <v>0</v>
      </c>
      <c r="Y64" t="s">
        <v>0</v>
      </c>
      <c r="Z64" t="s">
        <v>0</v>
      </c>
    </row>
    <row r="65" ht="16.5" customHeight="1" spans="1:26" x14ac:dyDescent="0.25">
      <c r="A65" s="228" t="s">
        <v>0</v>
      </c>
      <c r="B65" s="81" t="s">
        <v>0</v>
      </c>
      <c r="C65" s="134"/>
      <c r="D65" s="134"/>
      <c r="E65" s="134"/>
      <c r="F65" s="134"/>
      <c r="G65" s="134"/>
      <c r="H65" s="134"/>
      <c r="I65" s="134"/>
      <c r="J65" s="134"/>
      <c r="K65" s="84"/>
      <c r="L65" s="81"/>
      <c r="M65" s="84"/>
      <c r="N65" s="211"/>
      <c r="O65" s="212"/>
      <c r="P65" t="s">
        <v>0</v>
      </c>
      <c r="Q65" t="s">
        <v>0</v>
      </c>
      <c r="R65" t="s">
        <v>0</v>
      </c>
      <c r="S65" t="s">
        <v>0</v>
      </c>
      <c r="T65" t="s">
        <v>0</v>
      </c>
      <c r="U65" t="s">
        <v>0</v>
      </c>
      <c r="V65" t="s">
        <v>0</v>
      </c>
      <c r="W65" t="s">
        <v>0</v>
      </c>
      <c r="X65" t="s">
        <v>0</v>
      </c>
      <c r="Y65" t="s">
        <v>0</v>
      </c>
      <c r="Z65" t="s">
        <v>0</v>
      </c>
    </row>
    <row r="66" ht="16.5" customHeight="1" spans="1:26" x14ac:dyDescent="0.25">
      <c r="A66" s="228" t="s">
        <v>0</v>
      </c>
      <c r="B66" s="81"/>
      <c r="C66" s="134"/>
      <c r="D66" s="134"/>
      <c r="E66" s="134"/>
      <c r="F66" s="134"/>
      <c r="G66" s="134"/>
      <c r="H66" s="134"/>
      <c r="I66" s="134"/>
      <c r="J66" s="134"/>
      <c r="K66" s="84"/>
      <c r="L66" s="81"/>
      <c r="M66" s="84"/>
      <c r="N66" s="211"/>
      <c r="O66" s="212"/>
      <c r="P66" t="s">
        <v>0</v>
      </c>
      <c r="Q66" t="s">
        <v>0</v>
      </c>
      <c r="R66" t="s">
        <v>0</v>
      </c>
      <c r="S66" t="s">
        <v>0</v>
      </c>
      <c r="T66" t="s">
        <v>0</v>
      </c>
      <c r="U66" t="s">
        <v>0</v>
      </c>
      <c r="V66" t="s">
        <v>0</v>
      </c>
      <c r="W66" t="s">
        <v>0</v>
      </c>
      <c r="X66" t="s">
        <v>0</v>
      </c>
      <c r="Y66" t="s">
        <v>0</v>
      </c>
      <c r="Z66" t="s">
        <v>0</v>
      </c>
    </row>
    <row r="67" ht="16.5" customHeight="1" spans="1:26" x14ac:dyDescent="0.25">
      <c r="A67" s="228" t="s">
        <v>0</v>
      </c>
      <c r="B67" s="81"/>
      <c r="C67" s="134"/>
      <c r="D67" s="134"/>
      <c r="E67" s="134"/>
      <c r="F67" s="134"/>
      <c r="G67" s="134"/>
      <c r="H67" s="134"/>
      <c r="I67" s="134"/>
      <c r="J67" s="134"/>
      <c r="K67" s="84"/>
      <c r="L67" s="81"/>
      <c r="M67" s="84"/>
      <c r="N67" s="211"/>
      <c r="O67" s="212"/>
      <c r="P67" t="s">
        <v>0</v>
      </c>
      <c r="Q67" t="s">
        <v>0</v>
      </c>
      <c r="R67" t="s">
        <v>0</v>
      </c>
      <c r="S67" t="s">
        <v>0</v>
      </c>
      <c r="T67" t="s">
        <v>0</v>
      </c>
      <c r="U67" t="s">
        <v>0</v>
      </c>
      <c r="V67" t="s">
        <v>0</v>
      </c>
      <c r="W67" t="s">
        <v>0</v>
      </c>
      <c r="X67" t="s">
        <v>0</v>
      </c>
      <c r="Y67" t="s">
        <v>0</v>
      </c>
      <c r="Z67" t="s">
        <v>0</v>
      </c>
    </row>
    <row r="68" spans="1:26" x14ac:dyDescent="0.25">
      <c r="A68" s="256" t="s">
        <v>0</v>
      </c>
      <c r="B68" s="81"/>
      <c r="C68" s="134"/>
      <c r="D68" s="134"/>
      <c r="E68" s="134"/>
      <c r="F68" s="134"/>
      <c r="G68" s="134"/>
      <c r="H68" s="134"/>
      <c r="I68" s="134"/>
      <c r="J68" s="134"/>
      <c r="K68" s="134"/>
      <c r="L68" s="68"/>
      <c r="M68" s="70"/>
      <c r="N68" s="211"/>
      <c r="O68" s="212"/>
      <c r="P68" t="s">
        <v>0</v>
      </c>
      <c r="Q68" t="s">
        <v>0</v>
      </c>
      <c r="R68" t="s">
        <v>0</v>
      </c>
      <c r="S68" t="s">
        <v>0</v>
      </c>
      <c r="T68" t="s">
        <v>0</v>
      </c>
      <c r="U68" t="s">
        <v>0</v>
      </c>
      <c r="V68" t="s">
        <v>0</v>
      </c>
      <c r="W68" t="s">
        <v>0</v>
      </c>
      <c r="X68" t="s">
        <v>0</v>
      </c>
      <c r="Y68" t="s">
        <v>0</v>
      </c>
      <c r="Z68" t="s">
        <v>0</v>
      </c>
    </row>
    <row r="69" ht="15.75" customHeight="1" spans="1:26" x14ac:dyDescent="0.25">
      <c r="A69" s="232" t="s">
        <v>0</v>
      </c>
      <c r="B69" s="88"/>
      <c r="C69" s="89"/>
      <c r="D69" s="89"/>
      <c r="E69" s="89"/>
      <c r="F69" s="89"/>
      <c r="G69" s="89"/>
      <c r="H69" s="89"/>
      <c r="I69" s="89"/>
      <c r="J69" s="89"/>
      <c r="K69" s="89"/>
      <c r="L69" s="88"/>
      <c r="M69" s="90"/>
      <c r="N69" s="217"/>
      <c r="O69" s="218"/>
      <c r="P69" t="s">
        <v>0</v>
      </c>
      <c r="Q69" t="s">
        <v>0</v>
      </c>
      <c r="R69" t="s">
        <v>0</v>
      </c>
      <c r="S69" t="s">
        <v>0</v>
      </c>
      <c r="T69" t="s">
        <v>0</v>
      </c>
      <c r="U69" t="s">
        <v>0</v>
      </c>
      <c r="V69" t="s">
        <v>0</v>
      </c>
      <c r="W69" t="s">
        <v>0</v>
      </c>
      <c r="X69" t="s">
        <v>0</v>
      </c>
      <c r="Y69" t="s">
        <v>0</v>
      </c>
      <c r="Z69" t="s">
        <v>0</v>
      </c>
    </row>
    <row r="70" ht="15.75" customHeight="1" spans="1:26" x14ac:dyDescent="0.25">
      <c r="A70" s="93" t="s">
        <v>0</v>
      </c>
      <c r="B70" s="94"/>
      <c r="C70" s="95"/>
      <c r="D70" s="95"/>
      <c r="E70" s="95"/>
      <c r="F70" s="95"/>
      <c r="G70" s="95"/>
      <c r="H70" s="95"/>
      <c r="I70" s="95"/>
      <c r="J70" s="95"/>
      <c r="K70" s="96"/>
      <c r="L70" s="97" t="s">
        <v>96</v>
      </c>
      <c r="M70" s="233"/>
      <c r="N70" s="99">
        <f>SUM(N43:O69)</f>
        <v>38390</v>
      </c>
      <c r="O70" s="100"/>
      <c r="P70" t="s">
        <v>0</v>
      </c>
      <c r="Q70" t="s">
        <v>0</v>
      </c>
      <c r="R70" t="s">
        <v>0</v>
      </c>
      <c r="S70" t="s">
        <v>0</v>
      </c>
      <c r="T70" t="s">
        <v>0</v>
      </c>
      <c r="U70" t="s">
        <v>0</v>
      </c>
      <c r="V70" t="s">
        <v>0</v>
      </c>
      <c r="W70" t="s">
        <v>0</v>
      </c>
      <c r="X70" t="s">
        <v>0</v>
      </c>
      <c r="Y70" t="s">
        <v>0</v>
      </c>
      <c r="Z70" t="s">
        <v>0</v>
      </c>
    </row>
  </sheetData>
  <mergeCells count="130">
    <mergeCell ref="C1:I1"/>
    <mergeCell ref="J1:Z1"/>
    <mergeCell ref="B27:K27"/>
    <mergeCell ref="L27:M27"/>
    <mergeCell ref="N27:O27"/>
    <mergeCell ref="B28:K28"/>
    <mergeCell ref="L28:M28"/>
    <mergeCell ref="N28:O28"/>
    <mergeCell ref="P28:Q28"/>
    <mergeCell ref="B29:K29"/>
    <mergeCell ref="L29:M29"/>
    <mergeCell ref="N29:O29"/>
    <mergeCell ref="P29:Q29"/>
    <mergeCell ref="B30:K30"/>
    <mergeCell ref="L30:M30"/>
    <mergeCell ref="N30:O30"/>
    <mergeCell ref="B31:K31"/>
    <mergeCell ref="L31:M31"/>
    <mergeCell ref="N31:O31"/>
    <mergeCell ref="B32:K32"/>
    <mergeCell ref="L32:M32"/>
    <mergeCell ref="N32:O32"/>
    <mergeCell ref="B33:K33"/>
    <mergeCell ref="L33:M33"/>
    <mergeCell ref="N33:O33"/>
    <mergeCell ref="B34:K34"/>
    <mergeCell ref="L34:M34"/>
    <mergeCell ref="N34:O34"/>
    <mergeCell ref="B35:K35"/>
    <mergeCell ref="L35:M35"/>
    <mergeCell ref="N35:O35"/>
    <mergeCell ref="B36:K36"/>
    <mergeCell ref="L36:M36"/>
    <mergeCell ref="N36:O36"/>
    <mergeCell ref="B37:K37"/>
    <mergeCell ref="L37:M37"/>
    <mergeCell ref="N37:O37"/>
    <mergeCell ref="B38:K38"/>
    <mergeCell ref="L38:M38"/>
    <mergeCell ref="N38:O38"/>
    <mergeCell ref="J39:K39"/>
    <mergeCell ref="L39:M39"/>
    <mergeCell ref="N39:O39"/>
    <mergeCell ref="B42:K42"/>
    <mergeCell ref="L42:M42"/>
    <mergeCell ref="N42:O42"/>
    <mergeCell ref="B43:K43"/>
    <mergeCell ref="L43:M43"/>
    <mergeCell ref="N43:O43"/>
    <mergeCell ref="B44:K44"/>
    <mergeCell ref="L44:M44"/>
    <mergeCell ref="N44:O44"/>
    <mergeCell ref="B45:K45"/>
    <mergeCell ref="L45:M45"/>
    <mergeCell ref="N45:O45"/>
    <mergeCell ref="B46:K46"/>
    <mergeCell ref="L46:M46"/>
    <mergeCell ref="N46:O46"/>
    <mergeCell ref="B47:K47"/>
    <mergeCell ref="L47:M47"/>
    <mergeCell ref="N47:O47"/>
    <mergeCell ref="B48:K48"/>
    <mergeCell ref="L48:M48"/>
    <mergeCell ref="N48:O48"/>
    <mergeCell ref="B49:K49"/>
    <mergeCell ref="L49:M49"/>
    <mergeCell ref="N49:O49"/>
    <mergeCell ref="B50:K50"/>
    <mergeCell ref="L50:M50"/>
    <mergeCell ref="N50:O50"/>
    <mergeCell ref="B51:K51"/>
    <mergeCell ref="L51:M51"/>
    <mergeCell ref="N51:O51"/>
    <mergeCell ref="B52:K52"/>
    <mergeCell ref="L52:M52"/>
    <mergeCell ref="N52:O52"/>
    <mergeCell ref="B53:K53"/>
    <mergeCell ref="L53:M53"/>
    <mergeCell ref="N53:O53"/>
    <mergeCell ref="B54:K54"/>
    <mergeCell ref="L54:M54"/>
    <mergeCell ref="N54:O54"/>
    <mergeCell ref="B55:K55"/>
    <mergeCell ref="L55:M55"/>
    <mergeCell ref="N55:O55"/>
    <mergeCell ref="B56:K56"/>
    <mergeCell ref="L56:M56"/>
    <mergeCell ref="N56:O56"/>
    <mergeCell ref="B57:K57"/>
    <mergeCell ref="L57:M57"/>
    <mergeCell ref="N57:O57"/>
    <mergeCell ref="B58:K58"/>
    <mergeCell ref="L58:M58"/>
    <mergeCell ref="N58:O58"/>
    <mergeCell ref="B59:K59"/>
    <mergeCell ref="L59:M59"/>
    <mergeCell ref="N59:O59"/>
    <mergeCell ref="B60:K60"/>
    <mergeCell ref="L60:M60"/>
    <mergeCell ref="N60:O60"/>
    <mergeCell ref="B61:K61"/>
    <mergeCell ref="L61:M61"/>
    <mergeCell ref="N61:O61"/>
    <mergeCell ref="B62:K62"/>
    <mergeCell ref="L62:M62"/>
    <mergeCell ref="N62:O62"/>
    <mergeCell ref="C63:K63"/>
    <mergeCell ref="L63:M63"/>
    <mergeCell ref="N63:O63"/>
    <mergeCell ref="C64:K64"/>
    <mergeCell ref="L64:M64"/>
    <mergeCell ref="N64:O64"/>
    <mergeCell ref="C65:K65"/>
    <mergeCell ref="L65:M65"/>
    <mergeCell ref="N65:O65"/>
    <mergeCell ref="B66:K66"/>
    <mergeCell ref="L66:M66"/>
    <mergeCell ref="N66:O66"/>
    <mergeCell ref="B67:K67"/>
    <mergeCell ref="L67:M67"/>
    <mergeCell ref="N67:O67"/>
    <mergeCell ref="B68:K68"/>
    <mergeCell ref="L68:M68"/>
    <mergeCell ref="N68:O68"/>
    <mergeCell ref="B69:K69"/>
    <mergeCell ref="L69:M69"/>
    <mergeCell ref="N69:O69"/>
    <mergeCell ref="B70:K70"/>
    <mergeCell ref="L70:M70"/>
    <mergeCell ref="N70:O70"/>
  </mergeCells>
  <pageMargins left="0.7" right="0.7" top="0.75" bottom="0.75" header="0.3" footer="0.3"/>
  <pageSetup paperSize="256" orientation="landscape" horizontalDpi="4294967293" verticalDpi="0" scale="55" fitToWidth="1" fitToHeight="0" firstPageNumber="1" useFirstPageNumber="1" copies="1"/>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90"/>
  <sheetViews>
    <sheetView workbookViewId="0" zoomScale="80" zoomScaleNormal="80">
      <selection activeCell="Y20" sqref="Y20"/>
    </sheetView>
  </sheetViews>
  <sheetFormatPr defaultRowHeight="15" outlineLevelRow="0" outlineLevelCol="0" x14ac:dyDescent="0.25"/>
  <cols>
    <col min="1" max="1" width="42" customWidth="1"/>
    <col min="2" max="2" width="18.7109375" customWidth="1"/>
    <col min="3" max="3" width="16.7109375" hidden="1" customWidth="1"/>
    <col min="4" max="10" width="16.7109375" customWidth="1"/>
    <col min="11" max="11" width="17.5703125" customWidth="1"/>
    <col min="12" max="12" width="17.7109375" customWidth="1"/>
    <col min="13" max="13" width="16.85546875" customWidth="1"/>
    <col min="14" max="14" width="13.85546875" customWidth="1"/>
    <col min="15" max="15" width="15.28515625" customWidth="1"/>
    <col min="16" max="16" width="16.42578125" customWidth="1"/>
    <col min="17" max="17" width="17.140625" customWidth="1"/>
    <col min="18" max="18" width="14.140625" customWidth="1"/>
    <col min="19" max="19" width="13" customWidth="1"/>
    <col min="20" max="20" width="14.7109375" customWidth="1"/>
    <col min="21" max="21" width="13.7109375" customWidth="1"/>
    <col min="22" max="22" width="12.28515625" customWidth="1"/>
    <col min="23" max="23" width="13.140625" customWidth="1"/>
    <col min="24" max="24" width="12.7109375" customWidth="1"/>
    <col min="25" max="26" width="12.5703125" customWidth="1"/>
    <col min="27" max="27" width="18.85546875" customWidth="1"/>
  </cols>
  <sheetData>
    <row r="1" ht="60" customHeight="1" spans="1:27" s="80" customFormat="1" x14ac:dyDescent="0.25">
      <c r="A1" s="257"/>
      <c r="B1" s="257"/>
      <c r="C1" s="80" t="s">
        <v>0</v>
      </c>
      <c r="D1" s="258" t="s">
        <v>342</v>
      </c>
      <c r="E1" s="259"/>
      <c r="F1" s="259"/>
      <c r="G1" s="259"/>
      <c r="H1" s="259"/>
      <c r="I1" s="259"/>
      <c r="J1" s="260"/>
      <c r="K1" s="199"/>
      <c r="L1" s="200"/>
      <c r="M1" s="200"/>
      <c r="N1" s="200"/>
      <c r="O1" s="200"/>
      <c r="P1" s="200"/>
      <c r="Q1" s="200"/>
      <c r="R1" s="200"/>
      <c r="S1" s="200"/>
      <c r="T1" s="200"/>
      <c r="U1" s="200"/>
      <c r="V1" s="200"/>
      <c r="W1" s="200"/>
      <c r="X1" s="200"/>
      <c r="Y1" s="200"/>
      <c r="Z1" s="200"/>
      <c r="AA1" s="201"/>
    </row>
    <row r="2" ht="72.75" customHeight="1" spans="1:27" x14ac:dyDescent="0.25">
      <c r="A2" s="1" t="s">
        <v>0</v>
      </c>
      <c r="B2" s="261" t="s">
        <v>728</v>
      </c>
      <c r="C2" s="2" t="s">
        <v>255</v>
      </c>
      <c r="D2" s="181" t="s">
        <v>343</v>
      </c>
      <c r="E2" s="181" t="s">
        <v>602</v>
      </c>
      <c r="F2" s="181" t="s">
        <v>344</v>
      </c>
      <c r="G2" s="183" t="s">
        <v>259</v>
      </c>
      <c r="H2" s="183" t="s">
        <v>260</v>
      </c>
      <c r="I2" s="183" t="s">
        <v>261</v>
      </c>
      <c r="J2" s="183" t="s">
        <v>262</v>
      </c>
      <c r="K2" s="184" t="s">
        <v>98</v>
      </c>
      <c r="L2" s="4" t="s">
        <v>729</v>
      </c>
      <c r="M2" s="185" t="s">
        <v>345</v>
      </c>
      <c r="N2" s="6" t="s">
        <v>5</v>
      </c>
      <c r="O2" s="7" t="s">
        <v>6</v>
      </c>
      <c r="P2" s="8" t="s">
        <v>7</v>
      </c>
      <c r="Q2" s="7" t="s">
        <v>8</v>
      </c>
      <c r="R2" s="8" t="s">
        <v>9</v>
      </c>
      <c r="S2" s="7" t="s">
        <v>10</v>
      </c>
      <c r="T2" s="8" t="s">
        <v>11</v>
      </c>
      <c r="U2" s="7" t="s">
        <v>12</v>
      </c>
      <c r="V2" s="8" t="s">
        <v>13</v>
      </c>
      <c r="W2" s="7" t="s">
        <v>14</v>
      </c>
      <c r="X2" s="8" t="s">
        <v>15</v>
      </c>
      <c r="Y2" s="7" t="s">
        <v>16</v>
      </c>
      <c r="Z2" s="9" t="s">
        <v>0</v>
      </c>
      <c r="AA2" s="10" t="s">
        <v>17</v>
      </c>
    </row>
    <row r="3" ht="16.5" customHeight="1" spans="1:27" x14ac:dyDescent="0.25">
      <c r="A3" s="12" t="s">
        <v>730</v>
      </c>
      <c r="B3" s="13" t="s">
        <v>0</v>
      </c>
      <c r="C3" s="13" t="s">
        <v>0</v>
      </c>
      <c r="D3" s="12" t="s">
        <v>0</v>
      </c>
      <c r="E3" s="12" t="s">
        <v>0</v>
      </c>
      <c r="F3" s="13" t="s">
        <v>0</v>
      </c>
      <c r="G3" s="186" t="s">
        <v>0</v>
      </c>
      <c r="H3" s="186" t="s">
        <v>0</v>
      </c>
      <c r="I3" s="186" t="s">
        <v>0</v>
      </c>
      <c r="J3" s="13" t="s">
        <v>0</v>
      </c>
      <c r="K3" s="186" t="s">
        <v>0</v>
      </c>
      <c r="L3" s="14" t="s">
        <v>0</v>
      </c>
      <c r="M3" s="15" t="s">
        <v>0</v>
      </c>
      <c r="N3" s="105" t="s">
        <v>0</v>
      </c>
      <c r="O3" s="16" t="s">
        <v>0</v>
      </c>
      <c r="P3" s="17" t="s">
        <v>0</v>
      </c>
      <c r="Q3" s="16" t="s">
        <v>0</v>
      </c>
      <c r="R3" s="17" t="s">
        <v>0</v>
      </c>
      <c r="S3" s="16" t="s">
        <v>0</v>
      </c>
      <c r="T3" s="17" t="s">
        <v>0</v>
      </c>
      <c r="U3" s="16" t="s">
        <v>0</v>
      </c>
      <c r="V3" s="17" t="s">
        <v>0</v>
      </c>
      <c r="W3" s="16" t="s">
        <v>0</v>
      </c>
      <c r="X3" s="17" t="s">
        <v>0</v>
      </c>
      <c r="Y3" s="16" t="s">
        <v>0</v>
      </c>
      <c r="Z3" s="105" t="s">
        <v>0</v>
      </c>
      <c r="AA3" s="16" t="s">
        <v>0</v>
      </c>
    </row>
    <row r="4" ht="15.75" customHeight="1" spans="1:27" x14ac:dyDescent="0.25">
      <c r="A4" s="262" t="s">
        <v>347</v>
      </c>
      <c r="B4" s="263" t="s">
        <v>731</v>
      </c>
      <c r="C4" s="20" t="s">
        <v>0</v>
      </c>
      <c r="D4" s="264" t="s">
        <v>282</v>
      </c>
      <c r="E4" s="107" t="s">
        <v>282</v>
      </c>
      <c r="F4" s="107" t="s">
        <v>282</v>
      </c>
      <c r="G4" s="107" t="s">
        <v>0</v>
      </c>
      <c r="H4" s="107" t="s">
        <v>0</v>
      </c>
      <c r="I4" s="107" t="s">
        <v>0</v>
      </c>
      <c r="J4" s="20" t="s">
        <v>156</v>
      </c>
      <c r="K4" s="265" t="s">
        <v>732</v>
      </c>
      <c r="L4" s="22" t="s">
        <v>733</v>
      </c>
      <c r="M4" s="23" t="s">
        <v>734</v>
      </c>
      <c r="N4" s="266" t="s">
        <v>0</v>
      </c>
      <c r="O4" s="23" t="s">
        <v>0</v>
      </c>
      <c r="P4" s="110" t="s">
        <v>0</v>
      </c>
      <c r="Q4" s="23" t="s">
        <v>0</v>
      </c>
      <c r="R4" s="110" t="s">
        <v>293</v>
      </c>
      <c r="S4" s="23" t="s">
        <v>0</v>
      </c>
      <c r="T4" s="110" t="s">
        <v>735</v>
      </c>
      <c r="U4" s="23" t="s">
        <v>0</v>
      </c>
      <c r="V4" s="110" t="s">
        <v>0</v>
      </c>
      <c r="W4" s="23" t="s">
        <v>736</v>
      </c>
      <c r="X4" s="110" t="s">
        <v>0</v>
      </c>
      <c r="Y4" s="23" t="s">
        <v>0</v>
      </c>
      <c r="Z4" s="24" t="s">
        <v>0</v>
      </c>
      <c r="AA4" s="24" t="s">
        <v>733</v>
      </c>
    </row>
    <row r="5" ht="15.75" customHeight="1" spans="1:27" x14ac:dyDescent="0.25">
      <c r="A5" s="262" t="s">
        <v>269</v>
      </c>
      <c r="B5" s="263" t="s">
        <v>0</v>
      </c>
      <c r="C5" s="20" t="s">
        <v>0</v>
      </c>
      <c r="D5" s="264" t="s">
        <v>0</v>
      </c>
      <c r="E5" s="20" t="s">
        <v>0</v>
      </c>
      <c r="F5" s="20" t="s">
        <v>0</v>
      </c>
      <c r="G5" s="20" t="s">
        <v>0</v>
      </c>
      <c r="H5" s="20" t="s">
        <v>0</v>
      </c>
      <c r="I5" s="20" t="s">
        <v>0</v>
      </c>
      <c r="J5" s="20" t="s">
        <v>0</v>
      </c>
      <c r="K5" s="265" t="s">
        <v>0</v>
      </c>
      <c r="L5" s="22" t="s">
        <v>737</v>
      </c>
      <c r="M5" s="23" t="s">
        <v>738</v>
      </c>
      <c r="N5" s="266" t="s">
        <v>739</v>
      </c>
      <c r="O5" s="23" t="s">
        <v>740</v>
      </c>
      <c r="P5" s="110" t="s">
        <v>741</v>
      </c>
      <c r="Q5" s="23" t="s">
        <v>742</v>
      </c>
      <c r="R5" s="110" t="s">
        <v>743</v>
      </c>
      <c r="S5" s="23" t="s">
        <v>744</v>
      </c>
      <c r="T5" s="110" t="s">
        <v>745</v>
      </c>
      <c r="U5" s="23" t="s">
        <v>746</v>
      </c>
      <c r="V5" s="110" t="s">
        <v>0</v>
      </c>
      <c r="W5" s="23" t="s">
        <v>0</v>
      </c>
      <c r="X5" s="110" t="s">
        <v>0</v>
      </c>
      <c r="Y5" s="23" t="s">
        <v>0</v>
      </c>
      <c r="Z5" s="24" t="s">
        <v>0</v>
      </c>
      <c r="AA5" s="24" t="s">
        <v>737</v>
      </c>
    </row>
    <row r="6" ht="15.75" customHeight="1" spans="1:27" x14ac:dyDescent="0.25">
      <c r="A6" s="262" t="s">
        <v>274</v>
      </c>
      <c r="B6" s="263" t="s">
        <v>0</v>
      </c>
      <c r="C6" s="20" t="s">
        <v>0</v>
      </c>
      <c r="D6" s="264" t="s">
        <v>0</v>
      </c>
      <c r="E6" s="20" t="s">
        <v>0</v>
      </c>
      <c r="F6" s="20" t="s">
        <v>0</v>
      </c>
      <c r="G6" s="20" t="s">
        <v>0</v>
      </c>
      <c r="H6" s="20" t="s">
        <v>0</v>
      </c>
      <c r="I6" s="20" t="s">
        <v>0</v>
      </c>
      <c r="J6" s="20" t="s">
        <v>0</v>
      </c>
      <c r="K6" s="265" t="s">
        <v>0</v>
      </c>
      <c r="L6" s="22" t="s">
        <v>747</v>
      </c>
      <c r="M6" s="23" t="s">
        <v>748</v>
      </c>
      <c r="N6" s="266" t="s">
        <v>0</v>
      </c>
      <c r="O6" s="23" t="s">
        <v>749</v>
      </c>
      <c r="P6" s="110" t="s">
        <v>750</v>
      </c>
      <c r="Q6" s="23" t="s">
        <v>751</v>
      </c>
      <c r="R6" s="110" t="s">
        <v>0</v>
      </c>
      <c r="S6" s="23" t="s">
        <v>0</v>
      </c>
      <c r="T6" s="110" t="s">
        <v>0</v>
      </c>
      <c r="U6" s="23" t="s">
        <v>752</v>
      </c>
      <c r="V6" s="110" t="s">
        <v>0</v>
      </c>
      <c r="W6" s="23" t="s">
        <v>0</v>
      </c>
      <c r="X6" s="110" t="s">
        <v>0</v>
      </c>
      <c r="Y6" s="23" t="s">
        <v>0</v>
      </c>
      <c r="Z6" s="24" t="s">
        <v>0</v>
      </c>
      <c r="AA6" s="24" t="s">
        <v>747</v>
      </c>
    </row>
    <row r="7" ht="15.75" customHeight="1" spans="1:27" x14ac:dyDescent="0.25">
      <c r="A7" s="262" t="s">
        <v>114</v>
      </c>
      <c r="B7" s="263" t="s">
        <v>0</v>
      </c>
      <c r="C7" s="20" t="s">
        <v>0</v>
      </c>
      <c r="D7" s="264" t="s">
        <v>279</v>
      </c>
      <c r="E7" s="20" t="s">
        <v>279</v>
      </c>
      <c r="F7" s="20" t="s">
        <v>279</v>
      </c>
      <c r="G7" s="20" t="s">
        <v>0</v>
      </c>
      <c r="H7" s="20" t="s">
        <v>0</v>
      </c>
      <c r="I7" s="20" t="s">
        <v>0</v>
      </c>
      <c r="J7" s="20" t="s">
        <v>0</v>
      </c>
      <c r="K7" s="265" t="s">
        <v>0</v>
      </c>
      <c r="L7" s="22" t="s">
        <v>753</v>
      </c>
      <c r="M7" s="23" t="s">
        <v>754</v>
      </c>
      <c r="N7" s="266" t="s">
        <v>0</v>
      </c>
      <c r="O7" s="23" t="s">
        <v>755</v>
      </c>
      <c r="P7" s="110" t="s">
        <v>756</v>
      </c>
      <c r="Q7" s="23" t="s">
        <v>757</v>
      </c>
      <c r="R7" s="110" t="s">
        <v>758</v>
      </c>
      <c r="S7" s="23" t="s">
        <v>759</v>
      </c>
      <c r="T7" s="110" t="s">
        <v>760</v>
      </c>
      <c r="U7" s="23" t="s">
        <v>120</v>
      </c>
      <c r="V7" s="110" t="s">
        <v>0</v>
      </c>
      <c r="W7" s="23" t="s">
        <v>761</v>
      </c>
      <c r="X7" s="110" t="s">
        <v>762</v>
      </c>
      <c r="Y7" s="23" t="s">
        <v>0</v>
      </c>
      <c r="Z7" s="24" t="s">
        <v>0</v>
      </c>
      <c r="AA7" s="24" t="s">
        <v>753</v>
      </c>
    </row>
    <row r="8" ht="15.75" customHeight="1" spans="1:27" x14ac:dyDescent="0.25">
      <c r="A8" s="267" t="s">
        <v>19</v>
      </c>
      <c r="B8" s="268" t="s">
        <v>763</v>
      </c>
      <c r="C8" s="27" t="s">
        <v>0</v>
      </c>
      <c r="D8" s="269" t="s">
        <v>293</v>
      </c>
      <c r="E8" s="27" t="s">
        <v>279</v>
      </c>
      <c r="F8" s="27" t="s">
        <v>292</v>
      </c>
      <c r="G8" s="27" t="s">
        <v>268</v>
      </c>
      <c r="H8" s="27" t="s">
        <v>0</v>
      </c>
      <c r="I8" s="27" t="s">
        <v>0</v>
      </c>
      <c r="J8" s="27" t="s">
        <v>0</v>
      </c>
      <c r="K8" s="270" t="s">
        <v>764</v>
      </c>
      <c r="L8" s="22" t="s">
        <v>765</v>
      </c>
      <c r="M8" s="23" t="s">
        <v>766</v>
      </c>
      <c r="N8" s="191" t="s">
        <v>0</v>
      </c>
      <c r="O8" s="28" t="s">
        <v>0</v>
      </c>
      <c r="P8" s="111" t="s">
        <v>0</v>
      </c>
      <c r="Q8" s="28" t="s">
        <v>0</v>
      </c>
      <c r="R8" s="111" t="s">
        <v>0</v>
      </c>
      <c r="S8" s="28" t="s">
        <v>767</v>
      </c>
      <c r="T8" s="111" t="s">
        <v>0</v>
      </c>
      <c r="U8" s="28" t="s">
        <v>0</v>
      </c>
      <c r="V8" s="111" t="s">
        <v>0</v>
      </c>
      <c r="W8" s="28" t="s">
        <v>0</v>
      </c>
      <c r="X8" s="111" t="s">
        <v>120</v>
      </c>
      <c r="Y8" s="28" t="s">
        <v>0</v>
      </c>
      <c r="Z8" s="24" t="s">
        <v>0</v>
      </c>
      <c r="AA8" s="24" t="s">
        <v>765</v>
      </c>
    </row>
    <row r="9" ht="15.75" customHeight="1" spans="1:27" x14ac:dyDescent="0.25">
      <c r="A9" s="267" t="s">
        <v>380</v>
      </c>
      <c r="B9" s="268" t="s">
        <v>0</v>
      </c>
      <c r="C9" s="27" t="s">
        <v>0</v>
      </c>
      <c r="D9" s="269" t="s">
        <v>0</v>
      </c>
      <c r="E9" s="27" t="s">
        <v>297</v>
      </c>
      <c r="F9" s="27" t="s">
        <v>293</v>
      </c>
      <c r="G9" s="27" t="s">
        <v>0</v>
      </c>
      <c r="H9" s="27" t="s">
        <v>298</v>
      </c>
      <c r="I9" s="27" t="s">
        <v>0</v>
      </c>
      <c r="J9" s="27" t="s">
        <v>0</v>
      </c>
      <c r="K9" s="270" t="s">
        <v>0</v>
      </c>
      <c r="L9" s="22" t="s">
        <v>0</v>
      </c>
      <c r="M9" s="23" t="s">
        <v>299</v>
      </c>
      <c r="N9" s="191" t="s">
        <v>0</v>
      </c>
      <c r="O9" s="28" t="s">
        <v>0</v>
      </c>
      <c r="P9" s="111" t="s">
        <v>0</v>
      </c>
      <c r="Q9" s="28" t="s">
        <v>0</v>
      </c>
      <c r="R9" s="111" t="s">
        <v>0</v>
      </c>
      <c r="S9" s="28" t="s">
        <v>0</v>
      </c>
      <c r="T9" s="111" t="s">
        <v>0</v>
      </c>
      <c r="U9" s="28" t="s">
        <v>0</v>
      </c>
      <c r="V9" s="111" t="s">
        <v>0</v>
      </c>
      <c r="W9" s="28" t="s">
        <v>0</v>
      </c>
      <c r="X9" s="111" t="s">
        <v>0</v>
      </c>
      <c r="Y9" s="28" t="s">
        <v>0</v>
      </c>
      <c r="Z9" s="24" t="s">
        <v>0</v>
      </c>
      <c r="AA9" s="24" t="s">
        <v>0</v>
      </c>
    </row>
    <row r="10" ht="15.75" customHeight="1" spans="1:27" x14ac:dyDescent="0.25">
      <c r="A10" s="267" t="s">
        <v>367</v>
      </c>
      <c r="B10" s="268" t="s">
        <v>0</v>
      </c>
      <c r="C10" s="27" t="s">
        <v>0</v>
      </c>
      <c r="D10" s="269" t="s">
        <v>0</v>
      </c>
      <c r="E10" s="27" t="s">
        <v>285</v>
      </c>
      <c r="F10" s="27" t="s">
        <v>0</v>
      </c>
      <c r="G10" s="27" t="s">
        <v>0</v>
      </c>
      <c r="H10" s="27" t="s">
        <v>0</v>
      </c>
      <c r="I10" s="27" t="s">
        <v>0</v>
      </c>
      <c r="J10" s="27" t="s">
        <v>0</v>
      </c>
      <c r="K10" s="270" t="s">
        <v>0</v>
      </c>
      <c r="L10" s="22" t="s">
        <v>0</v>
      </c>
      <c r="M10" s="23" t="s">
        <v>285</v>
      </c>
      <c r="N10" s="191" t="s">
        <v>0</v>
      </c>
      <c r="O10" s="28" t="s">
        <v>0</v>
      </c>
      <c r="P10" s="111" t="s">
        <v>0</v>
      </c>
      <c r="Q10" s="28" t="s">
        <v>0</v>
      </c>
      <c r="R10" s="111" t="s">
        <v>0</v>
      </c>
      <c r="S10" s="28" t="s">
        <v>0</v>
      </c>
      <c r="T10" s="111" t="s">
        <v>0</v>
      </c>
      <c r="U10" s="28" t="s">
        <v>0</v>
      </c>
      <c r="V10" s="111" t="s">
        <v>0</v>
      </c>
      <c r="W10" s="28" t="s">
        <v>0</v>
      </c>
      <c r="X10" s="111" t="s">
        <v>0</v>
      </c>
      <c r="Y10" s="28" t="s">
        <v>0</v>
      </c>
      <c r="Z10" s="24" t="s">
        <v>0</v>
      </c>
      <c r="AA10" s="24" t="s">
        <v>0</v>
      </c>
    </row>
    <row r="11" ht="15.75" customHeight="1" spans="1:27" x14ac:dyDescent="0.25">
      <c r="A11" s="267" t="s">
        <v>768</v>
      </c>
      <c r="B11" s="268" t="s">
        <v>0</v>
      </c>
      <c r="C11" s="27" t="s">
        <v>0</v>
      </c>
      <c r="D11" s="269" t="s">
        <v>0</v>
      </c>
      <c r="E11" s="27" t="s">
        <v>0</v>
      </c>
      <c r="F11" s="27" t="s">
        <v>0</v>
      </c>
      <c r="G11" s="27" t="s">
        <v>0</v>
      </c>
      <c r="H11" s="27" t="s">
        <v>0</v>
      </c>
      <c r="I11" s="27" t="s">
        <v>0</v>
      </c>
      <c r="J11" s="27" t="s">
        <v>0</v>
      </c>
      <c r="K11" s="270" t="s">
        <v>183</v>
      </c>
      <c r="L11" s="22" t="s">
        <v>0</v>
      </c>
      <c r="M11" s="23" t="s">
        <v>183</v>
      </c>
      <c r="N11" s="191" t="s">
        <v>0</v>
      </c>
      <c r="O11" s="28" t="s">
        <v>0</v>
      </c>
      <c r="P11" s="111" t="s">
        <v>0</v>
      </c>
      <c r="Q11" s="28" t="s">
        <v>0</v>
      </c>
      <c r="R11" s="111" t="s">
        <v>0</v>
      </c>
      <c r="S11" s="28" t="s">
        <v>0</v>
      </c>
      <c r="T11" s="111" t="s">
        <v>0</v>
      </c>
      <c r="U11" s="28" t="s">
        <v>0</v>
      </c>
      <c r="V11" s="111" t="s">
        <v>0</v>
      </c>
      <c r="W11" s="28" t="s">
        <v>0</v>
      </c>
      <c r="X11" s="111" t="s">
        <v>0</v>
      </c>
      <c r="Y11" s="28" t="s">
        <v>0</v>
      </c>
      <c r="Z11" s="24" t="s">
        <v>0</v>
      </c>
      <c r="AA11" s="24" t="s">
        <v>0</v>
      </c>
    </row>
    <row r="12" ht="15.75" customHeight="1" spans="1:27" x14ac:dyDescent="0.25">
      <c r="A12" s="271" t="s">
        <v>43</v>
      </c>
      <c r="B12" s="272" t="s">
        <v>769</v>
      </c>
      <c r="C12" s="27" t="s">
        <v>0</v>
      </c>
      <c r="D12" s="269" t="s">
        <v>279</v>
      </c>
      <c r="E12" s="27" t="s">
        <v>150</v>
      </c>
      <c r="F12" s="27" t="s">
        <v>310</v>
      </c>
      <c r="G12" s="27" t="s">
        <v>150</v>
      </c>
      <c r="H12" s="27" t="s">
        <v>124</v>
      </c>
      <c r="I12" s="27" t="s">
        <v>311</v>
      </c>
      <c r="J12" s="27" t="s">
        <v>282</v>
      </c>
      <c r="K12" s="270" t="s">
        <v>770</v>
      </c>
      <c r="L12" s="22" t="s">
        <v>771</v>
      </c>
      <c r="M12" s="23" t="s">
        <v>772</v>
      </c>
      <c r="N12" s="191" t="s">
        <v>0</v>
      </c>
      <c r="O12" s="28" t="s">
        <v>0</v>
      </c>
      <c r="P12" s="111" t="s">
        <v>0</v>
      </c>
      <c r="Q12" s="28" t="s">
        <v>0</v>
      </c>
      <c r="R12" s="111" t="s">
        <v>773</v>
      </c>
      <c r="S12" s="28" t="s">
        <v>0</v>
      </c>
      <c r="T12" s="111" t="s">
        <v>0</v>
      </c>
      <c r="U12" s="28" t="s">
        <v>0</v>
      </c>
      <c r="V12" s="111" t="s">
        <v>774</v>
      </c>
      <c r="W12" s="28" t="s">
        <v>0</v>
      </c>
      <c r="X12" s="111" t="s">
        <v>0</v>
      </c>
      <c r="Y12" s="28" t="s">
        <v>0</v>
      </c>
      <c r="Z12" s="24" t="s">
        <v>0</v>
      </c>
      <c r="AA12" s="24" t="s">
        <v>771</v>
      </c>
    </row>
    <row r="13" ht="15.75" customHeight="1" spans="1:27" x14ac:dyDescent="0.25">
      <c r="A13" s="273" t="s">
        <v>775</v>
      </c>
      <c r="B13" s="272" t="s">
        <v>776</v>
      </c>
      <c r="C13" s="27" t="s">
        <v>0</v>
      </c>
      <c r="D13" s="269" t="s">
        <v>0</v>
      </c>
      <c r="E13" s="27" t="s">
        <v>0</v>
      </c>
      <c r="F13" s="27" t="s">
        <v>0</v>
      </c>
      <c r="G13" s="27" t="s">
        <v>0</v>
      </c>
      <c r="H13" s="27" t="s">
        <v>0</v>
      </c>
      <c r="I13" s="27" t="s">
        <v>0</v>
      </c>
      <c r="J13" s="27" t="s">
        <v>0</v>
      </c>
      <c r="K13" s="270" t="s">
        <v>777</v>
      </c>
      <c r="L13" s="22" t="s">
        <v>778</v>
      </c>
      <c r="M13" s="23" t="s">
        <v>779</v>
      </c>
      <c r="N13" s="191" t="s">
        <v>0</v>
      </c>
      <c r="O13" s="28" t="s">
        <v>0</v>
      </c>
      <c r="P13" s="111" t="s">
        <v>0</v>
      </c>
      <c r="Q13" s="28" t="s">
        <v>0</v>
      </c>
      <c r="R13" s="111" t="s">
        <v>778</v>
      </c>
      <c r="S13" s="28" t="s">
        <v>0</v>
      </c>
      <c r="T13" s="111" t="s">
        <v>0</v>
      </c>
      <c r="U13" s="28" t="s">
        <v>0</v>
      </c>
      <c r="V13" s="111" t="s">
        <v>0</v>
      </c>
      <c r="W13" s="28" t="s">
        <v>0</v>
      </c>
      <c r="X13" s="111" t="s">
        <v>0</v>
      </c>
      <c r="Y13" s="28" t="s">
        <v>0</v>
      </c>
      <c r="Z13" s="24" t="s">
        <v>0</v>
      </c>
      <c r="AA13" s="24" t="s">
        <v>778</v>
      </c>
    </row>
    <row r="14" ht="15.75" customHeight="1" spans="1:27" x14ac:dyDescent="0.25">
      <c r="A14" s="271" t="s">
        <v>41</v>
      </c>
      <c r="B14" s="272" t="s">
        <v>780</v>
      </c>
      <c r="C14" s="27" t="s">
        <v>0</v>
      </c>
      <c r="D14" s="269" t="s">
        <v>279</v>
      </c>
      <c r="E14" s="27" t="s">
        <v>0</v>
      </c>
      <c r="F14" s="27" t="s">
        <v>280</v>
      </c>
      <c r="G14" s="27" t="s">
        <v>280</v>
      </c>
      <c r="H14" s="27" t="s">
        <v>0</v>
      </c>
      <c r="I14" s="27" t="s">
        <v>0</v>
      </c>
      <c r="J14" s="27" t="s">
        <v>0</v>
      </c>
      <c r="K14" s="270" t="s">
        <v>781</v>
      </c>
      <c r="L14" s="22" t="s">
        <v>0</v>
      </c>
      <c r="M14" s="23" t="s">
        <v>782</v>
      </c>
      <c r="N14" s="191" t="s">
        <v>0</v>
      </c>
      <c r="O14" s="28" t="s">
        <v>0</v>
      </c>
      <c r="P14" s="111" t="s">
        <v>0</v>
      </c>
      <c r="Q14" s="28" t="s">
        <v>0</v>
      </c>
      <c r="R14" s="111" t="s">
        <v>0</v>
      </c>
      <c r="S14" s="28" t="s">
        <v>0</v>
      </c>
      <c r="T14" s="111" t="s">
        <v>0</v>
      </c>
      <c r="U14" s="28" t="s">
        <v>0</v>
      </c>
      <c r="V14" s="111" t="s">
        <v>0</v>
      </c>
      <c r="W14" s="28" t="s">
        <v>0</v>
      </c>
      <c r="X14" s="111" t="s">
        <v>0</v>
      </c>
      <c r="Y14" s="28" t="s">
        <v>0</v>
      </c>
      <c r="Z14" s="24" t="s">
        <v>0</v>
      </c>
      <c r="AA14" s="24" t="s">
        <v>0</v>
      </c>
    </row>
    <row r="15" ht="15.75" customHeight="1" spans="1:27" x14ac:dyDescent="0.25">
      <c r="A15" s="271" t="s">
        <v>783</v>
      </c>
      <c r="B15" s="272" t="s">
        <v>0</v>
      </c>
      <c r="C15" s="27" t="s">
        <v>0</v>
      </c>
      <c r="D15" s="269" t="s">
        <v>0</v>
      </c>
      <c r="E15" s="27" t="s">
        <v>0</v>
      </c>
      <c r="F15" s="27" t="s">
        <v>290</v>
      </c>
      <c r="G15" s="27" t="s">
        <v>0</v>
      </c>
      <c r="H15" s="27" t="s">
        <v>0</v>
      </c>
      <c r="I15" s="27" t="s">
        <v>0</v>
      </c>
      <c r="J15" s="27" t="s">
        <v>0</v>
      </c>
      <c r="K15" s="270" t="s">
        <v>0</v>
      </c>
      <c r="L15" s="22" t="s">
        <v>107</v>
      </c>
      <c r="M15" s="23" t="s">
        <v>784</v>
      </c>
      <c r="N15" s="191" t="s">
        <v>0</v>
      </c>
      <c r="O15" s="28" t="s">
        <v>0</v>
      </c>
      <c r="P15" s="111" t="s">
        <v>0</v>
      </c>
      <c r="Q15" s="28" t="s">
        <v>0</v>
      </c>
      <c r="R15" s="111" t="s">
        <v>0</v>
      </c>
      <c r="S15" s="28" t="s">
        <v>0</v>
      </c>
      <c r="T15" s="111" t="s">
        <v>0</v>
      </c>
      <c r="U15" s="28" t="s">
        <v>107</v>
      </c>
      <c r="V15" s="111" t="s">
        <v>0</v>
      </c>
      <c r="W15" s="28" t="s">
        <v>0</v>
      </c>
      <c r="X15" s="111" t="s">
        <v>0</v>
      </c>
      <c r="Y15" s="28" t="s">
        <v>0</v>
      </c>
      <c r="Z15" s="24" t="s">
        <v>0</v>
      </c>
      <c r="AA15" s="24" t="s">
        <v>107</v>
      </c>
    </row>
    <row r="16" ht="15.75" customHeight="1" spans="1:27" x14ac:dyDescent="0.25">
      <c r="A16" s="271" t="s">
        <v>33</v>
      </c>
      <c r="B16" s="272" t="s">
        <v>785</v>
      </c>
      <c r="C16" s="27" t="s">
        <v>0</v>
      </c>
      <c r="D16" s="269" t="s">
        <v>279</v>
      </c>
      <c r="E16" s="27" t="s">
        <v>314</v>
      </c>
      <c r="F16" s="27" t="s">
        <v>315</v>
      </c>
      <c r="G16" s="27" t="s">
        <v>310</v>
      </c>
      <c r="H16" s="27" t="s">
        <v>0</v>
      </c>
      <c r="I16" s="27" t="s">
        <v>279</v>
      </c>
      <c r="J16" s="27" t="s">
        <v>0</v>
      </c>
      <c r="K16" s="270" t="s">
        <v>786</v>
      </c>
      <c r="L16" s="22" t="s">
        <v>787</v>
      </c>
      <c r="M16" s="23" t="s">
        <v>788</v>
      </c>
      <c r="N16" s="191" t="s">
        <v>0</v>
      </c>
      <c r="O16" s="28" t="s">
        <v>0</v>
      </c>
      <c r="P16" s="111" t="s">
        <v>789</v>
      </c>
      <c r="Q16" s="28" t="s">
        <v>154</v>
      </c>
      <c r="R16" s="111" t="s">
        <v>150</v>
      </c>
      <c r="S16" s="28" t="s">
        <v>0</v>
      </c>
      <c r="T16" s="111" t="s">
        <v>0</v>
      </c>
      <c r="U16" s="28" t="s">
        <v>790</v>
      </c>
      <c r="V16" s="111" t="s">
        <v>0</v>
      </c>
      <c r="W16" s="28" t="s">
        <v>791</v>
      </c>
      <c r="X16" s="111" t="s">
        <v>792</v>
      </c>
      <c r="Y16" s="28" t="s">
        <v>0</v>
      </c>
      <c r="Z16" s="24" t="s">
        <v>0</v>
      </c>
      <c r="AA16" s="24" t="s">
        <v>787</v>
      </c>
    </row>
    <row r="17" ht="15.75" customHeight="1" spans="1:27" x14ac:dyDescent="0.25">
      <c r="A17" s="271" t="s">
        <v>793</v>
      </c>
      <c r="B17" s="272" t="s">
        <v>0</v>
      </c>
      <c r="C17" s="27" t="s">
        <v>0</v>
      </c>
      <c r="D17" s="269" t="s">
        <v>0</v>
      </c>
      <c r="E17" s="27" t="s">
        <v>0</v>
      </c>
      <c r="F17" s="27" t="s">
        <v>0</v>
      </c>
      <c r="G17" s="27" t="s">
        <v>0</v>
      </c>
      <c r="H17" s="27" t="s">
        <v>0</v>
      </c>
      <c r="I17" s="27" t="s">
        <v>0</v>
      </c>
      <c r="J17" s="27" t="s">
        <v>0</v>
      </c>
      <c r="K17" s="270" t="s">
        <v>794</v>
      </c>
      <c r="L17" s="22" t="s">
        <v>0</v>
      </c>
      <c r="M17" s="23" t="s">
        <v>794</v>
      </c>
      <c r="N17" s="191" t="s">
        <v>0</v>
      </c>
      <c r="O17" s="28" t="s">
        <v>0</v>
      </c>
      <c r="P17" s="111" t="s">
        <v>0</v>
      </c>
      <c r="Q17" s="28" t="s">
        <v>0</v>
      </c>
      <c r="R17" s="111" t="s">
        <v>0</v>
      </c>
      <c r="S17" s="28" t="s">
        <v>0</v>
      </c>
      <c r="T17" s="111" t="s">
        <v>0</v>
      </c>
      <c r="U17" s="28" t="s">
        <v>0</v>
      </c>
      <c r="V17" s="111" t="s">
        <v>0</v>
      </c>
      <c r="W17" s="28" t="s">
        <v>0</v>
      </c>
      <c r="X17" s="111" t="s">
        <v>0</v>
      </c>
      <c r="Y17" s="28" t="s">
        <v>0</v>
      </c>
      <c r="Z17" s="33" t="s">
        <v>0</v>
      </c>
      <c r="AA17" s="24" t="s">
        <v>0</v>
      </c>
    </row>
    <row r="18" ht="15.75" customHeight="1" spans="1:27" x14ac:dyDescent="0.25">
      <c r="A18" s="271" t="s">
        <v>795</v>
      </c>
      <c r="B18" s="272" t="s">
        <v>0</v>
      </c>
      <c r="C18" s="27" t="s">
        <v>0</v>
      </c>
      <c r="D18" s="269" t="s">
        <v>282</v>
      </c>
      <c r="E18" s="27" t="s">
        <v>0</v>
      </c>
      <c r="F18" s="27" t="s">
        <v>287</v>
      </c>
      <c r="G18" s="27" t="s">
        <v>0</v>
      </c>
      <c r="H18" s="27" t="s">
        <v>124</v>
      </c>
      <c r="I18" s="27" t="s">
        <v>0</v>
      </c>
      <c r="J18" s="27" t="s">
        <v>0</v>
      </c>
      <c r="K18" s="274" t="s">
        <v>641</v>
      </c>
      <c r="L18" s="22" t="s">
        <v>796</v>
      </c>
      <c r="M18" s="23" t="s">
        <v>797</v>
      </c>
      <c r="N18" s="191" t="s">
        <v>0</v>
      </c>
      <c r="O18" s="28" t="s">
        <v>0</v>
      </c>
      <c r="P18" s="111" t="s">
        <v>0</v>
      </c>
      <c r="Q18" s="28" t="s">
        <v>0</v>
      </c>
      <c r="R18" s="111" t="s">
        <v>796</v>
      </c>
      <c r="S18" s="28" t="s">
        <v>0</v>
      </c>
      <c r="T18" s="111" t="s">
        <v>0</v>
      </c>
      <c r="U18" s="28" t="s">
        <v>0</v>
      </c>
      <c r="V18" s="111" t="s">
        <v>0</v>
      </c>
      <c r="W18" s="28" t="s">
        <v>0</v>
      </c>
      <c r="X18" s="111" t="s">
        <v>0</v>
      </c>
      <c r="Y18" s="28" t="s">
        <v>0</v>
      </c>
      <c r="Z18" s="28" t="s">
        <v>0</v>
      </c>
      <c r="AA18" s="24" t="s">
        <v>796</v>
      </c>
    </row>
    <row r="19" ht="15.75" customHeight="1" spans="1:27" x14ac:dyDescent="0.25">
      <c r="A19" s="271" t="s">
        <v>45</v>
      </c>
      <c r="B19" s="272" t="s">
        <v>0</v>
      </c>
      <c r="C19" s="27" t="s">
        <v>0</v>
      </c>
      <c r="D19" s="269" t="s">
        <v>0</v>
      </c>
      <c r="E19" s="27" t="s">
        <v>0</v>
      </c>
      <c r="F19" s="27" t="s">
        <v>0</v>
      </c>
      <c r="G19" s="27" t="s">
        <v>0</v>
      </c>
      <c r="H19" s="27" t="s">
        <v>0</v>
      </c>
      <c r="I19" s="27" t="s">
        <v>0</v>
      </c>
      <c r="J19" s="27" t="s">
        <v>0</v>
      </c>
      <c r="K19" s="274" t="s">
        <v>798</v>
      </c>
      <c r="L19" s="22" t="s">
        <v>799</v>
      </c>
      <c r="M19" s="23" t="s">
        <v>800</v>
      </c>
      <c r="N19" s="191" t="s">
        <v>801</v>
      </c>
      <c r="O19" s="28" t="s">
        <v>802</v>
      </c>
      <c r="P19" s="111" t="s">
        <v>803</v>
      </c>
      <c r="Q19" s="28" t="s">
        <v>804</v>
      </c>
      <c r="R19" s="111" t="s">
        <v>805</v>
      </c>
      <c r="S19" s="28" t="s">
        <v>806</v>
      </c>
      <c r="T19" s="111" t="s">
        <v>807</v>
      </c>
      <c r="U19" s="28" t="s">
        <v>808</v>
      </c>
      <c r="V19" s="111" t="s">
        <v>809</v>
      </c>
      <c r="W19" s="28" t="s">
        <v>810</v>
      </c>
      <c r="X19" s="111" t="s">
        <v>811</v>
      </c>
      <c r="Y19" s="28" t="s">
        <v>655</v>
      </c>
      <c r="Z19" s="28" t="s">
        <v>0</v>
      </c>
      <c r="AA19" s="24" t="s">
        <v>799</v>
      </c>
    </row>
    <row r="20" ht="16.5" customHeight="1" spans="1:27" x14ac:dyDescent="0.25">
      <c r="A20" s="275" t="s">
        <v>0</v>
      </c>
      <c r="B20" s="118" t="s">
        <v>96</v>
      </c>
      <c r="C20" s="117" t="s">
        <v>0</v>
      </c>
      <c r="D20" s="117" t="s">
        <v>328</v>
      </c>
      <c r="E20" s="117" t="s">
        <v>326</v>
      </c>
      <c r="F20" s="117" t="s">
        <v>327</v>
      </c>
      <c r="G20" s="117" t="s">
        <v>329</v>
      </c>
      <c r="H20" s="117" t="s">
        <v>330</v>
      </c>
      <c r="I20" s="117" t="s">
        <v>812</v>
      </c>
      <c r="J20" s="117" t="s">
        <v>332</v>
      </c>
      <c r="K20" s="116" t="s">
        <v>813</v>
      </c>
      <c r="L20" s="37" t="s">
        <v>814</v>
      </c>
      <c r="M20" s="37" t="s">
        <v>815</v>
      </c>
      <c r="N20" s="37" t="s">
        <v>816</v>
      </c>
      <c r="O20" s="37" t="s">
        <v>817</v>
      </c>
      <c r="P20" s="37" t="s">
        <v>818</v>
      </c>
      <c r="Q20" s="37" t="s">
        <v>819</v>
      </c>
      <c r="R20" s="37" t="s">
        <v>820</v>
      </c>
      <c r="S20" s="37" t="s">
        <v>821</v>
      </c>
      <c r="T20" s="37" t="s">
        <v>822</v>
      </c>
      <c r="U20" s="37" t="s">
        <v>823</v>
      </c>
      <c r="V20" s="37" t="s">
        <v>824</v>
      </c>
      <c r="W20" s="37" t="s">
        <v>825</v>
      </c>
      <c r="X20" s="37" t="s">
        <v>826</v>
      </c>
      <c r="Y20" s="37" t="s">
        <v>655</v>
      </c>
      <c r="Z20" s="193" t="s">
        <v>73</v>
      </c>
      <c r="AA20" s="38" t="s">
        <v>814</v>
      </c>
    </row>
    <row r="21" spans="1:27" x14ac:dyDescent="0.25">
      <c r="A21" t="s">
        <v>0</v>
      </c>
      <c r="B21" t="s">
        <v>0</v>
      </c>
      <c r="C21" t="s">
        <v>0</v>
      </c>
      <c r="D21" t="s">
        <v>0</v>
      </c>
      <c r="E21" t="s">
        <v>0</v>
      </c>
      <c r="F21" t="s">
        <v>0</v>
      </c>
      <c r="G21" t="s">
        <v>0</v>
      </c>
      <c r="H21" t="s">
        <v>0</v>
      </c>
      <c r="I21" t="s">
        <v>0</v>
      </c>
      <c r="J21" t="s">
        <v>0</v>
      </c>
      <c r="K21" t="s">
        <v>0</v>
      </c>
      <c r="L21" t="s">
        <v>0</v>
      </c>
      <c r="M21" t="s">
        <v>0</v>
      </c>
      <c r="N21" t="s">
        <v>0</v>
      </c>
      <c r="O21" t="s">
        <v>0</v>
      </c>
      <c r="P21" t="s">
        <v>0</v>
      </c>
      <c r="Q21" t="s">
        <v>0</v>
      </c>
      <c r="R21" t="s">
        <v>0</v>
      </c>
      <c r="S21" t="s">
        <v>0</v>
      </c>
      <c r="T21" t="s">
        <v>0</v>
      </c>
      <c r="U21" t="s">
        <v>0</v>
      </c>
      <c r="V21" t="s">
        <v>0</v>
      </c>
      <c r="W21" t="s">
        <v>0</v>
      </c>
      <c r="X21" t="s">
        <v>0</v>
      </c>
      <c r="Y21" t="s">
        <v>0</v>
      </c>
      <c r="Z21" t="s">
        <v>0</v>
      </c>
      <c r="AA21" t="s">
        <v>0</v>
      </c>
    </row>
    <row r="22" spans="1:27" x14ac:dyDescent="0.25">
      <c r="A22" t="s">
        <v>0</v>
      </c>
      <c r="B22" t="s">
        <v>0</v>
      </c>
      <c r="C22" t="s">
        <v>0</v>
      </c>
      <c r="D22" t="s">
        <v>0</v>
      </c>
      <c r="E22" t="s">
        <v>0</v>
      </c>
      <c r="F22" t="s">
        <v>0</v>
      </c>
      <c r="G22" t="s">
        <v>0</v>
      </c>
      <c r="H22" t="s">
        <v>0</v>
      </c>
      <c r="I22" t="s">
        <v>0</v>
      </c>
      <c r="J22" t="s">
        <v>0</v>
      </c>
      <c r="K22" t="s">
        <v>0</v>
      </c>
      <c r="L22" t="s">
        <v>0</v>
      </c>
      <c r="M22" t="s">
        <v>0</v>
      </c>
      <c r="N22" t="s">
        <v>0</v>
      </c>
      <c r="O22" t="s">
        <v>0</v>
      </c>
      <c r="P22" t="s">
        <v>0</v>
      </c>
      <c r="Q22" t="s">
        <v>0</v>
      </c>
      <c r="R22" t="s">
        <v>0</v>
      </c>
      <c r="S22" t="s">
        <v>0</v>
      </c>
      <c r="T22" t="s">
        <v>0</v>
      </c>
      <c r="U22" t="s">
        <v>0</v>
      </c>
      <c r="V22" t="s">
        <v>0</v>
      </c>
      <c r="W22" t="s">
        <v>0</v>
      </c>
      <c r="X22" t="s">
        <v>0</v>
      </c>
      <c r="Y22" t="s">
        <v>0</v>
      </c>
      <c r="Z22" t="s">
        <v>0</v>
      </c>
      <c r="AA22" t="s">
        <v>0</v>
      </c>
    </row>
    <row r="23" spans="1:27" x14ac:dyDescent="0.25">
      <c r="A23" s="276" t="s">
        <v>0</v>
      </c>
      <c r="B23" s="276" t="s">
        <v>0</v>
      </c>
      <c r="C23" s="276" t="s">
        <v>0</v>
      </c>
      <c r="D23" s="276" t="s">
        <v>0</v>
      </c>
      <c r="E23" s="276" t="s">
        <v>0</v>
      </c>
      <c r="F23" s="276" t="s">
        <v>0</v>
      </c>
      <c r="G23" s="276" t="s">
        <v>0</v>
      </c>
      <c r="H23" s="276" t="s">
        <v>0</v>
      </c>
      <c r="I23" s="276" t="s">
        <v>0</v>
      </c>
      <c r="J23" s="276" t="s">
        <v>0</v>
      </c>
      <c r="K23" s="276" t="s">
        <v>0</v>
      </c>
      <c r="L23" s="276" t="s">
        <v>0</v>
      </c>
      <c r="M23" s="276" t="s">
        <v>0</v>
      </c>
      <c r="N23" s="276" t="s">
        <v>0</v>
      </c>
      <c r="O23" s="276" t="s">
        <v>0</v>
      </c>
      <c r="P23" s="276" t="s">
        <v>0</v>
      </c>
      <c r="Q23" s="276" t="s">
        <v>0</v>
      </c>
      <c r="R23" s="276" t="s">
        <v>0</v>
      </c>
      <c r="S23" s="276" t="s">
        <v>0</v>
      </c>
      <c r="T23" s="276" t="s">
        <v>0</v>
      </c>
      <c r="U23" s="276" t="s">
        <v>0</v>
      </c>
      <c r="V23" t="s">
        <v>0</v>
      </c>
      <c r="W23" t="s">
        <v>0</v>
      </c>
      <c r="X23" t="s">
        <v>0</v>
      </c>
      <c r="Y23" t="s">
        <v>0</v>
      </c>
      <c r="Z23" t="s">
        <v>0</v>
      </c>
      <c r="AA23" t="s">
        <v>0</v>
      </c>
    </row>
    <row r="24" ht="15.75" customHeight="1" spans="1:27" x14ac:dyDescent="0.25">
      <c r="A24" s="276" t="s">
        <v>0</v>
      </c>
      <c r="B24" s="276" t="s">
        <v>0</v>
      </c>
      <c r="C24" s="276" t="s">
        <v>0</v>
      </c>
      <c r="D24" s="276" t="s">
        <v>0</v>
      </c>
      <c r="E24" s="276" t="s">
        <v>0</v>
      </c>
      <c r="F24" s="276" t="s">
        <v>0</v>
      </c>
      <c r="G24" s="276" t="s">
        <v>0</v>
      </c>
      <c r="H24" s="276" t="s">
        <v>0</v>
      </c>
      <c r="I24" s="276" t="s">
        <v>0</v>
      </c>
      <c r="J24" s="276" t="s">
        <v>0</v>
      </c>
      <c r="K24" s="276" t="s">
        <v>0</v>
      </c>
      <c r="L24" s="276" t="s">
        <v>0</v>
      </c>
      <c r="M24" s="276" t="s">
        <v>0</v>
      </c>
      <c r="N24" s="276" t="s">
        <v>0</v>
      </c>
      <c r="O24" s="276" t="s">
        <v>0</v>
      </c>
      <c r="P24" s="276" t="s">
        <v>0</v>
      </c>
      <c r="Q24" s="276" t="s">
        <v>0</v>
      </c>
      <c r="R24" s="276" t="s">
        <v>0</v>
      </c>
      <c r="S24" s="276" t="s">
        <v>0</v>
      </c>
      <c r="T24" s="276" t="s">
        <v>0</v>
      </c>
      <c r="U24" s="276" t="s">
        <v>0</v>
      </c>
      <c r="V24" t="s">
        <v>0</v>
      </c>
      <c r="W24" t="s">
        <v>0</v>
      </c>
      <c r="X24" t="s">
        <v>0</v>
      </c>
      <c r="Y24" t="s">
        <v>0</v>
      </c>
      <c r="Z24" t="s">
        <v>0</v>
      </c>
      <c r="AA24" t="s">
        <v>0</v>
      </c>
    </row>
    <row r="25" ht="16.5" customHeight="1" spans="1:27" x14ac:dyDescent="0.25">
      <c r="A25" s="41" t="s">
        <v>200</v>
      </c>
      <c r="B25" s="43"/>
      <c r="C25" s="41" t="s">
        <v>201</v>
      </c>
      <c r="D25" s="42"/>
      <c r="E25" s="42"/>
      <c r="F25" s="42"/>
      <c r="G25" s="42"/>
      <c r="H25" s="42"/>
      <c r="I25" s="42"/>
      <c r="J25" s="42"/>
      <c r="K25" s="42"/>
      <c r="L25" s="43"/>
      <c r="M25" s="41" t="s">
        <v>76</v>
      </c>
      <c r="N25" s="42"/>
      <c r="O25" s="44" t="s">
        <v>77</v>
      </c>
      <c r="P25" s="277"/>
      <c r="Q25" s="45"/>
      <c r="R25" s="276" t="s">
        <v>0</v>
      </c>
      <c r="S25" t="s">
        <v>0</v>
      </c>
      <c r="T25" t="s">
        <v>0</v>
      </c>
      <c r="U25" t="s">
        <v>0</v>
      </c>
      <c r="V25" t="s">
        <v>0</v>
      </c>
      <c r="W25" t="s">
        <v>0</v>
      </c>
      <c r="X25" t="s">
        <v>0</v>
      </c>
      <c r="Y25" t="s">
        <v>0</v>
      </c>
      <c r="Z25" t="s">
        <v>0</v>
      </c>
      <c r="AA25" t="s">
        <v>0</v>
      </c>
    </row>
    <row r="26" ht="41.25" customHeight="1" spans="1:27" s="80" customFormat="1" x14ac:dyDescent="0.25">
      <c r="A26" s="278" t="s">
        <v>417</v>
      </c>
      <c r="B26" s="279" t="s">
        <v>533</v>
      </c>
      <c r="C26" s="280"/>
      <c r="D26" s="280"/>
      <c r="E26" s="280"/>
      <c r="F26" s="280"/>
      <c r="G26" s="280"/>
      <c r="H26" s="280"/>
      <c r="I26" s="280"/>
      <c r="J26" s="280"/>
      <c r="K26" s="280"/>
      <c r="L26" s="281"/>
      <c r="M26" s="282" t="s">
        <v>419</v>
      </c>
      <c r="N26" s="283"/>
      <c r="O26" s="284">
        <v>54864</v>
      </c>
      <c r="P26" s="285"/>
      <c r="Q26" s="286"/>
      <c r="R26" s="80" t="s">
        <v>0</v>
      </c>
      <c r="S26" s="80" t="s">
        <v>0</v>
      </c>
      <c r="T26" s="80" t="s">
        <v>0</v>
      </c>
      <c r="U26" s="80" t="s">
        <v>0</v>
      </c>
      <c r="V26" s="80" t="s">
        <v>0</v>
      </c>
      <c r="W26" s="80" t="s">
        <v>0</v>
      </c>
      <c r="X26" s="80" t="s">
        <v>0</v>
      </c>
      <c r="Y26" s="80" t="s">
        <v>0</v>
      </c>
      <c r="Z26" s="80" t="s">
        <v>0</v>
      </c>
      <c r="AA26" s="80" t="s">
        <v>0</v>
      </c>
    </row>
    <row r="27" ht="36.75" customHeight="1" spans="1:27" s="80" customFormat="1" x14ac:dyDescent="0.25">
      <c r="A27" s="287" t="s">
        <v>205</v>
      </c>
      <c r="B27" s="288" t="s">
        <v>206</v>
      </c>
      <c r="C27" s="289"/>
      <c r="D27" s="289"/>
      <c r="E27" s="289"/>
      <c r="F27" s="289"/>
      <c r="G27" s="289"/>
      <c r="H27" s="289"/>
      <c r="I27" s="289"/>
      <c r="J27" s="289"/>
      <c r="K27" s="289"/>
      <c r="L27" s="290"/>
      <c r="M27" s="291" t="s">
        <v>420</v>
      </c>
      <c r="N27" s="292"/>
      <c r="O27" s="293">
        <v>17500</v>
      </c>
      <c r="P27" s="294"/>
      <c r="Q27" s="295"/>
      <c r="R27" s="80" t="s">
        <v>0</v>
      </c>
      <c r="S27" s="80" t="s">
        <v>0</v>
      </c>
      <c r="T27" s="80" t="s">
        <v>0</v>
      </c>
      <c r="U27" s="80" t="s">
        <v>0</v>
      </c>
      <c r="V27" s="80" t="s">
        <v>0</v>
      </c>
      <c r="W27" s="80" t="s">
        <v>0</v>
      </c>
      <c r="X27" s="80" t="s">
        <v>0</v>
      </c>
      <c r="Y27" s="80" t="s">
        <v>0</v>
      </c>
      <c r="Z27" s="80" t="s">
        <v>0</v>
      </c>
      <c r="AA27" s="80" t="s">
        <v>0</v>
      </c>
    </row>
    <row r="28" ht="18.75" customHeight="1" spans="1:27" s="80" customFormat="1" x14ac:dyDescent="0.25">
      <c r="A28" s="278" t="s">
        <v>417</v>
      </c>
      <c r="B28" s="288" t="s">
        <v>423</v>
      </c>
      <c r="C28" s="289"/>
      <c r="D28" s="289"/>
      <c r="E28" s="289"/>
      <c r="F28" s="289"/>
      <c r="G28" s="289"/>
      <c r="H28" s="289"/>
      <c r="I28" s="289"/>
      <c r="J28" s="289"/>
      <c r="K28" s="289"/>
      <c r="L28" s="290"/>
      <c r="M28" s="296" t="s">
        <v>534</v>
      </c>
      <c r="N28" s="297"/>
      <c r="O28" s="298">
        <f>223860/4</f>
        <v>55965</v>
      </c>
      <c r="P28" s="299"/>
      <c r="Q28" s="300"/>
      <c r="R28" s="80" t="s">
        <v>0</v>
      </c>
      <c r="S28" s="80" t="s">
        <v>0</v>
      </c>
      <c r="T28" s="80" t="s">
        <v>0</v>
      </c>
      <c r="U28" s="80" t="s">
        <v>0</v>
      </c>
      <c r="V28" s="80" t="s">
        <v>0</v>
      </c>
      <c r="W28" s="80" t="s">
        <v>0</v>
      </c>
      <c r="X28" s="80" t="s">
        <v>0</v>
      </c>
      <c r="Y28" s="80" t="s">
        <v>0</v>
      </c>
      <c r="Z28" s="80" t="s">
        <v>0</v>
      </c>
      <c r="AA28" s="80" t="s">
        <v>0</v>
      </c>
    </row>
    <row r="29" ht="29.25" customHeight="1" spans="1:27" s="80" customFormat="1" x14ac:dyDescent="0.25">
      <c r="A29" s="301" t="s">
        <v>827</v>
      </c>
      <c r="B29" s="302" t="s">
        <v>828</v>
      </c>
      <c r="C29" s="303"/>
      <c r="D29" s="303"/>
      <c r="E29" s="303"/>
      <c r="F29" s="303"/>
      <c r="G29" s="303"/>
      <c r="H29" s="303"/>
      <c r="I29" s="303"/>
      <c r="J29" s="303"/>
      <c r="K29" s="303"/>
      <c r="L29" s="304"/>
      <c r="M29" s="279" t="s">
        <v>829</v>
      </c>
      <c r="N29" s="305"/>
      <c r="O29" s="306">
        <v>268917.5</v>
      </c>
      <c r="P29" s="307"/>
      <c r="Q29" s="308"/>
      <c r="R29" s="80" t="s">
        <v>0</v>
      </c>
      <c r="S29" s="80" t="s">
        <v>0</v>
      </c>
      <c r="T29" s="80" t="s">
        <v>0</v>
      </c>
      <c r="U29" s="80" t="s">
        <v>0</v>
      </c>
      <c r="V29" s="80" t="s">
        <v>0</v>
      </c>
      <c r="W29" s="80" t="s">
        <v>0</v>
      </c>
      <c r="X29" s="80" t="s">
        <v>0</v>
      </c>
      <c r="Y29" s="80" t="s">
        <v>0</v>
      </c>
      <c r="Z29" s="80" t="s">
        <v>0</v>
      </c>
      <c r="AA29" s="80" t="s">
        <v>0</v>
      </c>
    </row>
    <row r="30" ht="27.75" customHeight="1" spans="1:27" s="80" customFormat="1" x14ac:dyDescent="0.25">
      <c r="A30" s="301" t="s">
        <v>537</v>
      </c>
      <c r="B30" s="302" t="s">
        <v>830</v>
      </c>
      <c r="C30" s="303"/>
      <c r="D30" s="303"/>
      <c r="E30" s="303"/>
      <c r="F30" s="303"/>
      <c r="G30" s="303"/>
      <c r="H30" s="303"/>
      <c r="I30" s="303"/>
      <c r="J30" s="303"/>
      <c r="K30" s="303"/>
      <c r="L30" s="304"/>
      <c r="M30" s="279" t="s">
        <v>831</v>
      </c>
      <c r="N30" s="305"/>
      <c r="O30" s="306">
        <v>2310</v>
      </c>
      <c r="P30" s="307"/>
      <c r="Q30" s="308"/>
      <c r="R30" s="80" t="s">
        <v>0</v>
      </c>
      <c r="S30" s="80" t="s">
        <v>0</v>
      </c>
      <c r="T30" s="80" t="s">
        <v>0</v>
      </c>
      <c r="U30" s="80" t="s">
        <v>0</v>
      </c>
      <c r="V30" s="80" t="s">
        <v>0</v>
      </c>
      <c r="W30" s="80" t="s">
        <v>0</v>
      </c>
      <c r="X30" s="80" t="s">
        <v>0</v>
      </c>
      <c r="Y30" s="80" t="s">
        <v>0</v>
      </c>
      <c r="Z30" s="80" t="s">
        <v>0</v>
      </c>
      <c r="AA30" s="80" t="s">
        <v>0</v>
      </c>
    </row>
    <row r="31" ht="30" customHeight="1" spans="1:27" s="80" customFormat="1" x14ac:dyDescent="0.25">
      <c r="A31" s="301" t="s">
        <v>537</v>
      </c>
      <c r="B31" s="288" t="s">
        <v>832</v>
      </c>
      <c r="C31" s="289"/>
      <c r="D31" s="289"/>
      <c r="E31" s="289"/>
      <c r="F31" s="289"/>
      <c r="G31" s="289"/>
      <c r="H31" s="289"/>
      <c r="I31" s="289"/>
      <c r="J31" s="289"/>
      <c r="K31" s="289"/>
      <c r="L31" s="290"/>
      <c r="M31" s="279" t="s">
        <v>833</v>
      </c>
      <c r="N31" s="305"/>
      <c r="O31" s="306">
        <v>900</v>
      </c>
      <c r="P31" s="307"/>
      <c r="Q31" s="308"/>
      <c r="R31" s="80" t="s">
        <v>0</v>
      </c>
      <c r="S31" s="80" t="s">
        <v>0</v>
      </c>
      <c r="T31" s="80" t="s">
        <v>0</v>
      </c>
      <c r="U31" s="80" t="s">
        <v>0</v>
      </c>
      <c r="V31" s="80" t="s">
        <v>0</v>
      </c>
      <c r="W31" s="80" t="s">
        <v>0</v>
      </c>
      <c r="X31" s="80" t="s">
        <v>0</v>
      </c>
      <c r="Y31" s="80" t="s">
        <v>0</v>
      </c>
      <c r="Z31" s="80" t="s">
        <v>0</v>
      </c>
      <c r="AA31" s="80" t="s">
        <v>0</v>
      </c>
    </row>
    <row r="32" ht="30.75" customHeight="1" spans="1:27" s="80" customFormat="1" x14ac:dyDescent="0.25">
      <c r="A32" s="309" t="s">
        <v>537</v>
      </c>
      <c r="B32" s="288" t="s">
        <v>834</v>
      </c>
      <c r="C32" s="289"/>
      <c r="D32" s="289"/>
      <c r="E32" s="289"/>
      <c r="F32" s="289"/>
      <c r="G32" s="289"/>
      <c r="H32" s="289"/>
      <c r="I32" s="289"/>
      <c r="J32" s="289"/>
      <c r="K32" s="289"/>
      <c r="L32" s="290"/>
      <c r="M32" s="279" t="s">
        <v>835</v>
      </c>
      <c r="N32" s="305"/>
      <c r="O32" s="310">
        <v>580</v>
      </c>
      <c r="P32" s="311"/>
      <c r="Q32" s="312"/>
      <c r="R32" s="80" t="s">
        <v>0</v>
      </c>
      <c r="S32" s="80" t="s">
        <v>0</v>
      </c>
      <c r="T32" s="80" t="s">
        <v>0</v>
      </c>
      <c r="U32" s="80" t="s">
        <v>0</v>
      </c>
      <c r="V32" s="80" t="s">
        <v>0</v>
      </c>
      <c r="W32" s="80" t="s">
        <v>0</v>
      </c>
      <c r="X32" s="80" t="s">
        <v>0</v>
      </c>
      <c r="Y32" s="80" t="s">
        <v>0</v>
      </c>
      <c r="Z32" s="80" t="s">
        <v>0</v>
      </c>
      <c r="AA32" s="80" t="s">
        <v>0</v>
      </c>
    </row>
    <row r="33" ht="30.75" customHeight="1" spans="1:27" s="80" customFormat="1" x14ac:dyDescent="0.25">
      <c r="A33" s="309" t="s">
        <v>540</v>
      </c>
      <c r="B33" s="288" t="s">
        <v>836</v>
      </c>
      <c r="C33" s="289"/>
      <c r="D33" s="289"/>
      <c r="E33" s="289"/>
      <c r="F33" s="289"/>
      <c r="G33" s="289"/>
      <c r="H33" s="289"/>
      <c r="I33" s="289"/>
      <c r="J33" s="289"/>
      <c r="K33" s="289"/>
      <c r="L33" s="290"/>
      <c r="M33" s="288" t="s">
        <v>542</v>
      </c>
      <c r="N33" s="290"/>
      <c r="O33" s="313">
        <v>50000</v>
      </c>
      <c r="P33" s="314"/>
      <c r="Q33" s="315"/>
      <c r="R33" s="80" t="s">
        <v>0</v>
      </c>
      <c r="S33" s="80" t="s">
        <v>0</v>
      </c>
      <c r="T33" s="80" t="s">
        <v>0</v>
      </c>
      <c r="U33" s="80" t="s">
        <v>0</v>
      </c>
      <c r="V33" s="80" t="s">
        <v>0</v>
      </c>
      <c r="W33" s="80" t="s">
        <v>0</v>
      </c>
      <c r="X33" s="80" t="s">
        <v>0</v>
      </c>
      <c r="Y33" s="80" t="s">
        <v>0</v>
      </c>
      <c r="Z33" s="80" t="s">
        <v>0</v>
      </c>
      <c r="AA33" s="80" t="s">
        <v>0</v>
      </c>
    </row>
    <row r="34" ht="30.75" customHeight="1" spans="1:27" s="80" customFormat="1" x14ac:dyDescent="0.25">
      <c r="A34" s="309" t="s">
        <v>837</v>
      </c>
      <c r="B34" s="288" t="s">
        <v>838</v>
      </c>
      <c r="C34" s="289"/>
      <c r="D34" s="289"/>
      <c r="E34" s="289"/>
      <c r="F34" s="289"/>
      <c r="G34" s="289"/>
      <c r="H34" s="289"/>
      <c r="I34" s="289"/>
      <c r="J34" s="289"/>
      <c r="K34" s="289"/>
      <c r="L34" s="290"/>
      <c r="M34" s="288" t="s">
        <v>839</v>
      </c>
      <c r="N34" s="290"/>
      <c r="O34" s="313">
        <v>25646</v>
      </c>
      <c r="P34" s="314"/>
      <c r="Q34" s="315"/>
      <c r="R34" s="80" t="s">
        <v>0</v>
      </c>
      <c r="S34" s="80" t="s">
        <v>0</v>
      </c>
      <c r="T34" s="80" t="s">
        <v>0</v>
      </c>
      <c r="U34" s="80" t="s">
        <v>0</v>
      </c>
      <c r="V34" s="80" t="s">
        <v>0</v>
      </c>
      <c r="W34" s="80" t="s">
        <v>0</v>
      </c>
      <c r="X34" s="80" t="s">
        <v>0</v>
      </c>
      <c r="Y34" s="80" t="s">
        <v>0</v>
      </c>
      <c r="Z34" s="80" t="s">
        <v>0</v>
      </c>
      <c r="AA34" s="80" t="s">
        <v>0</v>
      </c>
    </row>
    <row r="35" ht="45" customHeight="1" spans="1:27" s="80" customFormat="1" x14ac:dyDescent="0.25">
      <c r="A35" s="309" t="s">
        <v>429</v>
      </c>
      <c r="B35" s="288" t="s">
        <v>840</v>
      </c>
      <c r="C35" s="289"/>
      <c r="D35" s="289"/>
      <c r="E35" s="289"/>
      <c r="F35" s="289"/>
      <c r="G35" s="289"/>
      <c r="H35" s="289"/>
      <c r="I35" s="289"/>
      <c r="J35" s="289"/>
      <c r="K35" s="289"/>
      <c r="L35" s="290"/>
      <c r="M35" s="288" t="s">
        <v>841</v>
      </c>
      <c r="N35" s="290"/>
      <c r="O35" s="313">
        <v>33000</v>
      </c>
      <c r="P35" s="314"/>
      <c r="Q35" s="315"/>
      <c r="R35" s="80" t="s">
        <v>0</v>
      </c>
      <c r="S35" s="80" t="s">
        <v>0</v>
      </c>
      <c r="T35" s="80" t="s">
        <v>0</v>
      </c>
      <c r="U35" s="80" t="s">
        <v>0</v>
      </c>
      <c r="V35" s="80" t="s">
        <v>0</v>
      </c>
      <c r="W35" s="80" t="s">
        <v>0</v>
      </c>
      <c r="X35" s="80" t="s">
        <v>0</v>
      </c>
      <c r="Y35" s="80" t="s">
        <v>0</v>
      </c>
      <c r="Z35" s="80" t="s">
        <v>0</v>
      </c>
      <c r="AA35" s="80" t="s">
        <v>0</v>
      </c>
    </row>
    <row r="36" ht="28.5" customHeight="1" spans="1:27" s="80" customFormat="1" x14ac:dyDescent="0.25">
      <c r="A36" s="309" t="s">
        <v>537</v>
      </c>
      <c r="B36" s="288" t="s">
        <v>842</v>
      </c>
      <c r="C36" s="289"/>
      <c r="D36" s="289"/>
      <c r="E36" s="289"/>
      <c r="F36" s="289"/>
      <c r="G36" s="289"/>
      <c r="H36" s="289"/>
      <c r="I36" s="289"/>
      <c r="J36" s="289"/>
      <c r="K36" s="289"/>
      <c r="L36" s="290"/>
      <c r="M36" s="288" t="s">
        <v>843</v>
      </c>
      <c r="N36" s="289"/>
      <c r="O36" s="306">
        <v>76000</v>
      </c>
      <c r="P36" s="307"/>
      <c r="Q36" s="308"/>
      <c r="R36" s="80" t="s">
        <v>0</v>
      </c>
      <c r="S36" s="80" t="s">
        <v>0</v>
      </c>
      <c r="T36" s="80" t="s">
        <v>0</v>
      </c>
      <c r="U36" s="80" t="s">
        <v>0</v>
      </c>
      <c r="V36" s="80" t="s">
        <v>0</v>
      </c>
      <c r="W36" s="80" t="s">
        <v>0</v>
      </c>
      <c r="X36" s="80" t="s">
        <v>0</v>
      </c>
      <c r="Y36" s="80" t="s">
        <v>0</v>
      </c>
      <c r="Z36" s="80" t="s">
        <v>0</v>
      </c>
      <c r="AA36" s="80" t="s">
        <v>0</v>
      </c>
    </row>
    <row r="37" ht="45.75" customHeight="1" spans="1:27" s="80" customFormat="1" x14ac:dyDescent="0.25">
      <c r="A37" s="287" t="s">
        <v>844</v>
      </c>
      <c r="B37" s="81" t="s">
        <v>845</v>
      </c>
      <c r="C37" s="134"/>
      <c r="D37" s="134"/>
      <c r="E37" s="134"/>
      <c r="F37" s="134"/>
      <c r="G37" s="134"/>
      <c r="H37" s="134"/>
      <c r="I37" s="134"/>
      <c r="J37" s="134"/>
      <c r="K37" s="134"/>
      <c r="L37" s="84"/>
      <c r="M37" s="288" t="s">
        <v>846</v>
      </c>
      <c r="N37" s="290"/>
      <c r="O37" s="306">
        <v>450</v>
      </c>
      <c r="P37" s="307"/>
      <c r="Q37" s="308"/>
      <c r="R37" s="80" t="s">
        <v>0</v>
      </c>
      <c r="S37" s="80" t="s">
        <v>0</v>
      </c>
      <c r="T37" s="80" t="s">
        <v>0</v>
      </c>
      <c r="U37" s="80" t="s">
        <v>0</v>
      </c>
      <c r="V37" s="80" t="s">
        <v>0</v>
      </c>
      <c r="W37" s="80" t="s">
        <v>0</v>
      </c>
      <c r="X37" s="80" t="s">
        <v>0</v>
      </c>
      <c r="Y37" s="80" t="s">
        <v>0</v>
      </c>
      <c r="Z37" s="80" t="s">
        <v>0</v>
      </c>
      <c r="AA37" s="80" t="s">
        <v>0</v>
      </c>
    </row>
    <row r="38" ht="30" customHeight="1" spans="1:27" s="80" customFormat="1" x14ac:dyDescent="0.25">
      <c r="A38" s="287" t="s">
        <v>205</v>
      </c>
      <c r="B38" s="81" t="s">
        <v>847</v>
      </c>
      <c r="C38" s="134"/>
      <c r="D38" s="134"/>
      <c r="E38" s="134"/>
      <c r="F38" s="134"/>
      <c r="G38" s="134"/>
      <c r="H38" s="134"/>
      <c r="I38" s="134"/>
      <c r="J38" s="134"/>
      <c r="K38" s="134"/>
      <c r="L38" s="84"/>
      <c r="M38" s="288" t="s">
        <v>222</v>
      </c>
      <c r="N38" s="290"/>
      <c r="O38" s="306">
        <v>4812.5</v>
      </c>
      <c r="P38" s="307"/>
      <c r="Q38" s="308"/>
      <c r="R38" s="80" t="s">
        <v>0</v>
      </c>
      <c r="S38" s="80" t="s">
        <v>0</v>
      </c>
      <c r="T38" s="80" t="s">
        <v>0</v>
      </c>
      <c r="U38" s="80" t="s">
        <v>0</v>
      </c>
      <c r="V38" s="80" t="s">
        <v>0</v>
      </c>
      <c r="W38" s="80" t="s">
        <v>0</v>
      </c>
      <c r="X38" s="80" t="s">
        <v>0</v>
      </c>
      <c r="Y38" s="80" t="s">
        <v>0</v>
      </c>
      <c r="Z38" s="80" t="s">
        <v>0</v>
      </c>
      <c r="AA38" s="80" t="s">
        <v>0</v>
      </c>
    </row>
    <row r="39" ht="30.75" customHeight="1" spans="1:27" s="80" customFormat="1" x14ac:dyDescent="0.25">
      <c r="A39" s="287" t="s">
        <v>848</v>
      </c>
      <c r="B39" s="81" t="s">
        <v>849</v>
      </c>
      <c r="C39" s="134"/>
      <c r="D39" s="134"/>
      <c r="E39" s="134"/>
      <c r="F39" s="134"/>
      <c r="G39" s="134"/>
      <c r="H39" s="134"/>
      <c r="I39" s="134"/>
      <c r="J39" s="134"/>
      <c r="K39" s="134"/>
      <c r="L39" s="84"/>
      <c r="M39" s="288" t="s">
        <v>231</v>
      </c>
      <c r="N39" s="290"/>
      <c r="O39" s="306">
        <v>6650</v>
      </c>
      <c r="P39" s="307"/>
      <c r="Q39" s="308"/>
      <c r="R39" s="80" t="s">
        <v>0</v>
      </c>
      <c r="S39" s="80" t="s">
        <v>0</v>
      </c>
      <c r="T39" s="80" t="s">
        <v>0</v>
      </c>
      <c r="U39" s="80" t="s">
        <v>0</v>
      </c>
      <c r="V39" s="80" t="s">
        <v>0</v>
      </c>
      <c r="W39" s="80" t="s">
        <v>0</v>
      </c>
      <c r="X39" s="80" t="s">
        <v>0</v>
      </c>
      <c r="Y39" s="80" t="s">
        <v>0</v>
      </c>
      <c r="Z39" s="80" t="s">
        <v>0</v>
      </c>
      <c r="AA39" s="80" t="s">
        <v>0</v>
      </c>
    </row>
    <row r="40" ht="44.25" customHeight="1" spans="1:27" s="80" customFormat="1" x14ac:dyDescent="0.25">
      <c r="A40" s="287" t="s">
        <v>850</v>
      </c>
      <c r="B40" s="81" t="s">
        <v>851</v>
      </c>
      <c r="C40" s="134"/>
      <c r="D40" s="134"/>
      <c r="E40" s="134"/>
      <c r="F40" s="134"/>
      <c r="G40" s="134"/>
      <c r="H40" s="134"/>
      <c r="I40" s="134"/>
      <c r="J40" s="134"/>
      <c r="K40" s="134"/>
      <c r="L40" s="84"/>
      <c r="M40" s="288" t="s">
        <v>852</v>
      </c>
      <c r="N40" s="290"/>
      <c r="O40" s="306">
        <v>36000</v>
      </c>
      <c r="P40" s="307"/>
      <c r="Q40" s="308"/>
      <c r="R40" s="80" t="s">
        <v>0</v>
      </c>
      <c r="S40" s="80" t="s">
        <v>0</v>
      </c>
      <c r="T40" s="80" t="s">
        <v>0</v>
      </c>
      <c r="U40" s="80" t="s">
        <v>0</v>
      </c>
      <c r="V40" s="80" t="s">
        <v>0</v>
      </c>
      <c r="W40" s="80" t="s">
        <v>0</v>
      </c>
      <c r="X40" s="80" t="s">
        <v>0</v>
      </c>
      <c r="Y40" s="80" t="s">
        <v>0</v>
      </c>
      <c r="Z40" s="80" t="s">
        <v>0</v>
      </c>
      <c r="AA40" s="80" t="s">
        <v>0</v>
      </c>
    </row>
    <row r="41" ht="29.25" customHeight="1" spans="1:27" s="80" customFormat="1" x14ac:dyDescent="0.25">
      <c r="A41" s="287" t="s">
        <v>693</v>
      </c>
      <c r="B41" s="81" t="s">
        <v>853</v>
      </c>
      <c r="C41" s="134"/>
      <c r="D41" s="134"/>
      <c r="E41" s="134"/>
      <c r="F41" s="134"/>
      <c r="G41" s="134"/>
      <c r="H41" s="134"/>
      <c r="I41" s="134"/>
      <c r="J41" s="134"/>
      <c r="K41" s="134"/>
      <c r="L41" s="84"/>
      <c r="M41" s="288" t="s">
        <v>854</v>
      </c>
      <c r="N41" s="290"/>
      <c r="O41" s="306">
        <v>99598</v>
      </c>
      <c r="P41" s="307"/>
      <c r="Q41" s="308"/>
      <c r="R41" s="80" t="s">
        <v>0</v>
      </c>
      <c r="S41" s="80" t="s">
        <v>0</v>
      </c>
      <c r="T41" s="80" t="s">
        <v>0</v>
      </c>
      <c r="U41" s="80" t="s">
        <v>0</v>
      </c>
      <c r="V41" s="80" t="s">
        <v>0</v>
      </c>
      <c r="W41" s="80" t="s">
        <v>0</v>
      </c>
      <c r="X41" s="80" t="s">
        <v>0</v>
      </c>
      <c r="Y41" s="80" t="s">
        <v>0</v>
      </c>
      <c r="Z41" s="80" t="s">
        <v>0</v>
      </c>
      <c r="AA41" s="80" t="s">
        <v>0</v>
      </c>
    </row>
    <row r="42" ht="28.5" customHeight="1" spans="1:27" s="80" customFormat="1" x14ac:dyDescent="0.25">
      <c r="A42" s="287" t="s">
        <v>855</v>
      </c>
      <c r="B42" s="288" t="s">
        <v>856</v>
      </c>
      <c r="C42" s="289"/>
      <c r="D42" s="289"/>
      <c r="E42" s="289"/>
      <c r="F42" s="289"/>
      <c r="G42" s="289"/>
      <c r="H42" s="289"/>
      <c r="I42" s="289"/>
      <c r="J42" s="289"/>
      <c r="K42" s="289"/>
      <c r="L42" s="290"/>
      <c r="M42" s="288" t="s">
        <v>857</v>
      </c>
      <c r="N42" s="290"/>
      <c r="O42" s="306">
        <v>54300</v>
      </c>
      <c r="P42" s="307"/>
      <c r="Q42" s="308"/>
      <c r="R42" s="80" t="s">
        <v>0</v>
      </c>
      <c r="S42" s="80" t="s">
        <v>0</v>
      </c>
      <c r="T42" s="80" t="s">
        <v>0</v>
      </c>
      <c r="U42" s="80" t="s">
        <v>0</v>
      </c>
      <c r="V42" s="80" t="s">
        <v>0</v>
      </c>
      <c r="W42" s="80" t="s">
        <v>0</v>
      </c>
      <c r="X42" s="80" t="s">
        <v>0</v>
      </c>
      <c r="Y42" s="80" t="s">
        <v>0</v>
      </c>
      <c r="Z42" s="80" t="s">
        <v>0</v>
      </c>
      <c r="AA42" s="80" t="s">
        <v>0</v>
      </c>
    </row>
    <row r="43" ht="14.25" customHeight="1" spans="1:27" s="80" customFormat="1" x14ac:dyDescent="0.25">
      <c r="A43" s="287" t="s">
        <v>0</v>
      </c>
      <c r="B43" s="296"/>
      <c r="C43" s="297"/>
      <c r="D43" s="297"/>
      <c r="E43" s="297"/>
      <c r="F43" s="297"/>
      <c r="G43" s="297"/>
      <c r="H43" s="297"/>
      <c r="I43" s="297"/>
      <c r="J43" s="297"/>
      <c r="K43" s="297"/>
      <c r="L43" s="316"/>
      <c r="M43" s="317"/>
      <c r="N43" s="318"/>
      <c r="O43" s="306"/>
      <c r="P43" s="307"/>
      <c r="Q43" s="308"/>
      <c r="R43" s="80" t="s">
        <v>0</v>
      </c>
      <c r="S43" s="80" t="s">
        <v>0</v>
      </c>
      <c r="T43" s="80" t="s">
        <v>0</v>
      </c>
      <c r="U43" s="80" t="s">
        <v>0</v>
      </c>
      <c r="V43" s="80" t="s">
        <v>0</v>
      </c>
      <c r="W43" s="80" t="s">
        <v>0</v>
      </c>
      <c r="X43" s="80" t="s">
        <v>0</v>
      </c>
      <c r="Y43" s="80" t="s">
        <v>0</v>
      </c>
      <c r="Z43" s="80" t="s">
        <v>0</v>
      </c>
      <c r="AA43" s="80" t="s">
        <v>0</v>
      </c>
    </row>
    <row r="44" ht="14.25" customHeight="1" spans="1:27" s="80" customFormat="1" x14ac:dyDescent="0.25">
      <c r="A44" s="287" t="s">
        <v>0</v>
      </c>
      <c r="B44" s="296"/>
      <c r="C44" s="297"/>
      <c r="D44" s="297"/>
      <c r="E44" s="297"/>
      <c r="F44" s="297"/>
      <c r="G44" s="297"/>
      <c r="H44" s="297"/>
      <c r="I44" s="297"/>
      <c r="J44" s="297"/>
      <c r="K44" s="297"/>
      <c r="L44" s="316"/>
      <c r="M44" s="317"/>
      <c r="N44" s="318"/>
      <c r="O44" s="306"/>
      <c r="P44" s="307"/>
      <c r="Q44" s="308"/>
      <c r="R44" s="80" t="s">
        <v>0</v>
      </c>
      <c r="S44" s="80" t="s">
        <v>0</v>
      </c>
      <c r="T44" s="80" t="s">
        <v>0</v>
      </c>
      <c r="U44" s="80" t="s">
        <v>0</v>
      </c>
      <c r="V44" s="80" t="s">
        <v>0</v>
      </c>
      <c r="W44" s="80" t="s">
        <v>0</v>
      </c>
      <c r="X44" s="80" t="s">
        <v>0</v>
      </c>
      <c r="Y44" s="80" t="s">
        <v>0</v>
      </c>
      <c r="Z44" s="80" t="s">
        <v>0</v>
      </c>
      <c r="AA44" s="80" t="s">
        <v>0</v>
      </c>
    </row>
    <row r="45" ht="14.25" customHeight="1" spans="1:27" s="80" customFormat="1" x14ac:dyDescent="0.25">
      <c r="A45" s="287" t="s">
        <v>0</v>
      </c>
      <c r="B45" s="296"/>
      <c r="C45" s="297"/>
      <c r="D45" s="297"/>
      <c r="E45" s="297"/>
      <c r="F45" s="297"/>
      <c r="G45" s="297"/>
      <c r="H45" s="297"/>
      <c r="I45" s="297"/>
      <c r="J45" s="297"/>
      <c r="K45" s="297"/>
      <c r="L45" s="316"/>
      <c r="M45" s="317"/>
      <c r="N45" s="318"/>
      <c r="O45" s="306"/>
      <c r="P45" s="307"/>
      <c r="Q45" s="308"/>
      <c r="R45" s="80" t="s">
        <v>0</v>
      </c>
      <c r="S45" s="80" t="s">
        <v>0</v>
      </c>
      <c r="T45" s="80" t="s">
        <v>0</v>
      </c>
      <c r="U45" s="80" t="s">
        <v>0</v>
      </c>
      <c r="V45" s="80" t="s">
        <v>0</v>
      </c>
      <c r="W45" s="80" t="s">
        <v>0</v>
      </c>
      <c r="X45" s="80" t="s">
        <v>0</v>
      </c>
      <c r="Y45" s="80" t="s">
        <v>0</v>
      </c>
      <c r="Z45" s="80" t="s">
        <v>0</v>
      </c>
      <c r="AA45" s="80" t="s">
        <v>0</v>
      </c>
    </row>
    <row r="46" ht="14.25" customHeight="1" spans="1:27" s="80" customFormat="1" x14ac:dyDescent="0.25">
      <c r="A46" s="287" t="s">
        <v>0</v>
      </c>
      <c r="B46" s="296"/>
      <c r="C46" s="297"/>
      <c r="D46" s="297"/>
      <c r="E46" s="297"/>
      <c r="F46" s="297"/>
      <c r="G46" s="297"/>
      <c r="H46" s="297"/>
      <c r="I46" s="297"/>
      <c r="J46" s="297"/>
      <c r="K46" s="297"/>
      <c r="L46" s="316"/>
      <c r="M46" s="317"/>
      <c r="N46" s="318"/>
      <c r="O46" s="306"/>
      <c r="P46" s="307"/>
      <c r="Q46" s="308"/>
      <c r="R46" s="80" t="s">
        <v>0</v>
      </c>
      <c r="S46" s="80" t="s">
        <v>0</v>
      </c>
      <c r="T46" s="80" t="s">
        <v>0</v>
      </c>
      <c r="U46" s="80" t="s">
        <v>0</v>
      </c>
      <c r="V46" s="80" t="s">
        <v>0</v>
      </c>
      <c r="W46" s="80" t="s">
        <v>0</v>
      </c>
      <c r="X46" s="80" t="s">
        <v>0</v>
      </c>
      <c r="Y46" s="80" t="s">
        <v>0</v>
      </c>
      <c r="Z46" s="80" t="s">
        <v>0</v>
      </c>
      <c r="AA46" s="80" t="s">
        <v>0</v>
      </c>
    </row>
    <row r="47" ht="14.25" customHeight="1" spans="1:27" s="80" customFormat="1" x14ac:dyDescent="0.25">
      <c r="A47" s="287" t="s">
        <v>0</v>
      </c>
      <c r="B47" s="296"/>
      <c r="C47" s="297"/>
      <c r="D47" s="297"/>
      <c r="E47" s="297"/>
      <c r="F47" s="297"/>
      <c r="G47" s="297"/>
      <c r="H47" s="297"/>
      <c r="I47" s="297"/>
      <c r="J47" s="297"/>
      <c r="K47" s="297"/>
      <c r="L47" s="316"/>
      <c r="M47" s="317"/>
      <c r="N47" s="318"/>
      <c r="O47" s="306"/>
      <c r="P47" s="307"/>
      <c r="Q47" s="308"/>
      <c r="R47" s="80" t="s">
        <v>0</v>
      </c>
      <c r="S47" s="80" t="s">
        <v>0</v>
      </c>
      <c r="T47" s="80" t="s">
        <v>0</v>
      </c>
      <c r="U47" s="80" t="s">
        <v>0</v>
      </c>
      <c r="V47" s="80" t="s">
        <v>0</v>
      </c>
      <c r="W47" s="80" t="s">
        <v>0</v>
      </c>
      <c r="X47" s="80" t="s">
        <v>0</v>
      </c>
      <c r="Y47" s="80" t="s">
        <v>0</v>
      </c>
      <c r="Z47" s="80" t="s">
        <v>0</v>
      </c>
      <c r="AA47" s="80" t="s">
        <v>0</v>
      </c>
    </row>
    <row r="48" ht="14.25" customHeight="1" spans="1:27" s="80" customFormat="1" x14ac:dyDescent="0.25">
      <c r="A48" s="287" t="s">
        <v>0</v>
      </c>
      <c r="B48" s="296"/>
      <c r="C48" s="297"/>
      <c r="D48" s="297"/>
      <c r="E48" s="297"/>
      <c r="F48" s="297"/>
      <c r="G48" s="297"/>
      <c r="H48" s="297"/>
      <c r="I48" s="297"/>
      <c r="J48" s="297"/>
      <c r="K48" s="297"/>
      <c r="L48" s="316"/>
      <c r="M48" s="317"/>
      <c r="N48" s="318"/>
      <c r="O48" s="306"/>
      <c r="P48" s="307"/>
      <c r="Q48" s="308"/>
      <c r="R48" s="80" t="s">
        <v>0</v>
      </c>
      <c r="S48" s="80" t="s">
        <v>0</v>
      </c>
      <c r="T48" s="80" t="s">
        <v>0</v>
      </c>
      <c r="U48" s="80" t="s">
        <v>0</v>
      </c>
      <c r="V48" s="80" t="s">
        <v>0</v>
      </c>
      <c r="W48" s="80" t="s">
        <v>0</v>
      </c>
      <c r="X48" s="80" t="s">
        <v>0</v>
      </c>
      <c r="Y48" s="80" t="s">
        <v>0</v>
      </c>
      <c r="Z48" s="80" t="s">
        <v>0</v>
      </c>
      <c r="AA48" s="80" t="s">
        <v>0</v>
      </c>
    </row>
    <row r="49" ht="14.25" customHeight="1" spans="1:27" s="80" customFormat="1" x14ac:dyDescent="0.25">
      <c r="A49" s="287" t="s">
        <v>0</v>
      </c>
      <c r="B49" s="296"/>
      <c r="C49" s="297"/>
      <c r="D49" s="297"/>
      <c r="E49" s="297"/>
      <c r="F49" s="297"/>
      <c r="G49" s="297"/>
      <c r="H49" s="297"/>
      <c r="I49" s="297"/>
      <c r="J49" s="297"/>
      <c r="K49" s="297"/>
      <c r="L49" s="316"/>
      <c r="M49" s="291"/>
      <c r="N49" s="292"/>
      <c r="O49" s="313"/>
      <c r="P49" s="314"/>
      <c r="Q49" s="315"/>
      <c r="R49" s="80" t="s">
        <v>0</v>
      </c>
      <c r="S49" s="80" t="s">
        <v>0</v>
      </c>
      <c r="T49" s="80" t="s">
        <v>0</v>
      </c>
      <c r="U49" s="80" t="s">
        <v>0</v>
      </c>
      <c r="V49" s="80" t="s">
        <v>0</v>
      </c>
      <c r="W49" s="80" t="s">
        <v>0</v>
      </c>
      <c r="X49" s="80" t="s">
        <v>0</v>
      </c>
      <c r="Y49" s="80" t="s">
        <v>0</v>
      </c>
      <c r="Z49" s="80" t="s">
        <v>0</v>
      </c>
      <c r="AA49" s="80" t="s">
        <v>0</v>
      </c>
    </row>
    <row r="50" ht="15.75" customHeight="1" spans="1:27" s="80" customFormat="1" x14ac:dyDescent="0.25">
      <c r="A50" s="319" t="s">
        <v>0</v>
      </c>
      <c r="B50" s="320"/>
      <c r="C50" s="321"/>
      <c r="D50" s="321"/>
      <c r="E50" s="321"/>
      <c r="F50" s="321"/>
      <c r="G50" s="321"/>
      <c r="H50" s="321"/>
      <c r="I50" s="321"/>
      <c r="J50" s="321"/>
      <c r="K50" s="321"/>
      <c r="L50" s="322"/>
      <c r="M50" s="323"/>
      <c r="N50" s="324"/>
      <c r="O50" s="325"/>
      <c r="P50" s="326"/>
      <c r="Q50" s="327"/>
      <c r="R50" s="80" t="s">
        <v>0</v>
      </c>
      <c r="S50" s="80" t="s">
        <v>0</v>
      </c>
      <c r="T50" s="80" t="s">
        <v>0</v>
      </c>
      <c r="U50" s="80" t="s">
        <v>0</v>
      </c>
      <c r="V50" s="80" t="s">
        <v>0</v>
      </c>
      <c r="W50" s="80" t="s">
        <v>0</v>
      </c>
      <c r="X50" s="80" t="s">
        <v>0</v>
      </c>
      <c r="Y50" s="80" t="s">
        <v>0</v>
      </c>
      <c r="Z50" s="80" t="s">
        <v>0</v>
      </c>
      <c r="AA50" s="80" t="s">
        <v>0</v>
      </c>
    </row>
    <row r="51" ht="15.75" customHeight="1" spans="1:27" x14ac:dyDescent="0.25">
      <c r="A51" s="93" t="s">
        <v>0</v>
      </c>
      <c r="B51" s="328"/>
      <c r="C51" s="329"/>
      <c r="D51" s="329"/>
      <c r="E51" s="329"/>
      <c r="F51" s="329"/>
      <c r="G51" s="329"/>
      <c r="H51" s="329"/>
      <c r="I51" s="329"/>
      <c r="J51" s="329"/>
      <c r="K51" s="329"/>
      <c r="L51" s="330"/>
      <c r="M51" s="97" t="s">
        <v>96</v>
      </c>
      <c r="N51" s="98"/>
      <c r="O51" s="331">
        <f>SUM(O26:Q50)</f>
        <v>787493</v>
      </c>
      <c r="P51" s="98"/>
      <c r="Q51" s="233"/>
      <c r="R51" t="s">
        <v>0</v>
      </c>
      <c r="S51" t="s">
        <v>0</v>
      </c>
      <c r="T51" t="s">
        <v>0</v>
      </c>
      <c r="U51" t="s">
        <v>0</v>
      </c>
      <c r="V51" t="s">
        <v>0</v>
      </c>
      <c r="W51" t="s">
        <v>0</v>
      </c>
      <c r="X51" t="s">
        <v>0</v>
      </c>
      <c r="Y51" t="s">
        <v>0</v>
      </c>
      <c r="Z51" t="s">
        <v>0</v>
      </c>
      <c r="AA51" t="s">
        <v>0</v>
      </c>
    </row>
    <row r="52" spans="1:27" x14ac:dyDescent="0.25">
      <c r="A52" t="s">
        <v>0</v>
      </c>
      <c r="B52" t="s">
        <v>0</v>
      </c>
      <c r="C52" t="s">
        <v>0</v>
      </c>
      <c r="D52" t="s">
        <v>0</v>
      </c>
      <c r="E52" t="s">
        <v>0</v>
      </c>
      <c r="F52" t="s">
        <v>0</v>
      </c>
      <c r="G52" t="s">
        <v>0</v>
      </c>
      <c r="H52" t="s">
        <v>0</v>
      </c>
      <c r="I52" t="s">
        <v>0</v>
      </c>
      <c r="J52" t="s">
        <v>0</v>
      </c>
      <c r="K52" t="s">
        <v>0</v>
      </c>
      <c r="L52" t="s">
        <v>0</v>
      </c>
      <c r="M52" t="s">
        <v>0</v>
      </c>
      <c r="N52" t="s">
        <v>0</v>
      </c>
      <c r="O52" t="s">
        <v>0</v>
      </c>
      <c r="P52" t="s">
        <v>0</v>
      </c>
      <c r="Q52" t="s">
        <v>0</v>
      </c>
      <c r="R52" t="s">
        <v>0</v>
      </c>
      <c r="S52" t="s">
        <v>0</v>
      </c>
      <c r="T52" t="s">
        <v>0</v>
      </c>
      <c r="U52" t="s">
        <v>0</v>
      </c>
      <c r="V52" t="s">
        <v>0</v>
      </c>
      <c r="W52" t="s">
        <v>0</v>
      </c>
      <c r="X52" t="s">
        <v>0</v>
      </c>
      <c r="Y52" t="s">
        <v>0</v>
      </c>
      <c r="Z52" t="s">
        <v>0</v>
      </c>
      <c r="AA52" t="s">
        <v>0</v>
      </c>
    </row>
    <row r="53" ht="15.75" customHeight="1" spans="1:27" x14ac:dyDescent="0.25">
      <c r="A53" t="s">
        <v>0</v>
      </c>
      <c r="B53" t="s">
        <v>0</v>
      </c>
      <c r="C53" t="s">
        <v>0</v>
      </c>
      <c r="D53" t="s">
        <v>0</v>
      </c>
      <c r="E53" t="s">
        <v>0</v>
      </c>
      <c r="F53" t="s">
        <v>0</v>
      </c>
      <c r="G53" t="s">
        <v>0</v>
      </c>
      <c r="H53" t="s">
        <v>0</v>
      </c>
      <c r="I53" t="s">
        <v>0</v>
      </c>
      <c r="J53" t="s">
        <v>0</v>
      </c>
      <c r="K53" t="s">
        <v>0</v>
      </c>
      <c r="L53" t="s">
        <v>0</v>
      </c>
      <c r="M53" t="s">
        <v>0</v>
      </c>
      <c r="N53" t="s">
        <v>0</v>
      </c>
      <c r="O53" t="s">
        <v>0</v>
      </c>
      <c r="P53" t="s">
        <v>0</v>
      </c>
      <c r="Q53" t="s">
        <v>0</v>
      </c>
      <c r="R53" t="s">
        <v>0</v>
      </c>
      <c r="S53" t="s">
        <v>0</v>
      </c>
      <c r="T53" t="s">
        <v>0</v>
      </c>
      <c r="U53" t="s">
        <v>0</v>
      </c>
      <c r="V53" t="s">
        <v>0</v>
      </c>
      <c r="W53" t="s">
        <v>0</v>
      </c>
      <c r="X53" t="s">
        <v>0</v>
      </c>
      <c r="Y53" t="s">
        <v>0</v>
      </c>
      <c r="Z53" t="s">
        <v>0</v>
      </c>
      <c r="AA53" t="s">
        <v>0</v>
      </c>
    </row>
    <row r="54" ht="16.5" customHeight="1" spans="1:27" x14ac:dyDescent="0.25">
      <c r="A54" s="41" t="s">
        <v>74</v>
      </c>
      <c r="B54" s="43"/>
      <c r="C54" s="41" t="s">
        <v>437</v>
      </c>
      <c r="D54" s="42"/>
      <c r="E54" s="42"/>
      <c r="F54" s="42"/>
      <c r="G54" s="42"/>
      <c r="H54" s="42"/>
      <c r="I54" s="42"/>
      <c r="J54" s="42"/>
      <c r="K54" s="42"/>
      <c r="L54" s="43"/>
      <c r="M54" s="41" t="s">
        <v>76</v>
      </c>
      <c r="N54" s="42"/>
      <c r="O54" s="44" t="s">
        <v>77</v>
      </c>
      <c r="P54" s="277"/>
      <c r="Q54" s="45"/>
      <c r="R54" t="s">
        <v>0</v>
      </c>
      <c r="S54" t="s">
        <v>0</v>
      </c>
      <c r="T54" t="s">
        <v>0</v>
      </c>
      <c r="U54" t="s">
        <v>0</v>
      </c>
      <c r="V54" t="s">
        <v>0</v>
      </c>
      <c r="W54" t="s">
        <v>0</v>
      </c>
      <c r="X54" t="s">
        <v>0</v>
      </c>
      <c r="Y54" t="s">
        <v>0</v>
      </c>
      <c r="Z54" t="s">
        <v>0</v>
      </c>
      <c r="AA54" t="s">
        <v>0</v>
      </c>
    </row>
    <row r="55" ht="19.5" customHeight="1" spans="1:27" x14ac:dyDescent="0.25">
      <c r="A55" s="332" t="s">
        <v>858</v>
      </c>
      <c r="B55" s="333" t="s">
        <v>859</v>
      </c>
      <c r="C55" s="334"/>
      <c r="D55" s="334"/>
      <c r="E55" s="334"/>
      <c r="F55" s="334"/>
      <c r="G55" s="334"/>
      <c r="H55" s="334"/>
      <c r="I55" s="334"/>
      <c r="J55" s="334"/>
      <c r="K55" s="334"/>
      <c r="L55" s="335"/>
      <c r="M55" s="336" t="s">
        <v>860</v>
      </c>
      <c r="N55" s="337"/>
      <c r="O55" s="338">
        <v>1150</v>
      </c>
      <c r="P55" s="339"/>
      <c r="Q55" s="340"/>
      <c r="R55" t="s">
        <v>0</v>
      </c>
      <c r="S55" t="s">
        <v>0</v>
      </c>
      <c r="T55" t="s">
        <v>0</v>
      </c>
      <c r="U55" t="s">
        <v>0</v>
      </c>
      <c r="V55" t="s">
        <v>0</v>
      </c>
      <c r="W55" t="s">
        <v>0</v>
      </c>
      <c r="X55" t="s">
        <v>0</v>
      </c>
      <c r="Y55" t="s">
        <v>0</v>
      </c>
      <c r="Z55" t="s">
        <v>0</v>
      </c>
      <c r="AA55" t="s">
        <v>0</v>
      </c>
    </row>
    <row r="56" ht="17.25" customHeight="1" spans="1:27" x14ac:dyDescent="0.25">
      <c r="A56" s="341" t="s">
        <v>858</v>
      </c>
      <c r="B56" s="342" t="s">
        <v>861</v>
      </c>
      <c r="C56" s="343"/>
      <c r="D56" s="343"/>
      <c r="E56" s="343"/>
      <c r="F56" s="343"/>
      <c r="G56" s="343"/>
      <c r="H56" s="343"/>
      <c r="I56" s="343"/>
      <c r="J56" s="343"/>
      <c r="K56" s="343"/>
      <c r="L56" s="344"/>
      <c r="M56" s="345" t="s">
        <v>862</v>
      </c>
      <c r="N56" s="346"/>
      <c r="O56" s="347">
        <v>1150</v>
      </c>
      <c r="P56" s="348"/>
      <c r="Q56" s="349"/>
      <c r="R56" t="s">
        <v>0</v>
      </c>
      <c r="S56" t="s">
        <v>0</v>
      </c>
      <c r="T56" t="s">
        <v>0</v>
      </c>
      <c r="U56" t="s">
        <v>0</v>
      </c>
      <c r="V56" t="s">
        <v>0</v>
      </c>
      <c r="W56" t="s">
        <v>0</v>
      </c>
      <c r="X56" t="s">
        <v>0</v>
      </c>
      <c r="Y56" t="s">
        <v>0</v>
      </c>
      <c r="Z56" t="s">
        <v>0</v>
      </c>
      <c r="AA56" t="s">
        <v>0</v>
      </c>
    </row>
    <row r="57" ht="19.5" customHeight="1" spans="1:27" x14ac:dyDescent="0.25">
      <c r="A57" s="332" t="s">
        <v>858</v>
      </c>
      <c r="B57" s="342" t="s">
        <v>863</v>
      </c>
      <c r="C57" s="343"/>
      <c r="D57" s="343"/>
      <c r="E57" s="343"/>
      <c r="F57" s="343"/>
      <c r="G57" s="343"/>
      <c r="H57" s="343"/>
      <c r="I57" s="343"/>
      <c r="J57" s="343"/>
      <c r="K57" s="343"/>
      <c r="L57" s="344"/>
      <c r="M57" s="350" t="s">
        <v>864</v>
      </c>
      <c r="N57" s="351"/>
      <c r="O57" s="352">
        <v>1150</v>
      </c>
      <c r="P57" s="353"/>
      <c r="Q57" s="354"/>
      <c r="R57" t="s">
        <v>0</v>
      </c>
      <c r="S57" t="s">
        <v>0</v>
      </c>
      <c r="T57" t="s">
        <v>0</v>
      </c>
      <c r="U57" t="s">
        <v>0</v>
      </c>
      <c r="V57" t="s">
        <v>0</v>
      </c>
      <c r="W57" t="s">
        <v>0</v>
      </c>
      <c r="X57" t="s">
        <v>0</v>
      </c>
      <c r="Y57" t="s">
        <v>0</v>
      </c>
      <c r="Z57" t="s">
        <v>0</v>
      </c>
      <c r="AA57" t="s">
        <v>0</v>
      </c>
    </row>
    <row r="58" ht="15" customHeight="1" spans="1:27" x14ac:dyDescent="0.25">
      <c r="A58" s="168" t="s">
        <v>865</v>
      </c>
      <c r="B58" s="169" t="s">
        <v>572</v>
      </c>
      <c r="C58" s="170"/>
      <c r="D58" s="170"/>
      <c r="E58" s="170"/>
      <c r="F58" s="170"/>
      <c r="G58" s="170"/>
      <c r="H58" s="170"/>
      <c r="I58" s="170"/>
      <c r="J58" s="170"/>
      <c r="K58" s="170"/>
      <c r="L58" s="171"/>
      <c r="M58" s="55" t="s">
        <v>573</v>
      </c>
      <c r="N58" s="140"/>
      <c r="O58" s="85">
        <v>1150</v>
      </c>
      <c r="P58" s="355"/>
      <c r="Q58" s="86"/>
      <c r="R58" t="s">
        <v>0</v>
      </c>
      <c r="S58" t="s">
        <v>0</v>
      </c>
      <c r="T58" t="s">
        <v>0</v>
      </c>
      <c r="U58" t="s">
        <v>0</v>
      </c>
      <c r="V58" t="s">
        <v>0</v>
      </c>
      <c r="W58" t="s">
        <v>0</v>
      </c>
      <c r="X58" t="s">
        <v>0</v>
      </c>
      <c r="Y58" t="s">
        <v>0</v>
      </c>
      <c r="Z58" t="s">
        <v>0</v>
      </c>
      <c r="AA58" t="s">
        <v>0</v>
      </c>
    </row>
    <row r="59" ht="17.25" customHeight="1" spans="1:27" x14ac:dyDescent="0.25">
      <c r="A59" s="168" t="s">
        <v>865</v>
      </c>
      <c r="B59" s="169" t="s">
        <v>866</v>
      </c>
      <c r="C59" s="170"/>
      <c r="D59" s="170"/>
      <c r="E59" s="170"/>
      <c r="F59" s="170"/>
      <c r="G59" s="170"/>
      <c r="H59" s="170"/>
      <c r="I59" s="170"/>
      <c r="J59" s="170"/>
      <c r="K59" s="170"/>
      <c r="L59" s="171"/>
      <c r="M59" s="55" t="s">
        <v>867</v>
      </c>
      <c r="N59" s="140"/>
      <c r="O59" s="85">
        <v>1150</v>
      </c>
      <c r="P59" s="355"/>
      <c r="Q59" s="86"/>
      <c r="R59" t="s">
        <v>0</v>
      </c>
      <c r="S59" t="s">
        <v>0</v>
      </c>
      <c r="T59" t="s">
        <v>0</v>
      </c>
      <c r="U59" t="s">
        <v>0</v>
      </c>
      <c r="V59" t="s">
        <v>0</v>
      </c>
      <c r="W59" t="s">
        <v>0</v>
      </c>
      <c r="X59" t="s">
        <v>0</v>
      </c>
      <c r="Y59" t="s">
        <v>0</v>
      </c>
      <c r="Z59" t="s">
        <v>0</v>
      </c>
      <c r="AA59" t="s">
        <v>0</v>
      </c>
    </row>
    <row r="60" ht="18" customHeight="1" spans="1:27" x14ac:dyDescent="0.25">
      <c r="A60" s="168" t="s">
        <v>865</v>
      </c>
      <c r="B60" s="55" t="s">
        <v>868</v>
      </c>
      <c r="C60" s="56"/>
      <c r="D60" s="56"/>
      <c r="E60" s="56"/>
      <c r="F60" s="56"/>
      <c r="G60" s="56"/>
      <c r="H60" s="56"/>
      <c r="I60" s="56"/>
      <c r="J60" s="56"/>
      <c r="K60" s="56"/>
      <c r="L60" s="57"/>
      <c r="M60" s="55" t="s">
        <v>567</v>
      </c>
      <c r="N60" s="140"/>
      <c r="O60" s="85">
        <f>6000-2300</f>
        <v>3700</v>
      </c>
      <c r="P60" s="355"/>
      <c r="Q60" s="86"/>
      <c r="R60" t="s">
        <v>0</v>
      </c>
      <c r="S60" t="s">
        <v>0</v>
      </c>
      <c r="T60" t="s">
        <v>0</v>
      </c>
      <c r="U60" t="s">
        <v>0</v>
      </c>
      <c r="V60" t="s">
        <v>0</v>
      </c>
      <c r="W60" t="s">
        <v>0</v>
      </c>
      <c r="X60" t="s">
        <v>0</v>
      </c>
      <c r="Y60" t="s">
        <v>0</v>
      </c>
      <c r="Z60" t="s">
        <v>0</v>
      </c>
      <c r="AA60" t="s">
        <v>0</v>
      </c>
    </row>
    <row r="61" ht="18" customHeight="1" spans="1:27" x14ac:dyDescent="0.25">
      <c r="A61" s="228" t="s">
        <v>869</v>
      </c>
      <c r="B61" s="81" t="s">
        <v>870</v>
      </c>
      <c r="C61" s="134"/>
      <c r="D61" s="134"/>
      <c r="E61" s="134"/>
      <c r="F61" s="134"/>
      <c r="G61" s="134"/>
      <c r="H61" s="134"/>
      <c r="I61" s="134"/>
      <c r="J61" s="134"/>
      <c r="K61" s="134"/>
      <c r="L61" s="84"/>
      <c r="M61" s="55" t="s">
        <v>860</v>
      </c>
      <c r="N61" s="140"/>
      <c r="O61" s="356">
        <v>400</v>
      </c>
      <c r="P61" s="357"/>
      <c r="Q61" s="358"/>
      <c r="R61" t="s">
        <v>0</v>
      </c>
      <c r="S61" t="s">
        <v>0</v>
      </c>
      <c r="T61" t="s">
        <v>0</v>
      </c>
      <c r="U61" t="s">
        <v>0</v>
      </c>
      <c r="V61" t="s">
        <v>0</v>
      </c>
      <c r="W61" t="s">
        <v>0</v>
      </c>
      <c r="X61" t="s">
        <v>0</v>
      </c>
      <c r="Y61" t="s">
        <v>0</v>
      </c>
      <c r="Z61" t="s">
        <v>0</v>
      </c>
      <c r="AA61" t="s">
        <v>0</v>
      </c>
    </row>
    <row r="62" ht="18" customHeight="1" spans="1:27" x14ac:dyDescent="0.25">
      <c r="A62" s="228" t="s">
        <v>84</v>
      </c>
      <c r="B62" s="55" t="s">
        <v>868</v>
      </c>
      <c r="C62" s="56"/>
      <c r="D62" s="56"/>
      <c r="E62" s="56"/>
      <c r="F62" s="56"/>
      <c r="G62" s="56"/>
      <c r="H62" s="56"/>
      <c r="I62" s="56"/>
      <c r="J62" s="56"/>
      <c r="K62" s="56"/>
      <c r="L62" s="57"/>
      <c r="M62" s="55" t="s">
        <v>567</v>
      </c>
      <c r="N62" s="140"/>
      <c r="O62" s="85">
        <f>6000-2300</f>
        <v>3700</v>
      </c>
      <c r="P62" s="355"/>
      <c r="Q62" s="86"/>
      <c r="R62" t="s">
        <v>0</v>
      </c>
      <c r="S62" t="s">
        <v>0</v>
      </c>
      <c r="T62" t="s">
        <v>0</v>
      </c>
      <c r="U62" t="s">
        <v>0</v>
      </c>
      <c r="V62" t="s">
        <v>0</v>
      </c>
      <c r="W62" t="s">
        <v>0</v>
      </c>
      <c r="X62" t="s">
        <v>0</v>
      </c>
      <c r="Y62" t="s">
        <v>0</v>
      </c>
      <c r="Z62" t="s">
        <v>0</v>
      </c>
      <c r="AA62" t="s">
        <v>0</v>
      </c>
    </row>
    <row r="63" ht="15.75" customHeight="1" spans="1:27" x14ac:dyDescent="0.25">
      <c r="A63" s="228" t="s">
        <v>871</v>
      </c>
      <c r="B63" s="81" t="s">
        <v>872</v>
      </c>
      <c r="C63" s="134"/>
      <c r="D63" s="134"/>
      <c r="E63" s="134"/>
      <c r="F63" s="134"/>
      <c r="G63" s="134"/>
      <c r="H63" s="134"/>
      <c r="I63" s="134"/>
      <c r="J63" s="134"/>
      <c r="K63" s="134"/>
      <c r="L63" s="84"/>
      <c r="M63" s="81" t="s">
        <v>873</v>
      </c>
      <c r="N63" s="84"/>
      <c r="O63" s="58">
        <v>1000</v>
      </c>
      <c r="P63" s="359"/>
      <c r="Q63" s="59"/>
      <c r="R63" t="s">
        <v>0</v>
      </c>
      <c r="S63" t="s">
        <v>0</v>
      </c>
      <c r="T63" t="s">
        <v>0</v>
      </c>
      <c r="U63" t="s">
        <v>0</v>
      </c>
      <c r="V63" t="s">
        <v>0</v>
      </c>
      <c r="W63" t="s">
        <v>0</v>
      </c>
      <c r="X63" t="s">
        <v>0</v>
      </c>
      <c r="Y63" t="s">
        <v>0</v>
      </c>
      <c r="Z63" t="s">
        <v>0</v>
      </c>
      <c r="AA63" t="s">
        <v>0</v>
      </c>
    </row>
    <row r="64" ht="15.75" customHeight="1" spans="1:27" x14ac:dyDescent="0.25">
      <c r="A64" s="228" t="s">
        <v>865</v>
      </c>
      <c r="B64" s="81" t="s">
        <v>581</v>
      </c>
      <c r="C64" s="134"/>
      <c r="D64" s="134"/>
      <c r="E64" s="134"/>
      <c r="F64" s="134"/>
      <c r="G64" s="134"/>
      <c r="H64" s="134"/>
      <c r="I64" s="134"/>
      <c r="J64" s="134"/>
      <c r="K64" s="134"/>
      <c r="L64" s="84"/>
      <c r="M64" s="81" t="s">
        <v>582</v>
      </c>
      <c r="N64" s="84"/>
      <c r="O64" s="58">
        <v>1950</v>
      </c>
      <c r="P64" s="359"/>
      <c r="Q64" s="59"/>
      <c r="R64" t="s">
        <v>0</v>
      </c>
      <c r="S64" t="s">
        <v>0</v>
      </c>
      <c r="T64" t="s">
        <v>0</v>
      </c>
      <c r="U64" t="s">
        <v>0</v>
      </c>
      <c r="V64" t="s">
        <v>0</v>
      </c>
      <c r="W64" t="s">
        <v>0</v>
      </c>
      <c r="X64" t="s">
        <v>0</v>
      </c>
      <c r="Y64" t="s">
        <v>0</v>
      </c>
      <c r="Z64" t="s">
        <v>0</v>
      </c>
      <c r="AA64" t="s">
        <v>0</v>
      </c>
    </row>
    <row r="65" ht="15" customHeight="1" spans="1:27" x14ac:dyDescent="0.25">
      <c r="A65" s="228" t="s">
        <v>865</v>
      </c>
      <c r="B65" s="81" t="s">
        <v>581</v>
      </c>
      <c r="C65" s="134"/>
      <c r="D65" s="134"/>
      <c r="E65" s="134"/>
      <c r="F65" s="134"/>
      <c r="G65" s="134"/>
      <c r="H65" s="134"/>
      <c r="I65" s="134"/>
      <c r="J65" s="134"/>
      <c r="K65" s="134"/>
      <c r="L65" s="84"/>
      <c r="M65" s="81" t="s">
        <v>874</v>
      </c>
      <c r="N65" s="84"/>
      <c r="O65" s="85">
        <v>2200</v>
      </c>
      <c r="P65" s="355"/>
      <c r="Q65" s="86"/>
      <c r="R65" t="s">
        <v>0</v>
      </c>
      <c r="S65" t="s">
        <v>0</v>
      </c>
      <c r="T65" t="s">
        <v>0</v>
      </c>
      <c r="U65" t="s">
        <v>0</v>
      </c>
      <c r="V65" t="s">
        <v>0</v>
      </c>
      <c r="W65" t="s">
        <v>0</v>
      </c>
      <c r="X65" t="s">
        <v>0</v>
      </c>
      <c r="Y65" t="s">
        <v>0</v>
      </c>
      <c r="Z65" t="s">
        <v>0</v>
      </c>
      <c r="AA65" t="s">
        <v>0</v>
      </c>
    </row>
    <row r="66" ht="51.75" customHeight="1" spans="1:27" x14ac:dyDescent="0.25">
      <c r="A66" s="228" t="s">
        <v>875</v>
      </c>
      <c r="B66" s="81" t="s">
        <v>876</v>
      </c>
      <c r="C66" s="134"/>
      <c r="D66" s="134"/>
      <c r="E66" s="134"/>
      <c r="F66" s="134"/>
      <c r="G66" s="134"/>
      <c r="H66" s="134"/>
      <c r="I66" s="134"/>
      <c r="J66" s="134"/>
      <c r="K66" s="134"/>
      <c r="L66" s="84"/>
      <c r="M66" s="81" t="s">
        <v>877</v>
      </c>
      <c r="N66" s="84"/>
      <c r="O66" s="85">
        <v>4300</v>
      </c>
      <c r="P66" s="355"/>
      <c r="Q66" s="86"/>
      <c r="R66" t="s">
        <v>0</v>
      </c>
      <c r="S66" t="s">
        <v>0</v>
      </c>
      <c r="T66" t="s">
        <v>0</v>
      </c>
      <c r="U66" t="s">
        <v>0</v>
      </c>
      <c r="V66" t="s">
        <v>0</v>
      </c>
      <c r="W66" t="s">
        <v>0</v>
      </c>
      <c r="X66" t="s">
        <v>0</v>
      </c>
      <c r="Y66" t="s">
        <v>0</v>
      </c>
      <c r="Z66" t="s">
        <v>0</v>
      </c>
      <c r="AA66" t="s">
        <v>0</v>
      </c>
    </row>
    <row r="67" ht="16.5" customHeight="1" spans="1:27" x14ac:dyDescent="0.25">
      <c r="A67" s="228" t="s">
        <v>878</v>
      </c>
      <c r="B67" s="81" t="s">
        <v>879</v>
      </c>
      <c r="C67" s="134"/>
      <c r="D67" s="134"/>
      <c r="E67" s="134"/>
      <c r="F67" s="134"/>
      <c r="G67" s="134"/>
      <c r="H67" s="134"/>
      <c r="I67" s="134"/>
      <c r="J67" s="134"/>
      <c r="K67" s="134"/>
      <c r="L67" s="84"/>
      <c r="M67" s="81" t="s">
        <v>880</v>
      </c>
      <c r="N67" s="84"/>
      <c r="O67" s="85">
        <v>30010</v>
      </c>
      <c r="P67" s="355"/>
      <c r="Q67" s="86"/>
      <c r="R67" t="s">
        <v>0</v>
      </c>
      <c r="S67" t="s">
        <v>0</v>
      </c>
      <c r="T67" t="s">
        <v>0</v>
      </c>
      <c r="U67" t="s">
        <v>0</v>
      </c>
      <c r="V67" t="s">
        <v>0</v>
      </c>
      <c r="W67" t="s">
        <v>0</v>
      </c>
      <c r="X67" t="s">
        <v>0</v>
      </c>
      <c r="Y67" t="s">
        <v>0</v>
      </c>
      <c r="Z67" t="s">
        <v>0</v>
      </c>
      <c r="AA67" t="s">
        <v>0</v>
      </c>
    </row>
    <row r="68" ht="16.5" customHeight="1" spans="1:27" x14ac:dyDescent="0.25">
      <c r="A68" s="228" t="s">
        <v>881</v>
      </c>
      <c r="B68" s="81" t="s">
        <v>882</v>
      </c>
      <c r="C68" s="134"/>
      <c r="D68" s="134"/>
      <c r="E68" s="134"/>
      <c r="F68" s="134"/>
      <c r="G68" s="134"/>
      <c r="H68" s="134"/>
      <c r="I68" s="134"/>
      <c r="J68" s="134"/>
      <c r="K68" s="134"/>
      <c r="L68" s="84"/>
      <c r="M68" s="81" t="s">
        <v>883</v>
      </c>
      <c r="N68" s="84"/>
      <c r="O68" s="85">
        <v>6395</v>
      </c>
      <c r="P68" s="355"/>
      <c r="Q68" s="86"/>
      <c r="R68" t="s">
        <v>0</v>
      </c>
      <c r="S68" t="s">
        <v>0</v>
      </c>
      <c r="T68" t="s">
        <v>0</v>
      </c>
      <c r="U68" t="s">
        <v>0</v>
      </c>
      <c r="V68" t="s">
        <v>0</v>
      </c>
      <c r="W68" t="s">
        <v>0</v>
      </c>
      <c r="X68" t="s">
        <v>0</v>
      </c>
      <c r="Y68" t="s">
        <v>0</v>
      </c>
      <c r="Z68" t="s">
        <v>0</v>
      </c>
      <c r="AA68" t="s">
        <v>0</v>
      </c>
    </row>
    <row r="69" ht="16.5" customHeight="1" spans="1:27" x14ac:dyDescent="0.25">
      <c r="A69" s="228" t="s">
        <v>869</v>
      </c>
      <c r="B69" s="81" t="s">
        <v>882</v>
      </c>
      <c r="C69" s="134"/>
      <c r="D69" s="134"/>
      <c r="E69" s="134"/>
      <c r="F69" s="134"/>
      <c r="G69" s="134"/>
      <c r="H69" s="134"/>
      <c r="I69" s="134"/>
      <c r="J69" s="134"/>
      <c r="K69" s="134"/>
      <c r="L69" s="84"/>
      <c r="M69" s="81" t="s">
        <v>883</v>
      </c>
      <c r="N69" s="84"/>
      <c r="O69" s="85">
        <v>6491</v>
      </c>
      <c r="P69" s="355"/>
      <c r="Q69" s="86"/>
      <c r="R69" t="s">
        <v>0</v>
      </c>
      <c r="S69" t="s">
        <v>0</v>
      </c>
      <c r="T69" t="s">
        <v>0</v>
      </c>
      <c r="U69" t="s">
        <v>0</v>
      </c>
      <c r="V69" t="s">
        <v>0</v>
      </c>
      <c r="W69" t="s">
        <v>0</v>
      </c>
      <c r="X69" t="s">
        <v>0</v>
      </c>
      <c r="Y69" t="s">
        <v>0</v>
      </c>
      <c r="Z69" t="s">
        <v>0</v>
      </c>
      <c r="AA69" t="s">
        <v>0</v>
      </c>
    </row>
    <row r="70" ht="20.25" customHeight="1" spans="1:27" x14ac:dyDescent="0.25">
      <c r="A70" s="228" t="s">
        <v>884</v>
      </c>
      <c r="B70" s="81" t="s">
        <v>885</v>
      </c>
      <c r="C70" s="134"/>
      <c r="D70" s="134"/>
      <c r="E70" s="134"/>
      <c r="F70" s="134"/>
      <c r="G70" s="134"/>
      <c r="H70" s="134"/>
      <c r="I70" s="134"/>
      <c r="J70" s="134"/>
      <c r="K70" s="134"/>
      <c r="L70" s="84"/>
      <c r="M70" s="81" t="s">
        <v>886</v>
      </c>
      <c r="N70" s="84"/>
      <c r="O70" s="85">
        <v>29960</v>
      </c>
      <c r="P70" s="355"/>
      <c r="Q70" s="86"/>
      <c r="R70" t="s">
        <v>0</v>
      </c>
      <c r="S70" t="s">
        <v>0</v>
      </c>
      <c r="T70" t="s">
        <v>0</v>
      </c>
      <c r="U70" t="s">
        <v>0</v>
      </c>
      <c r="V70" t="s">
        <v>0</v>
      </c>
      <c r="W70" t="s">
        <v>0</v>
      </c>
      <c r="X70" t="s">
        <v>0</v>
      </c>
      <c r="Y70" t="s">
        <v>0</v>
      </c>
      <c r="Z70" t="s">
        <v>0</v>
      </c>
      <c r="AA70" t="s">
        <v>0</v>
      </c>
    </row>
    <row r="71" ht="21" customHeight="1" spans="1:27" x14ac:dyDescent="0.25">
      <c r="A71" s="228" t="s">
        <v>887</v>
      </c>
      <c r="B71" s="81" t="s">
        <v>888</v>
      </c>
      <c r="C71" s="134"/>
      <c r="D71" s="134"/>
      <c r="E71" s="134"/>
      <c r="F71" s="134"/>
      <c r="G71" s="134"/>
      <c r="H71" s="134"/>
      <c r="I71" s="134"/>
      <c r="J71" s="134"/>
      <c r="K71" s="134"/>
      <c r="L71" s="84"/>
      <c r="M71" s="81" t="s">
        <v>589</v>
      </c>
      <c r="N71" s="84"/>
      <c r="O71" s="211">
        <v>7535</v>
      </c>
      <c r="P71" s="360"/>
      <c r="Q71" s="212"/>
      <c r="R71" t="s">
        <v>0</v>
      </c>
      <c r="S71" t="s">
        <v>0</v>
      </c>
      <c r="T71" t="s">
        <v>0</v>
      </c>
      <c r="U71" t="s">
        <v>0</v>
      </c>
      <c r="V71" t="s">
        <v>0</v>
      </c>
      <c r="W71" t="s">
        <v>0</v>
      </c>
      <c r="X71" t="s">
        <v>0</v>
      </c>
      <c r="Y71" t="s">
        <v>0</v>
      </c>
      <c r="Z71" t="s">
        <v>0</v>
      </c>
      <c r="AA71" t="s">
        <v>0</v>
      </c>
    </row>
    <row r="72" ht="18.75" customHeight="1" spans="1:27" x14ac:dyDescent="0.25">
      <c r="A72" s="228" t="s">
        <v>889</v>
      </c>
      <c r="B72" s="81" t="s">
        <v>888</v>
      </c>
      <c r="C72" s="134"/>
      <c r="D72" s="134"/>
      <c r="E72" s="134"/>
      <c r="F72" s="134"/>
      <c r="G72" s="134"/>
      <c r="H72" s="134"/>
      <c r="I72" s="134"/>
      <c r="J72" s="134"/>
      <c r="K72" s="134"/>
      <c r="L72" s="84"/>
      <c r="M72" s="81" t="s">
        <v>589</v>
      </c>
      <c r="N72" s="84"/>
      <c r="O72" s="211">
        <v>7535</v>
      </c>
      <c r="P72" s="360"/>
      <c r="Q72" s="212"/>
      <c r="R72" t="s">
        <v>0</v>
      </c>
      <c r="S72" t="s">
        <v>0</v>
      </c>
      <c r="T72" t="s">
        <v>0</v>
      </c>
      <c r="U72" t="s">
        <v>0</v>
      </c>
      <c r="V72" t="s">
        <v>0</v>
      </c>
      <c r="W72" t="s">
        <v>0</v>
      </c>
      <c r="X72" t="s">
        <v>0</v>
      </c>
      <c r="Y72" t="s">
        <v>0</v>
      </c>
      <c r="Z72" t="s">
        <v>0</v>
      </c>
      <c r="AA72" t="s">
        <v>0</v>
      </c>
    </row>
    <row r="73" ht="15" customHeight="1" spans="1:27" x14ac:dyDescent="0.25">
      <c r="A73" s="228" t="s">
        <v>878</v>
      </c>
      <c r="B73" s="81" t="s">
        <v>879</v>
      </c>
      <c r="C73" s="134"/>
      <c r="D73" s="134"/>
      <c r="E73" s="134"/>
      <c r="F73" s="134"/>
      <c r="G73" s="134"/>
      <c r="H73" s="134"/>
      <c r="I73" s="134"/>
      <c r="J73" s="134"/>
      <c r="K73" s="134"/>
      <c r="L73" s="84"/>
      <c r="M73" s="81" t="s">
        <v>890</v>
      </c>
      <c r="N73" s="84"/>
      <c r="O73" s="211">
        <v>4243</v>
      </c>
      <c r="P73" s="360"/>
      <c r="Q73" s="212"/>
      <c r="R73" t="s">
        <v>0</v>
      </c>
      <c r="S73" t="s">
        <v>0</v>
      </c>
      <c r="T73" t="s">
        <v>0</v>
      </c>
      <c r="U73" t="s">
        <v>0</v>
      </c>
      <c r="V73" t="s">
        <v>0</v>
      </c>
      <c r="W73" t="s">
        <v>0</v>
      </c>
      <c r="X73" t="s">
        <v>0</v>
      </c>
      <c r="Y73" t="s">
        <v>0</v>
      </c>
      <c r="Z73" t="s">
        <v>0</v>
      </c>
      <c r="AA73" t="s">
        <v>0</v>
      </c>
    </row>
    <row r="74" ht="20.25" customHeight="1" spans="1:27" x14ac:dyDescent="0.25">
      <c r="A74" s="228" t="s">
        <v>84</v>
      </c>
      <c r="B74" s="81" t="s">
        <v>891</v>
      </c>
      <c r="C74" s="134"/>
      <c r="D74" s="134"/>
      <c r="E74" s="134"/>
      <c r="F74" s="134"/>
      <c r="G74" s="134"/>
      <c r="H74" s="134"/>
      <c r="I74" s="134"/>
      <c r="J74" s="134"/>
      <c r="K74" s="134"/>
      <c r="L74" s="84"/>
      <c r="M74" s="81" t="s">
        <v>90</v>
      </c>
      <c r="N74" s="84"/>
      <c r="O74" s="211">
        <v>1150</v>
      </c>
      <c r="P74" s="360"/>
      <c r="Q74" s="212"/>
      <c r="R74" t="s">
        <v>0</v>
      </c>
      <c r="S74" t="s">
        <v>0</v>
      </c>
      <c r="T74" t="s">
        <v>0</v>
      </c>
      <c r="U74" t="s">
        <v>0</v>
      </c>
      <c r="V74" t="s">
        <v>0</v>
      </c>
      <c r="W74" t="s">
        <v>0</v>
      </c>
      <c r="X74" t="s">
        <v>0</v>
      </c>
      <c r="Y74" t="s">
        <v>0</v>
      </c>
      <c r="Z74" t="s">
        <v>0</v>
      </c>
      <c r="AA74" t="s">
        <v>0</v>
      </c>
    </row>
    <row r="75" ht="83.25" customHeight="1" spans="1:27" x14ac:dyDescent="0.25">
      <c r="A75" s="228" t="s">
        <v>858</v>
      </c>
      <c r="B75" s="81" t="s">
        <v>892</v>
      </c>
      <c r="C75" s="134"/>
      <c r="D75" s="134"/>
      <c r="E75" s="134"/>
      <c r="F75" s="134"/>
      <c r="G75" s="134"/>
      <c r="H75" s="134"/>
      <c r="I75" s="134"/>
      <c r="J75" s="134"/>
      <c r="K75" s="134"/>
      <c r="L75" s="84"/>
      <c r="M75" s="81" t="s">
        <v>893</v>
      </c>
      <c r="N75" s="84"/>
      <c r="O75" s="211">
        <v>3150</v>
      </c>
      <c r="P75" s="360"/>
      <c r="Q75" s="212"/>
      <c r="R75" t="s">
        <v>0</v>
      </c>
      <c r="S75" t="s">
        <v>0</v>
      </c>
      <c r="T75" t="s">
        <v>0</v>
      </c>
      <c r="U75" t="s">
        <v>0</v>
      </c>
      <c r="V75" t="s">
        <v>0</v>
      </c>
      <c r="W75" t="s">
        <v>0</v>
      </c>
      <c r="X75" t="s">
        <v>0</v>
      </c>
      <c r="Y75" t="s">
        <v>0</v>
      </c>
      <c r="Z75" t="s">
        <v>0</v>
      </c>
      <c r="AA75" t="s">
        <v>0</v>
      </c>
    </row>
    <row r="76" ht="15.75" customHeight="1" spans="1:27" x14ac:dyDescent="0.25">
      <c r="A76" s="228" t="s">
        <v>894</v>
      </c>
      <c r="B76" s="81" t="s">
        <v>895</v>
      </c>
      <c r="C76" s="134"/>
      <c r="D76" s="134"/>
      <c r="E76" s="134"/>
      <c r="F76" s="134"/>
      <c r="G76" s="134"/>
      <c r="H76" s="134"/>
      <c r="I76" s="134"/>
      <c r="J76" s="134"/>
      <c r="K76" s="134"/>
      <c r="L76" s="84"/>
      <c r="M76" s="81" t="s">
        <v>595</v>
      </c>
      <c r="N76" s="84"/>
      <c r="O76" s="85">
        <v>850</v>
      </c>
      <c r="P76" s="355"/>
      <c r="Q76" s="86"/>
      <c r="R76" t="s">
        <v>0</v>
      </c>
      <c r="S76" t="s">
        <v>0</v>
      </c>
      <c r="T76" t="s">
        <v>0</v>
      </c>
      <c r="U76" t="s">
        <v>0</v>
      </c>
      <c r="V76" t="s">
        <v>0</v>
      </c>
      <c r="W76" t="s">
        <v>0</v>
      </c>
      <c r="X76" t="s">
        <v>0</v>
      </c>
      <c r="Y76" t="s">
        <v>0</v>
      </c>
      <c r="Z76" t="s">
        <v>0</v>
      </c>
      <c r="AA76" t="s">
        <v>0</v>
      </c>
    </row>
    <row r="77" ht="16.5" customHeight="1" spans="1:27" x14ac:dyDescent="0.25">
      <c r="A77" s="228" t="s">
        <v>896</v>
      </c>
      <c r="B77" s="81" t="s">
        <v>895</v>
      </c>
      <c r="C77" s="134"/>
      <c r="D77" s="134"/>
      <c r="E77" s="134"/>
      <c r="F77" s="134"/>
      <c r="G77" s="134"/>
      <c r="H77" s="134"/>
      <c r="I77" s="134"/>
      <c r="J77" s="134"/>
      <c r="K77" s="134"/>
      <c r="L77" s="84"/>
      <c r="M77" s="81" t="s">
        <v>595</v>
      </c>
      <c r="N77" s="84"/>
      <c r="O77" s="85">
        <v>850</v>
      </c>
      <c r="P77" s="355"/>
      <c r="Q77" s="86"/>
      <c r="R77" t="s">
        <v>0</v>
      </c>
      <c r="S77" t="s">
        <v>0</v>
      </c>
      <c r="T77" t="s">
        <v>0</v>
      </c>
      <c r="U77" t="s">
        <v>0</v>
      </c>
      <c r="V77" t="s">
        <v>0</v>
      </c>
      <c r="W77" t="s">
        <v>0</v>
      </c>
      <c r="X77" t="s">
        <v>0</v>
      </c>
      <c r="Y77" t="s">
        <v>0</v>
      </c>
      <c r="Z77" t="s">
        <v>0</v>
      </c>
      <c r="AA77" t="s">
        <v>0</v>
      </c>
    </row>
    <row r="78" ht="49.5" customHeight="1" spans="1:27" x14ac:dyDescent="0.25">
      <c r="A78" s="228" t="s">
        <v>897</v>
      </c>
      <c r="B78" s="147" t="s">
        <v>898</v>
      </c>
      <c r="C78" s="148"/>
      <c r="D78" s="148"/>
      <c r="E78" s="148"/>
      <c r="F78" s="148"/>
      <c r="G78" s="148"/>
      <c r="H78" s="148"/>
      <c r="I78" s="148"/>
      <c r="J78" s="148"/>
      <c r="K78" s="148"/>
      <c r="L78" s="149"/>
      <c r="M78" s="81" t="s">
        <v>598</v>
      </c>
      <c r="N78" s="84"/>
      <c r="O78" s="85">
        <v>2000</v>
      </c>
      <c r="P78" s="355"/>
      <c r="Q78" s="86"/>
      <c r="R78" t="s">
        <v>0</v>
      </c>
      <c r="S78" t="s">
        <v>0</v>
      </c>
      <c r="T78" t="s">
        <v>0</v>
      </c>
      <c r="U78" t="s">
        <v>0</v>
      </c>
      <c r="V78" t="s">
        <v>0</v>
      </c>
      <c r="W78" t="s">
        <v>0</v>
      </c>
      <c r="X78" t="s">
        <v>0</v>
      </c>
      <c r="Y78" t="s">
        <v>0</v>
      </c>
      <c r="Z78" t="s">
        <v>0</v>
      </c>
      <c r="AA78" t="s">
        <v>0</v>
      </c>
    </row>
    <row r="79" ht="46.5" customHeight="1" spans="1:27" x14ac:dyDescent="0.25">
      <c r="A79" s="228" t="s">
        <v>871</v>
      </c>
      <c r="B79" s="81" t="s">
        <v>899</v>
      </c>
      <c r="C79" s="134"/>
      <c r="D79" s="134"/>
      <c r="E79" s="134"/>
      <c r="F79" s="134"/>
      <c r="G79" s="134"/>
      <c r="H79" s="134"/>
      <c r="I79" s="134"/>
      <c r="J79" s="134"/>
      <c r="K79" s="134"/>
      <c r="L79" s="84"/>
      <c r="M79" s="81" t="s">
        <v>900</v>
      </c>
      <c r="N79" s="84"/>
      <c r="O79" s="85">
        <v>3000</v>
      </c>
      <c r="P79" s="355"/>
      <c r="Q79" s="86"/>
      <c r="R79" t="s">
        <v>0</v>
      </c>
      <c r="S79" t="s">
        <v>0</v>
      </c>
      <c r="T79" t="s">
        <v>0</v>
      </c>
      <c r="U79" t="s">
        <v>0</v>
      </c>
      <c r="V79" t="s">
        <v>0</v>
      </c>
      <c r="W79" t="s">
        <v>0</v>
      </c>
      <c r="X79" t="s">
        <v>0</v>
      </c>
      <c r="Y79" t="s">
        <v>0</v>
      </c>
      <c r="Z79" t="s">
        <v>0</v>
      </c>
      <c r="AA79" t="s">
        <v>0</v>
      </c>
    </row>
    <row r="80" ht="15.75" customHeight="1" spans="1:27" x14ac:dyDescent="0.25">
      <c r="A80" s="228" t="s">
        <v>858</v>
      </c>
      <c r="B80" s="81" t="s">
        <v>901</v>
      </c>
      <c r="C80" s="134"/>
      <c r="D80" s="134"/>
      <c r="E80" s="134"/>
      <c r="F80" s="134"/>
      <c r="G80" s="134"/>
      <c r="H80" s="134"/>
      <c r="I80" s="134"/>
      <c r="J80" s="134"/>
      <c r="K80" s="134"/>
      <c r="L80" s="84"/>
      <c r="M80" s="81" t="s">
        <v>902</v>
      </c>
      <c r="N80" s="84"/>
      <c r="O80" s="85">
        <v>6000</v>
      </c>
      <c r="P80" s="355"/>
      <c r="Q80" s="86"/>
      <c r="R80" t="s">
        <v>0</v>
      </c>
      <c r="S80" t="s">
        <v>0</v>
      </c>
      <c r="T80" t="s">
        <v>0</v>
      </c>
      <c r="U80" t="s">
        <v>0</v>
      </c>
      <c r="V80" t="s">
        <v>0</v>
      </c>
      <c r="W80" t="s">
        <v>0</v>
      </c>
      <c r="X80" t="s">
        <v>0</v>
      </c>
      <c r="Y80" t="s">
        <v>0</v>
      </c>
      <c r="Z80" t="s">
        <v>0</v>
      </c>
      <c r="AA80" t="s">
        <v>0</v>
      </c>
    </row>
    <row r="81" ht="45.75" customHeight="1" spans="1:27" x14ac:dyDescent="0.25">
      <c r="A81" s="228" t="s">
        <v>903</v>
      </c>
      <c r="B81" s="147" t="s">
        <v>898</v>
      </c>
      <c r="C81" s="148"/>
      <c r="D81" s="148"/>
      <c r="E81" s="148"/>
      <c r="F81" s="148"/>
      <c r="G81" s="148"/>
      <c r="H81" s="148"/>
      <c r="I81" s="148"/>
      <c r="J81" s="148"/>
      <c r="K81" s="148"/>
      <c r="L81" s="149"/>
      <c r="M81" s="81" t="s">
        <v>598</v>
      </c>
      <c r="N81" s="84"/>
      <c r="O81" s="85">
        <v>2000</v>
      </c>
      <c r="P81" s="355"/>
      <c r="Q81" s="86"/>
      <c r="R81" t="s">
        <v>0</v>
      </c>
      <c r="S81" t="s">
        <v>0</v>
      </c>
      <c r="T81" t="s">
        <v>0</v>
      </c>
      <c r="U81" t="s">
        <v>0</v>
      </c>
      <c r="V81" t="s">
        <v>0</v>
      </c>
      <c r="W81" t="s">
        <v>0</v>
      </c>
      <c r="X81" t="s">
        <v>0</v>
      </c>
      <c r="Y81" t="s">
        <v>0</v>
      </c>
      <c r="Z81" t="s">
        <v>0</v>
      </c>
      <c r="AA81" t="s">
        <v>0</v>
      </c>
    </row>
    <row r="82" spans="1:27" x14ac:dyDescent="0.25">
      <c r="A82" s="228" t="s">
        <v>0</v>
      </c>
      <c r="B82" s="172"/>
      <c r="C82" s="82"/>
      <c r="D82" s="82"/>
      <c r="E82" s="82"/>
      <c r="F82" s="82"/>
      <c r="G82" s="82"/>
      <c r="H82" s="82"/>
      <c r="I82" s="82"/>
      <c r="J82" s="82"/>
      <c r="K82" s="82"/>
      <c r="L82" s="83"/>
      <c r="M82" s="81"/>
      <c r="N82" s="84"/>
      <c r="O82" s="85"/>
      <c r="P82" s="355"/>
      <c r="Q82" s="86"/>
      <c r="R82" t="s">
        <v>0</v>
      </c>
      <c r="S82" t="s">
        <v>0</v>
      </c>
      <c r="T82" t="s">
        <v>0</v>
      </c>
      <c r="U82" t="s">
        <v>0</v>
      </c>
      <c r="V82" t="s">
        <v>0</v>
      </c>
      <c r="W82" t="s">
        <v>0</v>
      </c>
      <c r="X82" t="s">
        <v>0</v>
      </c>
      <c r="Y82" t="s">
        <v>0</v>
      </c>
      <c r="Z82" t="s">
        <v>0</v>
      </c>
      <c r="AA82" t="s">
        <v>0</v>
      </c>
    </row>
    <row r="83" spans="1:27" x14ac:dyDescent="0.25">
      <c r="A83" s="228" t="s">
        <v>0</v>
      </c>
      <c r="B83" s="172"/>
      <c r="C83" s="82"/>
      <c r="D83" s="82"/>
      <c r="E83" s="82"/>
      <c r="F83" s="82"/>
      <c r="G83" s="82"/>
      <c r="H83" s="82"/>
      <c r="I83" s="82"/>
      <c r="J83" s="82"/>
      <c r="K83" s="82"/>
      <c r="L83" s="83"/>
      <c r="M83" s="81"/>
      <c r="N83" s="84"/>
      <c r="O83" s="85"/>
      <c r="P83" s="355"/>
      <c r="Q83" s="86"/>
      <c r="R83" t="s">
        <v>0</v>
      </c>
      <c r="S83" t="s">
        <v>0</v>
      </c>
      <c r="T83" t="s">
        <v>0</v>
      </c>
      <c r="U83" t="s">
        <v>0</v>
      </c>
      <c r="V83" t="s">
        <v>0</v>
      </c>
      <c r="W83" t="s">
        <v>0</v>
      </c>
      <c r="X83" t="s">
        <v>0</v>
      </c>
      <c r="Y83" t="s">
        <v>0</v>
      </c>
      <c r="Z83" t="s">
        <v>0</v>
      </c>
      <c r="AA83" t="s">
        <v>0</v>
      </c>
    </row>
    <row r="84" spans="1:27" x14ac:dyDescent="0.25">
      <c r="A84" s="228" t="s">
        <v>0</v>
      </c>
      <c r="B84" s="172"/>
      <c r="C84" s="82"/>
      <c r="D84" s="82"/>
      <c r="E84" s="82"/>
      <c r="F84" s="82"/>
      <c r="G84" s="82"/>
      <c r="H84" s="82"/>
      <c r="I84" s="82"/>
      <c r="J84" s="82"/>
      <c r="K84" s="82"/>
      <c r="L84" s="83"/>
      <c r="M84" s="81"/>
      <c r="N84" s="84"/>
      <c r="O84" s="85"/>
      <c r="P84" s="355"/>
      <c r="Q84" s="86"/>
      <c r="R84" t="s">
        <v>0</v>
      </c>
      <c r="S84" t="s">
        <v>0</v>
      </c>
      <c r="T84" t="s">
        <v>0</v>
      </c>
      <c r="U84" t="s">
        <v>0</v>
      </c>
      <c r="V84" t="s">
        <v>0</v>
      </c>
      <c r="W84" t="s">
        <v>0</v>
      </c>
      <c r="X84" t="s">
        <v>0</v>
      </c>
      <c r="Y84" t="s">
        <v>0</v>
      </c>
      <c r="Z84" t="s">
        <v>0</v>
      </c>
      <c r="AA84" t="s">
        <v>0</v>
      </c>
    </row>
    <row r="85" spans="1:27" x14ac:dyDescent="0.25">
      <c r="A85" s="228" t="s">
        <v>0</v>
      </c>
      <c r="B85" s="172"/>
      <c r="C85" s="82"/>
      <c r="D85" s="82"/>
      <c r="E85" s="82"/>
      <c r="F85" s="82"/>
      <c r="G85" s="82"/>
      <c r="H85" s="82"/>
      <c r="I85" s="82"/>
      <c r="J85" s="82"/>
      <c r="K85" s="82"/>
      <c r="L85" s="83"/>
      <c r="M85" s="81"/>
      <c r="N85" s="84"/>
      <c r="O85" s="85"/>
      <c r="P85" s="355"/>
      <c r="Q85" s="86"/>
      <c r="R85" t="s">
        <v>0</v>
      </c>
      <c r="S85" t="s">
        <v>0</v>
      </c>
      <c r="T85" t="s">
        <v>0</v>
      </c>
      <c r="U85" t="s">
        <v>0</v>
      </c>
      <c r="V85" t="s">
        <v>0</v>
      </c>
      <c r="W85" t="s">
        <v>0</v>
      </c>
      <c r="X85" t="s">
        <v>0</v>
      </c>
      <c r="Y85" t="s">
        <v>0</v>
      </c>
      <c r="Z85" t="s">
        <v>0</v>
      </c>
      <c r="AA85" t="s">
        <v>0</v>
      </c>
    </row>
    <row r="86" spans="1:27" x14ac:dyDescent="0.25">
      <c r="A86" s="228" t="s">
        <v>0</v>
      </c>
      <c r="B86" s="172"/>
      <c r="C86" s="82"/>
      <c r="D86" s="82"/>
      <c r="E86" s="82"/>
      <c r="F86" s="82"/>
      <c r="G86" s="82"/>
      <c r="H86" s="82"/>
      <c r="I86" s="82"/>
      <c r="J86" s="82"/>
      <c r="K86" s="82"/>
      <c r="L86" s="83"/>
      <c r="M86" s="81"/>
      <c r="N86" s="84"/>
      <c r="O86" s="85"/>
      <c r="P86" s="355"/>
      <c r="Q86" s="86"/>
      <c r="R86" t="s">
        <v>0</v>
      </c>
      <c r="S86" t="s">
        <v>0</v>
      </c>
      <c r="T86" t="s">
        <v>0</v>
      </c>
      <c r="U86" t="s">
        <v>0</v>
      </c>
      <c r="V86" t="s">
        <v>0</v>
      </c>
      <c r="W86" t="s">
        <v>0</v>
      </c>
      <c r="X86" t="s">
        <v>0</v>
      </c>
      <c r="Y86" t="s">
        <v>0</v>
      </c>
      <c r="Z86" t="s">
        <v>0</v>
      </c>
      <c r="AA86" t="s">
        <v>0</v>
      </c>
    </row>
    <row r="87" spans="1:27" x14ac:dyDescent="0.25">
      <c r="A87" s="228" t="s">
        <v>0</v>
      </c>
      <c r="B87" s="172"/>
      <c r="C87" s="82"/>
      <c r="D87" s="82"/>
      <c r="E87" s="82"/>
      <c r="F87" s="82"/>
      <c r="G87" s="82"/>
      <c r="H87" s="82"/>
      <c r="I87" s="82"/>
      <c r="J87" s="82"/>
      <c r="K87" s="82"/>
      <c r="L87" s="83"/>
      <c r="M87" s="81"/>
      <c r="N87" s="134"/>
      <c r="O87" s="211"/>
      <c r="P87" s="360"/>
      <c r="Q87" s="212"/>
      <c r="R87" t="s">
        <v>0</v>
      </c>
      <c r="S87" t="s">
        <v>0</v>
      </c>
      <c r="T87" t="s">
        <v>0</v>
      </c>
      <c r="U87" t="s">
        <v>0</v>
      </c>
      <c r="V87" t="s">
        <v>0</v>
      </c>
      <c r="W87" t="s">
        <v>0</v>
      </c>
      <c r="X87" t="s">
        <v>0</v>
      </c>
      <c r="Y87" t="s">
        <v>0</v>
      </c>
      <c r="Z87" t="s">
        <v>0</v>
      </c>
      <c r="AA87" t="s">
        <v>0</v>
      </c>
    </row>
    <row r="88" spans="1:27" x14ac:dyDescent="0.25">
      <c r="A88" s="133" t="s">
        <v>0</v>
      </c>
      <c r="B88" s="172"/>
      <c r="C88" s="82"/>
      <c r="D88" s="82"/>
      <c r="E88" s="82"/>
      <c r="F88" s="82"/>
      <c r="G88" s="82"/>
      <c r="H88" s="82"/>
      <c r="I88" s="82"/>
      <c r="J88" s="82"/>
      <c r="K88" s="82"/>
      <c r="L88" s="83"/>
      <c r="M88" s="47"/>
      <c r="N88" s="48"/>
      <c r="O88" s="211"/>
      <c r="P88" s="360"/>
      <c r="Q88" s="212"/>
      <c r="R88" t="s">
        <v>0</v>
      </c>
      <c r="S88" t="s">
        <v>0</v>
      </c>
      <c r="T88" t="s">
        <v>0</v>
      </c>
      <c r="U88" t="s">
        <v>0</v>
      </c>
      <c r="V88" t="s">
        <v>0</v>
      </c>
      <c r="W88" t="s">
        <v>0</v>
      </c>
      <c r="X88" t="s">
        <v>0</v>
      </c>
      <c r="Y88" t="s">
        <v>0</v>
      </c>
      <c r="Z88" t="s">
        <v>0</v>
      </c>
      <c r="AA88" t="s">
        <v>0</v>
      </c>
    </row>
    <row r="89" ht="15.75" customHeight="1" spans="1:27" x14ac:dyDescent="0.25">
      <c r="A89" s="361" t="s">
        <v>0</v>
      </c>
      <c r="B89" s="362"/>
      <c r="C89" s="363"/>
      <c r="D89" s="363"/>
      <c r="E89" s="363"/>
      <c r="F89" s="363"/>
      <c r="G89" s="363"/>
      <c r="H89" s="363"/>
      <c r="I89" s="363"/>
      <c r="J89" s="363"/>
      <c r="K89" s="363"/>
      <c r="L89" s="364"/>
      <c r="M89" s="365"/>
      <c r="N89" s="366"/>
      <c r="O89" s="367"/>
      <c r="P89" s="368"/>
      <c r="Q89" s="369"/>
      <c r="R89" t="s">
        <v>0</v>
      </c>
      <c r="S89" t="s">
        <v>0</v>
      </c>
      <c r="T89" t="s">
        <v>0</v>
      </c>
      <c r="U89" t="s">
        <v>0</v>
      </c>
      <c r="V89" t="s">
        <v>0</v>
      </c>
      <c r="W89" t="s">
        <v>0</v>
      </c>
      <c r="X89" t="s">
        <v>0</v>
      </c>
      <c r="Y89" t="s">
        <v>0</v>
      </c>
      <c r="Z89" t="s">
        <v>0</v>
      </c>
      <c r="AA89" t="s">
        <v>0</v>
      </c>
    </row>
    <row r="90" ht="15.75" customHeight="1" spans="1:27" x14ac:dyDescent="0.25">
      <c r="A90" s="93" t="s">
        <v>0</v>
      </c>
      <c r="B90" s="328"/>
      <c r="C90" s="329"/>
      <c r="D90" s="329"/>
      <c r="E90" s="329"/>
      <c r="F90" s="329"/>
      <c r="G90" s="329"/>
      <c r="H90" s="329"/>
      <c r="I90" s="329"/>
      <c r="J90" s="329"/>
      <c r="K90" s="329"/>
      <c r="L90" s="330"/>
      <c r="M90" s="97" t="s">
        <v>96</v>
      </c>
      <c r="N90" s="98"/>
      <c r="O90" s="331">
        <f>SUM(O55:Q89)</f>
        <v>134169</v>
      </c>
      <c r="P90" s="98"/>
      <c r="Q90" s="233"/>
      <c r="R90" t="s">
        <v>0</v>
      </c>
      <c r="S90" t="s">
        <v>0</v>
      </c>
      <c r="T90" t="s">
        <v>0</v>
      </c>
      <c r="U90" t="s">
        <v>0</v>
      </c>
      <c r="V90" t="s">
        <v>0</v>
      </c>
      <c r="W90" t="s">
        <v>0</v>
      </c>
      <c r="X90" t="s">
        <v>0</v>
      </c>
      <c r="Y90" t="s">
        <v>0</v>
      </c>
      <c r="Z90" t="s">
        <v>0</v>
      </c>
      <c r="AA90" t="s">
        <v>0</v>
      </c>
    </row>
  </sheetData>
  <mergeCells count="197">
    <mergeCell ref="A1:B1"/>
    <mergeCell ref="D1:J1"/>
    <mergeCell ref="K1:AA1"/>
    <mergeCell ref="A25:B25"/>
    <mergeCell ref="C25:L25"/>
    <mergeCell ref="M25:N25"/>
    <mergeCell ref="O25:Q25"/>
    <mergeCell ref="B26:L26"/>
    <mergeCell ref="M26:N26"/>
    <mergeCell ref="O26:Q26"/>
    <mergeCell ref="B27:L27"/>
    <mergeCell ref="M27:N27"/>
    <mergeCell ref="O27:Q27"/>
    <mergeCell ref="B28:L28"/>
    <mergeCell ref="M28:N28"/>
    <mergeCell ref="O28:Q28"/>
    <mergeCell ref="B29:L29"/>
    <mergeCell ref="M29:N29"/>
    <mergeCell ref="O29:Q29"/>
    <mergeCell ref="B30:L30"/>
    <mergeCell ref="M30:N30"/>
    <mergeCell ref="O30:Q30"/>
    <mergeCell ref="B31:L31"/>
    <mergeCell ref="M31:N31"/>
    <mergeCell ref="O31:Q31"/>
    <mergeCell ref="B32:L32"/>
    <mergeCell ref="M32:N32"/>
    <mergeCell ref="O32:Q32"/>
    <mergeCell ref="B33:L33"/>
    <mergeCell ref="M33:N33"/>
    <mergeCell ref="O33:Q33"/>
    <mergeCell ref="B34:L34"/>
    <mergeCell ref="M34:N34"/>
    <mergeCell ref="O34:Q34"/>
    <mergeCell ref="B35:L35"/>
    <mergeCell ref="M35:N35"/>
    <mergeCell ref="O35:Q35"/>
    <mergeCell ref="B36:L36"/>
    <mergeCell ref="M36:N36"/>
    <mergeCell ref="O36:Q36"/>
    <mergeCell ref="B37:L37"/>
    <mergeCell ref="M37:N37"/>
    <mergeCell ref="O37:Q37"/>
    <mergeCell ref="B38:L38"/>
    <mergeCell ref="M38:N38"/>
    <mergeCell ref="O38:Q38"/>
    <mergeCell ref="B39:L39"/>
    <mergeCell ref="M39:N39"/>
    <mergeCell ref="O39:Q39"/>
    <mergeCell ref="B40:L40"/>
    <mergeCell ref="M40:N40"/>
    <mergeCell ref="O40:Q40"/>
    <mergeCell ref="B41:L41"/>
    <mergeCell ref="M41:N41"/>
    <mergeCell ref="O41:Q41"/>
    <mergeCell ref="B42:L42"/>
    <mergeCell ref="M42:N42"/>
    <mergeCell ref="O42:Q42"/>
    <mergeCell ref="B43:L43"/>
    <mergeCell ref="M43:N43"/>
    <mergeCell ref="O43:Q43"/>
    <mergeCell ref="B44:L44"/>
    <mergeCell ref="M44:N44"/>
    <mergeCell ref="O44:Q44"/>
    <mergeCell ref="B45:L45"/>
    <mergeCell ref="M45:N45"/>
    <mergeCell ref="O45:Q45"/>
    <mergeCell ref="B46:L46"/>
    <mergeCell ref="M46:N46"/>
    <mergeCell ref="O46:Q46"/>
    <mergeCell ref="B47:L47"/>
    <mergeCell ref="M47:N47"/>
    <mergeCell ref="O47:Q47"/>
    <mergeCell ref="B48:L48"/>
    <mergeCell ref="M48:N48"/>
    <mergeCell ref="O48:Q48"/>
    <mergeCell ref="B49:L49"/>
    <mergeCell ref="M49:N49"/>
    <mergeCell ref="O49:Q49"/>
    <mergeCell ref="B50:L50"/>
    <mergeCell ref="M50:N50"/>
    <mergeCell ref="O50:Q50"/>
    <mergeCell ref="B51:L51"/>
    <mergeCell ref="M51:N51"/>
    <mergeCell ref="O51:Q51"/>
    <mergeCell ref="A54:B54"/>
    <mergeCell ref="C54:L54"/>
    <mergeCell ref="M54:N54"/>
    <mergeCell ref="O54:Q54"/>
    <mergeCell ref="B55:L55"/>
    <mergeCell ref="M55:N55"/>
    <mergeCell ref="O55:Q55"/>
    <mergeCell ref="B56:L56"/>
    <mergeCell ref="M56:N56"/>
    <mergeCell ref="O56:Q56"/>
    <mergeCell ref="B57:L57"/>
    <mergeCell ref="M57:N57"/>
    <mergeCell ref="O57:Q57"/>
    <mergeCell ref="B58:L58"/>
    <mergeCell ref="M58:N58"/>
    <mergeCell ref="O58:Q58"/>
    <mergeCell ref="B59:L59"/>
    <mergeCell ref="M59:N59"/>
    <mergeCell ref="O59:Q59"/>
    <mergeCell ref="B60:L60"/>
    <mergeCell ref="M60:N60"/>
    <mergeCell ref="O60:Q60"/>
    <mergeCell ref="B61:L61"/>
    <mergeCell ref="M61:N61"/>
    <mergeCell ref="O61:Q61"/>
    <mergeCell ref="B62:L62"/>
    <mergeCell ref="M62:N62"/>
    <mergeCell ref="O62:Q62"/>
    <mergeCell ref="B63:L63"/>
    <mergeCell ref="M63:N63"/>
    <mergeCell ref="O63:Q63"/>
    <mergeCell ref="B64:L64"/>
    <mergeCell ref="M64:N64"/>
    <mergeCell ref="O64:Q64"/>
    <mergeCell ref="B65:L65"/>
    <mergeCell ref="M65:N65"/>
    <mergeCell ref="O65:Q65"/>
    <mergeCell ref="B66:L66"/>
    <mergeCell ref="M66:N66"/>
    <mergeCell ref="O66:Q66"/>
    <mergeCell ref="B67:L67"/>
    <mergeCell ref="M67:N67"/>
    <mergeCell ref="O67:Q67"/>
    <mergeCell ref="B68:L68"/>
    <mergeCell ref="M68:N68"/>
    <mergeCell ref="O68:Q68"/>
    <mergeCell ref="B69:L69"/>
    <mergeCell ref="M69:N69"/>
    <mergeCell ref="O69:Q69"/>
    <mergeCell ref="B70:L70"/>
    <mergeCell ref="M70:N70"/>
    <mergeCell ref="O70:Q70"/>
    <mergeCell ref="B71:L71"/>
    <mergeCell ref="M71:N71"/>
    <mergeCell ref="O71:Q71"/>
    <mergeCell ref="B72:L72"/>
    <mergeCell ref="M72:N72"/>
    <mergeCell ref="O72:Q72"/>
    <mergeCell ref="B73:L73"/>
    <mergeCell ref="M73:N73"/>
    <mergeCell ref="O73:Q73"/>
    <mergeCell ref="B74:L74"/>
    <mergeCell ref="M74:N74"/>
    <mergeCell ref="O74:Q74"/>
    <mergeCell ref="B75:L75"/>
    <mergeCell ref="M75:N75"/>
    <mergeCell ref="O75:Q75"/>
    <mergeCell ref="B76:L76"/>
    <mergeCell ref="M76:N76"/>
    <mergeCell ref="O76:Q76"/>
    <mergeCell ref="B77:L77"/>
    <mergeCell ref="M77:N77"/>
    <mergeCell ref="O77:Q77"/>
    <mergeCell ref="B78:L78"/>
    <mergeCell ref="M78:N78"/>
    <mergeCell ref="O78:Q78"/>
    <mergeCell ref="B79:L79"/>
    <mergeCell ref="M79:N79"/>
    <mergeCell ref="O79:Q79"/>
    <mergeCell ref="B80:L80"/>
    <mergeCell ref="M80:N80"/>
    <mergeCell ref="O80:Q80"/>
    <mergeCell ref="B81:L81"/>
    <mergeCell ref="M81:N81"/>
    <mergeCell ref="O81:Q81"/>
    <mergeCell ref="B82:L82"/>
    <mergeCell ref="M82:N82"/>
    <mergeCell ref="O82:Q82"/>
    <mergeCell ref="B83:L83"/>
    <mergeCell ref="M83:N83"/>
    <mergeCell ref="O83:Q83"/>
    <mergeCell ref="B84:L84"/>
    <mergeCell ref="M84:N84"/>
    <mergeCell ref="O84:Q84"/>
    <mergeCell ref="B85:L85"/>
    <mergeCell ref="M85:N85"/>
    <mergeCell ref="O85:Q85"/>
    <mergeCell ref="B86:L86"/>
    <mergeCell ref="M86:N86"/>
    <mergeCell ref="O86:Q86"/>
    <mergeCell ref="B87:L87"/>
    <mergeCell ref="M87:N87"/>
    <mergeCell ref="O87:Q87"/>
    <mergeCell ref="B88:L88"/>
    <mergeCell ref="M88:N88"/>
    <mergeCell ref="O88:Q88"/>
    <mergeCell ref="B89:L89"/>
    <mergeCell ref="M89:N89"/>
    <mergeCell ref="O89:Q89"/>
    <mergeCell ref="B90:L90"/>
    <mergeCell ref="M90:N90"/>
    <mergeCell ref="O90:Q90"/>
  </mergeCells>
  <pageMargins left="0.7" right="0.7" top="0.75" bottom="0.75" header="0.3" footer="0.3"/>
  <pageSetup paperSize="256" orientation="landscape" horizontalDpi="4294967293" verticalDpi="0" scale="37" fitToWidth="1" fitToHeight="0" firstPageNumber="1" useFirstPageNumber="1" copies="1"/>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workbookViewId="0" zoomScale="90" zoomScaleNormal="90">
      <selection activeCell="R9" sqref="R9"/>
    </sheetView>
  </sheetViews>
  <sheetFormatPr defaultRowHeight="15" outlineLevelRow="0" outlineLevelCol="0" x14ac:dyDescent="0.25"/>
  <cols>
    <col min="1" max="1" width="36.7109375" customWidth="1"/>
    <col min="2" max="2" width="18.7109375" hidden="1" customWidth="1"/>
    <col min="3" max="3" width="16.7109375" hidden="1" customWidth="1"/>
    <col min="4" max="4" width="21.7109375" customWidth="1"/>
    <col min="5" max="5" width="20" customWidth="1"/>
    <col min="6" max="6" width="15.140625" customWidth="1"/>
    <col min="7" max="7" width="13.85546875" customWidth="1"/>
    <col min="8" max="8" width="10.28515625" customWidth="1"/>
    <col min="9" max="9" width="13" customWidth="1"/>
    <col min="10" max="10" width="10.28515625" customWidth="1"/>
    <col min="11" max="11" width="11.28515625" customWidth="1"/>
    <col min="12" max="13" width="10.28515625" customWidth="1"/>
    <col min="14" max="14" width="9.28515625" customWidth="1"/>
    <col min="15" max="15" width="11.5703125" customWidth="1"/>
    <col min="16" max="16" width="10.42578125" customWidth="1"/>
    <col min="17" max="17" width="10.7109375" customWidth="1"/>
    <col min="18" max="19" width="10.5703125" customWidth="1"/>
    <col min="20" max="20" width="12" customWidth="1"/>
  </cols>
  <sheetData>
    <row r="1" ht="72.75" customHeight="1" spans="1:20" x14ac:dyDescent="0.25">
      <c r="A1" s="1" t="s">
        <v>0</v>
      </c>
      <c r="B1" s="261" t="s">
        <v>728</v>
      </c>
      <c r="C1" s="2" t="s">
        <v>601</v>
      </c>
      <c r="D1" s="3" t="s">
        <v>263</v>
      </c>
      <c r="E1" s="4" t="s">
        <v>921</v>
      </c>
      <c r="F1" s="5" t="s">
        <v>922</v>
      </c>
      <c r="G1" s="6" t="s">
        <v>5</v>
      </c>
      <c r="H1" s="7" t="s">
        <v>6</v>
      </c>
      <c r="I1" s="8" t="s">
        <v>7</v>
      </c>
      <c r="J1" s="7" t="s">
        <v>8</v>
      </c>
      <c r="K1" s="8" t="s">
        <v>9</v>
      </c>
      <c r="L1" s="7" t="s">
        <v>10</v>
      </c>
      <c r="M1" s="8" t="s">
        <v>11</v>
      </c>
      <c r="N1" s="7" t="s">
        <v>12</v>
      </c>
      <c r="O1" s="8" t="s">
        <v>13</v>
      </c>
      <c r="P1" s="7" t="s">
        <v>14</v>
      </c>
      <c r="Q1" s="8" t="s">
        <v>15</v>
      </c>
      <c r="R1" s="7" t="s">
        <v>16</v>
      </c>
      <c r="S1" s="9" t="s">
        <v>0</v>
      </c>
      <c r="T1" s="10" t="s">
        <v>17</v>
      </c>
    </row>
    <row r="2" ht="16.5" customHeight="1" spans="1:20" x14ac:dyDescent="0.25">
      <c r="A2" s="12" t="s">
        <v>1025</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6" t="s">
        <v>0</v>
      </c>
      <c r="T2" s="18" t="s">
        <v>0</v>
      </c>
    </row>
    <row r="3" ht="15.75" customHeight="1" spans="1:20" x14ac:dyDescent="0.25">
      <c r="A3" s="187" t="s">
        <v>19</v>
      </c>
      <c r="B3" s="263" t="s">
        <v>763</v>
      </c>
      <c r="C3" s="20" t="s">
        <v>0</v>
      </c>
      <c r="D3" s="21" t="s">
        <v>1026</v>
      </c>
      <c r="E3" s="22" t="s">
        <v>1027</v>
      </c>
      <c r="F3" s="23" t="s">
        <v>1028</v>
      </c>
      <c r="G3" s="23" t="s">
        <v>0</v>
      </c>
      <c r="H3" s="23" t="s">
        <v>0</v>
      </c>
      <c r="I3" s="23" t="s">
        <v>0</v>
      </c>
      <c r="J3" s="23" t="s">
        <v>0</v>
      </c>
      <c r="K3" s="23" t="s">
        <v>1027</v>
      </c>
      <c r="L3" s="23" t="s">
        <v>0</v>
      </c>
      <c r="M3" s="23" t="s">
        <v>0</v>
      </c>
      <c r="N3" s="23" t="s">
        <v>0</v>
      </c>
      <c r="O3" s="23" t="s">
        <v>0</v>
      </c>
      <c r="P3" s="23" t="s">
        <v>0</v>
      </c>
      <c r="Q3" s="23" t="s">
        <v>0</v>
      </c>
      <c r="R3" s="23" t="s">
        <v>0</v>
      </c>
      <c r="S3" s="23" t="s">
        <v>0</v>
      </c>
      <c r="T3" s="24" t="s">
        <v>1027</v>
      </c>
    </row>
    <row r="4" ht="15.75" customHeight="1" spans="1:20" x14ac:dyDescent="0.25">
      <c r="A4" s="187" t="s">
        <v>1029</v>
      </c>
      <c r="B4" s="263" t="s">
        <v>0</v>
      </c>
      <c r="C4" s="20" t="s">
        <v>0</v>
      </c>
      <c r="D4" s="21" t="s">
        <v>0</v>
      </c>
      <c r="E4" s="22" t="s">
        <v>1030</v>
      </c>
      <c r="F4" s="23" t="s">
        <v>1031</v>
      </c>
      <c r="G4" s="23" t="s">
        <v>0</v>
      </c>
      <c r="H4" s="23" t="s">
        <v>0</v>
      </c>
      <c r="I4" s="23" t="s">
        <v>0</v>
      </c>
      <c r="J4" s="23" t="s">
        <v>0</v>
      </c>
      <c r="K4" s="23" t="s">
        <v>0</v>
      </c>
      <c r="L4" s="23" t="s">
        <v>0</v>
      </c>
      <c r="M4" s="23" t="s">
        <v>1030</v>
      </c>
      <c r="N4" s="23" t="s">
        <v>0</v>
      </c>
      <c r="O4" s="23" t="s">
        <v>0</v>
      </c>
      <c r="P4" s="23" t="s">
        <v>0</v>
      </c>
      <c r="Q4" s="23" t="s">
        <v>0</v>
      </c>
      <c r="R4" s="23" t="s">
        <v>0</v>
      </c>
      <c r="S4" s="23" t="s">
        <v>0</v>
      </c>
      <c r="T4" s="24" t="s">
        <v>1030</v>
      </c>
    </row>
    <row r="5" ht="15.75" customHeight="1" spans="1:20" x14ac:dyDescent="0.25">
      <c r="A5" s="187" t="s">
        <v>31</v>
      </c>
      <c r="B5" s="263" t="s">
        <v>0</v>
      </c>
      <c r="C5" s="20" t="s">
        <v>0</v>
      </c>
      <c r="D5" s="21" t="s">
        <v>0</v>
      </c>
      <c r="E5" s="22" t="s">
        <v>128</v>
      </c>
      <c r="F5" s="23" t="s">
        <v>1032</v>
      </c>
      <c r="G5" s="23" t="s">
        <v>0</v>
      </c>
      <c r="H5" s="23" t="s">
        <v>0</v>
      </c>
      <c r="I5" s="23" t="s">
        <v>0</v>
      </c>
      <c r="J5" s="23" t="s">
        <v>0</v>
      </c>
      <c r="K5" s="23" t="s">
        <v>0</v>
      </c>
      <c r="L5" s="23" t="s">
        <v>0</v>
      </c>
      <c r="M5" s="23" t="s">
        <v>128</v>
      </c>
      <c r="N5" s="23" t="s">
        <v>0</v>
      </c>
      <c r="O5" s="23" t="s">
        <v>0</v>
      </c>
      <c r="P5" s="23" t="s">
        <v>0</v>
      </c>
      <c r="Q5" s="23" t="s">
        <v>0</v>
      </c>
      <c r="R5" s="23" t="s">
        <v>0</v>
      </c>
      <c r="S5" s="23" t="s">
        <v>0</v>
      </c>
      <c r="T5" s="24" t="s">
        <v>128</v>
      </c>
    </row>
    <row r="6" ht="15.75" customHeight="1" spans="1:20" x14ac:dyDescent="0.25">
      <c r="A6" s="26" t="s">
        <v>43</v>
      </c>
      <c r="B6" s="272" t="s">
        <v>769</v>
      </c>
      <c r="C6" s="27" t="s">
        <v>0</v>
      </c>
      <c r="D6" s="188">
        <v>400</v>
      </c>
      <c r="E6" s="22" t="s">
        <v>1033</v>
      </c>
      <c r="F6" s="23" t="s">
        <v>1034</v>
      </c>
      <c r="G6" s="28" t="s">
        <v>0</v>
      </c>
      <c r="H6" s="28" t="s">
        <v>0</v>
      </c>
      <c r="I6" s="28" t="s">
        <v>0</v>
      </c>
      <c r="J6" s="28" t="s">
        <v>0</v>
      </c>
      <c r="K6" s="28">
        <v>610</v>
      </c>
      <c r="L6" s="28" t="s">
        <v>0</v>
      </c>
      <c r="M6" s="28" t="s">
        <v>0</v>
      </c>
      <c r="N6" s="28" t="s">
        <v>0</v>
      </c>
      <c r="O6" s="28" t="s">
        <v>0</v>
      </c>
      <c r="P6" s="28" t="s">
        <v>1035</v>
      </c>
      <c r="Q6" s="28" t="s">
        <v>0</v>
      </c>
      <c r="R6" s="28" t="s">
        <v>0</v>
      </c>
      <c r="S6" s="23" t="s">
        <v>0</v>
      </c>
      <c r="T6" s="24" t="s">
        <v>1033</v>
      </c>
    </row>
    <row r="7" ht="15.75" customHeight="1" spans="1:20" x14ac:dyDescent="0.25">
      <c r="A7" s="26" t="s">
        <v>1036</v>
      </c>
      <c r="B7" s="272" t="s">
        <v>780</v>
      </c>
      <c r="C7" s="27" t="s">
        <v>0</v>
      </c>
      <c r="D7" s="188" t="s">
        <v>1037</v>
      </c>
      <c r="E7" s="22" t="s">
        <v>1038</v>
      </c>
      <c r="F7" s="23" t="s">
        <v>1039</v>
      </c>
      <c r="G7" s="28" t="s">
        <v>0</v>
      </c>
      <c r="H7" s="28" t="s">
        <v>0</v>
      </c>
      <c r="I7" s="28" t="s">
        <v>0</v>
      </c>
      <c r="J7" s="28" t="s">
        <v>0</v>
      </c>
      <c r="K7" s="28" t="s">
        <v>1038</v>
      </c>
      <c r="L7" s="28" t="s">
        <v>0</v>
      </c>
      <c r="M7" s="28" t="s">
        <v>0</v>
      </c>
      <c r="N7" s="28" t="s">
        <v>0</v>
      </c>
      <c r="O7" s="28" t="s">
        <v>0</v>
      </c>
      <c r="P7" s="28" t="s">
        <v>0</v>
      </c>
      <c r="Q7" s="28" t="s">
        <v>0</v>
      </c>
      <c r="R7" s="28" t="s">
        <v>0</v>
      </c>
      <c r="S7" s="23" t="s">
        <v>0</v>
      </c>
      <c r="T7" s="24" t="s">
        <v>1038</v>
      </c>
    </row>
    <row r="8" ht="15.75" customHeight="1" spans="1:20" x14ac:dyDescent="0.25">
      <c r="A8" s="26" t="s">
        <v>45</v>
      </c>
      <c r="B8" s="272" t="s">
        <v>0</v>
      </c>
      <c r="C8" s="27" t="s">
        <v>0</v>
      </c>
      <c r="D8" s="188" t="s">
        <v>0</v>
      </c>
      <c r="E8" s="22" t="s">
        <v>1040</v>
      </c>
      <c r="F8" s="23" t="s">
        <v>1041</v>
      </c>
      <c r="G8" s="28" t="s">
        <v>1042</v>
      </c>
      <c r="H8" s="28" t="s">
        <v>1043</v>
      </c>
      <c r="I8" s="28" t="s">
        <v>1044</v>
      </c>
      <c r="J8" s="28" t="s">
        <v>1045</v>
      </c>
      <c r="K8" s="28" t="s">
        <v>1046</v>
      </c>
      <c r="L8" s="28" t="s">
        <v>1047</v>
      </c>
      <c r="M8" s="28" t="s">
        <v>1048</v>
      </c>
      <c r="N8" s="28" t="s">
        <v>1049</v>
      </c>
      <c r="O8" s="28" t="s">
        <v>1050</v>
      </c>
      <c r="P8" s="28" t="s">
        <v>1051</v>
      </c>
      <c r="Q8" s="28" t="s">
        <v>1052</v>
      </c>
      <c r="R8" s="28" t="s">
        <v>1053</v>
      </c>
      <c r="S8" s="23" t="s">
        <v>0</v>
      </c>
      <c r="T8" s="24" t="s">
        <v>1040</v>
      </c>
    </row>
    <row r="9" ht="15.75" customHeight="1" spans="1:20" x14ac:dyDescent="0.25">
      <c r="A9" s="31" t="s">
        <v>493</v>
      </c>
      <c r="B9" s="272" t="s">
        <v>776</v>
      </c>
      <c r="C9" s="27" t="s">
        <v>0</v>
      </c>
      <c r="D9" s="188" t="s">
        <v>107</v>
      </c>
      <c r="E9" s="22" t="s">
        <v>0</v>
      </c>
      <c r="F9" s="23" t="s">
        <v>107</v>
      </c>
      <c r="G9" s="28" t="s">
        <v>0</v>
      </c>
      <c r="H9" s="28" t="s">
        <v>0</v>
      </c>
      <c r="I9" s="28" t="s">
        <v>0</v>
      </c>
      <c r="J9" s="28" t="s">
        <v>0</v>
      </c>
      <c r="K9" s="28" t="s">
        <v>0</v>
      </c>
      <c r="L9" s="28" t="s">
        <v>0</v>
      </c>
      <c r="M9" s="28" t="s">
        <v>0</v>
      </c>
      <c r="N9" s="28" t="s">
        <v>0</v>
      </c>
      <c r="O9" s="28" t="s">
        <v>0</v>
      </c>
      <c r="P9" s="28" t="s">
        <v>0</v>
      </c>
      <c r="Q9" s="28" t="s">
        <v>0</v>
      </c>
      <c r="R9" s="28" t="s">
        <v>0</v>
      </c>
      <c r="S9" s="23" t="s">
        <v>0</v>
      </c>
      <c r="T9" s="24" t="s">
        <v>0</v>
      </c>
    </row>
    <row r="10" ht="16.5" customHeight="1" spans="1:20" x14ac:dyDescent="0.25">
      <c r="A10" s="34" t="s">
        <v>0</v>
      </c>
      <c r="B10" s="193" t="s">
        <v>96</v>
      </c>
      <c r="C10" s="37" t="s">
        <v>0</v>
      </c>
      <c r="D10" s="37" t="s">
        <v>319</v>
      </c>
      <c r="E10" s="37" t="s">
        <v>1054</v>
      </c>
      <c r="F10" s="37" t="s">
        <v>1055</v>
      </c>
      <c r="G10" s="37" t="s">
        <v>1042</v>
      </c>
      <c r="H10" s="37" t="s">
        <v>1043</v>
      </c>
      <c r="I10" s="37" t="s">
        <v>1044</v>
      </c>
      <c r="J10" s="37" t="s">
        <v>1045</v>
      </c>
      <c r="K10" s="37" t="s">
        <v>1056</v>
      </c>
      <c r="L10" s="37" t="s">
        <v>1047</v>
      </c>
      <c r="M10" s="37" t="s">
        <v>1057</v>
      </c>
      <c r="N10" s="37" t="s">
        <v>1049</v>
      </c>
      <c r="O10" s="37" t="s">
        <v>1050</v>
      </c>
      <c r="P10" s="37" t="s">
        <v>1058</v>
      </c>
      <c r="Q10" s="37" t="s">
        <v>1052</v>
      </c>
      <c r="R10" s="37" t="s">
        <v>1053</v>
      </c>
      <c r="S10" s="118" t="s">
        <v>73</v>
      </c>
      <c r="T10" s="119" t="s">
        <v>1054</v>
      </c>
    </row>
    <row r="11" spans="1:20"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row>
    <row r="12" ht="38.25" customHeight="1" spans="1:20" x14ac:dyDescent="0.25">
      <c r="A12" s="39" t="s">
        <v>0</v>
      </c>
      <c r="B12" s="204" t="s">
        <v>0</v>
      </c>
      <c r="C12" s="204"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ht="16.5" customHeight="1" spans="1:20" x14ac:dyDescent="0.25">
      <c r="A13" s="41" t="s">
        <v>200</v>
      </c>
      <c r="B13" s="43"/>
      <c r="C13" s="41" t="s">
        <v>201</v>
      </c>
      <c r="D13" s="42"/>
      <c r="E13" s="43"/>
      <c r="F13" s="41" t="s">
        <v>76</v>
      </c>
      <c r="G13" s="42"/>
      <c r="H13" s="44" t="s">
        <v>77</v>
      </c>
      <c r="I13" s="277"/>
      <c r="J13" s="45"/>
      <c r="K13" t="s">
        <v>0</v>
      </c>
      <c r="L13" t="s">
        <v>0</v>
      </c>
      <c r="M13" t="s">
        <v>0</v>
      </c>
      <c r="N13" t="s">
        <v>0</v>
      </c>
      <c r="O13" t="s">
        <v>0</v>
      </c>
      <c r="P13" t="s">
        <v>0</v>
      </c>
      <c r="Q13" t="s">
        <v>0</v>
      </c>
      <c r="R13" t="s">
        <v>0</v>
      </c>
      <c r="S13" t="s">
        <v>0</v>
      </c>
      <c r="T13" t="s">
        <v>0</v>
      </c>
    </row>
    <row r="14" ht="30.75" customHeight="1" spans="1:20" x14ac:dyDescent="0.25">
      <c r="A14" s="278" t="s">
        <v>208</v>
      </c>
      <c r="B14" s="279" t="s">
        <v>1059</v>
      </c>
      <c r="C14" s="280"/>
      <c r="D14" s="280"/>
      <c r="E14" s="281"/>
      <c r="F14" s="282" t="s">
        <v>1060</v>
      </c>
      <c r="G14" s="283"/>
      <c r="H14" s="378">
        <v>4050</v>
      </c>
      <c r="I14" s="379"/>
      <c r="J14" s="380"/>
      <c r="K14" t="s">
        <v>0</v>
      </c>
      <c r="L14" t="s">
        <v>0</v>
      </c>
      <c r="M14" t="s">
        <v>0</v>
      </c>
      <c r="N14" t="s">
        <v>0</v>
      </c>
      <c r="O14" t="s">
        <v>0</v>
      </c>
      <c r="P14" t="s">
        <v>0</v>
      </c>
      <c r="Q14" t="s">
        <v>0</v>
      </c>
      <c r="R14" t="s">
        <v>0</v>
      </c>
      <c r="S14" t="s">
        <v>0</v>
      </c>
      <c r="T14" t="s">
        <v>0</v>
      </c>
    </row>
    <row r="15" ht="31.5" customHeight="1" spans="1:20" x14ac:dyDescent="0.25">
      <c r="A15" s="287" t="s">
        <v>1061</v>
      </c>
      <c r="B15" s="381" t="s">
        <v>0</v>
      </c>
      <c r="C15" s="291" t="s">
        <v>1062</v>
      </c>
      <c r="D15" s="292"/>
      <c r="E15" s="292"/>
      <c r="F15" s="291" t="s">
        <v>1063</v>
      </c>
      <c r="G15" s="292"/>
      <c r="H15" s="382">
        <v>900</v>
      </c>
      <c r="I15" s="383"/>
      <c r="J15" s="384"/>
      <c r="K15" t="s">
        <v>0</v>
      </c>
      <c r="L15" t="s">
        <v>0</v>
      </c>
      <c r="M15" t="s">
        <v>0</v>
      </c>
      <c r="N15" t="s">
        <v>0</v>
      </c>
      <c r="O15" t="s">
        <v>0</v>
      </c>
      <c r="P15" t="s">
        <v>0</v>
      </c>
      <c r="Q15" t="s">
        <v>0</v>
      </c>
      <c r="R15" t="s">
        <v>0</v>
      </c>
      <c r="S15" t="s">
        <v>0</v>
      </c>
      <c r="T15" t="s">
        <v>0</v>
      </c>
    </row>
    <row r="16" ht="65.25" customHeight="1" spans="1:20" x14ac:dyDescent="0.25">
      <c r="A16" s="278" t="s">
        <v>474</v>
      </c>
      <c r="B16" s="288" t="s">
        <v>1064</v>
      </c>
      <c r="C16" s="289"/>
      <c r="D16" s="289"/>
      <c r="E16" s="290"/>
      <c r="F16" s="291" t="s">
        <v>1065</v>
      </c>
      <c r="G16" s="292"/>
      <c r="H16" s="306">
        <v>10138</v>
      </c>
      <c r="I16" s="307"/>
      <c r="J16" s="308"/>
      <c r="K16" t="s">
        <v>0</v>
      </c>
      <c r="L16" t="s">
        <v>0</v>
      </c>
      <c r="M16" t="s">
        <v>0</v>
      </c>
      <c r="N16" t="s">
        <v>0</v>
      </c>
      <c r="O16" t="s">
        <v>0</v>
      </c>
      <c r="P16" t="s">
        <v>0</v>
      </c>
      <c r="Q16" t="s">
        <v>0</v>
      </c>
      <c r="R16" t="s">
        <v>0</v>
      </c>
      <c r="S16" t="s">
        <v>0</v>
      </c>
      <c r="T16" t="s">
        <v>0</v>
      </c>
    </row>
    <row r="17" ht="39" customHeight="1" spans="1:20" x14ac:dyDescent="0.25">
      <c r="A17" s="301" t="s">
        <v>208</v>
      </c>
      <c r="B17" s="302" t="s">
        <v>1066</v>
      </c>
      <c r="C17" s="303"/>
      <c r="D17" s="303"/>
      <c r="E17" s="304"/>
      <c r="F17" s="279" t="s">
        <v>1067</v>
      </c>
      <c r="G17" s="305"/>
      <c r="H17" s="306">
        <v>13835</v>
      </c>
      <c r="I17" s="307"/>
      <c r="J17" s="308"/>
      <c r="K17" t="s">
        <v>0</v>
      </c>
      <c r="L17" t="s">
        <v>0</v>
      </c>
      <c r="M17" t="s">
        <v>0</v>
      </c>
      <c r="N17" t="s">
        <v>0</v>
      </c>
      <c r="O17" t="s">
        <v>0</v>
      </c>
      <c r="P17" t="s">
        <v>0</v>
      </c>
      <c r="Q17" t="s">
        <v>0</v>
      </c>
      <c r="R17" t="s">
        <v>0</v>
      </c>
      <c r="S17" t="s">
        <v>0</v>
      </c>
      <c r="T17" t="s">
        <v>0</v>
      </c>
    </row>
    <row r="18" ht="30" customHeight="1" spans="1:20" x14ac:dyDescent="0.25">
      <c r="A18" s="301" t="s">
        <v>1068</v>
      </c>
      <c r="B18" s="302" t="s">
        <v>1069</v>
      </c>
      <c r="C18" s="303"/>
      <c r="D18" s="303"/>
      <c r="E18" s="304"/>
      <c r="F18" s="279" t="s">
        <v>1070</v>
      </c>
      <c r="G18" s="305"/>
      <c r="H18" s="306">
        <v>28790</v>
      </c>
      <c r="I18" s="307"/>
      <c r="J18" s="308"/>
      <c r="K18" t="s">
        <v>0</v>
      </c>
      <c r="L18" t="s">
        <v>0</v>
      </c>
      <c r="M18" t="s">
        <v>0</v>
      </c>
      <c r="N18" t="s">
        <v>0</v>
      </c>
      <c r="O18" t="s">
        <v>0</v>
      </c>
      <c r="P18" t="s">
        <v>0</v>
      </c>
      <c r="Q18" t="s">
        <v>0</v>
      </c>
      <c r="R18" t="s">
        <v>0</v>
      </c>
      <c r="S18" t="s">
        <v>0</v>
      </c>
      <c r="T18" t="s">
        <v>0</v>
      </c>
    </row>
    <row r="19" spans="1:20" x14ac:dyDescent="0.25">
      <c r="A19" s="301" t="s">
        <v>0</v>
      </c>
      <c r="B19" s="303" t="s">
        <v>0</v>
      </c>
      <c r="C19" s="280"/>
      <c r="D19" s="280"/>
      <c r="E19" s="281"/>
      <c r="F19" s="385"/>
      <c r="G19" s="305"/>
      <c r="H19" s="306"/>
      <c r="I19" s="307"/>
      <c r="J19" s="308"/>
      <c r="K19" t="s">
        <v>0</v>
      </c>
      <c r="L19" t="s">
        <v>0</v>
      </c>
      <c r="M19" t="s">
        <v>0</v>
      </c>
      <c r="N19" t="s">
        <v>0</v>
      </c>
      <c r="O19" t="s">
        <v>0</v>
      </c>
      <c r="P19" t="s">
        <v>0</v>
      </c>
      <c r="Q19" t="s">
        <v>0</v>
      </c>
      <c r="R19" t="s">
        <v>0</v>
      </c>
      <c r="S19" t="s">
        <v>0</v>
      </c>
      <c r="T19" t="s">
        <v>0</v>
      </c>
    </row>
    <row r="20" spans="1:20" x14ac:dyDescent="0.25">
      <c r="A20" s="309" t="s">
        <v>0</v>
      </c>
      <c r="B20" s="297" t="s">
        <v>0</v>
      </c>
      <c r="C20" s="288"/>
      <c r="D20" s="289"/>
      <c r="E20" s="289"/>
      <c r="F20" s="288"/>
      <c r="G20" s="289"/>
      <c r="H20" s="310"/>
      <c r="I20" s="311"/>
      <c r="J20" s="312"/>
      <c r="K20" t="s">
        <v>0</v>
      </c>
      <c r="L20" t="s">
        <v>0</v>
      </c>
      <c r="M20" t="s">
        <v>0</v>
      </c>
      <c r="N20" t="s">
        <v>0</v>
      </c>
      <c r="O20" t="s">
        <v>0</v>
      </c>
      <c r="P20" t="s">
        <v>0</v>
      </c>
      <c r="Q20" t="s">
        <v>0</v>
      </c>
      <c r="R20" t="s">
        <v>0</v>
      </c>
      <c r="S20" t="s">
        <v>0</v>
      </c>
      <c r="T20" t="s">
        <v>0</v>
      </c>
    </row>
    <row r="21" spans="1:20" x14ac:dyDescent="0.25">
      <c r="A21" s="309" t="s">
        <v>0</v>
      </c>
      <c r="B21" s="297" t="s">
        <v>0</v>
      </c>
      <c r="C21" s="288"/>
      <c r="D21" s="289"/>
      <c r="E21" s="289"/>
      <c r="F21" s="288"/>
      <c r="G21" s="289"/>
      <c r="H21" s="313"/>
      <c r="I21" s="314"/>
      <c r="J21" s="315"/>
      <c r="K21" t="s">
        <v>0</v>
      </c>
      <c r="L21" t="s">
        <v>0</v>
      </c>
      <c r="M21" t="s">
        <v>0</v>
      </c>
      <c r="N21" t="s">
        <v>0</v>
      </c>
      <c r="O21" t="s">
        <v>0</v>
      </c>
      <c r="P21" t="s">
        <v>0</v>
      </c>
      <c r="Q21" t="s">
        <v>0</v>
      </c>
      <c r="R21" t="s">
        <v>0</v>
      </c>
      <c r="S21" t="s">
        <v>0</v>
      </c>
      <c r="T21" t="s">
        <v>0</v>
      </c>
    </row>
    <row r="22" spans="1:20" x14ac:dyDescent="0.25">
      <c r="A22" s="287" t="s">
        <v>0</v>
      </c>
      <c r="B22" s="381" t="s">
        <v>0</v>
      </c>
      <c r="C22" s="291"/>
      <c r="D22" s="292"/>
      <c r="E22" s="292"/>
      <c r="F22" s="291"/>
      <c r="G22" s="292"/>
      <c r="H22" s="313"/>
      <c r="I22" s="314"/>
      <c r="J22" s="315"/>
      <c r="K22" t="s">
        <v>0</v>
      </c>
      <c r="L22" t="s">
        <v>0</v>
      </c>
      <c r="M22" t="s">
        <v>0</v>
      </c>
      <c r="N22" t="s">
        <v>0</v>
      </c>
      <c r="O22" t="s">
        <v>0</v>
      </c>
      <c r="P22" t="s">
        <v>0</v>
      </c>
      <c r="Q22" t="s">
        <v>0</v>
      </c>
      <c r="R22" t="s">
        <v>0</v>
      </c>
      <c r="S22" t="s">
        <v>0</v>
      </c>
      <c r="T22" t="s">
        <v>0</v>
      </c>
    </row>
    <row r="23" ht="15.75" customHeight="1" spans="1:20" x14ac:dyDescent="0.25">
      <c r="A23" s="319" t="s">
        <v>0</v>
      </c>
      <c r="B23" s="386" t="s">
        <v>0</v>
      </c>
      <c r="C23" s="387"/>
      <c r="D23" s="388"/>
      <c r="E23" s="389"/>
      <c r="F23" s="387"/>
      <c r="G23" s="388"/>
      <c r="H23" s="390"/>
      <c r="I23" s="391"/>
      <c r="J23" s="392"/>
      <c r="K23" t="s">
        <v>0</v>
      </c>
      <c r="L23" t="s">
        <v>0</v>
      </c>
      <c r="M23" t="s">
        <v>0</v>
      </c>
      <c r="N23" t="s">
        <v>0</v>
      </c>
      <c r="O23" t="s">
        <v>0</v>
      </c>
      <c r="P23" t="s">
        <v>0</v>
      </c>
      <c r="Q23" t="s">
        <v>0</v>
      </c>
      <c r="R23" t="s">
        <v>0</v>
      </c>
      <c r="S23" t="s">
        <v>0</v>
      </c>
      <c r="T23" t="s">
        <v>0</v>
      </c>
    </row>
    <row r="24" ht="15.75" customHeight="1" spans="1:20" x14ac:dyDescent="0.25">
      <c r="A24" s="93" t="s">
        <v>0</v>
      </c>
      <c r="B24" s="329" t="s">
        <v>0</v>
      </c>
      <c r="C24" s="375" t="s">
        <v>0</v>
      </c>
      <c r="D24" s="179" t="s">
        <v>0</v>
      </c>
      <c r="E24" s="179" t="s">
        <v>0</v>
      </c>
      <c r="F24" s="97" t="s">
        <v>96</v>
      </c>
      <c r="G24" s="98"/>
      <c r="H24" s="331">
        <f>SUM(H14:J23)</f>
        <v>57713</v>
      </c>
      <c r="I24" s="98"/>
      <c r="J24" s="233"/>
      <c r="K24" t="s">
        <v>0</v>
      </c>
      <c r="L24" t="s">
        <v>0</v>
      </c>
      <c r="M24" t="s">
        <v>0</v>
      </c>
      <c r="N24" t="s">
        <v>0</v>
      </c>
      <c r="O24" t="s">
        <v>0</v>
      </c>
      <c r="P24" t="s">
        <v>0</v>
      </c>
      <c r="Q24" t="s">
        <v>0</v>
      </c>
      <c r="R24" t="s">
        <v>0</v>
      </c>
      <c r="S24" t="s">
        <v>0</v>
      </c>
      <c r="T24" t="s">
        <v>0</v>
      </c>
    </row>
    <row r="25" spans="1:20"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c r="T25" t="s">
        <v>0</v>
      </c>
    </row>
    <row r="26" ht="15.75" customHeight="1" spans="1:20"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row>
    <row r="27" ht="16.5" customHeight="1" spans="1:20" x14ac:dyDescent="0.25">
      <c r="A27" s="40" t="s">
        <v>74</v>
      </c>
      <c r="B27" s="41" t="s">
        <v>437</v>
      </c>
      <c r="C27" s="42"/>
      <c r="D27" s="42"/>
      <c r="E27" s="42"/>
      <c r="F27" s="43"/>
      <c r="G27" s="41" t="s">
        <v>76</v>
      </c>
      <c r="H27" s="42"/>
      <c r="I27" s="42"/>
      <c r="J27" s="44" t="s">
        <v>77</v>
      </c>
      <c r="K27" s="45"/>
      <c r="L27" t="s">
        <v>0</v>
      </c>
      <c r="M27" t="s">
        <v>0</v>
      </c>
      <c r="N27" t="s">
        <v>0</v>
      </c>
      <c r="O27" t="s">
        <v>0</v>
      </c>
      <c r="P27" t="s">
        <v>0</v>
      </c>
      <c r="Q27" t="s">
        <v>0</v>
      </c>
      <c r="R27" t="s">
        <v>0</v>
      </c>
      <c r="S27" t="s">
        <v>0</v>
      </c>
      <c r="T27" t="s">
        <v>0</v>
      </c>
    </row>
    <row r="28" ht="61.5" customHeight="1" spans="1:20" x14ac:dyDescent="0.25">
      <c r="A28" s="54" t="s">
        <v>1071</v>
      </c>
      <c r="B28" s="55" t="s">
        <v>1072</v>
      </c>
      <c r="C28" s="56"/>
      <c r="D28" s="56"/>
      <c r="E28" s="56"/>
      <c r="F28" s="57"/>
      <c r="G28" s="64" t="s">
        <v>886</v>
      </c>
      <c r="H28" s="140"/>
      <c r="I28" s="140"/>
      <c r="J28" s="85">
        <v>36960</v>
      </c>
      <c r="K28" s="86"/>
      <c r="L28" t="s">
        <v>0</v>
      </c>
      <c r="M28" t="s">
        <v>0</v>
      </c>
      <c r="N28" t="s">
        <v>0</v>
      </c>
      <c r="O28" t="s">
        <v>0</v>
      </c>
      <c r="P28" t="s">
        <v>0</v>
      </c>
      <c r="Q28" t="s">
        <v>0</v>
      </c>
      <c r="R28" t="s">
        <v>0</v>
      </c>
      <c r="S28" t="s">
        <v>0</v>
      </c>
      <c r="T28" t="s">
        <v>0</v>
      </c>
    </row>
    <row r="29" ht="61.5" customHeight="1" spans="1:20" x14ac:dyDescent="0.25">
      <c r="A29" s="133" t="s">
        <v>1073</v>
      </c>
      <c r="B29" s="55" t="s">
        <v>1072</v>
      </c>
      <c r="C29" s="56"/>
      <c r="D29" s="56"/>
      <c r="E29" s="56"/>
      <c r="F29" s="57"/>
      <c r="G29" s="64" t="s">
        <v>886</v>
      </c>
      <c r="H29" s="140"/>
      <c r="I29" s="140"/>
      <c r="J29" s="85">
        <v>38060</v>
      </c>
      <c r="K29" s="86"/>
      <c r="L29" t="s">
        <v>0</v>
      </c>
      <c r="M29" t="s">
        <v>0</v>
      </c>
      <c r="N29" t="s">
        <v>0</v>
      </c>
      <c r="O29" t="s">
        <v>0</v>
      </c>
      <c r="P29" t="s">
        <v>0</v>
      </c>
      <c r="Q29" t="s">
        <v>0</v>
      </c>
      <c r="R29" t="s">
        <v>0</v>
      </c>
      <c r="S29" t="s">
        <v>0</v>
      </c>
      <c r="T29" t="s">
        <v>0</v>
      </c>
    </row>
    <row r="30" spans="1:20" x14ac:dyDescent="0.25">
      <c r="A30" s="54" t="s">
        <v>0</v>
      </c>
      <c r="B30" s="169"/>
      <c r="C30" s="170"/>
      <c r="D30" s="170"/>
      <c r="E30" s="170"/>
      <c r="F30" s="171"/>
      <c r="G30" s="216"/>
      <c r="H30" s="206"/>
      <c r="I30" s="206"/>
      <c r="J30" s="207"/>
      <c r="K30" s="208"/>
      <c r="L30" t="s">
        <v>0</v>
      </c>
      <c r="M30" t="s">
        <v>0</v>
      </c>
      <c r="N30" t="s">
        <v>0</v>
      </c>
      <c r="O30" t="s">
        <v>0</v>
      </c>
      <c r="P30" t="s">
        <v>0</v>
      </c>
      <c r="Q30" t="s">
        <v>0</v>
      </c>
      <c r="R30" t="s">
        <v>0</v>
      </c>
      <c r="S30" t="s">
        <v>0</v>
      </c>
      <c r="T30" t="s">
        <v>0</v>
      </c>
    </row>
    <row r="31" spans="1:20" x14ac:dyDescent="0.25">
      <c r="A31" s="54" t="s">
        <v>0</v>
      </c>
      <c r="B31" s="81"/>
      <c r="C31" s="134"/>
      <c r="D31" s="134"/>
      <c r="E31" s="134"/>
      <c r="F31" s="84"/>
      <c r="G31" s="172"/>
      <c r="H31" s="82"/>
      <c r="I31" s="83"/>
      <c r="J31" s="85"/>
      <c r="K31" s="86"/>
      <c r="L31" t="s">
        <v>0</v>
      </c>
      <c r="M31" t="s">
        <v>0</v>
      </c>
      <c r="N31" t="s">
        <v>0</v>
      </c>
      <c r="O31" t="s">
        <v>0</v>
      </c>
      <c r="P31" t="s">
        <v>0</v>
      </c>
      <c r="Q31" t="s">
        <v>0</v>
      </c>
      <c r="R31" t="s">
        <v>0</v>
      </c>
      <c r="S31" t="s">
        <v>0</v>
      </c>
      <c r="T31" t="s">
        <v>0</v>
      </c>
    </row>
    <row r="32" spans="1:20" x14ac:dyDescent="0.25">
      <c r="A32" s="54" t="s">
        <v>0</v>
      </c>
      <c r="B32" s="81"/>
      <c r="C32" s="134"/>
      <c r="D32" s="134"/>
      <c r="E32" s="134"/>
      <c r="F32" s="84"/>
      <c r="G32" s="81"/>
      <c r="H32" s="82"/>
      <c r="I32" s="83"/>
      <c r="J32" s="85"/>
      <c r="K32" s="86"/>
      <c r="L32" t="s">
        <v>0</v>
      </c>
      <c r="M32" t="s">
        <v>0</v>
      </c>
      <c r="N32" t="s">
        <v>0</v>
      </c>
      <c r="O32" t="s">
        <v>0</v>
      </c>
      <c r="P32" t="s">
        <v>0</v>
      </c>
      <c r="Q32" t="s">
        <v>0</v>
      </c>
      <c r="R32" t="s">
        <v>0</v>
      </c>
      <c r="S32" t="s">
        <v>0</v>
      </c>
      <c r="T32" t="s">
        <v>0</v>
      </c>
    </row>
    <row r="33" spans="1:20" x14ac:dyDescent="0.25">
      <c r="A33" s="60" t="s">
        <v>0</v>
      </c>
      <c r="B33" s="68"/>
      <c r="C33" s="69"/>
      <c r="D33" s="69"/>
      <c r="E33" s="69"/>
      <c r="F33" s="70"/>
      <c r="G33" s="81"/>
      <c r="H33" s="82"/>
      <c r="I33" s="82"/>
      <c r="J33" s="141"/>
      <c r="K33" s="142"/>
      <c r="L33" t="s">
        <v>0</v>
      </c>
      <c r="M33" t="s">
        <v>0</v>
      </c>
      <c r="N33" t="s">
        <v>0</v>
      </c>
      <c r="O33" t="s">
        <v>0</v>
      </c>
      <c r="P33" t="s">
        <v>0</v>
      </c>
      <c r="Q33" t="s">
        <v>0</v>
      </c>
      <c r="R33" t="s">
        <v>0</v>
      </c>
      <c r="S33" t="s">
        <v>0</v>
      </c>
      <c r="T33" t="s">
        <v>0</v>
      </c>
    </row>
    <row r="34" spans="1:20" x14ac:dyDescent="0.25">
      <c r="A34" s="196" t="s">
        <v>0</v>
      </c>
      <c r="B34" s="68"/>
      <c r="C34" s="69"/>
      <c r="D34" s="69"/>
      <c r="E34" s="69"/>
      <c r="F34" s="70"/>
      <c r="G34" s="172"/>
      <c r="H34" s="82"/>
      <c r="I34" s="83"/>
      <c r="J34" s="141"/>
      <c r="K34" s="142"/>
      <c r="L34" t="s">
        <v>0</v>
      </c>
      <c r="M34" t="s">
        <v>0</v>
      </c>
      <c r="N34" t="s">
        <v>0</v>
      </c>
      <c r="O34" t="s">
        <v>0</v>
      </c>
      <c r="P34" t="s">
        <v>0</v>
      </c>
      <c r="Q34" t="s">
        <v>0</v>
      </c>
      <c r="R34" t="s">
        <v>0</v>
      </c>
      <c r="S34" t="s">
        <v>0</v>
      </c>
      <c r="T34" t="s">
        <v>0</v>
      </c>
    </row>
    <row r="35" spans="1:20" x14ac:dyDescent="0.25">
      <c r="A35" s="196" t="s">
        <v>0</v>
      </c>
      <c r="B35" s="68"/>
      <c r="C35" s="69"/>
      <c r="D35" s="69"/>
      <c r="E35" s="69"/>
      <c r="F35" s="70"/>
      <c r="G35" s="172"/>
      <c r="H35" s="82"/>
      <c r="I35" s="83"/>
      <c r="J35" s="141"/>
      <c r="K35" s="142"/>
      <c r="L35" t="s">
        <v>0</v>
      </c>
      <c r="M35" t="s">
        <v>0</v>
      </c>
      <c r="N35" t="s">
        <v>0</v>
      </c>
      <c r="O35" t="s">
        <v>0</v>
      </c>
      <c r="P35" t="s">
        <v>0</v>
      </c>
      <c r="Q35" t="s">
        <v>0</v>
      </c>
      <c r="R35" t="s">
        <v>0</v>
      </c>
      <c r="S35" t="s">
        <v>0</v>
      </c>
      <c r="T35" t="s">
        <v>0</v>
      </c>
    </row>
    <row r="36" spans="1:20" x14ac:dyDescent="0.25">
      <c r="A36" s="196" t="s">
        <v>0</v>
      </c>
      <c r="B36" s="68"/>
      <c r="C36" s="69"/>
      <c r="D36" s="69"/>
      <c r="E36" s="69"/>
      <c r="F36" s="70"/>
      <c r="G36" s="172"/>
      <c r="H36" s="82"/>
      <c r="I36" s="83"/>
      <c r="J36" s="141"/>
      <c r="K36" s="142"/>
      <c r="L36" t="s">
        <v>0</v>
      </c>
      <c r="M36" t="s">
        <v>0</v>
      </c>
      <c r="N36" t="s">
        <v>0</v>
      </c>
      <c r="O36" t="s">
        <v>0</v>
      </c>
      <c r="P36" t="s">
        <v>0</v>
      </c>
      <c r="Q36" t="s">
        <v>0</v>
      </c>
      <c r="R36" t="s">
        <v>0</v>
      </c>
      <c r="S36" t="s">
        <v>0</v>
      </c>
      <c r="T36" t="s">
        <v>0</v>
      </c>
    </row>
    <row r="37" ht="15.75" customHeight="1" spans="1:20" x14ac:dyDescent="0.25">
      <c r="A37" s="213" t="s">
        <v>0</v>
      </c>
      <c r="B37" s="88"/>
      <c r="C37" s="89"/>
      <c r="D37" s="89"/>
      <c r="E37" s="89"/>
      <c r="F37" s="90"/>
      <c r="G37" s="88"/>
      <c r="H37" s="89"/>
      <c r="I37" s="90"/>
      <c r="J37" s="217"/>
      <c r="K37" s="218"/>
      <c r="L37" t="s">
        <v>0</v>
      </c>
      <c r="M37" t="s">
        <v>0</v>
      </c>
      <c r="N37" t="s">
        <v>0</v>
      </c>
      <c r="O37" t="s">
        <v>0</v>
      </c>
      <c r="P37" t="s">
        <v>0</v>
      </c>
      <c r="Q37" t="s">
        <v>0</v>
      </c>
      <c r="R37" t="s">
        <v>0</v>
      </c>
      <c r="S37" t="s">
        <v>0</v>
      </c>
      <c r="T37" t="s">
        <v>0</v>
      </c>
    </row>
    <row r="38" ht="15.75" customHeight="1" spans="1:20" x14ac:dyDescent="0.25">
      <c r="A38" s="93" t="s">
        <v>0</v>
      </c>
      <c r="B38" s="94"/>
      <c r="C38" s="95"/>
      <c r="D38" s="95"/>
      <c r="E38" s="95"/>
      <c r="F38" s="96"/>
      <c r="G38" s="97" t="s">
        <v>96</v>
      </c>
      <c r="H38" s="98"/>
      <c r="I38" s="98"/>
      <c r="J38" s="99">
        <f>SUM(J28:L37)</f>
        <v>75020</v>
      </c>
      <c r="K38" s="100"/>
      <c r="L38" t="s">
        <v>0</v>
      </c>
      <c r="M38" t="s">
        <v>0</v>
      </c>
      <c r="N38" t="s">
        <v>0</v>
      </c>
      <c r="O38" t="s">
        <v>0</v>
      </c>
      <c r="P38" t="s">
        <v>0</v>
      </c>
      <c r="Q38" t="s">
        <v>0</v>
      </c>
      <c r="R38" t="s">
        <v>0</v>
      </c>
      <c r="S38" t="s">
        <v>0</v>
      </c>
      <c r="T38" t="s">
        <v>0</v>
      </c>
    </row>
  </sheetData>
  <mergeCells count="72">
    <mergeCell ref="A13:B13"/>
    <mergeCell ref="C13:E13"/>
    <mergeCell ref="F13:G13"/>
    <mergeCell ref="H13:J13"/>
    <mergeCell ref="B14:E14"/>
    <mergeCell ref="F14:G14"/>
    <mergeCell ref="H14:J14"/>
    <mergeCell ref="C15:E15"/>
    <mergeCell ref="F15:G15"/>
    <mergeCell ref="H15:J15"/>
    <mergeCell ref="B16:E16"/>
    <mergeCell ref="F16:G16"/>
    <mergeCell ref="H16:J16"/>
    <mergeCell ref="B17:E17"/>
    <mergeCell ref="F17:G17"/>
    <mergeCell ref="H17:J17"/>
    <mergeCell ref="B18:E18"/>
    <mergeCell ref="F18:G18"/>
    <mergeCell ref="H18:J18"/>
    <mergeCell ref="C19:E19"/>
    <mergeCell ref="F19:G19"/>
    <mergeCell ref="H19:J19"/>
    <mergeCell ref="C20:E20"/>
    <mergeCell ref="F20:G20"/>
    <mergeCell ref="H20:J20"/>
    <mergeCell ref="C21:E21"/>
    <mergeCell ref="F21:G21"/>
    <mergeCell ref="H21:J21"/>
    <mergeCell ref="C22:E22"/>
    <mergeCell ref="F22:G22"/>
    <mergeCell ref="H22:J22"/>
    <mergeCell ref="C23:E23"/>
    <mergeCell ref="F23:G23"/>
    <mergeCell ref="H23:J23"/>
    <mergeCell ref="F24:G24"/>
    <mergeCell ref="H24:J24"/>
    <mergeCell ref="B27:F27"/>
    <mergeCell ref="G27:I27"/>
    <mergeCell ref="J27:K27"/>
    <mergeCell ref="B28:F28"/>
    <mergeCell ref="G28:I28"/>
    <mergeCell ref="J28:K28"/>
    <mergeCell ref="B29:F29"/>
    <mergeCell ref="G29:I29"/>
    <mergeCell ref="J29:K29"/>
    <mergeCell ref="B30:F30"/>
    <mergeCell ref="G30:I30"/>
    <mergeCell ref="J30:K30"/>
    <mergeCell ref="B31:F31"/>
    <mergeCell ref="G31:I31"/>
    <mergeCell ref="J31:K31"/>
    <mergeCell ref="B32:F32"/>
    <mergeCell ref="G32:I32"/>
    <mergeCell ref="J32:K32"/>
    <mergeCell ref="B33:F33"/>
    <mergeCell ref="G33:I33"/>
    <mergeCell ref="J33:K33"/>
    <mergeCell ref="B34:F34"/>
    <mergeCell ref="G34:I34"/>
    <mergeCell ref="J34:K34"/>
    <mergeCell ref="B35:F35"/>
    <mergeCell ref="G35:I35"/>
    <mergeCell ref="J35:K35"/>
    <mergeCell ref="B36:F36"/>
    <mergeCell ref="G36:I36"/>
    <mergeCell ref="J36:K36"/>
    <mergeCell ref="B37:F37"/>
    <mergeCell ref="G37:I37"/>
    <mergeCell ref="J37:K37"/>
    <mergeCell ref="B38:F38"/>
    <mergeCell ref="G38:I38"/>
    <mergeCell ref="J38:K3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workbookViewId="0" zoomScale="90" zoomScaleNormal="90">
      <selection activeCell="R11" sqref="R11"/>
    </sheetView>
  </sheetViews>
  <sheetFormatPr defaultRowHeight="15" outlineLevelRow="0" outlineLevelCol="0" x14ac:dyDescent="0.25"/>
  <cols>
    <col min="1" max="1" width="42.7109375" customWidth="1"/>
    <col min="2" max="2" width="18.7109375" hidden="1" customWidth="1"/>
    <col min="3" max="3" width="16.7109375" hidden="1" customWidth="1"/>
    <col min="4" max="4" width="19.140625" customWidth="1"/>
    <col min="5" max="5" width="32.7109375" customWidth="1"/>
    <col min="6" max="6" width="17.5703125" customWidth="1"/>
    <col min="7" max="7" width="16.5703125" customWidth="1"/>
    <col min="8" max="8" width="11.7109375" customWidth="1"/>
    <col min="9" max="9" width="20" customWidth="1"/>
    <col min="10" max="10" width="13.28515625" customWidth="1"/>
    <col min="11" max="11" width="11.28515625" customWidth="1"/>
    <col min="12" max="12" width="12.140625" customWidth="1"/>
    <col min="13" max="13" width="13.140625" customWidth="1"/>
    <col min="14" max="14" width="13.28515625" customWidth="1"/>
    <col min="15" max="15" width="13.42578125" customWidth="1"/>
    <col min="16" max="16" width="11.7109375" customWidth="1"/>
    <col min="17" max="17" width="11.140625" customWidth="1"/>
    <col min="18" max="18" width="13.28515625" customWidth="1"/>
    <col min="19" max="19" width="12" customWidth="1"/>
    <col min="20" max="20" width="14.85546875" customWidth="1"/>
  </cols>
  <sheetData>
    <row r="1" ht="72.75" customHeight="1" spans="1:20" x14ac:dyDescent="0.25">
      <c r="A1" s="1" t="s">
        <v>0</v>
      </c>
      <c r="B1" s="261" t="s">
        <v>728</v>
      </c>
      <c r="C1" s="2" t="s">
        <v>920</v>
      </c>
      <c r="D1" s="3" t="s">
        <v>263</v>
      </c>
      <c r="E1" s="4" t="s">
        <v>921</v>
      </c>
      <c r="F1" s="5" t="s">
        <v>922</v>
      </c>
      <c r="G1" s="6" t="s">
        <v>5</v>
      </c>
      <c r="H1" s="7" t="s">
        <v>6</v>
      </c>
      <c r="I1" s="8" t="s">
        <v>7</v>
      </c>
      <c r="J1" s="7" t="s">
        <v>8</v>
      </c>
      <c r="K1" s="8" t="s">
        <v>9</v>
      </c>
      <c r="L1" s="7" t="s">
        <v>10</v>
      </c>
      <c r="M1" s="8" t="s">
        <v>11</v>
      </c>
      <c r="N1" s="7" t="s">
        <v>12</v>
      </c>
      <c r="O1" s="8" t="s">
        <v>13</v>
      </c>
      <c r="P1" s="7" t="s">
        <v>14</v>
      </c>
      <c r="Q1" s="8" t="s">
        <v>15</v>
      </c>
      <c r="R1" s="7" t="s">
        <v>16</v>
      </c>
      <c r="S1" s="7" t="s">
        <v>0</v>
      </c>
      <c r="T1" s="10" t="s">
        <v>17</v>
      </c>
    </row>
    <row r="2" ht="16.5" customHeight="1" spans="1:20" x14ac:dyDescent="0.25">
      <c r="A2" s="12" t="s">
        <v>923</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6" t="s">
        <v>0</v>
      </c>
      <c r="T2" s="16" t="s">
        <v>0</v>
      </c>
    </row>
    <row r="3" ht="15.75" customHeight="1" spans="1:20" x14ac:dyDescent="0.25">
      <c r="A3" s="187" t="s">
        <v>347</v>
      </c>
      <c r="B3" s="263" t="s">
        <v>731</v>
      </c>
      <c r="C3" s="20" t="s">
        <v>0</v>
      </c>
      <c r="D3" s="21" t="s">
        <v>124</v>
      </c>
      <c r="E3" s="22" t="s">
        <v>924</v>
      </c>
      <c r="F3" s="23" t="s">
        <v>925</v>
      </c>
      <c r="G3" s="23" t="s">
        <v>0</v>
      </c>
      <c r="H3" s="23" t="s">
        <v>0</v>
      </c>
      <c r="I3" s="23" t="s">
        <v>0</v>
      </c>
      <c r="J3" s="23" t="s">
        <v>0</v>
      </c>
      <c r="K3" s="23" t="s">
        <v>0</v>
      </c>
      <c r="L3" s="23" t="s">
        <v>924</v>
      </c>
      <c r="M3" s="23" t="s">
        <v>0</v>
      </c>
      <c r="N3" s="23" t="s">
        <v>0</v>
      </c>
      <c r="O3" s="23" t="s">
        <v>0</v>
      </c>
      <c r="P3" s="23" t="s">
        <v>0</v>
      </c>
      <c r="Q3" s="23" t="s">
        <v>0</v>
      </c>
      <c r="R3" s="23" t="s">
        <v>0</v>
      </c>
      <c r="S3" s="24" t="s">
        <v>0</v>
      </c>
      <c r="T3" s="23" t="s">
        <v>924</v>
      </c>
    </row>
    <row r="4" ht="15.75" customHeight="1" spans="1:20" x14ac:dyDescent="0.25">
      <c r="A4" s="187" t="s">
        <v>114</v>
      </c>
      <c r="B4" s="263" t="s">
        <v>0</v>
      </c>
      <c r="C4" s="20" t="s">
        <v>0</v>
      </c>
      <c r="D4" s="21" t="s">
        <v>0</v>
      </c>
      <c r="E4" s="22" t="s">
        <v>926</v>
      </c>
      <c r="F4" s="23" t="s">
        <v>927</v>
      </c>
      <c r="G4" s="23" t="s">
        <v>0</v>
      </c>
      <c r="H4" s="23" t="s">
        <v>120</v>
      </c>
      <c r="I4" s="23" t="s">
        <v>473</v>
      </c>
      <c r="J4" s="23" t="s">
        <v>0</v>
      </c>
      <c r="K4" s="23" t="s">
        <v>928</v>
      </c>
      <c r="L4" s="23" t="s">
        <v>929</v>
      </c>
      <c r="M4" s="23" t="s">
        <v>930</v>
      </c>
      <c r="N4" s="23" t="s">
        <v>931</v>
      </c>
      <c r="O4" s="23" t="s">
        <v>630</v>
      </c>
      <c r="P4" s="23" t="s">
        <v>932</v>
      </c>
      <c r="Q4" s="23" t="s">
        <v>933</v>
      </c>
      <c r="R4" s="23" t="s">
        <v>0</v>
      </c>
      <c r="S4" s="24" t="s">
        <v>0</v>
      </c>
      <c r="T4" s="23" t="s">
        <v>926</v>
      </c>
    </row>
    <row r="5" ht="15.75" customHeight="1" spans="1:20" x14ac:dyDescent="0.25">
      <c r="A5" s="19" t="s">
        <v>934</v>
      </c>
      <c r="B5" s="268" t="s">
        <v>0</v>
      </c>
      <c r="C5" s="27" t="s">
        <v>0</v>
      </c>
      <c r="D5" s="188" t="s">
        <v>935</v>
      </c>
      <c r="E5" s="22" t="s">
        <v>0</v>
      </c>
      <c r="F5" s="23" t="s">
        <v>935</v>
      </c>
      <c r="G5" s="28" t="s">
        <v>0</v>
      </c>
      <c r="H5" s="28" t="s">
        <v>0</v>
      </c>
      <c r="I5" s="28" t="s">
        <v>0</v>
      </c>
      <c r="J5" s="28" t="s">
        <v>0</v>
      </c>
      <c r="K5" s="28" t="s">
        <v>0</v>
      </c>
      <c r="L5" s="28" t="s">
        <v>0</v>
      </c>
      <c r="M5" s="28" t="s">
        <v>0</v>
      </c>
      <c r="N5" s="28" t="s">
        <v>0</v>
      </c>
      <c r="O5" s="28" t="s">
        <v>0</v>
      </c>
      <c r="P5" s="28" t="s">
        <v>0</v>
      </c>
      <c r="Q5" s="28" t="s">
        <v>0</v>
      </c>
      <c r="R5" s="28" t="s">
        <v>0</v>
      </c>
      <c r="S5" s="24" t="s">
        <v>0</v>
      </c>
      <c r="T5" s="23" t="s">
        <v>0</v>
      </c>
    </row>
    <row r="6" ht="16.5" customHeight="1" spans="1:20" x14ac:dyDescent="0.25">
      <c r="A6" s="19" t="s">
        <v>936</v>
      </c>
      <c r="B6" s="268" t="s">
        <v>0</v>
      </c>
      <c r="C6" s="27" t="s">
        <v>0</v>
      </c>
      <c r="D6" s="188" t="s">
        <v>268</v>
      </c>
      <c r="E6" s="22" t="s">
        <v>0</v>
      </c>
      <c r="F6" s="23" t="s">
        <v>268</v>
      </c>
      <c r="G6" s="28" t="s">
        <v>0</v>
      </c>
      <c r="H6" s="28" t="s">
        <v>0</v>
      </c>
      <c r="I6" s="28" t="s">
        <v>0</v>
      </c>
      <c r="J6" s="28" t="s">
        <v>0</v>
      </c>
      <c r="K6" s="28" t="s">
        <v>0</v>
      </c>
      <c r="L6" s="28" t="s">
        <v>0</v>
      </c>
      <c r="M6" s="28" t="s">
        <v>0</v>
      </c>
      <c r="N6" s="28" t="s">
        <v>0</v>
      </c>
      <c r="O6" s="28" t="s">
        <v>0</v>
      </c>
      <c r="P6" s="28" t="s">
        <v>0</v>
      </c>
      <c r="Q6" s="28" t="s">
        <v>0</v>
      </c>
      <c r="R6" s="28" t="s">
        <v>0</v>
      </c>
      <c r="S6" s="24" t="s">
        <v>0</v>
      </c>
      <c r="T6" s="23" t="s">
        <v>0</v>
      </c>
    </row>
    <row r="7" ht="16.5" customHeight="1" spans="1:23" x14ac:dyDescent="0.25">
      <c r="A7" s="26" t="s">
        <v>43</v>
      </c>
      <c r="B7" s="272" t="s">
        <v>769</v>
      </c>
      <c r="C7" s="27" t="s">
        <v>0</v>
      </c>
      <c r="D7" s="188" t="s">
        <v>937</v>
      </c>
      <c r="E7" s="22" t="s">
        <v>938</v>
      </c>
      <c r="F7" s="23" t="s">
        <v>939</v>
      </c>
      <c r="G7" s="28" t="s">
        <v>0</v>
      </c>
      <c r="H7" s="28" t="s">
        <v>0</v>
      </c>
      <c r="I7" s="28" t="s">
        <v>0</v>
      </c>
      <c r="J7" s="28" t="s">
        <v>0</v>
      </c>
      <c r="K7" s="28" t="s">
        <v>940</v>
      </c>
      <c r="L7" s="28" t="s">
        <v>0</v>
      </c>
      <c r="M7" s="28" t="s">
        <v>0</v>
      </c>
      <c r="N7" s="28" t="s">
        <v>0</v>
      </c>
      <c r="O7" s="28" t="s">
        <v>941</v>
      </c>
      <c r="P7" s="28" t="s">
        <v>0</v>
      </c>
      <c r="Q7" s="28" t="s">
        <v>0</v>
      </c>
      <c r="R7" s="28" t="s">
        <v>0</v>
      </c>
      <c r="S7" s="24" t="s">
        <v>0</v>
      </c>
      <c r="T7" s="23" t="s">
        <v>938</v>
      </c>
      <c r="W7" s="93"/>
    </row>
    <row r="8" ht="15.75" customHeight="1" spans="1:20" x14ac:dyDescent="0.25">
      <c r="A8" s="26" t="s">
        <v>41</v>
      </c>
      <c r="B8" s="272" t="s">
        <v>780</v>
      </c>
      <c r="C8" s="27" t="s">
        <v>0</v>
      </c>
      <c r="D8" s="188" t="s">
        <v>0</v>
      </c>
      <c r="E8" s="22" t="s">
        <v>0</v>
      </c>
      <c r="F8" s="23" t="s">
        <v>0</v>
      </c>
      <c r="G8" s="28" t="s">
        <v>0</v>
      </c>
      <c r="H8" s="28" t="s">
        <v>0</v>
      </c>
      <c r="I8" s="28" t="s">
        <v>0</v>
      </c>
      <c r="J8" s="28" t="s">
        <v>0</v>
      </c>
      <c r="K8" s="28" t="s">
        <v>0</v>
      </c>
      <c r="L8" s="28" t="s">
        <v>0</v>
      </c>
      <c r="M8" s="28" t="s">
        <v>0</v>
      </c>
      <c r="N8" s="28" t="s">
        <v>0</v>
      </c>
      <c r="O8" s="28" t="s">
        <v>0</v>
      </c>
      <c r="P8" s="28" t="s">
        <v>0</v>
      </c>
      <c r="Q8" s="28" t="s">
        <v>0</v>
      </c>
      <c r="R8" s="28" t="s">
        <v>0</v>
      </c>
      <c r="S8" s="24" t="s">
        <v>0</v>
      </c>
      <c r="T8" s="23" t="s">
        <v>0</v>
      </c>
    </row>
    <row r="9" ht="15.75" customHeight="1" spans="1:20" x14ac:dyDescent="0.25">
      <c r="A9" s="26" t="s">
        <v>33</v>
      </c>
      <c r="B9" s="272" t="s">
        <v>785</v>
      </c>
      <c r="C9" s="27" t="s">
        <v>0</v>
      </c>
      <c r="D9" s="188" t="s">
        <v>319</v>
      </c>
      <c r="E9" s="22" t="s">
        <v>942</v>
      </c>
      <c r="F9" s="23" t="s">
        <v>943</v>
      </c>
      <c r="G9" s="28" t="s">
        <v>0</v>
      </c>
      <c r="H9" s="28" t="s">
        <v>0</v>
      </c>
      <c r="I9" s="28">
        <v>640</v>
      </c>
      <c r="J9" s="28" t="s">
        <v>0</v>
      </c>
      <c r="K9" s="28" t="s">
        <v>944</v>
      </c>
      <c r="L9" s="28" t="s">
        <v>0</v>
      </c>
      <c r="M9" s="28" t="s">
        <v>0</v>
      </c>
      <c r="N9" s="28" t="s">
        <v>945</v>
      </c>
      <c r="O9" s="28" t="s">
        <v>946</v>
      </c>
      <c r="P9" s="28" t="s">
        <v>0</v>
      </c>
      <c r="Q9" s="28" t="s">
        <v>0</v>
      </c>
      <c r="R9" s="28" t="s">
        <v>0</v>
      </c>
      <c r="S9" s="24" t="s">
        <v>0</v>
      </c>
      <c r="T9" s="23" t="s">
        <v>942</v>
      </c>
    </row>
    <row r="10" ht="15.75" customHeight="1" spans="1:20" x14ac:dyDescent="0.25">
      <c r="A10" s="26" t="s">
        <v>45</v>
      </c>
      <c r="B10" s="272" t="s">
        <v>0</v>
      </c>
      <c r="C10" s="27" t="s">
        <v>0</v>
      </c>
      <c r="D10" s="188" t="s">
        <v>0</v>
      </c>
      <c r="E10" s="22" t="s">
        <v>947</v>
      </c>
      <c r="F10" s="23" t="s">
        <v>948</v>
      </c>
      <c r="G10" s="28" t="s">
        <v>949</v>
      </c>
      <c r="H10" s="28" t="s">
        <v>950</v>
      </c>
      <c r="I10" s="28" t="s">
        <v>951</v>
      </c>
      <c r="J10" s="28" t="s">
        <v>952</v>
      </c>
      <c r="K10" s="28" t="s">
        <v>953</v>
      </c>
      <c r="L10" s="28" t="s">
        <v>954</v>
      </c>
      <c r="M10" s="28" t="s">
        <v>955</v>
      </c>
      <c r="N10" s="28" t="s">
        <v>956</v>
      </c>
      <c r="O10" s="28" t="s">
        <v>957</v>
      </c>
      <c r="P10" s="28" t="s">
        <v>958</v>
      </c>
      <c r="Q10" s="28" t="s">
        <v>167</v>
      </c>
      <c r="R10" s="28" t="s">
        <v>959</v>
      </c>
      <c r="S10" s="24" t="s">
        <v>0</v>
      </c>
      <c r="T10" s="23" t="s">
        <v>947</v>
      </c>
    </row>
    <row r="11" ht="15.75" customHeight="1" spans="1:20" x14ac:dyDescent="0.25">
      <c r="A11" s="26" t="s">
        <v>208</v>
      </c>
      <c r="B11" s="272" t="s">
        <v>0</v>
      </c>
      <c r="C11" s="27" t="s">
        <v>0</v>
      </c>
      <c r="D11" s="188" t="s">
        <v>960</v>
      </c>
      <c r="E11" s="22" t="s">
        <v>961</v>
      </c>
      <c r="F11" s="23" t="s">
        <v>962</v>
      </c>
      <c r="G11" s="28" t="s">
        <v>0</v>
      </c>
      <c r="H11" s="28" t="s">
        <v>0</v>
      </c>
      <c r="I11" s="28" t="s">
        <v>0</v>
      </c>
      <c r="J11" s="28" t="s">
        <v>0</v>
      </c>
      <c r="K11" s="28" t="s">
        <v>961</v>
      </c>
      <c r="L11" s="28" t="s">
        <v>0</v>
      </c>
      <c r="M11" s="28" t="s">
        <v>0</v>
      </c>
      <c r="N11" s="28" t="s">
        <v>0</v>
      </c>
      <c r="O11" s="28" t="s">
        <v>0</v>
      </c>
      <c r="P11" s="28" t="s">
        <v>0</v>
      </c>
      <c r="Q11" s="28" t="s">
        <v>0</v>
      </c>
      <c r="R11" s="28" t="s">
        <v>0</v>
      </c>
      <c r="S11" s="24" t="s">
        <v>0</v>
      </c>
      <c r="T11" s="23" t="s">
        <v>961</v>
      </c>
    </row>
    <row r="12" ht="15.75" customHeight="1" spans="1:20" x14ac:dyDescent="0.25">
      <c r="A12" s="31" t="s">
        <v>493</v>
      </c>
      <c r="B12" s="272" t="s">
        <v>776</v>
      </c>
      <c r="C12" s="27" t="s">
        <v>0</v>
      </c>
      <c r="D12" s="188" t="s">
        <v>282</v>
      </c>
      <c r="E12" s="22" t="s">
        <v>0</v>
      </c>
      <c r="F12" s="23" t="s">
        <v>282</v>
      </c>
      <c r="G12" s="28" t="s">
        <v>0</v>
      </c>
      <c r="H12" s="28" t="s">
        <v>0</v>
      </c>
      <c r="I12" s="28" t="s">
        <v>0</v>
      </c>
      <c r="J12" s="28" t="s">
        <v>0</v>
      </c>
      <c r="K12" s="28" t="s">
        <v>0</v>
      </c>
      <c r="L12" s="28" t="s">
        <v>0</v>
      </c>
      <c r="M12" s="28" t="s">
        <v>0</v>
      </c>
      <c r="N12" s="28" t="s">
        <v>0</v>
      </c>
      <c r="O12" s="28" t="s">
        <v>0</v>
      </c>
      <c r="P12" s="28" t="s">
        <v>0</v>
      </c>
      <c r="Q12" s="28" t="s">
        <v>0</v>
      </c>
      <c r="R12" s="28" t="s">
        <v>0</v>
      </c>
      <c r="S12" s="24" t="s">
        <v>0</v>
      </c>
      <c r="T12" s="23" t="s">
        <v>0</v>
      </c>
    </row>
    <row r="13" ht="16.5" customHeight="1" spans="1:20" x14ac:dyDescent="0.25">
      <c r="A13" s="34" t="s">
        <v>0</v>
      </c>
      <c r="B13" s="193" t="s">
        <v>96</v>
      </c>
      <c r="C13" s="37" t="s">
        <v>0</v>
      </c>
      <c r="D13" s="37" t="s">
        <v>963</v>
      </c>
      <c r="E13" s="37" t="s">
        <v>964</v>
      </c>
      <c r="F13" s="37" t="s">
        <v>965</v>
      </c>
      <c r="G13" s="37" t="s">
        <v>949</v>
      </c>
      <c r="H13" s="37" t="s">
        <v>966</v>
      </c>
      <c r="I13" s="37" t="s">
        <v>967</v>
      </c>
      <c r="J13" s="37" t="s">
        <v>952</v>
      </c>
      <c r="K13" s="37" t="s">
        <v>968</v>
      </c>
      <c r="L13" s="37" t="s">
        <v>969</v>
      </c>
      <c r="M13" s="37" t="s">
        <v>970</v>
      </c>
      <c r="N13" s="37" t="s">
        <v>971</v>
      </c>
      <c r="O13" s="37" t="s">
        <v>972</v>
      </c>
      <c r="P13" s="37" t="s">
        <v>973</v>
      </c>
      <c r="Q13" s="37" t="s">
        <v>974</v>
      </c>
      <c r="R13" s="37" t="s">
        <v>959</v>
      </c>
      <c r="S13" s="193" t="s">
        <v>73</v>
      </c>
      <c r="T13" s="192" t="s">
        <v>964</v>
      </c>
    </row>
    <row r="14" spans="1:20" x14ac:dyDescent="0.25">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c r="T14" t="s">
        <v>0</v>
      </c>
    </row>
    <row r="15" ht="38.25" customHeight="1" spans="1:20" x14ac:dyDescent="0.25">
      <c r="A15" s="39" t="s">
        <v>0</v>
      </c>
      <c r="B15" s="204" t="s">
        <v>0</v>
      </c>
      <c r="C15" s="204" t="s">
        <v>0</v>
      </c>
      <c r="D15" t="s">
        <v>0</v>
      </c>
      <c r="E15" t="s">
        <v>0</v>
      </c>
      <c r="F15" t="s">
        <v>0</v>
      </c>
      <c r="G15" t="s">
        <v>0</v>
      </c>
      <c r="H15" t="s">
        <v>0</v>
      </c>
      <c r="I15" t="s">
        <v>0</v>
      </c>
      <c r="J15" t="s">
        <v>0</v>
      </c>
      <c r="K15" t="s">
        <v>0</v>
      </c>
      <c r="L15" t="s">
        <v>0</v>
      </c>
      <c r="M15" t="s">
        <v>0</v>
      </c>
      <c r="N15" s="203" t="s">
        <v>0</v>
      </c>
      <c r="O15" s="203" t="s">
        <v>0</v>
      </c>
      <c r="P15" t="s">
        <v>0</v>
      </c>
      <c r="Q15" t="s">
        <v>0</v>
      </c>
      <c r="R15" t="s">
        <v>0</v>
      </c>
      <c r="S15" t="s">
        <v>0</v>
      </c>
      <c r="T15" t="s">
        <v>0</v>
      </c>
    </row>
    <row r="16" ht="16.5" customHeight="1" spans="1:20" x14ac:dyDescent="0.25">
      <c r="A16" s="40" t="s">
        <v>200</v>
      </c>
      <c r="B16" s="41" t="s">
        <v>201</v>
      </c>
      <c r="C16" s="42"/>
      <c r="D16" s="42"/>
      <c r="E16" s="43"/>
      <c r="F16" s="41" t="s">
        <v>76</v>
      </c>
      <c r="G16" s="43"/>
      <c r="H16" s="44" t="s">
        <v>77</v>
      </c>
      <c r="I16" s="45"/>
      <c r="J16" t="s">
        <v>0</v>
      </c>
      <c r="K16" t="s">
        <v>0</v>
      </c>
      <c r="L16" t="s">
        <v>0</v>
      </c>
      <c r="M16" t="s">
        <v>0</v>
      </c>
      <c r="N16" t="s">
        <v>0</v>
      </c>
      <c r="O16" s="203" t="s">
        <v>0</v>
      </c>
      <c r="P16" t="s">
        <v>0</v>
      </c>
      <c r="Q16" t="s">
        <v>0</v>
      </c>
      <c r="R16" t="s">
        <v>0</v>
      </c>
      <c r="S16" t="s">
        <v>0</v>
      </c>
      <c r="T16" t="s">
        <v>0</v>
      </c>
    </row>
    <row r="17" ht="33" customHeight="1" spans="1:20" x14ac:dyDescent="0.25">
      <c r="A17" s="46" t="s">
        <v>850</v>
      </c>
      <c r="B17" s="127" t="s">
        <v>975</v>
      </c>
      <c r="C17" s="128"/>
      <c r="D17" s="128"/>
      <c r="E17" s="129"/>
      <c r="F17" s="127" t="s">
        <v>976</v>
      </c>
      <c r="G17" s="51"/>
      <c r="H17" s="52">
        <v>2000</v>
      </c>
      <c r="I17" s="53"/>
      <c r="J17" t="s">
        <v>0</v>
      </c>
      <c r="K17" t="s">
        <v>0</v>
      </c>
      <c r="L17" t="s">
        <v>0</v>
      </c>
      <c r="M17" t="s">
        <v>0</v>
      </c>
      <c r="N17" t="s">
        <v>0</v>
      </c>
      <c r="O17" s="203" t="s">
        <v>0</v>
      </c>
      <c r="P17" t="s">
        <v>0</v>
      </c>
      <c r="Q17" t="s">
        <v>0</v>
      </c>
      <c r="R17" t="s">
        <v>0</v>
      </c>
      <c r="S17" t="s">
        <v>0</v>
      </c>
      <c r="T17" t="s">
        <v>0</v>
      </c>
    </row>
    <row r="18" ht="57.75" customHeight="1" spans="1:20" x14ac:dyDescent="0.25">
      <c r="A18" s="168" t="s">
        <v>208</v>
      </c>
      <c r="B18" s="55" t="s">
        <v>977</v>
      </c>
      <c r="C18" s="56"/>
      <c r="D18" s="56"/>
      <c r="E18" s="57"/>
      <c r="F18" s="55" t="s">
        <v>978</v>
      </c>
      <c r="G18" s="57"/>
      <c r="H18" s="58">
        <v>5780</v>
      </c>
      <c r="I18" s="59"/>
      <c r="J18" t="s">
        <v>0</v>
      </c>
      <c r="K18" t="s">
        <v>0</v>
      </c>
      <c r="L18" t="s">
        <v>0</v>
      </c>
      <c r="M18" t="s">
        <v>0</v>
      </c>
      <c r="N18" t="s">
        <v>0</v>
      </c>
      <c r="O18" s="203" t="s">
        <v>0</v>
      </c>
      <c r="P18" t="s">
        <v>0</v>
      </c>
      <c r="Q18" t="s">
        <v>0</v>
      </c>
      <c r="R18" t="s">
        <v>0</v>
      </c>
      <c r="S18" t="s">
        <v>0</v>
      </c>
      <c r="T18" t="s">
        <v>0</v>
      </c>
    </row>
    <row r="19" ht="45" customHeight="1" spans="1:20" x14ac:dyDescent="0.25">
      <c r="A19" s="60" t="s">
        <v>208</v>
      </c>
      <c r="B19" s="61" t="s">
        <v>979</v>
      </c>
      <c r="C19" s="138"/>
      <c r="D19" s="138"/>
      <c r="E19" s="139"/>
      <c r="F19" s="55" t="s">
        <v>980</v>
      </c>
      <c r="G19" s="57"/>
      <c r="H19" s="66">
        <v>13210</v>
      </c>
      <c r="I19" s="67"/>
      <c r="J19" t="s">
        <v>0</v>
      </c>
      <c r="K19" t="s">
        <v>0</v>
      </c>
      <c r="L19" t="s">
        <v>0</v>
      </c>
      <c r="M19" t="s">
        <v>0</v>
      </c>
      <c r="N19" t="s">
        <v>0</v>
      </c>
      <c r="O19" s="203" t="s">
        <v>0</v>
      </c>
      <c r="P19" t="s">
        <v>0</v>
      </c>
      <c r="Q19" t="s">
        <v>0</v>
      </c>
      <c r="R19" t="s">
        <v>0</v>
      </c>
      <c r="S19" t="s">
        <v>0</v>
      </c>
      <c r="T19" t="s">
        <v>0</v>
      </c>
    </row>
    <row r="20" ht="30" customHeight="1" spans="1:20" x14ac:dyDescent="0.25">
      <c r="A20" s="60" t="s">
        <v>205</v>
      </c>
      <c r="B20" s="75" t="s">
        <v>981</v>
      </c>
      <c r="C20" s="76"/>
      <c r="D20" s="76"/>
      <c r="E20" s="77"/>
      <c r="F20" s="75" t="s">
        <v>982</v>
      </c>
      <c r="G20" s="70"/>
      <c r="H20" s="71">
        <v>22500</v>
      </c>
      <c r="I20" s="72"/>
      <c r="J20" t="s">
        <v>0</v>
      </c>
      <c r="K20" t="s">
        <v>0</v>
      </c>
      <c r="L20" t="s">
        <v>0</v>
      </c>
      <c r="M20" t="s">
        <v>0</v>
      </c>
      <c r="N20" t="s">
        <v>0</v>
      </c>
      <c r="O20" s="203" t="s">
        <v>0</v>
      </c>
      <c r="P20" t="s">
        <v>0</v>
      </c>
      <c r="Q20" t="s">
        <v>0</v>
      </c>
      <c r="R20" t="s">
        <v>0</v>
      </c>
      <c r="S20" t="s">
        <v>0</v>
      </c>
      <c r="T20" t="s">
        <v>0</v>
      </c>
    </row>
    <row r="21" ht="30.75" customHeight="1" spans="1:20" x14ac:dyDescent="0.25">
      <c r="A21" s="60" t="s">
        <v>537</v>
      </c>
      <c r="B21" s="68" t="s">
        <v>983</v>
      </c>
      <c r="C21" s="69"/>
      <c r="D21" s="69"/>
      <c r="E21" s="70"/>
      <c r="F21" s="75" t="s">
        <v>984</v>
      </c>
      <c r="G21" s="70"/>
      <c r="H21" s="71">
        <v>13314</v>
      </c>
      <c r="I21" s="72"/>
      <c r="J21" t="s">
        <v>0</v>
      </c>
      <c r="K21" t="s">
        <v>0</v>
      </c>
      <c r="L21" t="s">
        <v>0</v>
      </c>
      <c r="M21" t="s">
        <v>0</v>
      </c>
      <c r="N21" t="s">
        <v>0</v>
      </c>
      <c r="O21" s="203" t="s">
        <v>0</v>
      </c>
      <c r="P21" t="s">
        <v>0</v>
      </c>
      <c r="Q21" t="s">
        <v>0</v>
      </c>
      <c r="R21" t="s">
        <v>0</v>
      </c>
      <c r="S21" t="s">
        <v>0</v>
      </c>
      <c r="T21" t="s">
        <v>0</v>
      </c>
    </row>
    <row r="22" ht="61.5" customHeight="1" spans="1:20" s="80" customFormat="1" x14ac:dyDescent="0.25">
      <c r="A22" s="54" t="s">
        <v>205</v>
      </c>
      <c r="B22" s="172" t="s">
        <v>0</v>
      </c>
      <c r="C22" s="134" t="s">
        <v>985</v>
      </c>
      <c r="D22" s="134"/>
      <c r="E22" s="84"/>
      <c r="F22" s="81" t="s">
        <v>986</v>
      </c>
      <c r="G22" s="83"/>
      <c r="H22" s="85">
        <v>27500</v>
      </c>
      <c r="I22" s="86"/>
      <c r="J22" s="80" t="s">
        <v>0</v>
      </c>
      <c r="K22" s="80" t="s">
        <v>0</v>
      </c>
      <c r="L22" s="80" t="s">
        <v>0</v>
      </c>
      <c r="M22" s="80" t="s">
        <v>0</v>
      </c>
      <c r="N22" s="80" t="s">
        <v>0</v>
      </c>
      <c r="O22" s="132" t="s">
        <v>0</v>
      </c>
      <c r="P22" s="80" t="s">
        <v>0</v>
      </c>
      <c r="Q22" s="80" t="s">
        <v>0</v>
      </c>
      <c r="R22" s="80" t="s">
        <v>0</v>
      </c>
      <c r="S22" s="80" t="s">
        <v>0</v>
      </c>
      <c r="T22" s="80" t="s">
        <v>0</v>
      </c>
    </row>
    <row r="23" ht="63" customHeight="1" spans="1:20" x14ac:dyDescent="0.25">
      <c r="A23" s="60" t="s">
        <v>987</v>
      </c>
      <c r="B23" s="68" t="s">
        <v>0</v>
      </c>
      <c r="C23" s="76" t="s">
        <v>988</v>
      </c>
      <c r="D23" s="76"/>
      <c r="E23" s="77"/>
      <c r="F23" s="75" t="s">
        <v>989</v>
      </c>
      <c r="G23" s="70"/>
      <c r="H23" s="71">
        <v>77000</v>
      </c>
      <c r="I23" s="72"/>
      <c r="J23" t="s">
        <v>0</v>
      </c>
      <c r="K23" t="s">
        <v>0</v>
      </c>
      <c r="L23" t="s">
        <v>0</v>
      </c>
      <c r="M23" t="s">
        <v>0</v>
      </c>
      <c r="N23" t="s">
        <v>0</v>
      </c>
      <c r="O23" s="370" t="s">
        <v>0</v>
      </c>
      <c r="P23" t="s">
        <v>0</v>
      </c>
      <c r="Q23" t="s">
        <v>0</v>
      </c>
      <c r="R23" t="s">
        <v>0</v>
      </c>
      <c r="S23" t="s">
        <v>0</v>
      </c>
      <c r="T23" t="s">
        <v>0</v>
      </c>
    </row>
    <row r="24" spans="1:20" x14ac:dyDescent="0.25">
      <c r="A24" s="60" t="s">
        <v>0</v>
      </c>
      <c r="B24" s="68" t="s">
        <v>0</v>
      </c>
      <c r="C24" s="197"/>
      <c r="D24" s="197"/>
      <c r="E24" s="159"/>
      <c r="F24" s="158"/>
      <c r="G24" s="159"/>
      <c r="H24" s="71"/>
      <c r="I24" s="72"/>
      <c r="J24" t="s">
        <v>0</v>
      </c>
      <c r="K24" t="s">
        <v>0</v>
      </c>
      <c r="L24" t="s">
        <v>0</v>
      </c>
      <c r="M24" t="s">
        <v>0</v>
      </c>
      <c r="N24" t="s">
        <v>0</v>
      </c>
      <c r="O24" s="370" t="s">
        <v>0</v>
      </c>
      <c r="P24" t="s">
        <v>0</v>
      </c>
      <c r="Q24" t="s">
        <v>0</v>
      </c>
      <c r="R24" t="s">
        <v>0</v>
      </c>
      <c r="S24" t="s">
        <v>0</v>
      </c>
      <c r="T24" t="s">
        <v>0</v>
      </c>
    </row>
    <row r="25" spans="1:20" x14ac:dyDescent="0.25">
      <c r="A25" s="60" t="s">
        <v>0</v>
      </c>
      <c r="B25" s="68" t="s">
        <v>0</v>
      </c>
      <c r="C25" s="197"/>
      <c r="D25" s="197"/>
      <c r="E25" s="159"/>
      <c r="F25" s="158"/>
      <c r="G25" s="159"/>
      <c r="H25" s="71"/>
      <c r="I25" s="72"/>
      <c r="J25" t="s">
        <v>0</v>
      </c>
      <c r="K25" t="s">
        <v>0</v>
      </c>
      <c r="L25" t="s">
        <v>0</v>
      </c>
      <c r="M25" t="s">
        <v>0</v>
      </c>
      <c r="N25" t="s">
        <v>0</v>
      </c>
      <c r="O25" s="370" t="s">
        <v>0</v>
      </c>
      <c r="P25" t="s">
        <v>0</v>
      </c>
      <c r="Q25" t="s">
        <v>0</v>
      </c>
      <c r="R25" t="s">
        <v>0</v>
      </c>
      <c r="S25" t="s">
        <v>0</v>
      </c>
      <c r="T25" t="s">
        <v>0</v>
      </c>
    </row>
    <row r="26" spans="1:20" x14ac:dyDescent="0.25">
      <c r="A26" s="60" t="s">
        <v>0</v>
      </c>
      <c r="B26" s="68" t="s">
        <v>0</v>
      </c>
      <c r="C26" s="69"/>
      <c r="D26" s="69"/>
      <c r="E26" s="70"/>
      <c r="F26" s="68"/>
      <c r="G26" s="70"/>
      <c r="H26" s="71"/>
      <c r="I26" s="72"/>
      <c r="J26" t="s">
        <v>0</v>
      </c>
      <c r="K26" t="s">
        <v>0</v>
      </c>
      <c r="L26" t="s">
        <v>0</v>
      </c>
      <c r="M26" t="s">
        <v>0</v>
      </c>
      <c r="N26" t="s">
        <v>0</v>
      </c>
      <c r="O26" s="203" t="s">
        <v>0</v>
      </c>
      <c r="P26" t="s">
        <v>0</v>
      </c>
      <c r="Q26" t="s">
        <v>0</v>
      </c>
      <c r="R26" t="s">
        <v>0</v>
      </c>
      <c r="S26" t="s">
        <v>0</v>
      </c>
      <c r="T26" t="s">
        <v>0</v>
      </c>
    </row>
    <row r="27" ht="15.75" customHeight="1" spans="1:20" x14ac:dyDescent="0.25">
      <c r="A27" s="87" t="s">
        <v>0</v>
      </c>
      <c r="B27" s="163" t="s">
        <v>0</v>
      </c>
      <c r="C27" s="164"/>
      <c r="D27" s="164"/>
      <c r="E27" s="173"/>
      <c r="F27" s="163"/>
      <c r="G27" s="173"/>
      <c r="H27" s="371"/>
      <c r="I27" s="372"/>
      <c r="J27" t="s">
        <v>0</v>
      </c>
      <c r="K27" t="s">
        <v>0</v>
      </c>
      <c r="L27" t="s">
        <v>0</v>
      </c>
      <c r="M27" t="s">
        <v>0</v>
      </c>
      <c r="N27" t="s">
        <v>0</v>
      </c>
      <c r="O27" s="203" t="s">
        <v>0</v>
      </c>
      <c r="P27" t="s">
        <v>0</v>
      </c>
      <c r="Q27" t="s">
        <v>0</v>
      </c>
      <c r="R27" t="s">
        <v>0</v>
      </c>
      <c r="S27" t="s">
        <v>0</v>
      </c>
      <c r="T27" t="s">
        <v>0</v>
      </c>
    </row>
    <row r="28" ht="15.75" customHeight="1" spans="1:20" x14ac:dyDescent="0.25">
      <c r="A28" s="93" t="s">
        <v>0</v>
      </c>
      <c r="B28" s="94"/>
      <c r="C28" s="95"/>
      <c r="D28" s="95"/>
      <c r="E28" s="96"/>
      <c r="F28" s="97" t="s">
        <v>96</v>
      </c>
      <c r="G28" s="98"/>
      <c r="H28" s="99">
        <f>SUM(H17:I27)</f>
        <v>161304</v>
      </c>
      <c r="I28" s="100"/>
      <c r="J28" t="s">
        <v>0</v>
      </c>
      <c r="K28" t="s">
        <v>0</v>
      </c>
      <c r="L28" t="s">
        <v>0</v>
      </c>
      <c r="M28" t="s">
        <v>0</v>
      </c>
      <c r="N28" t="s">
        <v>0</v>
      </c>
      <c r="O28" s="203" t="s">
        <v>0</v>
      </c>
      <c r="P28" t="s">
        <v>0</v>
      </c>
      <c r="Q28" t="s">
        <v>0</v>
      </c>
      <c r="R28" t="s">
        <v>0</v>
      </c>
      <c r="S28" t="s">
        <v>0</v>
      </c>
      <c r="T28" t="s">
        <v>0</v>
      </c>
    </row>
    <row r="29" spans="1:20" x14ac:dyDescent="0.25">
      <c r="A29" t="s">
        <v>0</v>
      </c>
      <c r="B29" t="s">
        <v>0</v>
      </c>
      <c r="C29" t="s">
        <v>0</v>
      </c>
      <c r="D29" t="s">
        <v>0</v>
      </c>
      <c r="E29" t="s">
        <v>0</v>
      </c>
      <c r="F29" t="s">
        <v>0</v>
      </c>
      <c r="G29" t="s">
        <v>0</v>
      </c>
      <c r="H29" t="s">
        <v>0</v>
      </c>
      <c r="I29" t="s">
        <v>0</v>
      </c>
      <c r="J29" t="s">
        <v>0</v>
      </c>
      <c r="K29" t="s">
        <v>0</v>
      </c>
      <c r="L29" t="s">
        <v>0</v>
      </c>
      <c r="M29" t="s">
        <v>0</v>
      </c>
      <c r="N29" t="s">
        <v>0</v>
      </c>
      <c r="O29" s="203" t="s">
        <v>0</v>
      </c>
      <c r="P29" t="s">
        <v>0</v>
      </c>
      <c r="Q29" t="s">
        <v>0</v>
      </c>
      <c r="R29" t="s">
        <v>0</v>
      </c>
      <c r="S29" t="s">
        <v>0</v>
      </c>
      <c r="T29" t="s">
        <v>0</v>
      </c>
    </row>
    <row r="30" ht="15.75" customHeight="1" spans="1:20" x14ac:dyDescent="0.25">
      <c r="A30" t="s">
        <v>0</v>
      </c>
      <c r="B30" t="s">
        <v>0</v>
      </c>
      <c r="C30" t="s">
        <v>0</v>
      </c>
      <c r="D30" t="s">
        <v>0</v>
      </c>
      <c r="E30" t="s">
        <v>0</v>
      </c>
      <c r="F30" t="s">
        <v>0</v>
      </c>
      <c r="G30" t="s">
        <v>0</v>
      </c>
      <c r="H30" t="s">
        <v>0</v>
      </c>
      <c r="I30" t="s">
        <v>0</v>
      </c>
      <c r="J30" t="s">
        <v>0</v>
      </c>
      <c r="K30" t="s">
        <v>0</v>
      </c>
      <c r="L30" t="s">
        <v>0</v>
      </c>
      <c r="M30" t="s">
        <v>0</v>
      </c>
      <c r="N30" t="s">
        <v>0</v>
      </c>
      <c r="O30" s="203" t="s">
        <v>0</v>
      </c>
      <c r="P30" t="s">
        <v>0</v>
      </c>
      <c r="Q30" t="s">
        <v>0</v>
      </c>
      <c r="R30" t="s">
        <v>0</v>
      </c>
      <c r="S30" t="s">
        <v>0</v>
      </c>
      <c r="T30" t="s">
        <v>0</v>
      </c>
    </row>
    <row r="31" ht="16.5" customHeight="1" spans="1:20" x14ac:dyDescent="0.25">
      <c r="A31" s="40" t="s">
        <v>74</v>
      </c>
      <c r="B31" s="41" t="s">
        <v>990</v>
      </c>
      <c r="C31" s="42"/>
      <c r="D31" s="42"/>
      <c r="E31" s="43"/>
      <c r="F31" s="41" t="s">
        <v>76</v>
      </c>
      <c r="G31" s="43"/>
      <c r="H31" s="44" t="s">
        <v>77</v>
      </c>
      <c r="I31" s="45"/>
      <c r="J31" t="s">
        <v>0</v>
      </c>
      <c r="K31" t="s">
        <v>0</v>
      </c>
      <c r="L31" t="s">
        <v>0</v>
      </c>
      <c r="M31" t="s">
        <v>0</v>
      </c>
      <c r="N31" t="s">
        <v>0</v>
      </c>
      <c r="O31" s="203" t="s">
        <v>0</v>
      </c>
      <c r="P31" t="s">
        <v>0</v>
      </c>
      <c r="Q31" t="s">
        <v>0</v>
      </c>
      <c r="R31" t="s">
        <v>0</v>
      </c>
      <c r="S31" t="s">
        <v>0</v>
      </c>
      <c r="T31" t="s">
        <v>0</v>
      </c>
    </row>
    <row r="32" ht="30" customHeight="1" spans="1:20" x14ac:dyDescent="0.25">
      <c r="A32" s="46" t="s">
        <v>991</v>
      </c>
      <c r="B32" s="127" t="s">
        <v>992</v>
      </c>
      <c r="C32" s="128"/>
      <c r="D32" s="128"/>
      <c r="E32" s="129"/>
      <c r="F32" s="127" t="s">
        <v>993</v>
      </c>
      <c r="G32" s="51"/>
      <c r="H32" s="52">
        <v>1150</v>
      </c>
      <c r="I32" s="53"/>
      <c r="J32" t="s">
        <v>0</v>
      </c>
      <c r="K32" t="s">
        <v>0</v>
      </c>
      <c r="L32" t="s">
        <v>0</v>
      </c>
      <c r="M32" t="s">
        <v>0</v>
      </c>
      <c r="N32" t="s">
        <v>0</v>
      </c>
      <c r="O32" t="s">
        <v>0</v>
      </c>
      <c r="P32" t="s">
        <v>0</v>
      </c>
      <c r="Q32" t="s">
        <v>0</v>
      </c>
      <c r="R32" t="s">
        <v>0</v>
      </c>
      <c r="S32" t="s">
        <v>0</v>
      </c>
      <c r="T32" t="s">
        <v>0</v>
      </c>
    </row>
    <row r="33" ht="30" customHeight="1" spans="1:20" x14ac:dyDescent="0.25">
      <c r="A33" s="168" t="s">
        <v>994</v>
      </c>
      <c r="B33" s="169" t="s">
        <v>992</v>
      </c>
      <c r="C33" s="170"/>
      <c r="D33" s="170"/>
      <c r="E33" s="171"/>
      <c r="F33" s="55" t="s">
        <v>995</v>
      </c>
      <c r="G33" s="57"/>
      <c r="H33" s="58">
        <v>1150</v>
      </c>
      <c r="I33" s="59"/>
      <c r="J33" t="s">
        <v>0</v>
      </c>
      <c r="K33" t="s">
        <v>0</v>
      </c>
      <c r="L33" t="s">
        <v>0</v>
      </c>
      <c r="M33" t="s">
        <v>0</v>
      </c>
      <c r="N33" t="s">
        <v>0</v>
      </c>
      <c r="O33" t="s">
        <v>0</v>
      </c>
      <c r="P33" t="s">
        <v>0</v>
      </c>
      <c r="Q33" t="s">
        <v>0</v>
      </c>
      <c r="R33" t="s">
        <v>0</v>
      </c>
      <c r="S33" t="s">
        <v>0</v>
      </c>
      <c r="T33" t="s">
        <v>0</v>
      </c>
    </row>
    <row r="34" ht="30" customHeight="1" spans="1:20" x14ac:dyDescent="0.25">
      <c r="A34" s="60" t="s">
        <v>996</v>
      </c>
      <c r="B34" s="169" t="s">
        <v>992</v>
      </c>
      <c r="C34" s="170"/>
      <c r="D34" s="170"/>
      <c r="E34" s="171"/>
      <c r="F34" s="55" t="s">
        <v>995</v>
      </c>
      <c r="G34" s="57"/>
      <c r="H34" s="58">
        <v>1150</v>
      </c>
      <c r="I34" s="59"/>
      <c r="J34" t="s">
        <v>0</v>
      </c>
      <c r="K34" t="s">
        <v>0</v>
      </c>
      <c r="L34" t="s">
        <v>0</v>
      </c>
      <c r="M34" t="s">
        <v>0</v>
      </c>
      <c r="N34" t="s">
        <v>0</v>
      </c>
      <c r="O34" t="s">
        <v>0</v>
      </c>
      <c r="P34" t="s">
        <v>0</v>
      </c>
      <c r="Q34" t="s">
        <v>0</v>
      </c>
      <c r="R34" t="s">
        <v>0</v>
      </c>
      <c r="S34" t="s">
        <v>0</v>
      </c>
      <c r="T34" t="s">
        <v>0</v>
      </c>
    </row>
    <row r="35" ht="30" customHeight="1" spans="1:20" x14ac:dyDescent="0.25">
      <c r="A35" s="60" t="s">
        <v>997</v>
      </c>
      <c r="B35" s="169" t="s">
        <v>992</v>
      </c>
      <c r="C35" s="170"/>
      <c r="D35" s="170"/>
      <c r="E35" s="171"/>
      <c r="F35" s="55" t="s">
        <v>995</v>
      </c>
      <c r="G35" s="57"/>
      <c r="H35" s="58">
        <v>1150</v>
      </c>
      <c r="I35" s="59"/>
      <c r="J35" t="s">
        <v>0</v>
      </c>
      <c r="K35" t="s">
        <v>0</v>
      </c>
      <c r="L35" t="s">
        <v>0</v>
      </c>
      <c r="M35" t="s">
        <v>0</v>
      </c>
      <c r="N35" t="s">
        <v>0</v>
      </c>
      <c r="O35" t="s">
        <v>0</v>
      </c>
      <c r="P35" t="s">
        <v>0</v>
      </c>
      <c r="Q35" t="s">
        <v>0</v>
      </c>
      <c r="R35" t="s">
        <v>0</v>
      </c>
      <c r="S35" t="s">
        <v>0</v>
      </c>
      <c r="T35" t="s">
        <v>0</v>
      </c>
    </row>
    <row r="36" ht="30" customHeight="1" spans="1:20" x14ac:dyDescent="0.25">
      <c r="A36" s="60" t="s">
        <v>998</v>
      </c>
      <c r="B36" s="169" t="s">
        <v>992</v>
      </c>
      <c r="C36" s="170"/>
      <c r="D36" s="170"/>
      <c r="E36" s="171"/>
      <c r="F36" s="68" t="s">
        <v>999</v>
      </c>
      <c r="G36" s="70"/>
      <c r="H36" s="71">
        <v>4000</v>
      </c>
      <c r="I36" s="72"/>
      <c r="J36" t="s">
        <v>0</v>
      </c>
      <c r="K36" t="s">
        <v>0</v>
      </c>
      <c r="L36" t="s">
        <v>0</v>
      </c>
      <c r="M36" t="s">
        <v>0</v>
      </c>
      <c r="N36" t="s">
        <v>0</v>
      </c>
      <c r="O36" t="s">
        <v>0</v>
      </c>
      <c r="P36" t="s">
        <v>0</v>
      </c>
      <c r="Q36" t="s">
        <v>0</v>
      </c>
      <c r="R36" t="s">
        <v>0</v>
      </c>
      <c r="S36" t="s">
        <v>0</v>
      </c>
      <c r="T36" t="s">
        <v>0</v>
      </c>
    </row>
    <row r="37" ht="30" customHeight="1" spans="1:20" x14ac:dyDescent="0.25">
      <c r="A37" s="60" t="s">
        <v>896</v>
      </c>
      <c r="B37" s="137" t="s">
        <v>0</v>
      </c>
      <c r="C37" s="76" t="s">
        <v>992</v>
      </c>
      <c r="D37" s="76"/>
      <c r="E37" s="77"/>
      <c r="F37" s="68" t="s">
        <v>1000</v>
      </c>
      <c r="G37" s="70"/>
      <c r="H37" s="71">
        <v>2300</v>
      </c>
      <c r="I37" s="72"/>
      <c r="J37" t="s">
        <v>0</v>
      </c>
      <c r="K37" t="s">
        <v>0</v>
      </c>
      <c r="L37" t="s">
        <v>0</v>
      </c>
      <c r="M37" t="s">
        <v>0</v>
      </c>
      <c r="N37" t="s">
        <v>0</v>
      </c>
      <c r="O37" t="s">
        <v>0</v>
      </c>
      <c r="P37" t="s">
        <v>0</v>
      </c>
      <c r="Q37" t="s">
        <v>0</v>
      </c>
      <c r="R37" t="s">
        <v>0</v>
      </c>
      <c r="S37" t="s">
        <v>0</v>
      </c>
      <c r="T37" t="s">
        <v>0</v>
      </c>
    </row>
    <row r="38" ht="28.5" customHeight="1" spans="1:20" x14ac:dyDescent="0.25">
      <c r="A38" s="60" t="s">
        <v>998</v>
      </c>
      <c r="B38" s="137" t="s">
        <v>0</v>
      </c>
      <c r="C38" s="76" t="s">
        <v>1001</v>
      </c>
      <c r="D38" s="76"/>
      <c r="E38" s="77"/>
      <c r="F38" s="68" t="s">
        <v>1002</v>
      </c>
      <c r="G38" s="70"/>
      <c r="H38" s="71">
        <v>1270</v>
      </c>
      <c r="I38" s="72"/>
      <c r="J38" t="s">
        <v>0</v>
      </c>
      <c r="K38" t="s">
        <v>0</v>
      </c>
      <c r="L38" t="s">
        <v>0</v>
      </c>
      <c r="M38" t="s">
        <v>0</v>
      </c>
      <c r="N38" t="s">
        <v>0</v>
      </c>
      <c r="O38" t="s">
        <v>0</v>
      </c>
      <c r="P38" t="s">
        <v>0</v>
      </c>
      <c r="Q38" t="s">
        <v>0</v>
      </c>
      <c r="R38" t="s">
        <v>0</v>
      </c>
      <c r="S38" t="s">
        <v>0</v>
      </c>
      <c r="T38" t="s">
        <v>0</v>
      </c>
    </row>
    <row r="39" ht="29.25" customHeight="1" spans="1:20" x14ac:dyDescent="0.25">
      <c r="A39" s="60" t="s">
        <v>998</v>
      </c>
      <c r="B39" s="137" t="s">
        <v>0</v>
      </c>
      <c r="C39" s="76" t="s">
        <v>1003</v>
      </c>
      <c r="D39" s="76"/>
      <c r="E39" s="77"/>
      <c r="F39" s="68" t="s">
        <v>1004</v>
      </c>
      <c r="G39" s="70"/>
      <c r="H39" s="71">
        <v>29376</v>
      </c>
      <c r="I39" s="72"/>
      <c r="J39" t="s">
        <v>0</v>
      </c>
      <c r="K39" t="s">
        <v>0</v>
      </c>
      <c r="L39" t="s">
        <v>0</v>
      </c>
      <c r="M39" t="s">
        <v>0</v>
      </c>
      <c r="N39" t="s">
        <v>0</v>
      </c>
      <c r="O39" t="s">
        <v>0</v>
      </c>
      <c r="P39" t="s">
        <v>0</v>
      </c>
      <c r="Q39" t="s">
        <v>0</v>
      </c>
      <c r="R39" t="s">
        <v>0</v>
      </c>
      <c r="S39" t="s">
        <v>0</v>
      </c>
      <c r="T39" t="s">
        <v>0</v>
      </c>
    </row>
    <row r="40" ht="29.25" customHeight="1" spans="1:20" x14ac:dyDescent="0.25">
      <c r="A40" s="60" t="s">
        <v>858</v>
      </c>
      <c r="B40" s="137" t="s">
        <v>0</v>
      </c>
      <c r="C40" s="76" t="s">
        <v>1005</v>
      </c>
      <c r="D40" s="76"/>
      <c r="E40" s="77"/>
      <c r="F40" s="68" t="s">
        <v>1006</v>
      </c>
      <c r="G40" s="70"/>
      <c r="H40" s="71">
        <v>1150</v>
      </c>
      <c r="I40" s="72"/>
      <c r="J40" t="s">
        <v>0</v>
      </c>
      <c r="K40" t="s">
        <v>0</v>
      </c>
      <c r="L40" t="s">
        <v>0</v>
      </c>
      <c r="M40" t="s">
        <v>0</v>
      </c>
      <c r="N40" t="s">
        <v>0</v>
      </c>
      <c r="O40" t="s">
        <v>0</v>
      </c>
      <c r="P40" t="s">
        <v>0</v>
      </c>
      <c r="Q40" t="s">
        <v>0</v>
      </c>
      <c r="R40" t="s">
        <v>0</v>
      </c>
      <c r="S40" t="s">
        <v>0</v>
      </c>
      <c r="T40" t="s">
        <v>0</v>
      </c>
    </row>
    <row r="41" ht="22.5" customHeight="1" spans="1:20" x14ac:dyDescent="0.25">
      <c r="A41" s="60" t="s">
        <v>865</v>
      </c>
      <c r="B41" s="137" t="s">
        <v>0</v>
      </c>
      <c r="C41" s="69" t="s">
        <v>1007</v>
      </c>
      <c r="D41" s="69"/>
      <c r="E41" s="70"/>
      <c r="F41" s="68" t="s">
        <v>1008</v>
      </c>
      <c r="G41" s="70"/>
      <c r="H41" s="71">
        <v>2150</v>
      </c>
      <c r="I41" s="72"/>
      <c r="J41" t="s">
        <v>0</v>
      </c>
      <c r="K41" t="s">
        <v>0</v>
      </c>
      <c r="L41" t="s">
        <v>0</v>
      </c>
      <c r="M41" t="s">
        <v>0</v>
      </c>
      <c r="N41" t="s">
        <v>0</v>
      </c>
      <c r="O41" t="s">
        <v>0</v>
      </c>
      <c r="P41" t="s">
        <v>0</v>
      </c>
      <c r="Q41" t="s">
        <v>0</v>
      </c>
      <c r="R41" t="s">
        <v>0</v>
      </c>
      <c r="S41" t="s">
        <v>0</v>
      </c>
      <c r="T41" t="s">
        <v>0</v>
      </c>
    </row>
    <row r="42" ht="45" customHeight="1" spans="1:20" x14ac:dyDescent="0.25">
      <c r="A42" s="60" t="s">
        <v>1009</v>
      </c>
      <c r="B42" s="137" t="s">
        <v>0</v>
      </c>
      <c r="C42" s="76" t="s">
        <v>1010</v>
      </c>
      <c r="D42" s="76"/>
      <c r="E42" s="77"/>
      <c r="F42" s="68" t="s">
        <v>1008</v>
      </c>
      <c r="G42" s="70"/>
      <c r="H42" s="71">
        <v>2350</v>
      </c>
      <c r="I42" s="72"/>
      <c r="J42" t="s">
        <v>0</v>
      </c>
      <c r="K42" t="s">
        <v>0</v>
      </c>
      <c r="L42" t="s">
        <v>0</v>
      </c>
      <c r="M42" t="s">
        <v>0</v>
      </c>
      <c r="N42" t="s">
        <v>0</v>
      </c>
      <c r="O42" t="s">
        <v>0</v>
      </c>
      <c r="P42" t="s">
        <v>0</v>
      </c>
      <c r="Q42" t="s">
        <v>0</v>
      </c>
      <c r="R42" t="s">
        <v>0</v>
      </c>
      <c r="S42" t="s">
        <v>0</v>
      </c>
      <c r="T42" t="s">
        <v>0</v>
      </c>
    </row>
    <row r="43" ht="34.5" customHeight="1" spans="1:20" x14ac:dyDescent="0.25">
      <c r="A43" s="60" t="s">
        <v>1011</v>
      </c>
      <c r="B43" s="137" t="s">
        <v>0</v>
      </c>
      <c r="C43" s="76" t="s">
        <v>1012</v>
      </c>
      <c r="D43" s="76"/>
      <c r="E43" s="77"/>
      <c r="F43" s="68" t="s">
        <v>1013</v>
      </c>
      <c r="G43" s="70"/>
      <c r="H43" s="71">
        <v>350</v>
      </c>
      <c r="I43" s="72"/>
      <c r="J43" t="s">
        <v>0</v>
      </c>
      <c r="K43" t="s">
        <v>0</v>
      </c>
      <c r="L43" t="s">
        <v>0</v>
      </c>
      <c r="M43" t="s">
        <v>0</v>
      </c>
      <c r="N43" t="s">
        <v>0</v>
      </c>
      <c r="O43" t="s">
        <v>0</v>
      </c>
      <c r="P43" t="s">
        <v>0</v>
      </c>
      <c r="Q43" t="s">
        <v>0</v>
      </c>
      <c r="R43" t="s">
        <v>0</v>
      </c>
      <c r="S43" t="s">
        <v>0</v>
      </c>
      <c r="T43" t="s">
        <v>0</v>
      </c>
    </row>
    <row r="44" ht="164.25" customHeight="1" spans="1:20" s="80" customFormat="1" x14ac:dyDescent="0.25">
      <c r="A44" s="54" t="s">
        <v>998</v>
      </c>
      <c r="B44" s="64" t="s">
        <v>0</v>
      </c>
      <c r="C44" s="134" t="s">
        <v>1014</v>
      </c>
      <c r="D44" s="134"/>
      <c r="E44" s="84"/>
      <c r="F44" s="81" t="s">
        <v>1015</v>
      </c>
      <c r="G44" s="84"/>
      <c r="H44" s="85">
        <v>6050</v>
      </c>
      <c r="I44" s="86"/>
      <c r="J44" s="80" t="s">
        <v>0</v>
      </c>
      <c r="K44" s="80" t="s">
        <v>0</v>
      </c>
      <c r="L44" s="80" t="s">
        <v>0</v>
      </c>
      <c r="M44" s="80" t="s">
        <v>0</v>
      </c>
      <c r="N44" s="80" t="s">
        <v>0</v>
      </c>
      <c r="O44" s="80" t="s">
        <v>0</v>
      </c>
      <c r="P44" s="80" t="s">
        <v>0</v>
      </c>
      <c r="Q44" s="80" t="s">
        <v>0</v>
      </c>
      <c r="R44" s="80" t="s">
        <v>0</v>
      </c>
      <c r="S44" s="80" t="s">
        <v>0</v>
      </c>
      <c r="T44" s="80" t="s">
        <v>0</v>
      </c>
    </row>
    <row r="45" ht="29.25" customHeight="1" spans="1:20" s="80" customFormat="1" x14ac:dyDescent="0.25">
      <c r="A45" s="54" t="s">
        <v>1016</v>
      </c>
      <c r="B45" s="64" t="s">
        <v>0</v>
      </c>
      <c r="C45" s="134" t="s">
        <v>1017</v>
      </c>
      <c r="D45" s="134"/>
      <c r="E45" s="84"/>
      <c r="F45" s="172" t="s">
        <v>1018</v>
      </c>
      <c r="G45" s="83"/>
      <c r="H45" s="85">
        <v>1000</v>
      </c>
      <c r="I45" s="86"/>
      <c r="J45" s="80" t="s">
        <v>0</v>
      </c>
      <c r="K45" s="80" t="s">
        <v>0</v>
      </c>
      <c r="L45" s="80" t="s">
        <v>0</v>
      </c>
      <c r="M45" s="80" t="s">
        <v>0</v>
      </c>
      <c r="N45" s="80" t="s">
        <v>0</v>
      </c>
      <c r="O45" s="80" t="s">
        <v>0</v>
      </c>
      <c r="P45" s="80" t="s">
        <v>0</v>
      </c>
      <c r="Q45" s="80" t="s">
        <v>0</v>
      </c>
      <c r="R45" s="80" t="s">
        <v>0</v>
      </c>
      <c r="S45" s="80" t="s">
        <v>0</v>
      </c>
      <c r="T45" s="80" t="s">
        <v>0</v>
      </c>
    </row>
    <row r="46" ht="30" customHeight="1" spans="1:20" x14ac:dyDescent="0.25">
      <c r="A46" s="60" t="s">
        <v>996</v>
      </c>
      <c r="B46" s="137" t="s">
        <v>0</v>
      </c>
      <c r="C46" s="134" t="s">
        <v>1017</v>
      </c>
      <c r="D46" s="134"/>
      <c r="E46" s="84"/>
      <c r="F46" s="172" t="s">
        <v>1018</v>
      </c>
      <c r="G46" s="83"/>
      <c r="H46" s="71">
        <v>1150</v>
      </c>
      <c r="I46" s="72"/>
      <c r="J46" t="s">
        <v>0</v>
      </c>
      <c r="K46" t="s">
        <v>0</v>
      </c>
      <c r="L46" t="s">
        <v>0</v>
      </c>
      <c r="M46" t="s">
        <v>0</v>
      </c>
      <c r="N46" t="s">
        <v>0</v>
      </c>
      <c r="O46" t="s">
        <v>0</v>
      </c>
      <c r="P46" t="s">
        <v>0</v>
      </c>
      <c r="Q46" t="s">
        <v>0</v>
      </c>
      <c r="R46" t="s">
        <v>0</v>
      </c>
      <c r="S46" t="s">
        <v>0</v>
      </c>
      <c r="T46" t="s">
        <v>0</v>
      </c>
    </row>
    <row r="47" ht="31.5" customHeight="1" spans="1:20" x14ac:dyDescent="0.25">
      <c r="A47" s="60" t="s">
        <v>998</v>
      </c>
      <c r="B47" s="137" t="s">
        <v>0</v>
      </c>
      <c r="C47" s="134" t="s">
        <v>1017</v>
      </c>
      <c r="D47" s="134"/>
      <c r="E47" s="84"/>
      <c r="F47" s="68" t="s">
        <v>1019</v>
      </c>
      <c r="G47" s="70"/>
      <c r="H47" s="71">
        <v>3150</v>
      </c>
      <c r="I47" s="72"/>
      <c r="J47" t="s">
        <v>0</v>
      </c>
      <c r="K47" t="s">
        <v>0</v>
      </c>
      <c r="L47" t="s">
        <v>0</v>
      </c>
      <c r="M47" t="s">
        <v>0</v>
      </c>
      <c r="N47" t="s">
        <v>0</v>
      </c>
      <c r="O47" t="s">
        <v>0</v>
      </c>
      <c r="P47" t="s">
        <v>0</v>
      </c>
      <c r="Q47" t="s">
        <v>0</v>
      </c>
      <c r="R47" t="s">
        <v>0</v>
      </c>
      <c r="S47" t="s">
        <v>0</v>
      </c>
      <c r="T47" t="s">
        <v>0</v>
      </c>
    </row>
    <row r="48" ht="30.75" customHeight="1" spans="1:20" x14ac:dyDescent="0.25">
      <c r="A48" s="60" t="s">
        <v>1020</v>
      </c>
      <c r="B48" s="137" t="s">
        <v>0</v>
      </c>
      <c r="C48" s="76" t="s">
        <v>0</v>
      </c>
      <c r="D48" s="76" t="s">
        <v>1021</v>
      </c>
      <c r="E48" s="77"/>
      <c r="F48" s="68" t="s">
        <v>1022</v>
      </c>
      <c r="G48" s="70"/>
      <c r="H48" s="71">
        <v>1000</v>
      </c>
      <c r="I48" s="72"/>
      <c r="J48" t="s">
        <v>0</v>
      </c>
      <c r="K48" t="s">
        <v>0</v>
      </c>
      <c r="L48" t="s">
        <v>0</v>
      </c>
      <c r="M48" t="s">
        <v>0</v>
      </c>
      <c r="N48" t="s">
        <v>0</v>
      </c>
      <c r="O48" t="s">
        <v>0</v>
      </c>
      <c r="P48" t="s">
        <v>0</v>
      </c>
      <c r="Q48" t="s">
        <v>0</v>
      </c>
      <c r="R48" t="s">
        <v>0</v>
      </c>
      <c r="S48" t="s">
        <v>0</v>
      </c>
      <c r="T48" t="s">
        <v>0</v>
      </c>
    </row>
    <row r="49" ht="29.25" customHeight="1" spans="1:20" x14ac:dyDescent="0.25">
      <c r="A49" s="60" t="s">
        <v>896</v>
      </c>
      <c r="B49" s="137" t="s">
        <v>0</v>
      </c>
      <c r="C49" s="76" t="s">
        <v>0</v>
      </c>
      <c r="D49" s="76" t="s">
        <v>1017</v>
      </c>
      <c r="E49" s="77"/>
      <c r="F49" s="68" t="s">
        <v>1023</v>
      </c>
      <c r="G49" s="70"/>
      <c r="H49" s="71">
        <v>1150</v>
      </c>
      <c r="I49" s="72"/>
      <c r="J49" t="s">
        <v>0</v>
      </c>
      <c r="K49" t="s">
        <v>0</v>
      </c>
      <c r="L49" t="s">
        <v>0</v>
      </c>
      <c r="M49" t="s">
        <v>0</v>
      </c>
      <c r="N49" t="s">
        <v>0</v>
      </c>
      <c r="O49" t="s">
        <v>0</v>
      </c>
      <c r="P49" t="s">
        <v>0</v>
      </c>
      <c r="Q49" t="s">
        <v>0</v>
      </c>
      <c r="R49" t="s">
        <v>0</v>
      </c>
      <c r="S49" t="s">
        <v>0</v>
      </c>
      <c r="T49" t="s">
        <v>0</v>
      </c>
    </row>
    <row r="50" ht="45" customHeight="1" spans="1:20" x14ac:dyDescent="0.25">
      <c r="A50" s="60" t="s">
        <v>998</v>
      </c>
      <c r="B50" s="137" t="s">
        <v>0</v>
      </c>
      <c r="C50" s="76" t="s">
        <v>1024</v>
      </c>
      <c r="D50" s="76"/>
      <c r="E50" s="77"/>
      <c r="F50" s="68" t="s">
        <v>1022</v>
      </c>
      <c r="G50" s="70"/>
      <c r="H50" s="71">
        <v>1000</v>
      </c>
      <c r="I50" s="72"/>
      <c r="J50" t="s">
        <v>0</v>
      </c>
      <c r="K50" t="s">
        <v>0</v>
      </c>
      <c r="L50" t="s">
        <v>0</v>
      </c>
      <c r="M50" t="s">
        <v>0</v>
      </c>
      <c r="N50" t="s">
        <v>0</v>
      </c>
      <c r="O50" t="s">
        <v>0</v>
      </c>
      <c r="P50" t="s">
        <v>0</v>
      </c>
      <c r="Q50" t="s">
        <v>0</v>
      </c>
      <c r="R50" t="s">
        <v>0</v>
      </c>
      <c r="S50" t="s">
        <v>0</v>
      </c>
      <c r="T50" t="s">
        <v>0</v>
      </c>
    </row>
    <row r="51" spans="1:20" x14ac:dyDescent="0.25">
      <c r="A51" s="60" t="s">
        <v>0</v>
      </c>
      <c r="B51" s="137" t="s">
        <v>0</v>
      </c>
      <c r="C51" s="76" t="s">
        <v>0</v>
      </c>
      <c r="D51" s="76"/>
      <c r="E51" s="77"/>
      <c r="F51" s="68"/>
      <c r="G51" s="70"/>
      <c r="H51" s="71"/>
      <c r="I51" s="72"/>
      <c r="J51" t="s">
        <v>0</v>
      </c>
      <c r="K51" t="s">
        <v>0</v>
      </c>
      <c r="L51" t="s">
        <v>0</v>
      </c>
      <c r="M51" t="s">
        <v>0</v>
      </c>
      <c r="N51" t="s">
        <v>0</v>
      </c>
      <c r="O51" t="s">
        <v>0</v>
      </c>
      <c r="P51" t="s">
        <v>0</v>
      </c>
      <c r="Q51" t="s">
        <v>0</v>
      </c>
      <c r="R51" t="s">
        <v>0</v>
      </c>
      <c r="S51" t="s">
        <v>0</v>
      </c>
      <c r="T51" t="s">
        <v>0</v>
      </c>
    </row>
    <row r="52" spans="1:20" x14ac:dyDescent="0.25">
      <c r="A52" s="60" t="s">
        <v>0</v>
      </c>
      <c r="B52" s="137" t="s">
        <v>0</v>
      </c>
      <c r="C52" s="76" t="s">
        <v>0</v>
      </c>
      <c r="D52" s="373"/>
      <c r="E52" s="374"/>
      <c r="F52" s="158"/>
      <c r="G52" s="159"/>
      <c r="H52" s="71"/>
      <c r="I52" s="72"/>
      <c r="J52" t="s">
        <v>0</v>
      </c>
      <c r="K52" t="s">
        <v>0</v>
      </c>
      <c r="L52" t="s">
        <v>0</v>
      </c>
      <c r="M52" t="s">
        <v>0</v>
      </c>
      <c r="N52" t="s">
        <v>0</v>
      </c>
      <c r="O52" t="s">
        <v>0</v>
      </c>
      <c r="P52" t="s">
        <v>0</v>
      </c>
      <c r="Q52" t="s">
        <v>0</v>
      </c>
      <c r="R52" t="s">
        <v>0</v>
      </c>
      <c r="S52" t="s">
        <v>0</v>
      </c>
      <c r="T52" t="s">
        <v>0</v>
      </c>
    </row>
    <row r="53" spans="1:20" x14ac:dyDescent="0.25">
      <c r="A53" s="60" t="s">
        <v>0</v>
      </c>
      <c r="B53" s="137" t="s">
        <v>0</v>
      </c>
      <c r="C53" s="76" t="s">
        <v>0</v>
      </c>
      <c r="D53" s="373"/>
      <c r="E53" s="374"/>
      <c r="F53" s="158"/>
      <c r="G53" s="159"/>
      <c r="H53" s="71"/>
      <c r="I53" s="72"/>
      <c r="J53" t="s">
        <v>0</v>
      </c>
      <c r="K53" t="s">
        <v>0</v>
      </c>
      <c r="L53" t="s">
        <v>0</v>
      </c>
      <c r="M53" t="s">
        <v>0</v>
      </c>
      <c r="N53" t="s">
        <v>0</v>
      </c>
      <c r="O53" t="s">
        <v>0</v>
      </c>
      <c r="P53" t="s">
        <v>0</v>
      </c>
      <c r="Q53" t="s">
        <v>0</v>
      </c>
      <c r="R53" t="s">
        <v>0</v>
      </c>
      <c r="S53" t="s">
        <v>0</v>
      </c>
      <c r="T53" t="s">
        <v>0</v>
      </c>
    </row>
    <row r="54" spans="1:20" x14ac:dyDescent="0.25">
      <c r="A54" s="60" t="s">
        <v>0</v>
      </c>
      <c r="B54" s="137" t="s">
        <v>0</v>
      </c>
      <c r="C54" s="76" t="s">
        <v>0</v>
      </c>
      <c r="D54" s="373"/>
      <c r="E54" s="374"/>
      <c r="F54" s="158"/>
      <c r="G54" s="159"/>
      <c r="H54" s="71"/>
      <c r="I54" s="72"/>
      <c r="J54" t="s">
        <v>0</v>
      </c>
      <c r="K54" t="s">
        <v>0</v>
      </c>
      <c r="L54" t="s">
        <v>0</v>
      </c>
      <c r="M54" t="s">
        <v>0</v>
      </c>
      <c r="N54" t="s">
        <v>0</v>
      </c>
      <c r="O54" t="s">
        <v>0</v>
      </c>
      <c r="P54" t="s">
        <v>0</v>
      </c>
      <c r="Q54" t="s">
        <v>0</v>
      </c>
      <c r="R54" t="s">
        <v>0</v>
      </c>
      <c r="S54" t="s">
        <v>0</v>
      </c>
      <c r="T54" t="s">
        <v>0</v>
      </c>
    </row>
    <row r="55" spans="1:20" x14ac:dyDescent="0.25">
      <c r="A55" s="60" t="s">
        <v>0</v>
      </c>
      <c r="B55" s="137" t="s">
        <v>0</v>
      </c>
      <c r="C55" s="76" t="s">
        <v>0</v>
      </c>
      <c r="D55" s="373"/>
      <c r="E55" s="374"/>
      <c r="F55" s="158"/>
      <c r="G55" s="159"/>
      <c r="H55" s="71"/>
      <c r="I55" s="72"/>
      <c r="J55" t="s">
        <v>0</v>
      </c>
      <c r="K55" t="s">
        <v>0</v>
      </c>
      <c r="L55" t="s">
        <v>0</v>
      </c>
      <c r="M55" t="s">
        <v>0</v>
      </c>
      <c r="N55" t="s">
        <v>0</v>
      </c>
      <c r="O55" t="s">
        <v>0</v>
      </c>
      <c r="P55" t="s">
        <v>0</v>
      </c>
      <c r="Q55" t="s">
        <v>0</v>
      </c>
      <c r="R55" t="s">
        <v>0</v>
      </c>
      <c r="S55" t="s">
        <v>0</v>
      </c>
      <c r="T55" t="s">
        <v>0</v>
      </c>
    </row>
    <row r="56" spans="1:20" x14ac:dyDescent="0.25">
      <c r="A56" s="60" t="s">
        <v>0</v>
      </c>
      <c r="B56" s="137" t="s">
        <v>0</v>
      </c>
      <c r="C56" s="76" t="s">
        <v>0</v>
      </c>
      <c r="D56" s="373"/>
      <c r="E56" s="374"/>
      <c r="F56" s="158"/>
      <c r="G56" s="159"/>
      <c r="H56" s="71"/>
      <c r="I56" s="72"/>
      <c r="J56" t="s">
        <v>0</v>
      </c>
      <c r="K56" t="s">
        <v>0</v>
      </c>
      <c r="L56" t="s">
        <v>0</v>
      </c>
      <c r="M56" t="s">
        <v>0</v>
      </c>
      <c r="N56" t="s">
        <v>0</v>
      </c>
      <c r="O56" t="s">
        <v>0</v>
      </c>
      <c r="P56" t="s">
        <v>0</v>
      </c>
      <c r="Q56" t="s">
        <v>0</v>
      </c>
      <c r="R56" t="s">
        <v>0</v>
      </c>
      <c r="S56" t="s">
        <v>0</v>
      </c>
      <c r="T56" t="s">
        <v>0</v>
      </c>
    </row>
    <row r="57" spans="1:20" x14ac:dyDescent="0.25">
      <c r="A57" s="60" t="s">
        <v>0</v>
      </c>
      <c r="B57" s="137" t="s">
        <v>0</v>
      </c>
      <c r="C57" s="76" t="s">
        <v>0</v>
      </c>
      <c r="D57" s="373"/>
      <c r="E57" s="374"/>
      <c r="F57" s="158"/>
      <c r="G57" s="159"/>
      <c r="H57" s="71"/>
      <c r="I57" s="72"/>
      <c r="J57" t="s">
        <v>0</v>
      </c>
      <c r="K57" t="s">
        <v>0</v>
      </c>
      <c r="L57" t="s">
        <v>0</v>
      </c>
      <c r="M57" t="s">
        <v>0</v>
      </c>
      <c r="N57" t="s">
        <v>0</v>
      </c>
      <c r="O57" t="s">
        <v>0</v>
      </c>
      <c r="P57" t="s">
        <v>0</v>
      </c>
      <c r="Q57" t="s">
        <v>0</v>
      </c>
      <c r="R57" t="s">
        <v>0</v>
      </c>
      <c r="S57" t="s">
        <v>0</v>
      </c>
      <c r="T57" t="s">
        <v>0</v>
      </c>
    </row>
    <row r="58" spans="1:20" x14ac:dyDescent="0.25">
      <c r="A58" s="60" t="s">
        <v>0</v>
      </c>
      <c r="B58" s="137" t="s">
        <v>0</v>
      </c>
      <c r="C58" s="76" t="s">
        <v>0</v>
      </c>
      <c r="D58" s="76"/>
      <c r="E58" s="77"/>
      <c r="F58" s="68"/>
      <c r="G58" s="70"/>
      <c r="H58" s="71"/>
      <c r="I58" s="72"/>
      <c r="J58" t="s">
        <v>0</v>
      </c>
      <c r="K58" t="s">
        <v>0</v>
      </c>
      <c r="L58" t="s">
        <v>0</v>
      </c>
      <c r="M58" t="s">
        <v>0</v>
      </c>
      <c r="N58" t="s">
        <v>0</v>
      </c>
      <c r="O58" t="s">
        <v>0</v>
      </c>
      <c r="P58" t="s">
        <v>0</v>
      </c>
      <c r="Q58" t="s">
        <v>0</v>
      </c>
      <c r="R58" t="s">
        <v>0</v>
      </c>
      <c r="S58" t="s">
        <v>0</v>
      </c>
      <c r="T58" t="s">
        <v>0</v>
      </c>
    </row>
    <row r="59" spans="1:20" x14ac:dyDescent="0.25">
      <c r="A59" s="60" t="s">
        <v>0</v>
      </c>
      <c r="B59" s="137" t="s">
        <v>0</v>
      </c>
      <c r="C59" s="76"/>
      <c r="D59" s="76"/>
      <c r="E59" s="77"/>
      <c r="F59" s="68"/>
      <c r="G59" s="70"/>
      <c r="H59" s="71"/>
      <c r="I59" s="72"/>
      <c r="J59" t="s">
        <v>0</v>
      </c>
      <c r="K59" t="s">
        <v>0</v>
      </c>
      <c r="L59" t="s">
        <v>0</v>
      </c>
      <c r="M59" t="s">
        <v>0</v>
      </c>
      <c r="N59" t="s">
        <v>0</v>
      </c>
      <c r="O59" t="s">
        <v>0</v>
      </c>
      <c r="P59" t="s">
        <v>0</v>
      </c>
      <c r="Q59" t="s">
        <v>0</v>
      </c>
      <c r="R59" t="s">
        <v>0</v>
      </c>
      <c r="S59" t="s">
        <v>0</v>
      </c>
      <c r="T59" t="s">
        <v>0</v>
      </c>
    </row>
    <row r="60" ht="15.75" customHeight="1" spans="1:20" x14ac:dyDescent="0.25">
      <c r="A60" s="87" t="s">
        <v>0</v>
      </c>
      <c r="B60" s="375" t="s">
        <v>0</v>
      </c>
      <c r="C60" s="376"/>
      <c r="D60" s="376"/>
      <c r="E60" s="377"/>
      <c r="F60" s="163"/>
      <c r="G60" s="173"/>
      <c r="H60" s="371"/>
      <c r="I60" s="372"/>
      <c r="J60" t="s">
        <v>0</v>
      </c>
      <c r="K60" t="s">
        <v>0</v>
      </c>
      <c r="L60" t="s">
        <v>0</v>
      </c>
      <c r="M60" t="s">
        <v>0</v>
      </c>
      <c r="N60" t="s">
        <v>0</v>
      </c>
      <c r="O60" t="s">
        <v>0</v>
      </c>
      <c r="P60" t="s">
        <v>0</v>
      </c>
      <c r="Q60" t="s">
        <v>0</v>
      </c>
      <c r="R60" t="s">
        <v>0</v>
      </c>
      <c r="S60" t="s">
        <v>0</v>
      </c>
      <c r="T60" t="s">
        <v>0</v>
      </c>
    </row>
    <row r="61" ht="15.75" customHeight="1" spans="1:20" x14ac:dyDescent="0.25">
      <c r="A61" s="93" t="s">
        <v>0</v>
      </c>
      <c r="B61" s="94"/>
      <c r="C61" s="95"/>
      <c r="D61" s="95"/>
      <c r="E61" s="96"/>
      <c r="F61" s="97" t="s">
        <v>96</v>
      </c>
      <c r="G61" s="98"/>
      <c r="H61" s="99">
        <f>SUM(H32:I60)</f>
        <v>62046</v>
      </c>
      <c r="I61" s="100"/>
      <c r="J61" t="s">
        <v>0</v>
      </c>
      <c r="K61" t="s">
        <v>0</v>
      </c>
      <c r="L61" t="s">
        <v>0</v>
      </c>
      <c r="M61" t="s">
        <v>0</v>
      </c>
      <c r="N61" t="s">
        <v>0</v>
      </c>
      <c r="O61" t="s">
        <v>0</v>
      </c>
      <c r="P61" t="s">
        <v>0</v>
      </c>
      <c r="Q61" t="s">
        <v>0</v>
      </c>
      <c r="R61" t="s">
        <v>0</v>
      </c>
      <c r="S61" t="s">
        <v>0</v>
      </c>
      <c r="T61" t="s">
        <v>0</v>
      </c>
    </row>
  </sheetData>
  <mergeCells count="132">
    <mergeCell ref="B16:E16"/>
    <mergeCell ref="F16:G16"/>
    <mergeCell ref="H16:I16"/>
    <mergeCell ref="B17:E17"/>
    <mergeCell ref="F17:G17"/>
    <mergeCell ref="H17:I17"/>
    <mergeCell ref="B18:E18"/>
    <mergeCell ref="F18:G18"/>
    <mergeCell ref="H18:I18"/>
    <mergeCell ref="B19:E19"/>
    <mergeCell ref="F19:G19"/>
    <mergeCell ref="H19:I19"/>
    <mergeCell ref="B20:E20"/>
    <mergeCell ref="F20:G20"/>
    <mergeCell ref="H20:I20"/>
    <mergeCell ref="B21:E21"/>
    <mergeCell ref="F21:G21"/>
    <mergeCell ref="H21:I21"/>
    <mergeCell ref="C22:E22"/>
    <mergeCell ref="F22:G22"/>
    <mergeCell ref="H22:I22"/>
    <mergeCell ref="C23:E23"/>
    <mergeCell ref="F23:G23"/>
    <mergeCell ref="H23:I23"/>
    <mergeCell ref="C24:E24"/>
    <mergeCell ref="F24:G24"/>
    <mergeCell ref="H24:I24"/>
    <mergeCell ref="C25:E25"/>
    <mergeCell ref="F25:G25"/>
    <mergeCell ref="H25:I25"/>
    <mergeCell ref="C26:E26"/>
    <mergeCell ref="F26:G26"/>
    <mergeCell ref="H26:I26"/>
    <mergeCell ref="C27:E27"/>
    <mergeCell ref="F27:G27"/>
    <mergeCell ref="H27:I27"/>
    <mergeCell ref="B28:E28"/>
    <mergeCell ref="F28:G28"/>
    <mergeCell ref="H28:I28"/>
    <mergeCell ref="B31:E31"/>
    <mergeCell ref="F31:G31"/>
    <mergeCell ref="H31:I31"/>
    <mergeCell ref="B32:E32"/>
    <mergeCell ref="F32:G32"/>
    <mergeCell ref="H32:I32"/>
    <mergeCell ref="B33:E33"/>
    <mergeCell ref="F33:G33"/>
    <mergeCell ref="H33:I33"/>
    <mergeCell ref="B34:E34"/>
    <mergeCell ref="F34:G34"/>
    <mergeCell ref="H34:I34"/>
    <mergeCell ref="B35:E35"/>
    <mergeCell ref="F35:G35"/>
    <mergeCell ref="H35:I35"/>
    <mergeCell ref="B36:E36"/>
    <mergeCell ref="F36:G36"/>
    <mergeCell ref="H36:I36"/>
    <mergeCell ref="C37:E37"/>
    <mergeCell ref="F37:G37"/>
    <mergeCell ref="H37:I37"/>
    <mergeCell ref="C38:E38"/>
    <mergeCell ref="F38:G38"/>
    <mergeCell ref="H38:I38"/>
    <mergeCell ref="C39:E39"/>
    <mergeCell ref="F39:G39"/>
    <mergeCell ref="H39:I39"/>
    <mergeCell ref="C40:E40"/>
    <mergeCell ref="F40:G40"/>
    <mergeCell ref="H40:I40"/>
    <mergeCell ref="C41:E41"/>
    <mergeCell ref="F41:G41"/>
    <mergeCell ref="H41:I41"/>
    <mergeCell ref="C42:E42"/>
    <mergeCell ref="F42:G42"/>
    <mergeCell ref="H42:I42"/>
    <mergeCell ref="C43:E43"/>
    <mergeCell ref="F43:G43"/>
    <mergeCell ref="H43:I43"/>
    <mergeCell ref="C44:E44"/>
    <mergeCell ref="F44:G44"/>
    <mergeCell ref="H44:I44"/>
    <mergeCell ref="C45:E45"/>
    <mergeCell ref="F45:G45"/>
    <mergeCell ref="H45:I45"/>
    <mergeCell ref="C46:E46"/>
    <mergeCell ref="F46:G46"/>
    <mergeCell ref="H46:I46"/>
    <mergeCell ref="C47:E47"/>
    <mergeCell ref="F47:G47"/>
    <mergeCell ref="H47:I47"/>
    <mergeCell ref="D48:E48"/>
    <mergeCell ref="F48:G48"/>
    <mergeCell ref="H48:I48"/>
    <mergeCell ref="D49:E49"/>
    <mergeCell ref="F49:G49"/>
    <mergeCell ref="H49:I49"/>
    <mergeCell ref="C50:E50"/>
    <mergeCell ref="F50:G50"/>
    <mergeCell ref="H50:I50"/>
    <mergeCell ref="D51:E51"/>
    <mergeCell ref="F51:G51"/>
    <mergeCell ref="H51:I51"/>
    <mergeCell ref="D52:E52"/>
    <mergeCell ref="F52:G52"/>
    <mergeCell ref="H52:I52"/>
    <mergeCell ref="D53:E53"/>
    <mergeCell ref="F53:G53"/>
    <mergeCell ref="H53:I53"/>
    <mergeCell ref="D54:E54"/>
    <mergeCell ref="F54:G54"/>
    <mergeCell ref="H54:I54"/>
    <mergeCell ref="D55:E55"/>
    <mergeCell ref="F55:G55"/>
    <mergeCell ref="H55:I55"/>
    <mergeCell ref="D56:E56"/>
    <mergeCell ref="F56:G56"/>
    <mergeCell ref="H56:I56"/>
    <mergeCell ref="D57:E57"/>
    <mergeCell ref="F57:G57"/>
    <mergeCell ref="H57:I57"/>
    <mergeCell ref="D58:E58"/>
    <mergeCell ref="F58:G58"/>
    <mergeCell ref="H58:I58"/>
    <mergeCell ref="C59:E59"/>
    <mergeCell ref="F59:G59"/>
    <mergeCell ref="H59:I59"/>
    <mergeCell ref="C60:E60"/>
    <mergeCell ref="F60:G60"/>
    <mergeCell ref="H60:I60"/>
    <mergeCell ref="B61:E61"/>
    <mergeCell ref="F61:G61"/>
    <mergeCell ref="H61:I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
  <sheetViews>
    <sheetView workbookViewId="0" zoomScale="100" zoomScaleNormal="100">
      <selection activeCell="R9" sqref="R9"/>
    </sheetView>
  </sheetViews>
  <sheetFormatPr defaultRowHeight="15" outlineLevelRow="0" outlineLevelCol="0" x14ac:dyDescent="0.25"/>
  <cols>
    <col min="1" max="1" width="35.42578125" customWidth="1"/>
    <col min="2" max="2" width="18.7109375" hidden="1" customWidth="1"/>
    <col min="3" max="3" width="16.7109375" hidden="1" customWidth="1"/>
    <col min="4" max="4" width="23.42578125" customWidth="1"/>
    <col min="5" max="5" width="29.5703125" customWidth="1"/>
    <col min="6" max="6" width="16" customWidth="1"/>
    <col min="7" max="7" width="10.85546875" customWidth="1"/>
    <col min="8" max="9" width="10.28515625" customWidth="1"/>
    <col min="10" max="10" width="14.140625" customWidth="1"/>
    <col min="11" max="11" width="11.28515625" customWidth="1"/>
    <col min="12" max="16" width="10.28515625" customWidth="1"/>
    <col min="17" max="17" width="10.7109375" customWidth="1"/>
    <col min="18" max="18" width="11.5703125" customWidth="1"/>
    <col min="19" max="19" width="11.140625" customWidth="1"/>
    <col min="20" max="20" width="13.140625" customWidth="1"/>
  </cols>
  <sheetData>
    <row r="1" ht="72.75" customHeight="1" spans="1:20" x14ac:dyDescent="0.25">
      <c r="A1" s="1" t="s">
        <v>0</v>
      </c>
      <c r="B1" s="261" t="s">
        <v>728</v>
      </c>
      <c r="C1" s="2" t="s">
        <v>601</v>
      </c>
      <c r="D1" s="3" t="s">
        <v>263</v>
      </c>
      <c r="E1" s="4" t="s">
        <v>264</v>
      </c>
      <c r="F1" s="5" t="s">
        <v>922</v>
      </c>
      <c r="G1" s="6" t="s">
        <v>5</v>
      </c>
      <c r="H1" s="7" t="s">
        <v>6</v>
      </c>
      <c r="I1" s="8" t="s">
        <v>7</v>
      </c>
      <c r="J1" s="7" t="s">
        <v>8</v>
      </c>
      <c r="K1" s="8" t="s">
        <v>9</v>
      </c>
      <c r="L1" s="7" t="s">
        <v>10</v>
      </c>
      <c r="M1" s="8" t="s">
        <v>11</v>
      </c>
      <c r="N1" s="7" t="s">
        <v>12</v>
      </c>
      <c r="O1" s="8" t="s">
        <v>13</v>
      </c>
      <c r="P1" s="7" t="s">
        <v>14</v>
      </c>
      <c r="Q1" s="8" t="s">
        <v>15</v>
      </c>
      <c r="R1" s="7" t="s">
        <v>16</v>
      </c>
      <c r="S1" s="7" t="s">
        <v>0</v>
      </c>
      <c r="T1" s="10" t="s">
        <v>17</v>
      </c>
    </row>
    <row r="2" ht="16.5" customHeight="1" spans="1:20" x14ac:dyDescent="0.25">
      <c r="A2" s="12" t="s">
        <v>1074</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6" t="s">
        <v>0</v>
      </c>
      <c r="T2" s="16" t="s">
        <v>0</v>
      </c>
    </row>
    <row r="3" ht="15.75" customHeight="1" spans="1:20" x14ac:dyDescent="0.25">
      <c r="A3" s="187" t="s">
        <v>19</v>
      </c>
      <c r="B3" s="263" t="s">
        <v>763</v>
      </c>
      <c r="C3" s="20" t="s">
        <v>0</v>
      </c>
      <c r="D3" s="21" t="s">
        <v>1075</v>
      </c>
      <c r="E3" s="22" t="s">
        <v>1076</v>
      </c>
      <c r="F3" s="23" t="s">
        <v>1077</v>
      </c>
      <c r="G3" s="23" t="s">
        <v>0</v>
      </c>
      <c r="H3" s="23" t="s">
        <v>0</v>
      </c>
      <c r="I3" s="23" t="s">
        <v>0</v>
      </c>
      <c r="J3" s="23" t="s">
        <v>0</v>
      </c>
      <c r="K3" s="23" t="s">
        <v>0</v>
      </c>
      <c r="L3" s="23" t="s">
        <v>1076</v>
      </c>
      <c r="M3" s="23" t="s">
        <v>0</v>
      </c>
      <c r="N3" s="23" t="s">
        <v>0</v>
      </c>
      <c r="O3" s="23" t="s">
        <v>0</v>
      </c>
      <c r="P3" s="23" t="s">
        <v>0</v>
      </c>
      <c r="Q3" s="23" t="s">
        <v>0</v>
      </c>
      <c r="R3" s="23" t="s">
        <v>0</v>
      </c>
      <c r="S3" s="24" t="s">
        <v>0</v>
      </c>
      <c r="T3" s="24" t="s">
        <v>1076</v>
      </c>
    </row>
    <row r="4" ht="15.75" customHeight="1" spans="1:20" x14ac:dyDescent="0.25">
      <c r="A4" s="19" t="s">
        <v>114</v>
      </c>
      <c r="B4" s="268" t="s">
        <v>0</v>
      </c>
      <c r="C4" s="27" t="s">
        <v>0</v>
      </c>
      <c r="D4" s="188" t="s">
        <v>1078</v>
      </c>
      <c r="E4" s="22" t="s">
        <v>1079</v>
      </c>
      <c r="F4" s="23" t="s">
        <v>1080</v>
      </c>
      <c r="G4" s="28" t="s">
        <v>0</v>
      </c>
      <c r="H4" s="28" t="s">
        <v>1081</v>
      </c>
      <c r="I4" s="28" t="s">
        <v>119</v>
      </c>
      <c r="J4" s="28" t="s">
        <v>0</v>
      </c>
      <c r="K4" s="28" t="s">
        <v>197</v>
      </c>
      <c r="L4" s="28" t="s">
        <v>1082</v>
      </c>
      <c r="M4" s="28" t="s">
        <v>1083</v>
      </c>
      <c r="N4" s="28" t="s">
        <v>1084</v>
      </c>
      <c r="O4" s="28" t="s">
        <v>1085</v>
      </c>
      <c r="P4" s="28" t="s">
        <v>1084</v>
      </c>
      <c r="Q4" s="28" t="s">
        <v>0</v>
      </c>
      <c r="R4" s="28" t="s">
        <v>0</v>
      </c>
      <c r="S4" s="24" t="s">
        <v>0</v>
      </c>
      <c r="T4" s="24" t="s">
        <v>1079</v>
      </c>
    </row>
    <row r="5" ht="15.75" customHeight="1" spans="1:20" x14ac:dyDescent="0.25">
      <c r="A5" s="19" t="s">
        <v>123</v>
      </c>
      <c r="B5" s="268" t="s">
        <v>0</v>
      </c>
      <c r="C5" s="27" t="s">
        <v>0</v>
      </c>
      <c r="D5" s="188" t="s">
        <v>292</v>
      </c>
      <c r="E5" s="22" t="s">
        <v>279</v>
      </c>
      <c r="F5" s="23" t="s">
        <v>1086</v>
      </c>
      <c r="G5" s="28" t="s">
        <v>0</v>
      </c>
      <c r="H5" s="28" t="s">
        <v>0</v>
      </c>
      <c r="I5" s="28" t="s">
        <v>0</v>
      </c>
      <c r="J5" s="28" t="s">
        <v>0</v>
      </c>
      <c r="K5" s="28" t="s">
        <v>279</v>
      </c>
      <c r="L5" s="28" t="s">
        <v>0</v>
      </c>
      <c r="M5" s="28" t="s">
        <v>0</v>
      </c>
      <c r="N5" s="28" t="s">
        <v>0</v>
      </c>
      <c r="O5" s="28" t="s">
        <v>0</v>
      </c>
      <c r="P5" s="28" t="s">
        <v>0</v>
      </c>
      <c r="Q5" s="28" t="s">
        <v>0</v>
      </c>
      <c r="R5" s="28" t="s">
        <v>0</v>
      </c>
      <c r="S5" s="24" t="s">
        <v>0</v>
      </c>
      <c r="T5" s="24" t="s">
        <v>279</v>
      </c>
    </row>
    <row r="6" ht="15.75" customHeight="1" spans="1:20" x14ac:dyDescent="0.25">
      <c r="A6" s="19" t="s">
        <v>1087</v>
      </c>
      <c r="B6" s="268" t="s">
        <v>0</v>
      </c>
      <c r="C6" s="27" t="s">
        <v>0</v>
      </c>
      <c r="D6" s="188" t="s">
        <v>1088</v>
      </c>
      <c r="E6" s="22" t="s">
        <v>0</v>
      </c>
      <c r="F6" s="23" t="s">
        <v>1088</v>
      </c>
      <c r="G6" s="28" t="s">
        <v>0</v>
      </c>
      <c r="H6" s="28" t="s">
        <v>0</v>
      </c>
      <c r="I6" s="28" t="s">
        <v>0</v>
      </c>
      <c r="J6" s="28" t="s">
        <v>0</v>
      </c>
      <c r="K6" s="28" t="s">
        <v>0</v>
      </c>
      <c r="L6" s="28" t="s">
        <v>0</v>
      </c>
      <c r="M6" s="28" t="s">
        <v>0</v>
      </c>
      <c r="N6" s="28" t="s">
        <v>0</v>
      </c>
      <c r="O6" s="28" t="s">
        <v>0</v>
      </c>
      <c r="P6" s="28" t="s">
        <v>0</v>
      </c>
      <c r="Q6" s="28" t="s">
        <v>0</v>
      </c>
      <c r="R6" s="28" t="s">
        <v>0</v>
      </c>
      <c r="S6" s="24" t="s">
        <v>0</v>
      </c>
      <c r="T6" s="24" t="s">
        <v>0</v>
      </c>
    </row>
    <row r="7" ht="31.5" customHeight="1" spans="1:20" x14ac:dyDescent="0.25">
      <c r="A7" s="393" t="s">
        <v>1089</v>
      </c>
      <c r="B7" s="268" t="s">
        <v>0</v>
      </c>
      <c r="C7" s="27" t="s">
        <v>0</v>
      </c>
      <c r="D7" s="188" t="s">
        <v>279</v>
      </c>
      <c r="E7" s="22" t="s">
        <v>0</v>
      </c>
      <c r="F7" s="23" t="s">
        <v>279</v>
      </c>
      <c r="G7" s="28" t="s">
        <v>0</v>
      </c>
      <c r="H7" s="28" t="s">
        <v>0</v>
      </c>
      <c r="I7" s="28" t="s">
        <v>0</v>
      </c>
      <c r="J7" s="28" t="s">
        <v>0</v>
      </c>
      <c r="K7" s="28" t="s">
        <v>0</v>
      </c>
      <c r="L7" s="28" t="s">
        <v>0</v>
      </c>
      <c r="M7" s="28" t="s">
        <v>0</v>
      </c>
      <c r="N7" s="28" t="s">
        <v>0</v>
      </c>
      <c r="O7" s="28" t="s">
        <v>0</v>
      </c>
      <c r="P7" s="28" t="s">
        <v>0</v>
      </c>
      <c r="Q7" s="28" t="s">
        <v>0</v>
      </c>
      <c r="R7" s="28" t="s">
        <v>0</v>
      </c>
      <c r="S7" s="24" t="s">
        <v>0</v>
      </c>
      <c r="T7" s="24" t="s">
        <v>0</v>
      </c>
    </row>
    <row r="8" ht="15.75" customHeight="1" spans="1:20" x14ac:dyDescent="0.25">
      <c r="A8" s="393" t="s">
        <v>45</v>
      </c>
      <c r="B8" s="268" t="s">
        <v>0</v>
      </c>
      <c r="C8" s="27" t="s">
        <v>0</v>
      </c>
      <c r="D8" s="188" t="s">
        <v>668</v>
      </c>
      <c r="E8" s="22" t="s">
        <v>1090</v>
      </c>
      <c r="F8" s="23" t="s">
        <v>1091</v>
      </c>
      <c r="G8" s="28" t="s">
        <v>1092</v>
      </c>
      <c r="H8" s="28" t="s">
        <v>1093</v>
      </c>
      <c r="I8" s="28" t="s">
        <v>1094</v>
      </c>
      <c r="J8" s="28" t="s">
        <v>1095</v>
      </c>
      <c r="K8" s="28" t="s">
        <v>1096</v>
      </c>
      <c r="L8" s="28" t="s">
        <v>1097</v>
      </c>
      <c r="M8" s="28" t="s">
        <v>1098</v>
      </c>
      <c r="N8" s="28" t="s">
        <v>1099</v>
      </c>
      <c r="O8" s="28" t="s">
        <v>1100</v>
      </c>
      <c r="P8" s="28" t="s">
        <v>1101</v>
      </c>
      <c r="Q8" s="28" t="s">
        <v>1102</v>
      </c>
      <c r="R8" s="28" t="s">
        <v>1103</v>
      </c>
      <c r="S8" s="24" t="s">
        <v>0</v>
      </c>
      <c r="T8" s="24" t="s">
        <v>1090</v>
      </c>
    </row>
    <row r="9" ht="15.75" customHeight="1" spans="1:20" x14ac:dyDescent="0.25">
      <c r="A9" s="26" t="s">
        <v>41</v>
      </c>
      <c r="B9" s="272" t="s">
        <v>780</v>
      </c>
      <c r="C9" s="27" t="s">
        <v>0</v>
      </c>
      <c r="D9" s="188" t="s">
        <v>376</v>
      </c>
      <c r="E9" s="22" t="s">
        <v>0</v>
      </c>
      <c r="F9" s="23" t="s">
        <v>376</v>
      </c>
      <c r="G9" s="28" t="s">
        <v>0</v>
      </c>
      <c r="H9" s="28" t="s">
        <v>0</v>
      </c>
      <c r="I9" s="28" t="s">
        <v>0</v>
      </c>
      <c r="J9" s="28" t="s">
        <v>0</v>
      </c>
      <c r="K9" s="28" t="s">
        <v>0</v>
      </c>
      <c r="L9" s="28" t="s">
        <v>0</v>
      </c>
      <c r="M9" s="28" t="s">
        <v>0</v>
      </c>
      <c r="N9" s="28" t="s">
        <v>0</v>
      </c>
      <c r="O9" s="28" t="s">
        <v>0</v>
      </c>
      <c r="P9" s="28" t="s">
        <v>0</v>
      </c>
      <c r="Q9" s="28" t="s">
        <v>0</v>
      </c>
      <c r="R9" s="28" t="s">
        <v>0</v>
      </c>
      <c r="S9" s="24" t="s">
        <v>0</v>
      </c>
      <c r="T9" s="24" t="s">
        <v>0</v>
      </c>
    </row>
    <row r="10" ht="15.75" customHeight="1" spans="1:20" x14ac:dyDescent="0.25">
      <c r="A10" s="26" t="s">
        <v>43</v>
      </c>
      <c r="B10" s="272" t="s">
        <v>769</v>
      </c>
      <c r="C10" s="27" t="s">
        <v>0</v>
      </c>
      <c r="D10" s="188" t="s">
        <v>1104</v>
      </c>
      <c r="E10" s="22" t="s">
        <v>0</v>
      </c>
      <c r="F10" s="23" t="s">
        <v>1104</v>
      </c>
      <c r="G10" s="28" t="s">
        <v>0</v>
      </c>
      <c r="H10" s="28" t="s">
        <v>0</v>
      </c>
      <c r="I10" s="28" t="s">
        <v>0</v>
      </c>
      <c r="J10" s="28" t="s">
        <v>0</v>
      </c>
      <c r="K10" s="28" t="s">
        <v>0</v>
      </c>
      <c r="L10" s="28" t="s">
        <v>0</v>
      </c>
      <c r="M10" s="28" t="s">
        <v>0</v>
      </c>
      <c r="N10" s="28" t="s">
        <v>0</v>
      </c>
      <c r="O10" s="28" t="s">
        <v>0</v>
      </c>
      <c r="P10" s="28" t="s">
        <v>0</v>
      </c>
      <c r="Q10" s="28" t="s">
        <v>0</v>
      </c>
      <c r="R10" s="28" t="s">
        <v>0</v>
      </c>
      <c r="S10" s="24" t="s">
        <v>0</v>
      </c>
      <c r="T10" s="24" t="s">
        <v>0</v>
      </c>
    </row>
    <row r="11" ht="15.75" customHeight="1" spans="1:20" x14ac:dyDescent="0.25">
      <c r="A11" s="26" t="s">
        <v>143</v>
      </c>
      <c r="B11" s="272" t="s">
        <v>0</v>
      </c>
      <c r="C11" s="27" t="s">
        <v>0</v>
      </c>
      <c r="D11" s="188" t="s">
        <v>1105</v>
      </c>
      <c r="E11" s="22" t="s">
        <v>0</v>
      </c>
      <c r="F11" s="23" t="s">
        <v>1105</v>
      </c>
      <c r="G11" s="28" t="s">
        <v>0</v>
      </c>
      <c r="H11" s="28" t="s">
        <v>0</v>
      </c>
      <c r="I11" s="28" t="s">
        <v>0</v>
      </c>
      <c r="J11" s="28" t="s">
        <v>0</v>
      </c>
      <c r="K11" s="28" t="s">
        <v>0</v>
      </c>
      <c r="L11" s="28" t="s">
        <v>0</v>
      </c>
      <c r="M11" s="28" t="s">
        <v>0</v>
      </c>
      <c r="N11" s="28" t="s">
        <v>0</v>
      </c>
      <c r="O11" s="28" t="s">
        <v>0</v>
      </c>
      <c r="P11" s="28" t="s">
        <v>0</v>
      </c>
      <c r="Q11" s="28" t="s">
        <v>0</v>
      </c>
      <c r="R11" s="28" t="s">
        <v>0</v>
      </c>
      <c r="S11" s="24" t="s">
        <v>0</v>
      </c>
      <c r="T11" s="24" t="s">
        <v>0</v>
      </c>
    </row>
    <row r="12" ht="15.75" customHeight="1" spans="1:20" x14ac:dyDescent="0.25">
      <c r="A12" s="26" t="s">
        <v>180</v>
      </c>
      <c r="B12" s="272" t="s">
        <v>0</v>
      </c>
      <c r="C12" s="27" t="s">
        <v>0</v>
      </c>
      <c r="D12" s="188" t="s">
        <v>1106</v>
      </c>
      <c r="E12" s="22" t="s">
        <v>0</v>
      </c>
      <c r="F12" s="23" t="s">
        <v>1106</v>
      </c>
      <c r="G12" s="28" t="s">
        <v>0</v>
      </c>
      <c r="H12" s="28" t="s">
        <v>0</v>
      </c>
      <c r="I12" s="28" t="s">
        <v>0</v>
      </c>
      <c r="J12" s="28" t="s">
        <v>0</v>
      </c>
      <c r="K12" s="28" t="s">
        <v>0</v>
      </c>
      <c r="L12" s="28" t="s">
        <v>0</v>
      </c>
      <c r="M12" s="28" t="s">
        <v>0</v>
      </c>
      <c r="N12" s="28" t="s">
        <v>0</v>
      </c>
      <c r="O12" s="28" t="s">
        <v>0</v>
      </c>
      <c r="P12" s="28" t="s">
        <v>0</v>
      </c>
      <c r="Q12" s="28" t="s">
        <v>0</v>
      </c>
      <c r="R12" s="28" t="s">
        <v>0</v>
      </c>
      <c r="S12" s="24" t="s">
        <v>0</v>
      </c>
      <c r="T12" s="24" t="s">
        <v>0</v>
      </c>
    </row>
    <row r="13" ht="15.75" customHeight="1" spans="1:20" x14ac:dyDescent="0.25">
      <c r="A13" s="26" t="s">
        <v>33</v>
      </c>
      <c r="B13" s="272" t="s">
        <v>0</v>
      </c>
      <c r="C13" s="27" t="s">
        <v>0</v>
      </c>
      <c r="D13" s="188" t="s">
        <v>1078</v>
      </c>
      <c r="E13" s="22" t="s">
        <v>0</v>
      </c>
      <c r="F13" s="23" t="s">
        <v>1078</v>
      </c>
      <c r="G13" s="28" t="s">
        <v>0</v>
      </c>
      <c r="H13" s="28" t="s">
        <v>0</v>
      </c>
      <c r="I13" s="28" t="s">
        <v>0</v>
      </c>
      <c r="J13" s="28" t="s">
        <v>0</v>
      </c>
      <c r="K13" s="28" t="s">
        <v>0</v>
      </c>
      <c r="L13" s="28" t="s">
        <v>0</v>
      </c>
      <c r="M13" s="28" t="s">
        <v>0</v>
      </c>
      <c r="N13" s="28" t="s">
        <v>0</v>
      </c>
      <c r="O13" s="28" t="s">
        <v>0</v>
      </c>
      <c r="P13" s="28" t="s">
        <v>0</v>
      </c>
      <c r="Q13" s="28" t="s">
        <v>0</v>
      </c>
      <c r="R13" s="28" t="s">
        <v>0</v>
      </c>
      <c r="S13" s="24" t="s">
        <v>0</v>
      </c>
      <c r="T13" s="24" t="s">
        <v>0</v>
      </c>
    </row>
    <row r="14" ht="16.5" customHeight="1" spans="1:20" x14ac:dyDescent="0.25">
      <c r="A14" s="34" t="s">
        <v>0</v>
      </c>
      <c r="B14" s="193" t="s">
        <v>96</v>
      </c>
      <c r="C14" s="37" t="s">
        <v>0</v>
      </c>
      <c r="D14" s="37" t="s">
        <v>1107</v>
      </c>
      <c r="E14" s="37" t="s">
        <v>1108</v>
      </c>
      <c r="F14" s="37" t="s">
        <v>1109</v>
      </c>
      <c r="G14" s="37" t="s">
        <v>1092</v>
      </c>
      <c r="H14" s="37" t="s">
        <v>1110</v>
      </c>
      <c r="I14" s="37" t="s">
        <v>1111</v>
      </c>
      <c r="J14" s="37" t="s">
        <v>1095</v>
      </c>
      <c r="K14" s="37" t="s">
        <v>1112</v>
      </c>
      <c r="L14" s="37" t="s">
        <v>1113</v>
      </c>
      <c r="M14" s="37" t="s">
        <v>1114</v>
      </c>
      <c r="N14" s="37" t="s">
        <v>1115</v>
      </c>
      <c r="O14" s="37" t="s">
        <v>1116</v>
      </c>
      <c r="P14" s="37" t="s">
        <v>1117</v>
      </c>
      <c r="Q14" s="37" t="s">
        <v>1102</v>
      </c>
      <c r="R14" s="37" t="s">
        <v>1103</v>
      </c>
      <c r="S14" s="193" t="s">
        <v>73</v>
      </c>
      <c r="T14" s="192" t="s">
        <v>1108</v>
      </c>
    </row>
    <row r="15" spans="1:20" x14ac:dyDescent="0.25">
      <c r="A15"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c r="T15" t="s">
        <v>0</v>
      </c>
    </row>
    <row r="16" ht="15.75" customHeight="1" spans="1:20" x14ac:dyDescent="0.25">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c r="T16" t="s">
        <v>0</v>
      </c>
    </row>
    <row r="17" ht="16.5" customHeight="1" spans="1:20" x14ac:dyDescent="0.25">
      <c r="A17" s="40" t="s">
        <v>200</v>
      </c>
      <c r="B17" s="41" t="s">
        <v>201</v>
      </c>
      <c r="C17" s="42"/>
      <c r="D17" s="42"/>
      <c r="E17" s="43"/>
      <c r="F17" s="41" t="s">
        <v>76</v>
      </c>
      <c r="G17" s="42"/>
      <c r="H17" s="43"/>
      <c r="I17" s="222" t="s">
        <v>77</v>
      </c>
      <c r="J17" s="394"/>
      <c r="K17" s="223"/>
      <c r="L17" t="s">
        <v>0</v>
      </c>
      <c r="M17" t="s">
        <v>0</v>
      </c>
      <c r="N17" t="s">
        <v>0</v>
      </c>
      <c r="O17" t="s">
        <v>0</v>
      </c>
      <c r="P17" t="s">
        <v>0</v>
      </c>
      <c r="Q17" t="s">
        <v>0</v>
      </c>
      <c r="R17" t="s">
        <v>0</v>
      </c>
      <c r="S17" t="s">
        <v>0</v>
      </c>
      <c r="T17" t="s">
        <v>0</v>
      </c>
    </row>
    <row r="18" ht="30" customHeight="1" spans="1:20" x14ac:dyDescent="0.25">
      <c r="A18" s="168" t="s">
        <v>208</v>
      </c>
      <c r="B18" s="169" t="s">
        <v>427</v>
      </c>
      <c r="C18" s="170"/>
      <c r="D18" s="170"/>
      <c r="E18" s="171"/>
      <c r="F18" s="169" t="s">
        <v>1118</v>
      </c>
      <c r="G18" s="206"/>
      <c r="H18" s="255"/>
      <c r="I18" s="395">
        <v>36755</v>
      </c>
      <c r="J18" s="395"/>
      <c r="K18" s="250"/>
      <c r="L18" t="s">
        <v>0</v>
      </c>
      <c r="M18" t="s">
        <v>0</v>
      </c>
      <c r="N18" t="s">
        <v>0</v>
      </c>
      <c r="O18" t="s">
        <v>0</v>
      </c>
      <c r="P18" t="s">
        <v>0</v>
      </c>
      <c r="Q18" t="s">
        <v>0</v>
      </c>
      <c r="R18" t="s">
        <v>0</v>
      </c>
      <c r="S18" t="s">
        <v>0</v>
      </c>
      <c r="T18" t="s">
        <v>0</v>
      </c>
    </row>
    <row r="19" ht="29.25" customHeight="1" spans="1:20" x14ac:dyDescent="0.25">
      <c r="A19" s="60" t="s">
        <v>208</v>
      </c>
      <c r="B19" s="137" t="s">
        <v>0</v>
      </c>
      <c r="C19" s="69" t="s">
        <v>1119</v>
      </c>
      <c r="D19" s="69"/>
      <c r="E19" s="70"/>
      <c r="F19" s="169" t="s">
        <v>1120</v>
      </c>
      <c r="G19" s="206"/>
      <c r="H19" s="255"/>
      <c r="I19" s="71">
        <v>7870</v>
      </c>
      <c r="J19" s="209"/>
      <c r="K19" s="72"/>
      <c r="L19" t="s">
        <v>0</v>
      </c>
      <c r="M19" t="s">
        <v>0</v>
      </c>
      <c r="N19" t="s">
        <v>0</v>
      </c>
      <c r="O19" t="s">
        <v>0</v>
      </c>
      <c r="P19" t="s">
        <v>0</v>
      </c>
      <c r="Q19" t="s">
        <v>0</v>
      </c>
      <c r="R19" t="s">
        <v>0</v>
      </c>
      <c r="S19" t="s">
        <v>0</v>
      </c>
      <c r="T19" t="s">
        <v>0</v>
      </c>
    </row>
    <row r="20" spans="1:20" x14ac:dyDescent="0.25">
      <c r="A20" s="60" t="s">
        <v>0</v>
      </c>
      <c r="B20" s="137" t="s">
        <v>0</v>
      </c>
      <c r="C20" s="197"/>
      <c r="D20" s="197"/>
      <c r="E20" s="159"/>
      <c r="F20" s="158"/>
      <c r="G20" s="197"/>
      <c r="H20" s="159"/>
      <c r="I20" s="71"/>
      <c r="J20" s="209"/>
      <c r="K20" s="72"/>
      <c r="L20" t="s">
        <v>0</v>
      </c>
      <c r="M20" t="s">
        <v>0</v>
      </c>
      <c r="N20" t="s">
        <v>0</v>
      </c>
      <c r="O20" t="s">
        <v>0</v>
      </c>
      <c r="P20" t="s">
        <v>0</v>
      </c>
      <c r="Q20" t="s">
        <v>0</v>
      </c>
      <c r="R20" t="s">
        <v>0</v>
      </c>
      <c r="S20" t="s">
        <v>0</v>
      </c>
      <c r="T20" t="s">
        <v>0</v>
      </c>
    </row>
    <row r="21" spans="1:20" x14ac:dyDescent="0.25">
      <c r="A21" s="60" t="s">
        <v>0</v>
      </c>
      <c r="B21" s="137" t="s">
        <v>0</v>
      </c>
      <c r="C21" s="197"/>
      <c r="D21" s="197"/>
      <c r="E21" s="159"/>
      <c r="F21" s="158"/>
      <c r="G21" s="197"/>
      <c r="H21" s="159"/>
      <c r="I21" s="158"/>
      <c r="J21" s="197"/>
      <c r="K21" s="159"/>
      <c r="L21" t="s">
        <v>0</v>
      </c>
      <c r="M21" t="s">
        <v>0</v>
      </c>
      <c r="N21" t="s">
        <v>0</v>
      </c>
      <c r="O21" t="s">
        <v>0</v>
      </c>
      <c r="P21" t="s">
        <v>0</v>
      </c>
      <c r="Q21" t="s">
        <v>0</v>
      </c>
      <c r="R21" t="s">
        <v>0</v>
      </c>
      <c r="S21" t="s">
        <v>0</v>
      </c>
      <c r="T21" t="s">
        <v>0</v>
      </c>
    </row>
    <row r="22" spans="1:20" x14ac:dyDescent="0.25">
      <c r="A22" s="60" t="s">
        <v>0</v>
      </c>
      <c r="B22" s="137" t="s">
        <v>0</v>
      </c>
      <c r="C22" s="197"/>
      <c r="D22" s="197"/>
      <c r="E22" s="159"/>
      <c r="F22" s="158"/>
      <c r="G22" s="197"/>
      <c r="H22" s="159"/>
      <c r="I22" s="158"/>
      <c r="J22" s="197"/>
      <c r="K22" s="159"/>
      <c r="L22" t="s">
        <v>0</v>
      </c>
      <c r="M22" t="s">
        <v>0</v>
      </c>
      <c r="N22" t="s">
        <v>0</v>
      </c>
      <c r="O22" t="s">
        <v>0</v>
      </c>
      <c r="P22" t="s">
        <v>0</v>
      </c>
      <c r="Q22" t="s">
        <v>0</v>
      </c>
      <c r="R22" t="s">
        <v>0</v>
      </c>
      <c r="S22" t="s">
        <v>0</v>
      </c>
      <c r="T22" t="s">
        <v>0</v>
      </c>
    </row>
    <row r="23" ht="15.75" customHeight="1" spans="1:20" x14ac:dyDescent="0.25">
      <c r="A23" s="213" t="s">
        <v>0</v>
      </c>
      <c r="B23" s="396" t="s">
        <v>0</v>
      </c>
      <c r="C23" s="397"/>
      <c r="D23" s="397"/>
      <c r="E23" s="254"/>
      <c r="F23" s="253"/>
      <c r="G23" s="397"/>
      <c r="H23" s="254"/>
      <c r="I23" s="253"/>
      <c r="J23" s="397"/>
      <c r="K23" s="254"/>
      <c r="L23" t="s">
        <v>0</v>
      </c>
      <c r="M23" t="s">
        <v>0</v>
      </c>
      <c r="N23" t="s">
        <v>0</v>
      </c>
      <c r="O23" t="s">
        <v>0</v>
      </c>
      <c r="P23" t="s">
        <v>0</v>
      </c>
      <c r="Q23" t="s">
        <v>0</v>
      </c>
      <c r="R23" t="s">
        <v>0</v>
      </c>
      <c r="S23" t="s">
        <v>0</v>
      </c>
      <c r="T23" t="s">
        <v>0</v>
      </c>
    </row>
    <row r="24" ht="15.75" customHeight="1" spans="1:20" x14ac:dyDescent="0.25">
      <c r="A24" s="93" t="s">
        <v>0</v>
      </c>
      <c r="B24" s="328" t="s">
        <v>0</v>
      </c>
      <c r="C24" s="329" t="s">
        <v>0</v>
      </c>
      <c r="D24" s="329" t="s">
        <v>0</v>
      </c>
      <c r="E24" s="330" t="s">
        <v>0</v>
      </c>
      <c r="F24" s="97" t="s">
        <v>96</v>
      </c>
      <c r="G24" s="98"/>
      <c r="H24" s="233"/>
      <c r="I24" s="331">
        <f>SUM(I18:K23)</f>
        <v>44625</v>
      </c>
      <c r="J24" s="98"/>
      <c r="K24" s="233"/>
      <c r="L24" t="s">
        <v>0</v>
      </c>
      <c r="M24" t="s">
        <v>0</v>
      </c>
      <c r="N24" t="s">
        <v>0</v>
      </c>
      <c r="O24" t="s">
        <v>0</v>
      </c>
      <c r="P24" t="s">
        <v>0</v>
      </c>
      <c r="Q24" t="s">
        <v>0</v>
      </c>
      <c r="R24" t="s">
        <v>0</v>
      </c>
      <c r="S24" t="s">
        <v>0</v>
      </c>
      <c r="T24" t="s">
        <v>0</v>
      </c>
    </row>
    <row r="25" spans="1:20"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c r="T25" t="s">
        <v>0</v>
      </c>
    </row>
    <row r="26" spans="1:20"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row>
    <row r="27" ht="38.25" customHeight="1" spans="1:20" x14ac:dyDescent="0.25">
      <c r="A27" s="39" t="s">
        <v>0</v>
      </c>
      <c r="B27" s="204" t="s">
        <v>0</v>
      </c>
      <c r="C27" s="204" t="s">
        <v>0</v>
      </c>
      <c r="D27" t="s">
        <v>0</v>
      </c>
      <c r="E27" t="s">
        <v>0</v>
      </c>
      <c r="F27" t="s">
        <v>0</v>
      </c>
      <c r="G27" t="s">
        <v>0</v>
      </c>
      <c r="H27" t="s">
        <v>0</v>
      </c>
      <c r="I27" t="s">
        <v>0</v>
      </c>
      <c r="J27" t="s">
        <v>0</v>
      </c>
      <c r="K27" t="s">
        <v>0</v>
      </c>
      <c r="L27" t="s">
        <v>0</v>
      </c>
      <c r="M27" t="s">
        <v>0</v>
      </c>
      <c r="N27" t="s">
        <v>0</v>
      </c>
      <c r="O27" t="s">
        <v>0</v>
      </c>
      <c r="P27" t="s">
        <v>0</v>
      </c>
      <c r="Q27" t="s">
        <v>0</v>
      </c>
      <c r="R27" t="s">
        <v>0</v>
      </c>
      <c r="S27" t="s">
        <v>0</v>
      </c>
      <c r="T27" t="s">
        <v>0</v>
      </c>
    </row>
    <row r="28" ht="16.5" customHeight="1" spans="1:20" x14ac:dyDescent="0.25">
      <c r="A28" s="40" t="s">
        <v>74</v>
      </c>
      <c r="B28" s="41" t="s">
        <v>437</v>
      </c>
      <c r="C28" s="42"/>
      <c r="D28" s="42"/>
      <c r="E28" s="43"/>
      <c r="F28" s="41" t="s">
        <v>76</v>
      </c>
      <c r="G28" s="42"/>
      <c r="H28" s="43"/>
      <c r="I28" s="398" t="s">
        <v>77</v>
      </c>
      <c r="J28" s="399"/>
      <c r="K28" t="s">
        <v>0</v>
      </c>
      <c r="L28" t="s">
        <v>0</v>
      </c>
      <c r="M28" t="s">
        <v>0</v>
      </c>
      <c r="N28" t="s">
        <v>0</v>
      </c>
      <c r="O28" t="s">
        <v>0</v>
      </c>
      <c r="P28" t="s">
        <v>0</v>
      </c>
      <c r="Q28" t="s">
        <v>0</v>
      </c>
      <c r="R28" t="s">
        <v>0</v>
      </c>
      <c r="S28" t="s">
        <v>0</v>
      </c>
      <c r="T28" t="s">
        <v>0</v>
      </c>
    </row>
    <row r="29" ht="74.25" customHeight="1" spans="1:20" x14ac:dyDescent="0.25">
      <c r="A29" s="46" t="s">
        <v>1121</v>
      </c>
      <c r="B29" s="400" t="s">
        <v>1122</v>
      </c>
      <c r="C29" s="401"/>
      <c r="D29" s="401"/>
      <c r="E29" s="402"/>
      <c r="F29" s="403" t="s">
        <v>1123</v>
      </c>
      <c r="G29" s="404"/>
      <c r="H29" s="405"/>
      <c r="I29" s="406">
        <v>2650</v>
      </c>
      <c r="J29" s="407"/>
      <c r="K29" t="s">
        <v>0</v>
      </c>
      <c r="L29" t="s">
        <v>0</v>
      </c>
      <c r="M29" t="s">
        <v>0</v>
      </c>
      <c r="N29" t="s">
        <v>0</v>
      </c>
      <c r="O29" t="s">
        <v>0</v>
      </c>
      <c r="P29" t="s">
        <v>0</v>
      </c>
      <c r="Q29" t="s">
        <v>0</v>
      </c>
      <c r="R29" t="s">
        <v>0</v>
      </c>
      <c r="S29" t="s">
        <v>0</v>
      </c>
      <c r="T29" t="s">
        <v>0</v>
      </c>
    </row>
    <row r="30" ht="49.5" customHeight="1" spans="1:20" x14ac:dyDescent="0.25">
      <c r="A30" s="54" t="s">
        <v>1124</v>
      </c>
      <c r="B30" s="55" t="s">
        <v>1125</v>
      </c>
      <c r="C30" s="56"/>
      <c r="D30" s="56"/>
      <c r="E30" s="57"/>
      <c r="F30" s="64" t="s">
        <v>1126</v>
      </c>
      <c r="G30" s="140"/>
      <c r="H30" s="65"/>
      <c r="I30" s="85">
        <v>1150</v>
      </c>
      <c r="J30" s="86"/>
      <c r="K30" t="s">
        <v>0</v>
      </c>
      <c r="L30" t="s">
        <v>0</v>
      </c>
      <c r="M30" t="s">
        <v>0</v>
      </c>
      <c r="N30" t="s">
        <v>0</v>
      </c>
      <c r="O30" t="s">
        <v>0</v>
      </c>
      <c r="P30" t="s">
        <v>0</v>
      </c>
      <c r="Q30" t="s">
        <v>0</v>
      </c>
      <c r="R30" t="s">
        <v>0</v>
      </c>
      <c r="S30" t="s">
        <v>0</v>
      </c>
      <c r="T30" t="s">
        <v>0</v>
      </c>
    </row>
    <row r="31" ht="60.75" customHeight="1" spans="1:20" x14ac:dyDescent="0.25">
      <c r="A31" s="54" t="s">
        <v>1127</v>
      </c>
      <c r="B31" s="169" t="s">
        <v>0</v>
      </c>
      <c r="C31" s="56" t="s">
        <v>1128</v>
      </c>
      <c r="D31" s="56"/>
      <c r="E31" s="57"/>
      <c r="F31" s="64" t="s">
        <v>1129</v>
      </c>
      <c r="G31" s="140"/>
      <c r="H31" s="65"/>
      <c r="I31" s="85">
        <v>1000</v>
      </c>
      <c r="J31" s="86"/>
      <c r="K31" t="s">
        <v>0</v>
      </c>
      <c r="L31" t="s">
        <v>0</v>
      </c>
      <c r="M31" t="s">
        <v>0</v>
      </c>
      <c r="N31" t="s">
        <v>0</v>
      </c>
      <c r="O31" t="s">
        <v>0</v>
      </c>
      <c r="P31" t="s">
        <v>0</v>
      </c>
      <c r="Q31" t="s">
        <v>0</v>
      </c>
      <c r="R31" t="s">
        <v>0</v>
      </c>
      <c r="S31" t="s">
        <v>0</v>
      </c>
      <c r="T31" t="s">
        <v>0</v>
      </c>
    </row>
    <row r="32" ht="42.75" customHeight="1" spans="1:20" x14ac:dyDescent="0.25">
      <c r="A32" s="408" t="s">
        <v>1130</v>
      </c>
      <c r="B32" s="47" t="s">
        <v>79</v>
      </c>
      <c r="C32" s="48"/>
      <c r="D32" s="48"/>
      <c r="E32" s="49"/>
      <c r="F32" s="172" t="s">
        <v>80</v>
      </c>
      <c r="G32" s="82"/>
      <c r="H32" s="83"/>
      <c r="I32" s="85">
        <f>2100*3</f>
        <v>6300</v>
      </c>
      <c r="J32" s="86"/>
      <c r="K32" t="s">
        <v>0</v>
      </c>
      <c r="L32" t="s">
        <v>0</v>
      </c>
      <c r="M32" t="s">
        <v>0</v>
      </c>
      <c r="N32" t="s">
        <v>0</v>
      </c>
      <c r="O32" t="s">
        <v>0</v>
      </c>
      <c r="P32" t="s">
        <v>0</v>
      </c>
      <c r="Q32" t="s">
        <v>0</v>
      </c>
      <c r="R32" t="s">
        <v>0</v>
      </c>
      <c r="S32" t="s">
        <v>0</v>
      </c>
      <c r="T32" t="s">
        <v>0</v>
      </c>
    </row>
    <row r="33" ht="28.5" customHeight="1" spans="1:20" x14ac:dyDescent="0.25">
      <c r="A33" s="133" t="s">
        <v>1121</v>
      </c>
      <c r="B33" s="47" t="s">
        <v>0</v>
      </c>
      <c r="C33" s="134" t="s">
        <v>1131</v>
      </c>
      <c r="D33" s="134"/>
      <c r="E33" s="84"/>
      <c r="F33" s="172" t="s">
        <v>1132</v>
      </c>
      <c r="G33" s="82"/>
      <c r="H33" s="83"/>
      <c r="I33" s="85">
        <v>1000</v>
      </c>
      <c r="J33" s="86"/>
      <c r="K33" t="s">
        <v>0</v>
      </c>
      <c r="L33" t="s">
        <v>0</v>
      </c>
      <c r="M33" t="s">
        <v>0</v>
      </c>
      <c r="N33" t="s">
        <v>0</v>
      </c>
      <c r="O33" t="s">
        <v>0</v>
      </c>
      <c r="P33" t="s">
        <v>0</v>
      </c>
      <c r="Q33" t="s">
        <v>0</v>
      </c>
      <c r="R33" t="s">
        <v>0</v>
      </c>
      <c r="S33" t="s">
        <v>0</v>
      </c>
      <c r="T33" t="s">
        <v>0</v>
      </c>
    </row>
    <row r="34" ht="42.75" customHeight="1" spans="1:20" x14ac:dyDescent="0.25">
      <c r="A34" s="133" t="s">
        <v>1121</v>
      </c>
      <c r="B34" s="47" t="s">
        <v>0</v>
      </c>
      <c r="C34" s="134" t="s">
        <v>1133</v>
      </c>
      <c r="D34" s="134"/>
      <c r="E34" s="84"/>
      <c r="F34" s="172" t="s">
        <v>1134</v>
      </c>
      <c r="G34" s="82"/>
      <c r="H34" s="83"/>
      <c r="I34" s="85">
        <v>1000</v>
      </c>
      <c r="J34" s="86"/>
      <c r="K34" t="s">
        <v>0</v>
      </c>
      <c r="L34" t="s">
        <v>0</v>
      </c>
      <c r="M34" t="s">
        <v>0</v>
      </c>
      <c r="N34" t="s">
        <v>0</v>
      </c>
      <c r="O34" t="s">
        <v>0</v>
      </c>
      <c r="P34" t="s">
        <v>0</v>
      </c>
      <c r="Q34" t="s">
        <v>0</v>
      </c>
      <c r="R34" t="s">
        <v>0</v>
      </c>
      <c r="S34" t="s">
        <v>0</v>
      </c>
      <c r="T34" t="s">
        <v>0</v>
      </c>
    </row>
    <row r="35" ht="42" customHeight="1" spans="1:20" x14ac:dyDescent="0.25">
      <c r="A35" s="133" t="s">
        <v>1121</v>
      </c>
      <c r="B35" s="47" t="s">
        <v>0</v>
      </c>
      <c r="C35" s="134" t="s">
        <v>1135</v>
      </c>
      <c r="D35" s="134"/>
      <c r="E35" s="84"/>
      <c r="F35" s="172" t="s">
        <v>248</v>
      </c>
      <c r="G35" s="82"/>
      <c r="H35" s="83"/>
      <c r="I35" s="85">
        <v>1150</v>
      </c>
      <c r="J35" s="86"/>
      <c r="K35" t="s">
        <v>0</v>
      </c>
      <c r="L35" t="s">
        <v>0</v>
      </c>
      <c r="M35" t="s">
        <v>0</v>
      </c>
      <c r="N35" t="s">
        <v>0</v>
      </c>
      <c r="O35" t="s">
        <v>0</v>
      </c>
      <c r="P35" t="s">
        <v>0</v>
      </c>
      <c r="Q35" t="s">
        <v>0</v>
      </c>
      <c r="R35" t="s">
        <v>0</v>
      </c>
      <c r="S35" t="s">
        <v>0</v>
      </c>
      <c r="T35" t="s">
        <v>0</v>
      </c>
    </row>
    <row r="36" ht="57" customHeight="1" spans="1:20" x14ac:dyDescent="0.25">
      <c r="A36" s="133" t="s">
        <v>1136</v>
      </c>
      <c r="B36" s="47" t="s">
        <v>0</v>
      </c>
      <c r="C36" s="134" t="s">
        <v>1137</v>
      </c>
      <c r="D36" s="134"/>
      <c r="E36" s="84"/>
      <c r="F36" s="172" t="s">
        <v>1138</v>
      </c>
      <c r="G36" s="82"/>
      <c r="H36" s="83"/>
      <c r="I36" s="85">
        <v>50140</v>
      </c>
      <c r="J36" s="86"/>
      <c r="K36" t="s">
        <v>0</v>
      </c>
      <c r="L36" t="s">
        <v>0</v>
      </c>
      <c r="M36" t="s">
        <v>0</v>
      </c>
      <c r="N36" t="s">
        <v>0</v>
      </c>
      <c r="O36" t="s">
        <v>0</v>
      </c>
      <c r="P36" t="s">
        <v>0</v>
      </c>
      <c r="Q36" t="s">
        <v>0</v>
      </c>
      <c r="R36" t="s">
        <v>0</v>
      </c>
      <c r="S36" t="s">
        <v>0</v>
      </c>
      <c r="T36" t="s">
        <v>0</v>
      </c>
    </row>
    <row r="37" ht="14.25" customHeight="1" spans="1:20" x14ac:dyDescent="0.25">
      <c r="A37" s="133" t="s">
        <v>1121</v>
      </c>
      <c r="B37" s="47" t="s">
        <v>0</v>
      </c>
      <c r="C37" s="134" t="s">
        <v>1139</v>
      </c>
      <c r="D37" s="134"/>
      <c r="E37" s="84"/>
      <c r="F37" s="172" t="s">
        <v>1140</v>
      </c>
      <c r="G37" s="82"/>
      <c r="H37" s="83"/>
      <c r="I37" s="85">
        <v>950</v>
      </c>
      <c r="J37" s="86"/>
      <c r="K37" t="s">
        <v>0</v>
      </c>
      <c r="L37" t="s">
        <v>0</v>
      </c>
      <c r="M37" t="s">
        <v>0</v>
      </c>
      <c r="N37" t="s">
        <v>0</v>
      </c>
      <c r="O37" t="s">
        <v>0</v>
      </c>
      <c r="P37" t="s">
        <v>0</v>
      </c>
      <c r="Q37" t="s">
        <v>0</v>
      </c>
      <c r="R37" t="s">
        <v>0</v>
      </c>
      <c r="S37" t="s">
        <v>0</v>
      </c>
      <c r="T37" t="s">
        <v>0</v>
      </c>
    </row>
    <row r="38" ht="37.5" customHeight="1" spans="1:20" x14ac:dyDescent="0.25">
      <c r="A38" s="133" t="s">
        <v>1141</v>
      </c>
      <c r="B38" s="47" t="s">
        <v>0</v>
      </c>
      <c r="C38" s="134" t="s">
        <v>1142</v>
      </c>
      <c r="D38" s="134"/>
      <c r="E38" s="84"/>
      <c r="F38" s="172" t="s">
        <v>1143</v>
      </c>
      <c r="G38" s="82"/>
      <c r="H38" s="83"/>
      <c r="I38" s="85">
        <v>1450</v>
      </c>
      <c r="J38" s="86"/>
      <c r="K38" t="s">
        <v>0</v>
      </c>
      <c r="L38" t="s">
        <v>0</v>
      </c>
      <c r="M38" t="s">
        <v>0</v>
      </c>
      <c r="N38" t="s">
        <v>0</v>
      </c>
      <c r="O38" t="s">
        <v>0</v>
      </c>
      <c r="P38" t="s">
        <v>0</v>
      </c>
      <c r="Q38" t="s">
        <v>0</v>
      </c>
      <c r="R38" t="s">
        <v>0</v>
      </c>
      <c r="S38" t="s">
        <v>0</v>
      </c>
      <c r="T38" t="s">
        <v>0</v>
      </c>
    </row>
    <row r="39" ht="72" customHeight="1" spans="1:20" x14ac:dyDescent="0.25">
      <c r="A39" s="133" t="s">
        <v>1127</v>
      </c>
      <c r="B39" s="47" t="s">
        <v>0</v>
      </c>
      <c r="C39" s="134" t="s">
        <v>1144</v>
      </c>
      <c r="D39" s="134"/>
      <c r="E39" s="84"/>
      <c r="F39" s="81" t="s">
        <v>1145</v>
      </c>
      <c r="G39" s="134"/>
      <c r="H39" s="84"/>
      <c r="I39" s="85">
        <v>2450</v>
      </c>
      <c r="J39" s="86"/>
      <c r="K39" t="s">
        <v>0</v>
      </c>
      <c r="L39" t="s">
        <v>0</v>
      </c>
      <c r="M39" t="s">
        <v>0</v>
      </c>
      <c r="N39" t="s">
        <v>0</v>
      </c>
      <c r="O39" t="s">
        <v>0</v>
      </c>
      <c r="P39" t="s">
        <v>0</v>
      </c>
      <c r="Q39" t="s">
        <v>0</v>
      </c>
      <c r="R39" t="s">
        <v>0</v>
      </c>
      <c r="S39" t="s">
        <v>0</v>
      </c>
      <c r="T39" t="s">
        <v>0</v>
      </c>
    </row>
    <row r="40" ht="48" customHeight="1" spans="1:20" x14ac:dyDescent="0.25">
      <c r="A40" s="133" t="s">
        <v>1146</v>
      </c>
      <c r="B40" s="47" t="s">
        <v>0</v>
      </c>
      <c r="C40" s="134" t="s">
        <v>1147</v>
      </c>
      <c r="D40" s="134"/>
      <c r="E40" s="84"/>
      <c r="F40" s="172" t="s">
        <v>88</v>
      </c>
      <c r="G40" s="82"/>
      <c r="H40" s="83"/>
      <c r="I40" s="85">
        <v>750</v>
      </c>
      <c r="J40" s="86"/>
      <c r="K40" t="s">
        <v>0</v>
      </c>
      <c r="L40" t="s">
        <v>0</v>
      </c>
      <c r="M40" t="s">
        <v>0</v>
      </c>
      <c r="N40" t="s">
        <v>0</v>
      </c>
      <c r="O40" t="s">
        <v>0</v>
      </c>
      <c r="P40" t="s">
        <v>0</v>
      </c>
      <c r="Q40" t="s">
        <v>0</v>
      </c>
      <c r="R40" t="s">
        <v>0</v>
      </c>
      <c r="S40" t="s">
        <v>0</v>
      </c>
      <c r="T40" t="s">
        <v>0</v>
      </c>
    </row>
    <row r="41" ht="28.5" customHeight="1" spans="1:20" x14ac:dyDescent="0.25">
      <c r="A41" s="133" t="s">
        <v>1141</v>
      </c>
      <c r="B41" s="47" t="s">
        <v>0</v>
      </c>
      <c r="C41" s="134" t="s">
        <v>1148</v>
      </c>
      <c r="D41" s="134"/>
      <c r="E41" s="84"/>
      <c r="F41" s="172" t="s">
        <v>88</v>
      </c>
      <c r="G41" s="82"/>
      <c r="H41" s="83"/>
      <c r="I41" s="85">
        <v>450</v>
      </c>
      <c r="J41" s="86"/>
      <c r="K41" t="s">
        <v>0</v>
      </c>
      <c r="L41" t="s">
        <v>0</v>
      </c>
      <c r="M41" t="s">
        <v>0</v>
      </c>
      <c r="N41" t="s">
        <v>0</v>
      </c>
      <c r="O41" t="s">
        <v>0</v>
      </c>
      <c r="P41" t="s">
        <v>0</v>
      </c>
      <c r="Q41" t="s">
        <v>0</v>
      </c>
      <c r="R41" t="s">
        <v>0</v>
      </c>
      <c r="S41" t="s">
        <v>0</v>
      </c>
      <c r="T41" t="s">
        <v>0</v>
      </c>
    </row>
    <row r="42" ht="28.5" customHeight="1" spans="1:20" x14ac:dyDescent="0.25">
      <c r="A42" s="133" t="s">
        <v>1127</v>
      </c>
      <c r="B42" s="47" t="s">
        <v>0</v>
      </c>
      <c r="C42" s="134" t="s">
        <v>1149</v>
      </c>
      <c r="D42" s="134"/>
      <c r="E42" s="84"/>
      <c r="F42" s="172" t="s">
        <v>1150</v>
      </c>
      <c r="G42" s="82"/>
      <c r="H42" s="83"/>
      <c r="I42" s="85">
        <v>1000</v>
      </c>
      <c r="J42" s="86"/>
      <c r="K42" t="s">
        <v>0</v>
      </c>
      <c r="L42" t="s">
        <v>0</v>
      </c>
      <c r="M42" t="s">
        <v>0</v>
      </c>
      <c r="N42" t="s">
        <v>0</v>
      </c>
      <c r="O42" t="s">
        <v>0</v>
      </c>
      <c r="P42" t="s">
        <v>0</v>
      </c>
      <c r="Q42" t="s">
        <v>0</v>
      </c>
      <c r="R42" t="s">
        <v>0</v>
      </c>
      <c r="S42" t="s">
        <v>0</v>
      </c>
      <c r="T42" t="s">
        <v>0</v>
      </c>
    </row>
    <row r="43" ht="56.25" customHeight="1" spans="1:20" x14ac:dyDescent="0.25">
      <c r="A43" s="133" t="s">
        <v>1151</v>
      </c>
      <c r="B43" s="47" t="s">
        <v>0</v>
      </c>
      <c r="C43" s="134" t="s">
        <v>1152</v>
      </c>
      <c r="D43" s="134"/>
      <c r="E43" s="84"/>
      <c r="F43" s="81" t="s">
        <v>1153</v>
      </c>
      <c r="G43" s="134"/>
      <c r="H43" s="84"/>
      <c r="I43" s="85">
        <v>3400</v>
      </c>
      <c r="J43" s="86"/>
      <c r="K43" t="s">
        <v>0</v>
      </c>
      <c r="L43" t="s">
        <v>0</v>
      </c>
      <c r="M43" t="s">
        <v>0</v>
      </c>
      <c r="N43" t="s">
        <v>0</v>
      </c>
      <c r="O43" t="s">
        <v>0</v>
      </c>
      <c r="P43" t="s">
        <v>0</v>
      </c>
      <c r="Q43" t="s">
        <v>0</v>
      </c>
      <c r="R43" t="s">
        <v>0</v>
      </c>
      <c r="S43" t="s">
        <v>0</v>
      </c>
      <c r="T43" t="s">
        <v>0</v>
      </c>
    </row>
    <row r="44" ht="27.75" customHeight="1" spans="1:20" x14ac:dyDescent="0.25">
      <c r="A44" s="133" t="s">
        <v>1127</v>
      </c>
      <c r="B44" s="47" t="s">
        <v>0</v>
      </c>
      <c r="C44" s="134" t="s">
        <v>1154</v>
      </c>
      <c r="D44" s="134"/>
      <c r="E44" s="84"/>
      <c r="F44" s="172" t="s">
        <v>1155</v>
      </c>
      <c r="G44" s="82"/>
      <c r="H44" s="83"/>
      <c r="I44" s="85">
        <v>1200</v>
      </c>
      <c r="J44" s="86"/>
      <c r="K44" t="s">
        <v>0</v>
      </c>
      <c r="L44" t="s">
        <v>0</v>
      </c>
      <c r="M44" t="s">
        <v>0</v>
      </c>
      <c r="N44" t="s">
        <v>0</v>
      </c>
      <c r="O44" t="s">
        <v>0</v>
      </c>
      <c r="P44" t="s">
        <v>0</v>
      </c>
      <c r="Q44" t="s">
        <v>0</v>
      </c>
      <c r="R44" t="s">
        <v>0</v>
      </c>
      <c r="S44" t="s">
        <v>0</v>
      </c>
      <c r="T44" t="s">
        <v>0</v>
      </c>
    </row>
    <row r="45" ht="14.25" customHeight="1" spans="1:20" x14ac:dyDescent="0.25">
      <c r="A45" s="133" t="s">
        <v>0</v>
      </c>
      <c r="B45" s="47" t="s">
        <v>0</v>
      </c>
      <c r="C45" s="134"/>
      <c r="D45" s="134"/>
      <c r="E45" s="84"/>
      <c r="F45" s="172"/>
      <c r="G45" s="82"/>
      <c r="H45" s="83"/>
      <c r="I45" s="85"/>
      <c r="J45" s="86"/>
      <c r="K45" t="s">
        <v>0</v>
      </c>
      <c r="L45" t="s">
        <v>0</v>
      </c>
      <c r="M45" t="s">
        <v>0</v>
      </c>
      <c r="N45" t="s">
        <v>0</v>
      </c>
      <c r="O45" t="s">
        <v>0</v>
      </c>
      <c r="P45" t="s">
        <v>0</v>
      </c>
      <c r="Q45" t="s">
        <v>0</v>
      </c>
      <c r="R45" t="s">
        <v>0</v>
      </c>
      <c r="S45" t="s">
        <v>0</v>
      </c>
      <c r="T45" t="s">
        <v>0</v>
      </c>
    </row>
    <row r="46" ht="14.25" customHeight="1" spans="1:20" x14ac:dyDescent="0.25">
      <c r="A46" s="133" t="s">
        <v>0</v>
      </c>
      <c r="B46" s="47" t="s">
        <v>0</v>
      </c>
      <c r="C46" s="134"/>
      <c r="D46" s="134"/>
      <c r="E46" s="84"/>
      <c r="F46" s="172"/>
      <c r="G46" s="82"/>
      <c r="H46" s="83"/>
      <c r="I46" s="85"/>
      <c r="J46" s="86"/>
      <c r="K46" t="s">
        <v>0</v>
      </c>
      <c r="L46" t="s">
        <v>0</v>
      </c>
      <c r="M46" t="s">
        <v>0</v>
      </c>
      <c r="N46" t="s">
        <v>0</v>
      </c>
      <c r="O46" t="s">
        <v>0</v>
      </c>
      <c r="P46" t="s">
        <v>0</v>
      </c>
      <c r="Q46" t="s">
        <v>0</v>
      </c>
      <c r="R46" t="s">
        <v>0</v>
      </c>
      <c r="S46" t="s">
        <v>0</v>
      </c>
      <c r="T46" t="s">
        <v>0</v>
      </c>
    </row>
    <row r="47" ht="15.75" customHeight="1" spans="1:20" x14ac:dyDescent="0.25">
      <c r="A47" s="228" t="s">
        <v>0</v>
      </c>
      <c r="B47" s="172"/>
      <c r="C47" s="82"/>
      <c r="D47" s="82"/>
      <c r="E47" s="83"/>
      <c r="F47" s="81"/>
      <c r="G47" s="134"/>
      <c r="H47" s="84"/>
      <c r="I47" s="251"/>
      <c r="J47" s="252"/>
      <c r="K47" t="s">
        <v>0</v>
      </c>
      <c r="L47" t="s">
        <v>0</v>
      </c>
      <c r="M47" t="s">
        <v>0</v>
      </c>
      <c r="N47" t="s">
        <v>0</v>
      </c>
      <c r="O47" t="s">
        <v>0</v>
      </c>
      <c r="P47" t="s">
        <v>0</v>
      </c>
      <c r="Q47" t="s">
        <v>0</v>
      </c>
      <c r="R47" t="s">
        <v>0</v>
      </c>
      <c r="S47" t="s">
        <v>0</v>
      </c>
      <c r="T47" t="s">
        <v>0</v>
      </c>
    </row>
    <row r="48" ht="15.75" customHeight="1" spans="1:20" x14ac:dyDescent="0.25">
      <c r="A48" s="256" t="s">
        <v>0</v>
      </c>
      <c r="B48" s="75"/>
      <c r="C48" s="76"/>
      <c r="D48" s="76"/>
      <c r="E48" s="77"/>
      <c r="F48" s="172"/>
      <c r="G48" s="82"/>
      <c r="H48" s="83"/>
      <c r="I48" s="211"/>
      <c r="J48" s="212"/>
      <c r="K48" t="s">
        <v>0</v>
      </c>
      <c r="L48" t="s">
        <v>0</v>
      </c>
      <c r="M48" t="s">
        <v>0</v>
      </c>
      <c r="N48" t="s">
        <v>0</v>
      </c>
      <c r="O48" t="s">
        <v>0</v>
      </c>
      <c r="P48" t="s">
        <v>0</v>
      </c>
      <c r="Q48" t="s">
        <v>0</v>
      </c>
      <c r="R48" t="s">
        <v>0</v>
      </c>
      <c r="S48" t="s">
        <v>0</v>
      </c>
      <c r="T48" t="s">
        <v>0</v>
      </c>
    </row>
    <row r="49" ht="15.75" customHeight="1" spans="1:20" x14ac:dyDescent="0.25">
      <c r="A49" s="93" t="s">
        <v>0</v>
      </c>
      <c r="B49" s="328" t="s">
        <v>0</v>
      </c>
      <c r="C49" s="329"/>
      <c r="D49" s="329"/>
      <c r="E49" s="330"/>
      <c r="F49" s="97" t="s">
        <v>96</v>
      </c>
      <c r="G49" s="98"/>
      <c r="H49" s="233"/>
      <c r="I49" s="331">
        <f>SUM(I29:J48)</f>
        <v>76040</v>
      </c>
      <c r="J49" s="233"/>
      <c r="K49" t="s">
        <v>0</v>
      </c>
      <c r="L49" t="s">
        <v>0</v>
      </c>
      <c r="M49" t="s">
        <v>0</v>
      </c>
      <c r="N49" t="s">
        <v>0</v>
      </c>
      <c r="O49" t="s">
        <v>0</v>
      </c>
      <c r="P49" t="s">
        <v>0</v>
      </c>
      <c r="Q49" t="s">
        <v>0</v>
      </c>
      <c r="R49" t="s">
        <v>0</v>
      </c>
      <c r="S49" t="s">
        <v>0</v>
      </c>
      <c r="T49" t="s">
        <v>0</v>
      </c>
    </row>
    <row r="51" spans="4:7" x14ac:dyDescent="0.25">
      <c r="D51" s="409"/>
      <c r="E51" s="409"/>
      <c r="F51" s="409"/>
      <c r="G51" s="409"/>
    </row>
  </sheetData>
  <mergeCells count="89">
    <mergeCell ref="B17:E17"/>
    <mergeCell ref="F17:H17"/>
    <mergeCell ref="I17:K17"/>
    <mergeCell ref="B18:E18"/>
    <mergeCell ref="F18:H18"/>
    <mergeCell ref="I18:K18"/>
    <mergeCell ref="C19:E19"/>
    <mergeCell ref="F19:H19"/>
    <mergeCell ref="I19:K19"/>
    <mergeCell ref="C20:E20"/>
    <mergeCell ref="F20:H20"/>
    <mergeCell ref="I20:K20"/>
    <mergeCell ref="C21:E21"/>
    <mergeCell ref="F21:H21"/>
    <mergeCell ref="I21:K21"/>
    <mergeCell ref="C22:E22"/>
    <mergeCell ref="F22:H22"/>
    <mergeCell ref="I22:K22"/>
    <mergeCell ref="C23:E23"/>
    <mergeCell ref="F23:H23"/>
    <mergeCell ref="I23:K23"/>
    <mergeCell ref="F24:H24"/>
    <mergeCell ref="I24:K24"/>
    <mergeCell ref="B28:E28"/>
    <mergeCell ref="F28:H28"/>
    <mergeCell ref="I28:J28"/>
    <mergeCell ref="B29:E29"/>
    <mergeCell ref="F29:H29"/>
    <mergeCell ref="I29:J29"/>
    <mergeCell ref="B30:E30"/>
    <mergeCell ref="F30:H30"/>
    <mergeCell ref="I30:J30"/>
    <mergeCell ref="C31:E31"/>
    <mergeCell ref="F31:H31"/>
    <mergeCell ref="I31:J31"/>
    <mergeCell ref="B32:E32"/>
    <mergeCell ref="F32:H32"/>
    <mergeCell ref="I32:J32"/>
    <mergeCell ref="C33:E33"/>
    <mergeCell ref="F33:H33"/>
    <mergeCell ref="I33:J33"/>
    <mergeCell ref="C34:E34"/>
    <mergeCell ref="F34:H34"/>
    <mergeCell ref="I34:J34"/>
    <mergeCell ref="C35:E35"/>
    <mergeCell ref="F35:H35"/>
    <mergeCell ref="I35:J35"/>
    <mergeCell ref="C36:E36"/>
    <mergeCell ref="F36:H36"/>
    <mergeCell ref="I36:J36"/>
    <mergeCell ref="C37:E37"/>
    <mergeCell ref="F37:H37"/>
    <mergeCell ref="I37:J37"/>
    <mergeCell ref="C38:E38"/>
    <mergeCell ref="F38:H38"/>
    <mergeCell ref="I38:J38"/>
    <mergeCell ref="C39:E39"/>
    <mergeCell ref="F39:H39"/>
    <mergeCell ref="I39:J39"/>
    <mergeCell ref="C40:E40"/>
    <mergeCell ref="F40:H40"/>
    <mergeCell ref="I40:J40"/>
    <mergeCell ref="C41:E41"/>
    <mergeCell ref="F41:H41"/>
    <mergeCell ref="I41:J41"/>
    <mergeCell ref="C42:E42"/>
    <mergeCell ref="F42:H42"/>
    <mergeCell ref="I42:J42"/>
    <mergeCell ref="C43:E43"/>
    <mergeCell ref="F43:H43"/>
    <mergeCell ref="I43:J43"/>
    <mergeCell ref="C44:E44"/>
    <mergeCell ref="F44:H44"/>
    <mergeCell ref="I44:J44"/>
    <mergeCell ref="C45:E45"/>
    <mergeCell ref="F45:H45"/>
    <mergeCell ref="I45:J45"/>
    <mergeCell ref="C46:E46"/>
    <mergeCell ref="F46:H46"/>
    <mergeCell ref="I46:J46"/>
    <mergeCell ref="B47:E47"/>
    <mergeCell ref="F47:H47"/>
    <mergeCell ref="I47:J47"/>
    <mergeCell ref="B48:E48"/>
    <mergeCell ref="F48:H48"/>
    <mergeCell ref="I48:J48"/>
    <mergeCell ref="C49:E49"/>
    <mergeCell ref="F49:H49"/>
    <mergeCell ref="I49:J4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workbookViewId="0" zoomScale="99" zoomScaleNormal="99">
      <selection activeCell="Q8" sqref="Q8"/>
    </sheetView>
  </sheetViews>
  <sheetFormatPr defaultRowHeight="15" outlineLevelRow="0" outlineLevelCol="0" x14ac:dyDescent="0.25"/>
  <cols>
    <col min="1" max="1" width="41.85546875" customWidth="1"/>
    <col min="2" max="2" width="16.7109375" hidden="1" customWidth="1"/>
    <col min="3" max="3" width="18.42578125" customWidth="1"/>
    <col min="4" max="4" width="16.140625" customWidth="1"/>
    <col min="5" max="5" width="15.42578125" customWidth="1"/>
    <col min="6" max="6" width="14.5703125" customWidth="1"/>
    <col min="7" max="7" width="11.28515625" customWidth="1"/>
    <col min="8" max="8" width="13.140625" customWidth="1"/>
    <col min="9" max="9" width="14" customWidth="1"/>
    <col min="10" max="10" width="11.28515625" customWidth="1"/>
    <col min="11" max="12" width="12" customWidth="1"/>
    <col min="13" max="13" width="12.28515625" customWidth="1"/>
    <col min="14" max="14" width="11.5703125" customWidth="1"/>
    <col min="15" max="15" width="10.140625" customWidth="1"/>
    <col min="16" max="16" width="10.5703125" customWidth="1"/>
    <col min="17" max="18" width="11.5703125" customWidth="1"/>
    <col min="19" max="19" width="12.28515625" customWidth="1"/>
  </cols>
  <sheetData>
    <row r="1" ht="72.75" customHeight="1" spans="1:19" x14ac:dyDescent="0.25">
      <c r="A1" s="1" t="s">
        <v>0</v>
      </c>
      <c r="B1" s="2" t="s">
        <v>255</v>
      </c>
      <c r="C1" s="3" t="s">
        <v>263</v>
      </c>
      <c r="D1" s="4" t="s">
        <v>921</v>
      </c>
      <c r="E1" s="5" t="s">
        <v>922</v>
      </c>
      <c r="F1" s="6" t="s">
        <v>5</v>
      </c>
      <c r="G1" s="7" t="s">
        <v>6</v>
      </c>
      <c r="H1" s="8" t="s">
        <v>7</v>
      </c>
      <c r="I1" s="7" t="s">
        <v>8</v>
      </c>
      <c r="J1" s="8" t="s">
        <v>9</v>
      </c>
      <c r="K1" s="7" t="s">
        <v>10</v>
      </c>
      <c r="L1" s="8" t="s">
        <v>11</v>
      </c>
      <c r="M1" s="7" t="s">
        <v>12</v>
      </c>
      <c r="N1" s="8" t="s">
        <v>13</v>
      </c>
      <c r="O1" s="7" t="s">
        <v>14</v>
      </c>
      <c r="P1" s="8" t="s">
        <v>15</v>
      </c>
      <c r="Q1" s="7" t="s">
        <v>16</v>
      </c>
      <c r="R1" s="9" t="s">
        <v>0</v>
      </c>
      <c r="S1" s="10" t="s">
        <v>17</v>
      </c>
    </row>
    <row r="2" ht="16.5" customHeight="1" spans="1:19" x14ac:dyDescent="0.25">
      <c r="A2" s="12" t="s">
        <v>1364</v>
      </c>
      <c r="B2" s="13" t="s">
        <v>0</v>
      </c>
      <c r="C2" s="13" t="s">
        <v>0</v>
      </c>
      <c r="D2" s="14" t="s">
        <v>0</v>
      </c>
      <c r="E2" s="15" t="s">
        <v>0</v>
      </c>
      <c r="F2" s="105" t="s">
        <v>0</v>
      </c>
      <c r="G2" s="16" t="s">
        <v>0</v>
      </c>
      <c r="H2" s="17" t="s">
        <v>0</v>
      </c>
      <c r="I2" s="16" t="s">
        <v>0</v>
      </c>
      <c r="J2" s="17" t="s">
        <v>0</v>
      </c>
      <c r="K2" s="16" t="s">
        <v>0</v>
      </c>
      <c r="L2" s="17" t="s">
        <v>0</v>
      </c>
      <c r="M2" s="16" t="s">
        <v>0</v>
      </c>
      <c r="N2" s="18" t="s">
        <v>0</v>
      </c>
      <c r="O2" s="17" t="s">
        <v>0</v>
      </c>
      <c r="P2" s="16" t="s">
        <v>0</v>
      </c>
      <c r="Q2" s="18" t="s">
        <v>0</v>
      </c>
      <c r="R2" s="105" t="s">
        <v>0</v>
      </c>
      <c r="S2" s="16" t="s">
        <v>0</v>
      </c>
    </row>
    <row r="3" ht="15.75" customHeight="1" spans="1:19" x14ac:dyDescent="0.25">
      <c r="A3" s="187" t="s">
        <v>19</v>
      </c>
      <c r="B3" s="20" t="s">
        <v>0</v>
      </c>
      <c r="C3" s="21" t="s">
        <v>1365</v>
      </c>
      <c r="D3" s="22" t="s">
        <v>0</v>
      </c>
      <c r="E3" s="23" t="s">
        <v>1365</v>
      </c>
      <c r="F3" s="23" t="s">
        <v>0</v>
      </c>
      <c r="G3" s="23" t="s">
        <v>0</v>
      </c>
      <c r="H3" s="23" t="s">
        <v>0</v>
      </c>
      <c r="I3" s="23" t="s">
        <v>0</v>
      </c>
      <c r="J3" s="23" t="s">
        <v>0</v>
      </c>
      <c r="K3" s="23" t="s">
        <v>0</v>
      </c>
      <c r="L3" s="23" t="s">
        <v>0</v>
      </c>
      <c r="M3" s="23" t="s">
        <v>0</v>
      </c>
      <c r="N3" s="23" t="s">
        <v>0</v>
      </c>
      <c r="O3" s="23" t="s">
        <v>0</v>
      </c>
      <c r="P3" s="23" t="s">
        <v>0</v>
      </c>
      <c r="Q3" s="23" t="s">
        <v>0</v>
      </c>
      <c r="R3" s="110" t="s">
        <v>0</v>
      </c>
      <c r="S3" s="23" t="s">
        <v>0</v>
      </c>
    </row>
    <row r="4" ht="15.75" customHeight="1" spans="1:19" x14ac:dyDescent="0.25">
      <c r="A4" s="26" t="s">
        <v>43</v>
      </c>
      <c r="B4" s="27" t="s">
        <v>0</v>
      </c>
      <c r="C4" s="188" t="s">
        <v>1366</v>
      </c>
      <c r="D4" s="22" t="s">
        <v>1367</v>
      </c>
      <c r="E4" s="23" t="s">
        <v>1368</v>
      </c>
      <c r="F4" s="28" t="s">
        <v>0</v>
      </c>
      <c r="G4" s="28" t="s">
        <v>0</v>
      </c>
      <c r="H4" s="28" t="s">
        <v>0</v>
      </c>
      <c r="I4" s="28" t="s">
        <v>0</v>
      </c>
      <c r="J4" s="28" t="s">
        <v>0</v>
      </c>
      <c r="K4" s="28" t="s">
        <v>0</v>
      </c>
      <c r="L4" s="28" t="s">
        <v>0</v>
      </c>
      <c r="M4" s="28" t="s">
        <v>0</v>
      </c>
      <c r="N4" s="28" t="s">
        <v>1369</v>
      </c>
      <c r="O4" s="28" t="s">
        <v>1370</v>
      </c>
      <c r="P4" s="28" t="s">
        <v>0</v>
      </c>
      <c r="Q4" s="28" t="s">
        <v>0</v>
      </c>
      <c r="R4" s="110" t="s">
        <v>0</v>
      </c>
      <c r="S4" s="23" t="s">
        <v>1367</v>
      </c>
    </row>
    <row r="5" ht="15.75" customHeight="1" spans="1:19" x14ac:dyDescent="0.25">
      <c r="A5" s="26" t="s">
        <v>114</v>
      </c>
      <c r="B5" s="27" t="s">
        <v>0</v>
      </c>
      <c r="C5" s="188" t="s">
        <v>0</v>
      </c>
      <c r="D5" s="22" t="s">
        <v>0</v>
      </c>
      <c r="E5" s="23" t="s">
        <v>0</v>
      </c>
      <c r="F5" s="28" t="s">
        <v>0</v>
      </c>
      <c r="G5" s="28" t="s">
        <v>25</v>
      </c>
      <c r="H5" s="28" t="s">
        <v>0</v>
      </c>
      <c r="I5" s="28" t="s">
        <v>0</v>
      </c>
      <c r="J5" s="28" t="s">
        <v>1371</v>
      </c>
      <c r="K5" s="28" t="s">
        <v>1177</v>
      </c>
      <c r="L5" s="28" t="s">
        <v>0</v>
      </c>
      <c r="M5" s="28" t="s">
        <v>0</v>
      </c>
      <c r="N5" s="28" t="s">
        <v>120</v>
      </c>
      <c r="O5" s="28" t="s">
        <v>1372</v>
      </c>
      <c r="P5" s="28" t="s">
        <v>120</v>
      </c>
      <c r="Q5" s="28" t="s">
        <v>0</v>
      </c>
      <c r="R5" s="110" t="s">
        <v>0</v>
      </c>
      <c r="S5" s="23" t="s">
        <v>1373</v>
      </c>
    </row>
    <row r="6" ht="16.5" customHeight="1" spans="1:19" x14ac:dyDescent="0.25">
      <c r="A6" s="26" t="s">
        <v>281</v>
      </c>
      <c r="B6" s="27" t="s">
        <v>0</v>
      </c>
      <c r="C6" s="188" t="s">
        <v>0</v>
      </c>
      <c r="D6" s="22" t="s">
        <v>0</v>
      </c>
      <c r="E6" s="23" t="s">
        <v>0</v>
      </c>
      <c r="F6" s="28" t="s">
        <v>0</v>
      </c>
      <c r="G6" s="28" t="s">
        <v>0</v>
      </c>
      <c r="H6" s="28" t="s">
        <v>0</v>
      </c>
      <c r="I6" s="28" t="s">
        <v>0</v>
      </c>
      <c r="J6" s="28" t="s">
        <v>279</v>
      </c>
      <c r="K6" s="28" t="s">
        <v>0</v>
      </c>
      <c r="L6" s="28" t="s">
        <v>0</v>
      </c>
      <c r="M6" s="28" t="s">
        <v>0</v>
      </c>
      <c r="N6" s="28" t="s">
        <v>0</v>
      </c>
      <c r="O6" s="28" t="s">
        <v>0</v>
      </c>
      <c r="P6" s="28" t="s">
        <v>0</v>
      </c>
      <c r="Q6" s="28" t="s">
        <v>0</v>
      </c>
      <c r="R6" s="110" t="s">
        <v>0</v>
      </c>
      <c r="S6" s="23" t="s">
        <v>279</v>
      </c>
    </row>
    <row r="7" ht="15.75" customHeight="1" spans="1:19" x14ac:dyDescent="0.25">
      <c r="A7" s="26" t="s">
        <v>45</v>
      </c>
      <c r="B7" s="27" t="s">
        <v>0</v>
      </c>
      <c r="C7" s="188" t="s">
        <v>0</v>
      </c>
      <c r="D7" s="22" t="s">
        <v>0</v>
      </c>
      <c r="E7" s="23" t="s">
        <v>0</v>
      </c>
      <c r="F7" s="28" t="s">
        <v>1374</v>
      </c>
      <c r="G7" s="28" t="s">
        <v>1375</v>
      </c>
      <c r="H7" s="28" t="s">
        <v>1376</v>
      </c>
      <c r="I7" s="28" t="s">
        <v>1377</v>
      </c>
      <c r="J7" s="28" t="s">
        <v>1378</v>
      </c>
      <c r="K7" s="28" t="s">
        <v>1379</v>
      </c>
      <c r="L7" s="28" t="s">
        <v>1380</v>
      </c>
      <c r="M7" s="28" t="s">
        <v>1381</v>
      </c>
      <c r="N7" s="28" t="s">
        <v>1382</v>
      </c>
      <c r="O7" s="28" t="s">
        <v>1383</v>
      </c>
      <c r="P7" s="28" t="s">
        <v>1384</v>
      </c>
      <c r="Q7" s="28" t="s">
        <v>1385</v>
      </c>
      <c r="R7" s="110" t="s">
        <v>0</v>
      </c>
      <c r="S7" s="23" t="s">
        <v>1386</v>
      </c>
    </row>
    <row r="8" ht="15.75" customHeight="1" spans="1:19" x14ac:dyDescent="0.25">
      <c r="A8" s="26" t="s">
        <v>41</v>
      </c>
      <c r="B8" s="27" t="s">
        <v>0</v>
      </c>
      <c r="C8" s="188" t="s">
        <v>287</v>
      </c>
      <c r="D8" s="22" t="s">
        <v>0</v>
      </c>
      <c r="E8" s="23" t="s">
        <v>287</v>
      </c>
      <c r="F8" s="28" t="s">
        <v>0</v>
      </c>
      <c r="G8" s="28" t="s">
        <v>0</v>
      </c>
      <c r="H8" s="28" t="s">
        <v>0</v>
      </c>
      <c r="I8" s="28" t="s">
        <v>0</v>
      </c>
      <c r="J8" s="28" t="s">
        <v>0</v>
      </c>
      <c r="K8" s="28" t="s">
        <v>0</v>
      </c>
      <c r="L8" s="28" t="s">
        <v>0</v>
      </c>
      <c r="M8" s="28" t="s">
        <v>0</v>
      </c>
      <c r="N8" s="28" t="s">
        <v>0</v>
      </c>
      <c r="O8" s="28" t="s">
        <v>0</v>
      </c>
      <c r="P8" s="28" t="s">
        <v>0</v>
      </c>
      <c r="Q8" s="28" t="s">
        <v>0</v>
      </c>
      <c r="R8" s="110" t="s">
        <v>0</v>
      </c>
      <c r="S8" s="23" t="s">
        <v>0</v>
      </c>
    </row>
    <row r="9" ht="15.75" customHeight="1" spans="1:19" x14ac:dyDescent="0.25">
      <c r="A9" s="26" t="s">
        <v>1387</v>
      </c>
      <c r="B9" s="27" t="s">
        <v>0</v>
      </c>
      <c r="C9" s="188" t="s">
        <v>282</v>
      </c>
      <c r="D9" s="22" t="s">
        <v>0</v>
      </c>
      <c r="E9" s="23" t="s">
        <v>282</v>
      </c>
      <c r="F9" s="28" t="s">
        <v>0</v>
      </c>
      <c r="G9" s="28" t="s">
        <v>0</v>
      </c>
      <c r="H9" s="28" t="s">
        <v>0</v>
      </c>
      <c r="I9" s="28" t="s">
        <v>0</v>
      </c>
      <c r="J9" s="28" t="s">
        <v>0</v>
      </c>
      <c r="K9" s="28" t="s">
        <v>0</v>
      </c>
      <c r="L9" s="28" t="s">
        <v>0</v>
      </c>
      <c r="M9" s="28" t="s">
        <v>0</v>
      </c>
      <c r="N9" s="28" t="s">
        <v>0</v>
      </c>
      <c r="O9" s="28" t="s">
        <v>0</v>
      </c>
      <c r="P9" s="28" t="s">
        <v>0</v>
      </c>
      <c r="Q9" s="28" t="s">
        <v>0</v>
      </c>
      <c r="R9" s="110" t="s">
        <v>0</v>
      </c>
      <c r="S9" s="23" t="s">
        <v>0</v>
      </c>
    </row>
    <row r="10" ht="15.75" customHeight="1" spans="1:19" x14ac:dyDescent="0.25">
      <c r="A10" s="26" t="s">
        <v>1388</v>
      </c>
      <c r="B10" s="27" t="s">
        <v>0</v>
      </c>
      <c r="C10" s="188" t="s">
        <v>1389</v>
      </c>
      <c r="D10" s="22" t="s">
        <v>0</v>
      </c>
      <c r="E10" s="23" t="s">
        <v>1389</v>
      </c>
      <c r="F10" s="28" t="s">
        <v>0</v>
      </c>
      <c r="G10" s="28" t="s">
        <v>0</v>
      </c>
      <c r="H10" s="28" t="s">
        <v>0</v>
      </c>
      <c r="I10" s="28" t="s">
        <v>0</v>
      </c>
      <c r="J10" s="28" t="s">
        <v>0</v>
      </c>
      <c r="K10" s="28" t="s">
        <v>0</v>
      </c>
      <c r="L10" s="28" t="s">
        <v>0</v>
      </c>
      <c r="M10" s="28" t="s">
        <v>0</v>
      </c>
      <c r="N10" s="28" t="s">
        <v>0</v>
      </c>
      <c r="O10" s="28" t="s">
        <v>0</v>
      </c>
      <c r="P10" s="28" t="s">
        <v>0</v>
      </c>
      <c r="Q10" s="28" t="s">
        <v>0</v>
      </c>
      <c r="R10" s="110" t="s">
        <v>0</v>
      </c>
      <c r="S10" s="23" t="s">
        <v>0</v>
      </c>
    </row>
    <row r="11" ht="15.75" customHeight="1" spans="1:19" x14ac:dyDescent="0.25">
      <c r="A11" s="31" t="s">
        <v>1390</v>
      </c>
      <c r="B11" s="27" t="s">
        <v>0</v>
      </c>
      <c r="C11" s="188" t="s">
        <v>1391</v>
      </c>
      <c r="D11" s="22" t="s">
        <v>0</v>
      </c>
      <c r="E11" s="23" t="s">
        <v>1391</v>
      </c>
      <c r="F11" s="28" t="s">
        <v>0</v>
      </c>
      <c r="G11" s="28" t="s">
        <v>0</v>
      </c>
      <c r="H11" s="28" t="s">
        <v>0</v>
      </c>
      <c r="I11" s="28" t="s">
        <v>0</v>
      </c>
      <c r="J11" s="28" t="s">
        <v>0</v>
      </c>
      <c r="K11" s="28" t="s">
        <v>0</v>
      </c>
      <c r="L11" s="28" t="s">
        <v>0</v>
      </c>
      <c r="M11" s="28" t="s">
        <v>0</v>
      </c>
      <c r="N11" s="28" t="s">
        <v>0</v>
      </c>
      <c r="O11" s="28" t="s">
        <v>0</v>
      </c>
      <c r="P11" s="28" t="s">
        <v>0</v>
      </c>
      <c r="Q11" s="28" t="s">
        <v>0</v>
      </c>
      <c r="R11" s="110" t="s">
        <v>0</v>
      </c>
      <c r="S11" s="23" t="s">
        <v>0</v>
      </c>
    </row>
    <row r="12" ht="16.5" customHeight="1" spans="1:19" x14ac:dyDescent="0.25">
      <c r="A12" s="34" t="s">
        <v>0</v>
      </c>
      <c r="B12" s="37" t="s">
        <v>0</v>
      </c>
      <c r="C12" s="37" t="s">
        <v>124</v>
      </c>
      <c r="D12" s="37" t="s">
        <v>1367</v>
      </c>
      <c r="E12" s="37" t="s">
        <v>1392</v>
      </c>
      <c r="F12" s="37" t="s">
        <v>1374</v>
      </c>
      <c r="G12" s="37" t="s">
        <v>1393</v>
      </c>
      <c r="H12" s="37" t="s">
        <v>1376</v>
      </c>
      <c r="I12" s="37" t="s">
        <v>1377</v>
      </c>
      <c r="J12" s="37" t="s">
        <v>1394</v>
      </c>
      <c r="K12" s="37" t="s">
        <v>1395</v>
      </c>
      <c r="L12" s="37" t="s">
        <v>1380</v>
      </c>
      <c r="M12" s="37" t="s">
        <v>1381</v>
      </c>
      <c r="N12" s="37" t="s">
        <v>1396</v>
      </c>
      <c r="O12" s="37" t="s">
        <v>1397</v>
      </c>
      <c r="P12" s="37" t="s">
        <v>1398</v>
      </c>
      <c r="Q12" s="37" t="s">
        <v>1385</v>
      </c>
      <c r="R12" s="193" t="s">
        <v>73</v>
      </c>
      <c r="S12" s="38" t="s">
        <v>1399</v>
      </c>
    </row>
    <row r="13"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15.75" customHeight="1" spans="1:19" x14ac:dyDescent="0.25">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row>
    <row r="15" ht="16.5" customHeight="1" spans="1:19" x14ac:dyDescent="0.25">
      <c r="A15" s="40" t="s">
        <v>200</v>
      </c>
      <c r="B15" s="41" t="s">
        <v>201</v>
      </c>
      <c r="C15" s="42"/>
      <c r="D15" s="42"/>
      <c r="E15" s="43"/>
      <c r="F15" s="42" t="s">
        <v>76</v>
      </c>
      <c r="G15" s="42"/>
      <c r="H15" s="42"/>
      <c r="I15" s="398" t="s">
        <v>77</v>
      </c>
      <c r="J15" s="399"/>
      <c r="K15" t="s">
        <v>0</v>
      </c>
      <c r="L15" t="s">
        <v>0</v>
      </c>
      <c r="M15" t="s">
        <v>0</v>
      </c>
      <c r="N15" t="s">
        <v>0</v>
      </c>
      <c r="O15" t="s">
        <v>0</v>
      </c>
      <c r="P15" t="s">
        <v>0</v>
      </c>
      <c r="Q15" t="s">
        <v>0</v>
      </c>
      <c r="R15" t="s">
        <v>0</v>
      </c>
      <c r="S15" t="s">
        <v>0</v>
      </c>
    </row>
    <row r="16" ht="36.75" customHeight="1" spans="1:19" x14ac:dyDescent="0.25">
      <c r="A16" s="168" t="s">
        <v>1400</v>
      </c>
      <c r="B16" s="169" t="s">
        <v>1401</v>
      </c>
      <c r="C16" s="170"/>
      <c r="D16" s="170"/>
      <c r="E16" s="171"/>
      <c r="F16" s="170" t="s">
        <v>1402</v>
      </c>
      <c r="G16" s="206"/>
      <c r="H16" s="206"/>
      <c r="I16" s="207">
        <v>7500</v>
      </c>
      <c r="J16" s="208"/>
      <c r="K16" t="s">
        <v>0</v>
      </c>
      <c r="L16" t="s">
        <v>0</v>
      </c>
      <c r="M16" t="s">
        <v>0</v>
      </c>
      <c r="N16" t="s">
        <v>0</v>
      </c>
      <c r="O16" t="s">
        <v>0</v>
      </c>
      <c r="P16" t="s">
        <v>0</v>
      </c>
      <c r="Q16" t="s">
        <v>0</v>
      </c>
      <c r="R16" t="s">
        <v>0</v>
      </c>
      <c r="S16" t="s">
        <v>0</v>
      </c>
    </row>
    <row r="17" ht="35.25" customHeight="1" spans="1:19" x14ac:dyDescent="0.25">
      <c r="A17" s="168" t="s">
        <v>1403</v>
      </c>
      <c r="B17" s="169" t="s">
        <v>1404</v>
      </c>
      <c r="C17" s="170"/>
      <c r="D17" s="170"/>
      <c r="E17" s="171"/>
      <c r="F17" s="170" t="s">
        <v>1405</v>
      </c>
      <c r="G17" s="206"/>
      <c r="H17" s="206"/>
      <c r="I17" s="207">
        <v>20000</v>
      </c>
      <c r="J17" s="208"/>
      <c r="K17" t="s">
        <v>0</v>
      </c>
      <c r="L17" t="s">
        <v>0</v>
      </c>
      <c r="M17" t="s">
        <v>0</v>
      </c>
      <c r="N17" t="s">
        <v>0</v>
      </c>
      <c r="O17" t="s">
        <v>0</v>
      </c>
      <c r="P17" t="s">
        <v>0</v>
      </c>
      <c r="Q17" t="s">
        <v>0</v>
      </c>
      <c r="R17" t="s">
        <v>0</v>
      </c>
      <c r="S17" t="s">
        <v>0</v>
      </c>
    </row>
    <row r="18" ht="32.25" customHeight="1" spans="1:19" x14ac:dyDescent="0.25">
      <c r="A18" s="168" t="s">
        <v>537</v>
      </c>
      <c r="B18" s="55" t="s">
        <v>1340</v>
      </c>
      <c r="C18" s="56"/>
      <c r="D18" s="56"/>
      <c r="E18" s="57"/>
      <c r="F18" s="56" t="s">
        <v>1406</v>
      </c>
      <c r="G18" s="140"/>
      <c r="H18" s="140"/>
      <c r="I18" s="85">
        <v>1224</v>
      </c>
      <c r="J18" s="86"/>
      <c r="K18" t="s">
        <v>0</v>
      </c>
      <c r="L18" t="s">
        <v>0</v>
      </c>
      <c r="M18" t="s">
        <v>0</v>
      </c>
      <c r="N18" t="s">
        <v>0</v>
      </c>
      <c r="O18" t="s">
        <v>0</v>
      </c>
      <c r="P18" t="s">
        <v>0</v>
      </c>
      <c r="Q18" t="s">
        <v>0</v>
      </c>
      <c r="R18" t="s">
        <v>0</v>
      </c>
      <c r="S18" t="s">
        <v>0</v>
      </c>
    </row>
    <row r="19" spans="1:19" x14ac:dyDescent="0.25">
      <c r="A19" s="168" t="s">
        <v>537</v>
      </c>
      <c r="B19" s="169" t="s">
        <v>1340</v>
      </c>
      <c r="C19" s="170"/>
      <c r="D19" s="170"/>
      <c r="E19" s="171"/>
      <c r="F19" s="170" t="s">
        <v>1407</v>
      </c>
      <c r="G19" s="206"/>
      <c r="H19" s="206"/>
      <c r="I19" s="207">
        <v>2805</v>
      </c>
      <c r="J19" s="208"/>
      <c r="K19" t="s">
        <v>0</v>
      </c>
      <c r="L19" t="s">
        <v>0</v>
      </c>
      <c r="M19" t="s">
        <v>0</v>
      </c>
      <c r="N19" t="s">
        <v>0</v>
      </c>
      <c r="O19" t="s">
        <v>0</v>
      </c>
      <c r="P19" t="s">
        <v>0</v>
      </c>
      <c r="Q19" t="s">
        <v>0</v>
      </c>
      <c r="R19" t="s">
        <v>0</v>
      </c>
      <c r="S19" t="s">
        <v>0</v>
      </c>
    </row>
    <row r="20" ht="15.75" customHeight="1" spans="1:19" x14ac:dyDescent="0.25">
      <c r="A20" s="168" t="s">
        <v>0</v>
      </c>
      <c r="B20" s="55"/>
      <c r="C20" s="56"/>
      <c r="D20" s="56"/>
      <c r="E20" s="57"/>
      <c r="F20" s="56"/>
      <c r="G20" s="56"/>
      <c r="H20" s="56"/>
      <c r="I20" s="251"/>
      <c r="J20" s="252"/>
      <c r="K20" t="s">
        <v>0</v>
      </c>
      <c r="L20" t="s">
        <v>0</v>
      </c>
      <c r="M20" t="s">
        <v>0</v>
      </c>
      <c r="N20" t="s">
        <v>0</v>
      </c>
      <c r="O20" t="s">
        <v>0</v>
      </c>
      <c r="P20" t="s">
        <v>0</v>
      </c>
      <c r="Q20" t="s">
        <v>0</v>
      </c>
      <c r="R20" t="s">
        <v>0</v>
      </c>
      <c r="S20" t="s">
        <v>0</v>
      </c>
    </row>
    <row r="21" ht="15.75" customHeight="1" spans="1:19" x14ac:dyDescent="0.25">
      <c r="A21" s="93" t="s">
        <v>0</v>
      </c>
      <c r="B21" s="328" t="s">
        <v>0</v>
      </c>
      <c r="C21" s="329"/>
      <c r="D21" s="329"/>
      <c r="E21" s="330"/>
      <c r="F21" s="98" t="s">
        <v>96</v>
      </c>
      <c r="G21" s="98"/>
      <c r="H21" s="98"/>
      <c r="I21" s="331">
        <f>SUM(I16:J20)</f>
        <v>31529</v>
      </c>
      <c r="J21" s="233"/>
      <c r="K21" t="s">
        <v>0</v>
      </c>
      <c r="L21" t="s">
        <v>0</v>
      </c>
      <c r="M21" t="s">
        <v>0</v>
      </c>
      <c r="N21" t="s">
        <v>0</v>
      </c>
      <c r="O21" t="s">
        <v>0</v>
      </c>
      <c r="P21" t="s">
        <v>0</v>
      </c>
      <c r="Q21" t="s">
        <v>0</v>
      </c>
      <c r="R21" t="s">
        <v>0</v>
      </c>
      <c r="S21" t="s">
        <v>0</v>
      </c>
    </row>
    <row r="22" spans="1:19" x14ac:dyDescent="0.25">
      <c r="A22" t="s">
        <v>0</v>
      </c>
      <c r="B22" s="476"/>
      <c r="C22" s="476"/>
      <c r="D22" s="476"/>
      <c r="E22" s="476"/>
      <c r="F22" s="476"/>
      <c r="G22" s="476"/>
      <c r="H22" s="476"/>
      <c r="I22" s="476"/>
      <c r="J22" s="476"/>
      <c r="K22" t="s">
        <v>0</v>
      </c>
      <c r="L22" t="s">
        <v>0</v>
      </c>
      <c r="M22" t="s">
        <v>0</v>
      </c>
      <c r="N22" t="s">
        <v>0</v>
      </c>
      <c r="O22" t="s">
        <v>0</v>
      </c>
      <c r="P22" t="s">
        <v>0</v>
      </c>
      <c r="Q22" t="s">
        <v>0</v>
      </c>
      <c r="R22" t="s">
        <v>0</v>
      </c>
      <c r="S22" t="s">
        <v>0</v>
      </c>
    </row>
    <row r="23" ht="15.75" customHeight="1" spans="1:19" x14ac:dyDescent="0.25">
      <c r="A23" t="s">
        <v>0</v>
      </c>
      <c r="B23" s="179"/>
      <c r="C23" s="179"/>
      <c r="D23" s="179"/>
      <c r="E23" s="179"/>
      <c r="F23" s="179"/>
      <c r="G23" s="179"/>
      <c r="H23" s="179"/>
      <c r="I23" s="179"/>
      <c r="J23" s="179"/>
      <c r="K23" t="s">
        <v>0</v>
      </c>
      <c r="L23" t="s">
        <v>0</v>
      </c>
      <c r="M23" t="s">
        <v>0</v>
      </c>
      <c r="N23" t="s">
        <v>0</v>
      </c>
      <c r="O23" t="s">
        <v>0</v>
      </c>
      <c r="P23" t="s">
        <v>0</v>
      </c>
      <c r="Q23" t="s">
        <v>0</v>
      </c>
      <c r="R23" t="s">
        <v>0</v>
      </c>
      <c r="S23" t="s">
        <v>0</v>
      </c>
    </row>
    <row r="24" ht="16.5" customHeight="1" spans="1:19" x14ac:dyDescent="0.25">
      <c r="A24" s="40" t="s">
        <v>74</v>
      </c>
      <c r="B24" s="41" t="s">
        <v>238</v>
      </c>
      <c r="C24" s="42"/>
      <c r="D24" s="42"/>
      <c r="E24" s="43"/>
      <c r="F24" s="42" t="s">
        <v>76</v>
      </c>
      <c r="G24" s="42"/>
      <c r="H24" s="42"/>
      <c r="I24" s="398" t="s">
        <v>77</v>
      </c>
      <c r="J24" s="399"/>
      <c r="K24" t="s">
        <v>0</v>
      </c>
      <c r="L24" t="s">
        <v>0</v>
      </c>
      <c r="M24" t="s">
        <v>0</v>
      </c>
      <c r="N24" t="s">
        <v>0</v>
      </c>
      <c r="O24" t="s">
        <v>0</v>
      </c>
      <c r="P24" t="s">
        <v>0</v>
      </c>
      <c r="Q24" t="s">
        <v>0</v>
      </c>
      <c r="R24" t="s">
        <v>0</v>
      </c>
      <c r="S24" t="s">
        <v>0</v>
      </c>
    </row>
    <row r="25" ht="47.25" customHeight="1" spans="1:19" x14ac:dyDescent="0.25">
      <c r="A25" s="168" t="s">
        <v>1408</v>
      </c>
      <c r="B25" s="47" t="s">
        <v>79</v>
      </c>
      <c r="C25" s="48"/>
      <c r="D25" s="48"/>
      <c r="E25" s="49"/>
      <c r="F25" s="206" t="s">
        <v>80</v>
      </c>
      <c r="G25" s="206"/>
      <c r="H25" s="206"/>
      <c r="I25" s="207">
        <v>4200</v>
      </c>
      <c r="J25" s="208"/>
      <c r="K25" t="s">
        <v>0</v>
      </c>
      <c r="L25" t="s">
        <v>0</v>
      </c>
      <c r="M25" t="s">
        <v>0</v>
      </c>
      <c r="N25" t="s">
        <v>0</v>
      </c>
      <c r="O25" t="s">
        <v>0</v>
      </c>
      <c r="P25" t="s">
        <v>0</v>
      </c>
      <c r="Q25" t="s">
        <v>0</v>
      </c>
      <c r="R25" t="s">
        <v>0</v>
      </c>
      <c r="S25" t="s">
        <v>0</v>
      </c>
    </row>
    <row r="26" ht="53.25" customHeight="1" spans="1:19" x14ac:dyDescent="0.25">
      <c r="A26" s="168" t="s">
        <v>1408</v>
      </c>
      <c r="B26" s="169" t="s">
        <v>1137</v>
      </c>
      <c r="C26" s="170"/>
      <c r="D26" s="170"/>
      <c r="E26" s="171"/>
      <c r="F26" s="206" t="s">
        <v>1138</v>
      </c>
      <c r="G26" s="206"/>
      <c r="H26" s="206"/>
      <c r="I26" s="207">
        <v>50140</v>
      </c>
      <c r="J26" s="208"/>
      <c r="K26" t="s">
        <v>0</v>
      </c>
      <c r="L26" t="s">
        <v>0</v>
      </c>
      <c r="M26" t="s">
        <v>0</v>
      </c>
      <c r="N26" t="s">
        <v>0</v>
      </c>
      <c r="O26" t="s">
        <v>0</v>
      </c>
      <c r="P26" t="s">
        <v>0</v>
      </c>
      <c r="Q26" t="s">
        <v>0</v>
      </c>
      <c r="R26" t="s">
        <v>0</v>
      </c>
      <c r="S26" t="s">
        <v>0</v>
      </c>
    </row>
    <row r="27" ht="47.25" customHeight="1" spans="1:19" x14ac:dyDescent="0.25">
      <c r="A27" s="168" t="s">
        <v>1409</v>
      </c>
      <c r="B27" s="55" t="s">
        <v>1410</v>
      </c>
      <c r="C27" s="56"/>
      <c r="D27" s="56"/>
      <c r="E27" s="57"/>
      <c r="F27" s="140" t="s">
        <v>1411</v>
      </c>
      <c r="G27" s="140"/>
      <c r="H27" s="140"/>
      <c r="I27" s="85">
        <v>1150</v>
      </c>
      <c r="J27" s="86"/>
      <c r="K27" t="s">
        <v>0</v>
      </c>
      <c r="L27" t="s">
        <v>0</v>
      </c>
      <c r="M27" t="s">
        <v>0</v>
      </c>
      <c r="N27" t="s">
        <v>0</v>
      </c>
      <c r="O27" t="s">
        <v>0</v>
      </c>
      <c r="P27" t="s">
        <v>0</v>
      </c>
      <c r="Q27" t="s">
        <v>0</v>
      </c>
      <c r="R27" t="s">
        <v>0</v>
      </c>
      <c r="S27" t="s">
        <v>0</v>
      </c>
    </row>
    <row r="28" ht="50.25" customHeight="1" spans="1:19" x14ac:dyDescent="0.25">
      <c r="A28" s="168" t="s">
        <v>1412</v>
      </c>
      <c r="B28" s="169" t="s">
        <v>1413</v>
      </c>
      <c r="C28" s="170"/>
      <c r="D28" s="170"/>
      <c r="E28" s="171"/>
      <c r="F28" s="206" t="s">
        <v>248</v>
      </c>
      <c r="G28" s="206"/>
      <c r="H28" s="206"/>
      <c r="I28" s="207">
        <v>1150</v>
      </c>
      <c r="J28" s="208"/>
      <c r="K28" t="s">
        <v>0</v>
      </c>
      <c r="L28" t="s">
        <v>0</v>
      </c>
      <c r="M28" t="s">
        <v>0</v>
      </c>
      <c r="N28" t="s">
        <v>0</v>
      </c>
      <c r="O28" t="s">
        <v>0</v>
      </c>
      <c r="P28" t="s">
        <v>0</v>
      </c>
      <c r="Q28" t="s">
        <v>0</v>
      </c>
      <c r="R28" t="s">
        <v>0</v>
      </c>
      <c r="S28" t="s">
        <v>0</v>
      </c>
    </row>
    <row r="29" ht="55.5" customHeight="1" spans="1:19" x14ac:dyDescent="0.25">
      <c r="A29" s="168" t="s">
        <v>1414</v>
      </c>
      <c r="B29" s="81" t="s">
        <v>1415</v>
      </c>
      <c r="C29" s="134"/>
      <c r="D29" s="134"/>
      <c r="E29" s="84"/>
      <c r="F29" s="172" t="s">
        <v>1416</v>
      </c>
      <c r="G29" s="82"/>
      <c r="H29" s="83"/>
      <c r="I29" s="85">
        <v>1150</v>
      </c>
      <c r="J29" s="86"/>
      <c r="K29" t="s">
        <v>0</v>
      </c>
      <c r="L29" t="s">
        <v>0</v>
      </c>
      <c r="M29" t="s">
        <v>0</v>
      </c>
      <c r="N29" t="s">
        <v>0</v>
      </c>
      <c r="O29" t="s">
        <v>0</v>
      </c>
      <c r="P29" t="s">
        <v>0</v>
      </c>
      <c r="Q29" t="s">
        <v>0</v>
      </c>
      <c r="R29" t="s">
        <v>0</v>
      </c>
      <c r="S29" t="s">
        <v>0</v>
      </c>
    </row>
    <row r="30" ht="45" customHeight="1" spans="1:19" x14ac:dyDescent="0.25">
      <c r="A30" s="168" t="s">
        <v>1409</v>
      </c>
      <c r="B30" s="47" t="s">
        <v>0</v>
      </c>
      <c r="C30" s="134" t="s">
        <v>1415</v>
      </c>
      <c r="D30" s="134"/>
      <c r="E30" s="84"/>
      <c r="F30" s="172" t="s">
        <v>1416</v>
      </c>
      <c r="G30" s="82"/>
      <c r="H30" s="83"/>
      <c r="I30" s="211">
        <v>1150</v>
      </c>
      <c r="J30" s="212"/>
      <c r="K30" t="s">
        <v>0</v>
      </c>
      <c r="L30" t="s">
        <v>0</v>
      </c>
      <c r="M30" t="s">
        <v>0</v>
      </c>
      <c r="N30" t="s">
        <v>0</v>
      </c>
      <c r="O30" t="s">
        <v>0</v>
      </c>
      <c r="P30" t="s">
        <v>0</v>
      </c>
      <c r="Q30" t="s">
        <v>0</v>
      </c>
      <c r="R30" t="s">
        <v>0</v>
      </c>
      <c r="S30" t="s">
        <v>0</v>
      </c>
    </row>
    <row r="31" ht="124.5" customHeight="1" spans="1:19" x14ac:dyDescent="0.25">
      <c r="A31" s="168" t="s">
        <v>1412</v>
      </c>
      <c r="B31" s="47" t="s">
        <v>0</v>
      </c>
      <c r="C31" s="134" t="s">
        <v>1417</v>
      </c>
      <c r="D31" s="134"/>
      <c r="E31" s="84"/>
      <c r="F31" s="172" t="s">
        <v>1418</v>
      </c>
      <c r="G31" s="82"/>
      <c r="H31" s="83"/>
      <c r="I31" s="211">
        <v>2600</v>
      </c>
      <c r="J31" s="212"/>
      <c r="K31" t="s">
        <v>0</v>
      </c>
      <c r="L31" t="s">
        <v>0</v>
      </c>
      <c r="M31" t="s">
        <v>0</v>
      </c>
      <c r="N31" t="s">
        <v>0</v>
      </c>
      <c r="O31" t="s">
        <v>0</v>
      </c>
      <c r="P31" t="s">
        <v>0</v>
      </c>
      <c r="Q31" t="s">
        <v>0</v>
      </c>
      <c r="R31" t="s">
        <v>0</v>
      </c>
      <c r="S31" t="s">
        <v>0</v>
      </c>
    </row>
    <row r="32" spans="1:19" x14ac:dyDescent="0.25">
      <c r="A32" s="168" t="s">
        <v>1419</v>
      </c>
      <c r="B32" s="47" t="s">
        <v>0</v>
      </c>
      <c r="C32" s="134" t="s">
        <v>1415</v>
      </c>
      <c r="D32" s="134"/>
      <c r="E32" s="84"/>
      <c r="F32" s="172" t="s">
        <v>1416</v>
      </c>
      <c r="G32" s="82"/>
      <c r="H32" s="83"/>
      <c r="I32" s="211">
        <v>1150</v>
      </c>
      <c r="J32" s="212"/>
      <c r="K32" t="s">
        <v>0</v>
      </c>
      <c r="L32" t="s">
        <v>0</v>
      </c>
      <c r="M32" t="s">
        <v>0</v>
      </c>
      <c r="N32" t="s">
        <v>0</v>
      </c>
      <c r="O32" t="s">
        <v>0</v>
      </c>
      <c r="P32" t="s">
        <v>0</v>
      </c>
      <c r="Q32" t="s">
        <v>0</v>
      </c>
      <c r="R32" t="s">
        <v>0</v>
      </c>
      <c r="S32" t="s">
        <v>0</v>
      </c>
    </row>
    <row r="33" spans="1:19" x14ac:dyDescent="0.25">
      <c r="A33" s="168" t="s">
        <v>0</v>
      </c>
      <c r="B33" s="47" t="s">
        <v>0</v>
      </c>
      <c r="C33" s="230"/>
      <c r="D33" s="230"/>
      <c r="E33" s="231"/>
      <c r="F33" s="470"/>
      <c r="G33" s="477"/>
      <c r="H33" s="471"/>
      <c r="I33" s="85"/>
      <c r="J33" s="86"/>
      <c r="K33" t="s">
        <v>0</v>
      </c>
      <c r="L33" t="s">
        <v>0</v>
      </c>
      <c r="M33" t="s">
        <v>0</v>
      </c>
      <c r="N33" t="s">
        <v>0</v>
      </c>
      <c r="O33" t="s">
        <v>0</v>
      </c>
      <c r="P33" t="s">
        <v>0</v>
      </c>
      <c r="Q33" t="s">
        <v>0</v>
      </c>
      <c r="R33" t="s">
        <v>0</v>
      </c>
      <c r="S33" t="s">
        <v>0</v>
      </c>
    </row>
    <row r="34" spans="1:19" x14ac:dyDescent="0.25">
      <c r="A34" s="168" t="s">
        <v>0</v>
      </c>
      <c r="B34" s="47" t="s">
        <v>0</v>
      </c>
      <c r="C34" s="230"/>
      <c r="D34" s="230"/>
      <c r="E34" s="231"/>
      <c r="F34" s="470"/>
      <c r="G34" s="477"/>
      <c r="H34" s="471"/>
      <c r="I34" s="85"/>
      <c r="J34" s="86"/>
      <c r="K34" t="s">
        <v>0</v>
      </c>
      <c r="L34" t="s">
        <v>0</v>
      </c>
      <c r="M34" t="s">
        <v>0</v>
      </c>
      <c r="N34" t="s">
        <v>0</v>
      </c>
      <c r="O34" t="s">
        <v>0</v>
      </c>
      <c r="P34" t="s">
        <v>0</v>
      </c>
      <c r="Q34" t="s">
        <v>0</v>
      </c>
      <c r="R34" t="s">
        <v>0</v>
      </c>
      <c r="S34" t="s">
        <v>0</v>
      </c>
    </row>
    <row r="35" spans="1:19" x14ac:dyDescent="0.25">
      <c r="A35" s="168" t="s">
        <v>0</v>
      </c>
      <c r="B35" s="47" t="s">
        <v>0</v>
      </c>
      <c r="C35" s="230"/>
      <c r="D35" s="230"/>
      <c r="E35" s="231"/>
      <c r="F35" s="470"/>
      <c r="G35" s="477"/>
      <c r="H35" s="471"/>
      <c r="I35" s="85"/>
      <c r="J35" s="86"/>
      <c r="K35" t="s">
        <v>0</v>
      </c>
      <c r="L35" t="s">
        <v>0</v>
      </c>
      <c r="M35" t="s">
        <v>0</v>
      </c>
      <c r="N35" t="s">
        <v>0</v>
      </c>
      <c r="O35" t="s">
        <v>0</v>
      </c>
      <c r="P35" t="s">
        <v>0</v>
      </c>
      <c r="Q35" t="s">
        <v>0</v>
      </c>
      <c r="R35" t="s">
        <v>0</v>
      </c>
      <c r="S35" t="s">
        <v>0</v>
      </c>
    </row>
    <row r="36" spans="1:19" x14ac:dyDescent="0.25">
      <c r="A36" s="168" t="s">
        <v>0</v>
      </c>
      <c r="B36" s="47" t="s">
        <v>0</v>
      </c>
      <c r="C36" s="230" t="s">
        <v>0</v>
      </c>
      <c r="D36" s="230" t="s">
        <v>0</v>
      </c>
      <c r="E36" s="231" t="s">
        <v>0</v>
      </c>
      <c r="F36" s="158"/>
      <c r="G36" s="197"/>
      <c r="H36" s="159"/>
      <c r="I36" s="85" t="s">
        <v>0</v>
      </c>
      <c r="J36" s="86" t="s">
        <v>0</v>
      </c>
      <c r="K36" t="s">
        <v>0</v>
      </c>
      <c r="L36" t="s">
        <v>0</v>
      </c>
      <c r="M36" t="s">
        <v>0</v>
      </c>
      <c r="N36" t="s">
        <v>0</v>
      </c>
      <c r="O36" t="s">
        <v>0</v>
      </c>
      <c r="P36" t="s">
        <v>0</v>
      </c>
      <c r="Q36" t="s">
        <v>0</v>
      </c>
      <c r="R36" t="s">
        <v>0</v>
      </c>
      <c r="S36" t="s">
        <v>0</v>
      </c>
    </row>
    <row r="37" spans="1:19" x14ac:dyDescent="0.25">
      <c r="A37" s="168" t="s">
        <v>0</v>
      </c>
      <c r="B37" s="47" t="s">
        <v>0</v>
      </c>
      <c r="C37" s="230" t="s">
        <v>0</v>
      </c>
      <c r="D37" s="230" t="s">
        <v>0</v>
      </c>
      <c r="E37" s="231" t="s">
        <v>0</v>
      </c>
      <c r="F37" s="470" t="s">
        <v>0</v>
      </c>
      <c r="G37" s="477" t="s">
        <v>0</v>
      </c>
      <c r="H37" s="471" t="s">
        <v>0</v>
      </c>
      <c r="I37" s="85" t="s">
        <v>0</v>
      </c>
      <c r="J37" s="86" t="s">
        <v>0</v>
      </c>
      <c r="K37" t="s">
        <v>0</v>
      </c>
      <c r="L37" t="s">
        <v>0</v>
      </c>
      <c r="M37" t="s">
        <v>0</v>
      </c>
      <c r="N37" t="s">
        <v>0</v>
      </c>
      <c r="O37" t="s">
        <v>0</v>
      </c>
      <c r="P37" t="s">
        <v>0</v>
      </c>
      <c r="Q37" t="s">
        <v>0</v>
      </c>
      <c r="R37" t="s">
        <v>0</v>
      </c>
      <c r="S37" t="s">
        <v>0</v>
      </c>
    </row>
    <row r="38" spans="1:19" x14ac:dyDescent="0.25">
      <c r="A38" s="168" t="s">
        <v>0</v>
      </c>
      <c r="B38" s="47" t="s">
        <v>0</v>
      </c>
      <c r="C38" s="230" t="s">
        <v>0</v>
      </c>
      <c r="D38" s="230" t="s">
        <v>0</v>
      </c>
      <c r="E38" s="231" t="s">
        <v>0</v>
      </c>
      <c r="F38" s="470" t="s">
        <v>0</v>
      </c>
      <c r="G38" s="477" t="s">
        <v>0</v>
      </c>
      <c r="H38" s="471" t="s">
        <v>0</v>
      </c>
      <c r="I38" s="85" t="s">
        <v>0</v>
      </c>
      <c r="J38" s="86" t="s">
        <v>0</v>
      </c>
      <c r="K38" t="s">
        <v>0</v>
      </c>
      <c r="L38" t="s">
        <v>0</v>
      </c>
      <c r="M38" t="s">
        <v>0</v>
      </c>
      <c r="N38" t="s">
        <v>0</v>
      </c>
      <c r="O38" t="s">
        <v>0</v>
      </c>
      <c r="P38" t="s">
        <v>0</v>
      </c>
      <c r="Q38" t="s">
        <v>0</v>
      </c>
      <c r="R38" t="s">
        <v>0</v>
      </c>
      <c r="S38" t="s">
        <v>0</v>
      </c>
    </row>
    <row r="39" spans="1:19" x14ac:dyDescent="0.25">
      <c r="A39" s="168" t="s">
        <v>0</v>
      </c>
      <c r="B39" s="47" t="s">
        <v>0</v>
      </c>
      <c r="C39" s="230" t="s">
        <v>0</v>
      </c>
      <c r="D39" s="230" t="s">
        <v>0</v>
      </c>
      <c r="E39" s="231" t="s">
        <v>0</v>
      </c>
      <c r="F39" s="470" t="s">
        <v>0</v>
      </c>
      <c r="G39" s="477" t="s">
        <v>0</v>
      </c>
      <c r="H39" s="471" t="s">
        <v>0</v>
      </c>
      <c r="I39" s="85" t="s">
        <v>0</v>
      </c>
      <c r="J39" s="86" t="s">
        <v>0</v>
      </c>
      <c r="K39" t="s">
        <v>0</v>
      </c>
      <c r="L39" t="s">
        <v>0</v>
      </c>
      <c r="M39" t="s">
        <v>0</v>
      </c>
      <c r="N39" t="s">
        <v>0</v>
      </c>
      <c r="O39" t="s">
        <v>0</v>
      </c>
      <c r="P39" t="s">
        <v>0</v>
      </c>
      <c r="Q39" t="s">
        <v>0</v>
      </c>
      <c r="R39" t="s">
        <v>0</v>
      </c>
      <c r="S39" t="s">
        <v>0</v>
      </c>
    </row>
    <row r="40" spans="1:19" x14ac:dyDescent="0.25">
      <c r="A40" s="168" t="s">
        <v>0</v>
      </c>
      <c r="B40" s="47" t="s">
        <v>0</v>
      </c>
      <c r="C40" s="134"/>
      <c r="D40" s="134"/>
      <c r="E40" s="84"/>
      <c r="F40" s="172"/>
      <c r="G40" s="82"/>
      <c r="H40" s="83"/>
      <c r="I40" s="211"/>
      <c r="J40" s="212"/>
      <c r="K40" t="s">
        <v>0</v>
      </c>
      <c r="L40" t="s">
        <v>0</v>
      </c>
      <c r="M40" t="s">
        <v>0</v>
      </c>
      <c r="N40" t="s">
        <v>0</v>
      </c>
      <c r="O40" t="s">
        <v>0</v>
      </c>
      <c r="P40" t="s">
        <v>0</v>
      </c>
      <c r="Q40" t="s">
        <v>0</v>
      </c>
      <c r="R40" t="s">
        <v>0</v>
      </c>
      <c r="S40" t="s">
        <v>0</v>
      </c>
    </row>
    <row r="41" spans="1:19" x14ac:dyDescent="0.25">
      <c r="A41" s="168" t="s">
        <v>0</v>
      </c>
      <c r="B41" s="47" t="s">
        <v>0</v>
      </c>
      <c r="C41" s="134"/>
      <c r="D41" s="134"/>
      <c r="E41" s="84"/>
      <c r="F41" s="172"/>
      <c r="G41" s="82"/>
      <c r="H41" s="83"/>
      <c r="I41" s="211"/>
      <c r="J41" s="212"/>
      <c r="K41" t="s">
        <v>0</v>
      </c>
      <c r="L41" t="s">
        <v>0</v>
      </c>
      <c r="M41" t="s">
        <v>0</v>
      </c>
      <c r="N41" t="s">
        <v>0</v>
      </c>
      <c r="O41" t="s">
        <v>0</v>
      </c>
      <c r="P41" t="s">
        <v>0</v>
      </c>
      <c r="Q41" t="s">
        <v>0</v>
      </c>
      <c r="R41" t="s">
        <v>0</v>
      </c>
      <c r="S41" t="s">
        <v>0</v>
      </c>
    </row>
    <row r="42" ht="15" customHeight="1" spans="1:19" x14ac:dyDescent="0.25">
      <c r="A42" s="168" t="s">
        <v>0</v>
      </c>
      <c r="B42" s="81"/>
      <c r="C42" s="134"/>
      <c r="D42" s="134"/>
      <c r="E42" s="84"/>
      <c r="F42" s="134"/>
      <c r="G42" s="134"/>
      <c r="H42" s="134"/>
      <c r="I42" s="211"/>
      <c r="J42" s="212"/>
      <c r="K42" t="s">
        <v>0</v>
      </c>
      <c r="L42" t="s">
        <v>0</v>
      </c>
      <c r="M42" t="s">
        <v>0</v>
      </c>
      <c r="N42" t="s">
        <v>0</v>
      </c>
      <c r="O42" t="s">
        <v>0</v>
      </c>
      <c r="P42" t="s">
        <v>0</v>
      </c>
      <c r="Q42" t="s">
        <v>0</v>
      </c>
      <c r="R42" t="s">
        <v>0</v>
      </c>
      <c r="S42" t="s">
        <v>0</v>
      </c>
    </row>
    <row r="43" ht="15.75" customHeight="1" spans="1:19" x14ac:dyDescent="0.25">
      <c r="A43" s="93" t="s">
        <v>0</v>
      </c>
      <c r="B43" s="328" t="s">
        <v>0</v>
      </c>
      <c r="C43" s="329"/>
      <c r="D43" s="329"/>
      <c r="E43" s="330"/>
      <c r="F43" s="98" t="s">
        <v>96</v>
      </c>
      <c r="G43" s="98"/>
      <c r="H43" s="98"/>
      <c r="I43" s="331">
        <f>SUM(I25:J42)</f>
        <v>62690</v>
      </c>
      <c r="J43" s="233"/>
      <c r="K43" t="s">
        <v>0</v>
      </c>
      <c r="L43" t="s">
        <v>0</v>
      </c>
      <c r="M43" t="s">
        <v>0</v>
      </c>
      <c r="N43" t="s">
        <v>0</v>
      </c>
      <c r="O43" t="s">
        <v>0</v>
      </c>
      <c r="P43" t="s">
        <v>0</v>
      </c>
      <c r="Q43" t="s">
        <v>0</v>
      </c>
      <c r="R43" t="s">
        <v>0</v>
      </c>
      <c r="S43" t="s">
        <v>0</v>
      </c>
    </row>
  </sheetData>
  <mergeCells count="76">
    <mergeCell ref="B15:E15"/>
    <mergeCell ref="F15:H15"/>
    <mergeCell ref="I15:J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C21:E21"/>
    <mergeCell ref="F21:H21"/>
    <mergeCell ref="I21:J21"/>
    <mergeCell ref="B22:E22"/>
    <mergeCell ref="F22:H22"/>
    <mergeCell ref="I22:J22"/>
    <mergeCell ref="B23:E23"/>
    <mergeCell ref="F23:H23"/>
    <mergeCell ref="I23:J23"/>
    <mergeCell ref="B24:E24"/>
    <mergeCell ref="F24:H24"/>
    <mergeCell ref="I24:J24"/>
    <mergeCell ref="B25:E25"/>
    <mergeCell ref="F25:H25"/>
    <mergeCell ref="I25:J25"/>
    <mergeCell ref="B26:E26"/>
    <mergeCell ref="F26:H26"/>
    <mergeCell ref="I26:J26"/>
    <mergeCell ref="B27:E27"/>
    <mergeCell ref="F27:H27"/>
    <mergeCell ref="I27:J27"/>
    <mergeCell ref="B28:E28"/>
    <mergeCell ref="F28:H28"/>
    <mergeCell ref="I28:J28"/>
    <mergeCell ref="B29:E29"/>
    <mergeCell ref="F29:H29"/>
    <mergeCell ref="I29:J29"/>
    <mergeCell ref="C30:E30"/>
    <mergeCell ref="F30:H30"/>
    <mergeCell ref="I30:J30"/>
    <mergeCell ref="C31:E31"/>
    <mergeCell ref="F31:H31"/>
    <mergeCell ref="I31:J31"/>
    <mergeCell ref="C32:E32"/>
    <mergeCell ref="F32:H32"/>
    <mergeCell ref="I32:J32"/>
    <mergeCell ref="C33:E33"/>
    <mergeCell ref="F33:H33"/>
    <mergeCell ref="I33:J33"/>
    <mergeCell ref="C34:E34"/>
    <mergeCell ref="F34:H34"/>
    <mergeCell ref="I34:J34"/>
    <mergeCell ref="C35:E35"/>
    <mergeCell ref="F35:H35"/>
    <mergeCell ref="I35:J35"/>
    <mergeCell ref="F36:H36"/>
    <mergeCell ref="C40:E40"/>
    <mergeCell ref="F40:H40"/>
    <mergeCell ref="I40:J40"/>
    <mergeCell ref="C41:E41"/>
    <mergeCell ref="F41:H41"/>
    <mergeCell ref="I41:J41"/>
    <mergeCell ref="B42:E42"/>
    <mergeCell ref="F42:H42"/>
    <mergeCell ref="I42:J42"/>
    <mergeCell ref="C43:E43"/>
    <mergeCell ref="F43:H43"/>
    <mergeCell ref="I43:J4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3"/>
  <sheetViews>
    <sheetView workbookViewId="0" zoomScale="90" zoomScaleNormal="90">
      <selection activeCell="Q5" sqref="Q5"/>
    </sheetView>
  </sheetViews>
  <sheetFormatPr defaultRowHeight="15" outlineLevelRow="0" outlineLevelCol="0" x14ac:dyDescent="0.25"/>
  <cols>
    <col min="1" max="1" width="34" customWidth="1"/>
    <col min="2" max="2" width="18.7109375" hidden="1" customWidth="1"/>
    <col min="3" max="3" width="14.5703125" customWidth="1"/>
    <col min="4" max="4" width="19" customWidth="1"/>
    <col min="5" max="5" width="23.7109375" customWidth="1"/>
    <col min="6" max="6" width="17.7109375" customWidth="1"/>
    <col min="7" max="7" width="10.85546875" customWidth="1"/>
    <col min="8" max="8" width="11.7109375" customWidth="1"/>
    <col min="9" max="9" width="11.28515625" customWidth="1"/>
    <col min="10" max="10" width="10.28515625" customWidth="1"/>
    <col min="11" max="12" width="11.28515625" customWidth="1"/>
    <col min="13" max="13" width="10.28515625" customWidth="1"/>
    <col min="14" max="14" width="9.28515625" customWidth="1"/>
    <col min="15" max="15" width="11.140625" customWidth="1"/>
    <col min="16" max="16" width="11.28515625" customWidth="1"/>
    <col min="17" max="17" width="10.28515625" customWidth="1"/>
    <col min="18" max="18" width="10.5703125" customWidth="1"/>
    <col min="19" max="19" width="11.28515625" customWidth="1"/>
    <col min="20" max="20" width="12.5703125" customWidth="1"/>
  </cols>
  <sheetData>
    <row r="1" ht="72.75" customHeight="1" spans="1:20" x14ac:dyDescent="0.25">
      <c r="A1" s="1" t="s">
        <v>0</v>
      </c>
      <c r="B1" s="261" t="s">
        <v>728</v>
      </c>
      <c r="C1" s="2" t="s">
        <v>255</v>
      </c>
      <c r="D1" s="3" t="s">
        <v>263</v>
      </c>
      <c r="E1" s="4" t="s">
        <v>921</v>
      </c>
      <c r="F1" s="5" t="s">
        <v>922</v>
      </c>
      <c r="G1" s="6" t="s">
        <v>5</v>
      </c>
      <c r="H1" s="7" t="s">
        <v>6</v>
      </c>
      <c r="I1" s="8" t="s">
        <v>7</v>
      </c>
      <c r="J1" s="7" t="s">
        <v>8</v>
      </c>
      <c r="K1" s="8" t="s">
        <v>9</v>
      </c>
      <c r="L1" s="7" t="s">
        <v>10</v>
      </c>
      <c r="M1" s="8" t="s">
        <v>11</v>
      </c>
      <c r="N1" s="7" t="s">
        <v>12</v>
      </c>
      <c r="O1" s="8" t="s">
        <v>13</v>
      </c>
      <c r="P1" s="7" t="s">
        <v>14</v>
      </c>
      <c r="Q1" s="8" t="s">
        <v>15</v>
      </c>
      <c r="R1" s="7" t="s">
        <v>16</v>
      </c>
      <c r="S1" s="9" t="s">
        <v>0</v>
      </c>
      <c r="T1" s="10" t="s">
        <v>17</v>
      </c>
    </row>
    <row r="2" ht="16.5" customHeight="1" spans="1:20" x14ac:dyDescent="0.25">
      <c r="A2" s="12" t="s">
        <v>1420</v>
      </c>
      <c r="B2" s="103" t="s">
        <v>0</v>
      </c>
      <c r="C2" s="13" t="s">
        <v>0</v>
      </c>
      <c r="D2" s="13" t="s">
        <v>0</v>
      </c>
      <c r="E2" s="14" t="s">
        <v>0</v>
      </c>
      <c r="F2" s="15" t="s">
        <v>0</v>
      </c>
      <c r="G2" s="105" t="s">
        <v>0</v>
      </c>
      <c r="H2" s="16" t="s">
        <v>0</v>
      </c>
      <c r="I2" s="17" t="s">
        <v>0</v>
      </c>
      <c r="J2" s="16" t="s">
        <v>0</v>
      </c>
      <c r="K2" s="17" t="s">
        <v>0</v>
      </c>
      <c r="L2" s="16" t="s">
        <v>0</v>
      </c>
      <c r="M2" s="16" t="s">
        <v>0</v>
      </c>
      <c r="N2" s="17" t="s">
        <v>0</v>
      </c>
      <c r="O2" s="16" t="s">
        <v>0</v>
      </c>
      <c r="P2" s="17" t="s">
        <v>0</v>
      </c>
      <c r="Q2" s="16" t="s">
        <v>0</v>
      </c>
      <c r="R2" s="18" t="s">
        <v>0</v>
      </c>
      <c r="S2" s="16" t="s">
        <v>0</v>
      </c>
      <c r="T2" s="16" t="s">
        <v>0</v>
      </c>
    </row>
    <row r="3" ht="20.25" customHeight="1" spans="1:20" x14ac:dyDescent="0.25">
      <c r="A3" s="187" t="s">
        <v>19</v>
      </c>
      <c r="B3" s="263" t="s">
        <v>763</v>
      </c>
      <c r="C3" s="20" t="s">
        <v>0</v>
      </c>
      <c r="D3" s="21" t="s">
        <v>1421</v>
      </c>
      <c r="E3" s="22" t="s">
        <v>1422</v>
      </c>
      <c r="F3" s="23" t="s">
        <v>1423</v>
      </c>
      <c r="G3" s="23" t="s">
        <v>0</v>
      </c>
      <c r="H3" s="23" t="s">
        <v>0</v>
      </c>
      <c r="I3" s="23" t="s">
        <v>0</v>
      </c>
      <c r="J3" s="23" t="s">
        <v>0</v>
      </c>
      <c r="K3" s="23" t="s">
        <v>0</v>
      </c>
      <c r="L3" s="23" t="s">
        <v>1424</v>
      </c>
      <c r="M3" s="23" t="s">
        <v>0</v>
      </c>
      <c r="N3" s="23" t="s">
        <v>0</v>
      </c>
      <c r="O3" s="23" t="s">
        <v>1425</v>
      </c>
      <c r="P3" s="23" t="s">
        <v>1426</v>
      </c>
      <c r="Q3" s="23" t="s">
        <v>0</v>
      </c>
      <c r="R3" s="23" t="s">
        <v>0</v>
      </c>
      <c r="S3" s="24" t="s">
        <v>0</v>
      </c>
      <c r="T3" s="24" t="s">
        <v>1422</v>
      </c>
    </row>
    <row r="4" ht="15.75" customHeight="1" spans="1:20" x14ac:dyDescent="0.25">
      <c r="A4" s="187" t="s">
        <v>278</v>
      </c>
      <c r="B4" s="263" t="s">
        <v>0</v>
      </c>
      <c r="C4" s="20" t="s">
        <v>0</v>
      </c>
      <c r="D4" s="21" t="s">
        <v>150</v>
      </c>
      <c r="E4" s="22" t="s">
        <v>1427</v>
      </c>
      <c r="F4" s="23" t="s">
        <v>1428</v>
      </c>
      <c r="G4" s="23" t="s">
        <v>0</v>
      </c>
      <c r="H4" s="23" t="s">
        <v>1429</v>
      </c>
      <c r="I4" s="23" t="s">
        <v>0</v>
      </c>
      <c r="J4" s="23" t="s">
        <v>458</v>
      </c>
      <c r="K4" s="23" t="s">
        <v>630</v>
      </c>
      <c r="L4" s="23" t="s">
        <v>0</v>
      </c>
      <c r="M4" s="23" t="s">
        <v>1294</v>
      </c>
      <c r="N4" s="23" t="s">
        <v>0</v>
      </c>
      <c r="O4" s="23" t="s">
        <v>0</v>
      </c>
      <c r="P4" s="23" t="s">
        <v>1430</v>
      </c>
      <c r="Q4" s="23">
        <v>900</v>
      </c>
      <c r="R4" s="23" t="s">
        <v>0</v>
      </c>
      <c r="S4" s="24" t="s">
        <v>0</v>
      </c>
      <c r="T4" s="24" t="s">
        <v>1427</v>
      </c>
    </row>
    <row r="5" ht="15.75" customHeight="1" spans="1:20" x14ac:dyDescent="0.25">
      <c r="A5" s="19" t="s">
        <v>123</v>
      </c>
      <c r="B5" s="268" t="s">
        <v>0</v>
      </c>
      <c r="C5" s="27" t="s">
        <v>0</v>
      </c>
      <c r="D5" s="188" t="s">
        <v>150</v>
      </c>
      <c r="E5" s="22" t="s">
        <v>128</v>
      </c>
      <c r="F5" s="23" t="s">
        <v>1431</v>
      </c>
      <c r="G5" s="28" t="s">
        <v>0</v>
      </c>
      <c r="H5" s="28" t="s">
        <v>0</v>
      </c>
      <c r="I5" s="28" t="s">
        <v>0</v>
      </c>
      <c r="J5" s="28" t="s">
        <v>0</v>
      </c>
      <c r="K5" s="28" t="s">
        <v>0</v>
      </c>
      <c r="L5" s="28" t="s">
        <v>0</v>
      </c>
      <c r="M5" s="28" t="s">
        <v>128</v>
      </c>
      <c r="N5" s="28" t="s">
        <v>0</v>
      </c>
      <c r="O5" s="28" t="s">
        <v>0</v>
      </c>
      <c r="P5" s="28" t="s">
        <v>0</v>
      </c>
      <c r="Q5" s="28" t="s">
        <v>0</v>
      </c>
      <c r="R5" s="28" t="s">
        <v>0</v>
      </c>
      <c r="S5" s="24" t="s">
        <v>0</v>
      </c>
      <c r="T5" s="24" t="s">
        <v>128</v>
      </c>
    </row>
    <row r="6" ht="15.75" customHeight="1" spans="1:20" x14ac:dyDescent="0.25">
      <c r="A6" s="19" t="s">
        <v>1432</v>
      </c>
      <c r="B6" s="268" t="s">
        <v>0</v>
      </c>
      <c r="C6" s="27" t="s">
        <v>0</v>
      </c>
      <c r="D6" s="188" t="s">
        <v>1433</v>
      </c>
      <c r="E6" s="22" t="s">
        <v>1434</v>
      </c>
      <c r="F6" s="23" t="s">
        <v>1435</v>
      </c>
      <c r="G6" s="28" t="s">
        <v>0</v>
      </c>
      <c r="H6" s="28" t="s">
        <v>0</v>
      </c>
      <c r="I6" s="28" t="s">
        <v>0</v>
      </c>
      <c r="J6" s="28" t="s">
        <v>0</v>
      </c>
      <c r="K6" s="28" t="s">
        <v>0</v>
      </c>
      <c r="L6" s="28" t="s">
        <v>0</v>
      </c>
      <c r="M6" s="28" t="s">
        <v>0</v>
      </c>
      <c r="N6" s="28" t="s">
        <v>0</v>
      </c>
      <c r="O6" s="28" t="s">
        <v>0</v>
      </c>
      <c r="P6" s="28" t="s">
        <v>1434</v>
      </c>
      <c r="Q6" s="28" t="s">
        <v>0</v>
      </c>
      <c r="R6" s="28" t="s">
        <v>0</v>
      </c>
      <c r="S6" s="28" t="s">
        <v>0</v>
      </c>
      <c r="T6" s="24" t="s">
        <v>1434</v>
      </c>
    </row>
    <row r="7" ht="15.75" customHeight="1" spans="1:20" x14ac:dyDescent="0.25">
      <c r="A7" s="19" t="s">
        <v>143</v>
      </c>
      <c r="B7" s="268" t="s">
        <v>0</v>
      </c>
      <c r="C7" s="27" t="s">
        <v>0</v>
      </c>
      <c r="D7" s="188" t="s">
        <v>1389</v>
      </c>
      <c r="E7" s="22" t="s">
        <v>0</v>
      </c>
      <c r="F7" s="23" t="s">
        <v>1389</v>
      </c>
      <c r="G7" s="28" t="s">
        <v>0</v>
      </c>
      <c r="H7" s="28" t="s">
        <v>0</v>
      </c>
      <c r="I7" s="28" t="s">
        <v>0</v>
      </c>
      <c r="J7" s="28" t="s">
        <v>0</v>
      </c>
      <c r="K7" s="28" t="s">
        <v>0</v>
      </c>
      <c r="L7" s="28" t="s">
        <v>0</v>
      </c>
      <c r="M7" s="28" t="s">
        <v>0</v>
      </c>
      <c r="N7" s="28" t="s">
        <v>0</v>
      </c>
      <c r="O7" s="28" t="s">
        <v>0</v>
      </c>
      <c r="P7" s="28" t="s">
        <v>0</v>
      </c>
      <c r="Q7" s="28" t="s">
        <v>0</v>
      </c>
      <c r="R7" s="28" t="s">
        <v>0</v>
      </c>
      <c r="S7" s="28" t="s">
        <v>0</v>
      </c>
      <c r="T7" s="24" t="s">
        <v>0</v>
      </c>
    </row>
    <row r="8" ht="31.5" customHeight="1" spans="1:20" x14ac:dyDescent="0.25">
      <c r="A8" s="31" t="s">
        <v>1436</v>
      </c>
      <c r="B8" s="272" t="s">
        <v>780</v>
      </c>
      <c r="C8" s="27" t="s">
        <v>0</v>
      </c>
      <c r="D8" s="188" t="s">
        <v>282</v>
      </c>
      <c r="E8" s="22" t="s">
        <v>0</v>
      </c>
      <c r="F8" s="23" t="s">
        <v>282</v>
      </c>
      <c r="G8" s="28" t="s">
        <v>0</v>
      </c>
      <c r="H8" s="28" t="s">
        <v>0</v>
      </c>
      <c r="I8" s="28" t="s">
        <v>0</v>
      </c>
      <c r="J8" s="28" t="s">
        <v>0</v>
      </c>
      <c r="K8" s="28" t="s">
        <v>0</v>
      </c>
      <c r="L8" s="28" t="s">
        <v>0</v>
      </c>
      <c r="M8" s="28" t="s">
        <v>0</v>
      </c>
      <c r="N8" s="28" t="s">
        <v>0</v>
      </c>
      <c r="O8" s="28" t="s">
        <v>0</v>
      </c>
      <c r="P8" s="28" t="s">
        <v>0</v>
      </c>
      <c r="Q8" s="28" t="s">
        <v>0</v>
      </c>
      <c r="R8" s="28" t="s">
        <v>0</v>
      </c>
      <c r="S8" s="33" t="s">
        <v>0</v>
      </c>
      <c r="T8" s="24" t="s">
        <v>0</v>
      </c>
    </row>
    <row r="9" ht="47.25" customHeight="1" spans="1:20" x14ac:dyDescent="0.25">
      <c r="A9" s="31" t="s">
        <v>1437</v>
      </c>
      <c r="B9" s="469" t="s">
        <v>0</v>
      </c>
      <c r="C9" s="30" t="s">
        <v>0</v>
      </c>
      <c r="D9" s="190" t="s">
        <v>127</v>
      </c>
      <c r="E9" s="22" t="s">
        <v>0</v>
      </c>
      <c r="F9" s="23" t="s">
        <v>127</v>
      </c>
      <c r="G9" s="191" t="s">
        <v>0</v>
      </c>
      <c r="H9" s="191" t="s">
        <v>0</v>
      </c>
      <c r="I9" s="191" t="s">
        <v>0</v>
      </c>
      <c r="J9" s="191" t="s">
        <v>0</v>
      </c>
      <c r="K9" s="191" t="s">
        <v>0</v>
      </c>
      <c r="L9" s="191" t="s">
        <v>0</v>
      </c>
      <c r="M9" s="191" t="s">
        <v>0</v>
      </c>
      <c r="N9" s="191" t="s">
        <v>0</v>
      </c>
      <c r="O9" s="191" t="s">
        <v>0</v>
      </c>
      <c r="P9" s="191" t="s">
        <v>0</v>
      </c>
      <c r="Q9" s="191" t="s">
        <v>0</v>
      </c>
      <c r="R9" s="191" t="s">
        <v>0</v>
      </c>
      <c r="S9" s="28" t="s">
        <v>0</v>
      </c>
      <c r="T9" s="24" t="s">
        <v>0</v>
      </c>
    </row>
    <row r="10" ht="16.5" customHeight="1" spans="1:20" x14ac:dyDescent="0.25">
      <c r="A10" s="34" t="s">
        <v>0</v>
      </c>
      <c r="B10" s="193" t="s">
        <v>96</v>
      </c>
      <c r="C10" s="37" t="s">
        <v>0</v>
      </c>
      <c r="D10" s="37" t="s">
        <v>0</v>
      </c>
      <c r="E10" s="37" t="s">
        <v>1438</v>
      </c>
      <c r="F10" s="37" t="s">
        <v>1439</v>
      </c>
      <c r="G10" s="37" t="s">
        <v>0</v>
      </c>
      <c r="H10" s="37" t="s">
        <v>1429</v>
      </c>
      <c r="I10" s="37" t="s">
        <v>0</v>
      </c>
      <c r="J10" s="37" t="s">
        <v>458</v>
      </c>
      <c r="K10" s="37" t="s">
        <v>630</v>
      </c>
      <c r="L10" s="37" t="s">
        <v>1424</v>
      </c>
      <c r="M10" s="37" t="s">
        <v>128</v>
      </c>
      <c r="N10" s="37" t="s">
        <v>0</v>
      </c>
      <c r="O10" s="37" t="s">
        <v>1425</v>
      </c>
      <c r="P10" s="37" t="s">
        <v>1426</v>
      </c>
      <c r="Q10" s="37" t="s">
        <v>0</v>
      </c>
      <c r="R10" s="37" t="s">
        <v>0</v>
      </c>
      <c r="S10" s="117" t="s">
        <v>73</v>
      </c>
      <c r="T10" s="119" t="s">
        <v>1438</v>
      </c>
    </row>
    <row r="11" spans="1:20"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row>
    <row r="12" spans="1:20"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spans="1:20" x14ac:dyDescent="0.25">
      <c r="A13" t="s">
        <v>0</v>
      </c>
      <c r="B13" t="s">
        <v>0</v>
      </c>
      <c r="C13" t="s">
        <v>0</v>
      </c>
      <c r="D13" t="s">
        <v>0</v>
      </c>
      <c r="E13" t="s">
        <v>0</v>
      </c>
      <c r="F13" t="s">
        <v>0</v>
      </c>
      <c r="G13" t="s">
        <v>0</v>
      </c>
      <c r="H13" s="203" t="s">
        <v>1440</v>
      </c>
      <c r="I13" t="s">
        <v>0</v>
      </c>
      <c r="J13" t="s">
        <v>0</v>
      </c>
      <c r="K13" t="s">
        <v>0</v>
      </c>
      <c r="L13" t="s">
        <v>0</v>
      </c>
      <c r="M13" t="s">
        <v>0</v>
      </c>
      <c r="N13" t="s">
        <v>0</v>
      </c>
      <c r="O13" t="s">
        <v>0</v>
      </c>
      <c r="P13" t="s">
        <v>0</v>
      </c>
      <c r="Q13" t="s">
        <v>0</v>
      </c>
      <c r="R13" t="s">
        <v>0</v>
      </c>
      <c r="S13" t="s">
        <v>0</v>
      </c>
      <c r="T13" t="s">
        <v>0</v>
      </c>
    </row>
    <row r="14" ht="38.25" customHeight="1" spans="1:20" x14ac:dyDescent="0.25">
      <c r="A14" s="39" t="s">
        <v>0</v>
      </c>
      <c r="B14" s="204" t="s">
        <v>0</v>
      </c>
      <c r="C14" s="204" t="s">
        <v>0</v>
      </c>
      <c r="D14" t="s">
        <v>0</v>
      </c>
      <c r="E14" t="s">
        <v>0</v>
      </c>
      <c r="F14" t="s">
        <v>0</v>
      </c>
      <c r="G14" t="s">
        <v>0</v>
      </c>
      <c r="H14" t="s">
        <v>0</v>
      </c>
      <c r="I14" t="s">
        <v>0</v>
      </c>
      <c r="J14" t="s">
        <v>0</v>
      </c>
      <c r="K14" t="s">
        <v>0</v>
      </c>
      <c r="L14" t="s">
        <v>0</v>
      </c>
      <c r="M14" t="s">
        <v>0</v>
      </c>
      <c r="N14" t="s">
        <v>0</v>
      </c>
      <c r="O14" t="s">
        <v>0</v>
      </c>
      <c r="P14" t="s">
        <v>0</v>
      </c>
      <c r="Q14" t="s">
        <v>0</v>
      </c>
      <c r="R14" t="s">
        <v>0</v>
      </c>
      <c r="S14" t="s">
        <v>0</v>
      </c>
      <c r="T14" t="s">
        <v>0</v>
      </c>
    </row>
    <row r="15" ht="16.5" customHeight="1" spans="1:20" x14ac:dyDescent="0.25">
      <c r="A15" s="40" t="s">
        <v>200</v>
      </c>
      <c r="B15" s="41" t="s">
        <v>201</v>
      </c>
      <c r="C15" s="42"/>
      <c r="D15" s="42"/>
      <c r="E15" s="43"/>
      <c r="F15" s="41" t="s">
        <v>76</v>
      </c>
      <c r="G15" s="42"/>
      <c r="H15" s="43"/>
      <c r="I15" s="222" t="s">
        <v>77</v>
      </c>
      <c r="J15" s="394"/>
      <c r="K15" s="223"/>
      <c r="L15" t="s">
        <v>0</v>
      </c>
      <c r="M15" t="s">
        <v>0</v>
      </c>
      <c r="N15" t="s">
        <v>0</v>
      </c>
      <c r="O15" t="s">
        <v>0</v>
      </c>
      <c r="P15" t="s">
        <v>0</v>
      </c>
      <c r="Q15" t="s">
        <v>0</v>
      </c>
      <c r="R15" t="s">
        <v>0</v>
      </c>
      <c r="S15" t="s">
        <v>0</v>
      </c>
      <c r="T15" t="s">
        <v>0</v>
      </c>
    </row>
    <row r="16" ht="28.5" customHeight="1" spans="1:20" x14ac:dyDescent="0.25">
      <c r="A16" s="168" t="s">
        <v>208</v>
      </c>
      <c r="B16" s="169" t="s">
        <v>215</v>
      </c>
      <c r="C16" s="170"/>
      <c r="D16" s="170"/>
      <c r="E16" s="171"/>
      <c r="F16" s="169" t="s">
        <v>1441</v>
      </c>
      <c r="G16" s="206"/>
      <c r="H16" s="255"/>
      <c r="I16" s="395">
        <v>16402</v>
      </c>
      <c r="J16" s="395"/>
      <c r="K16" s="250"/>
      <c r="L16" t="s">
        <v>0</v>
      </c>
      <c r="M16" t="s">
        <v>0</v>
      </c>
      <c r="N16" t="s">
        <v>0</v>
      </c>
      <c r="O16" t="s">
        <v>0</v>
      </c>
      <c r="P16" t="s">
        <v>0</v>
      </c>
      <c r="Q16" t="s">
        <v>0</v>
      </c>
      <c r="R16" t="s">
        <v>0</v>
      </c>
      <c r="S16" t="s">
        <v>0</v>
      </c>
      <c r="T16" t="s">
        <v>0</v>
      </c>
    </row>
    <row r="17" ht="30" customHeight="1" spans="1:20" x14ac:dyDescent="0.25">
      <c r="A17" s="60" t="s">
        <v>208</v>
      </c>
      <c r="B17" s="137" t="s">
        <v>0</v>
      </c>
      <c r="C17" s="69" t="s">
        <v>215</v>
      </c>
      <c r="D17" s="69"/>
      <c r="E17" s="70"/>
      <c r="F17" s="75" t="s">
        <v>1442</v>
      </c>
      <c r="G17" s="69"/>
      <c r="H17" s="70"/>
      <c r="I17" s="71">
        <v>4143</v>
      </c>
      <c r="J17" s="209"/>
      <c r="K17" s="72"/>
      <c r="L17" t="s">
        <v>0</v>
      </c>
      <c r="M17" t="s">
        <v>0</v>
      </c>
      <c r="N17" t="s">
        <v>0</v>
      </c>
      <c r="O17" t="s">
        <v>0</v>
      </c>
      <c r="P17" t="s">
        <v>0</v>
      </c>
      <c r="Q17" t="s">
        <v>0</v>
      </c>
      <c r="R17" t="s">
        <v>0</v>
      </c>
      <c r="S17" t="s">
        <v>0</v>
      </c>
      <c r="T17" t="s">
        <v>0</v>
      </c>
    </row>
    <row r="18" ht="30.75" customHeight="1" spans="1:20" x14ac:dyDescent="0.25">
      <c r="A18" s="256" t="s">
        <v>208</v>
      </c>
      <c r="B18" s="68" t="s">
        <v>0</v>
      </c>
      <c r="C18" s="69" t="s">
        <v>215</v>
      </c>
      <c r="D18" s="69"/>
      <c r="E18" s="70"/>
      <c r="F18" s="75" t="s">
        <v>1443</v>
      </c>
      <c r="G18" s="69"/>
      <c r="H18" s="70"/>
      <c r="I18" s="71">
        <v>2736</v>
      </c>
      <c r="J18" s="209"/>
      <c r="K18" s="72"/>
      <c r="L18" t="s">
        <v>0</v>
      </c>
      <c r="M18" t="s">
        <v>0</v>
      </c>
      <c r="N18" t="s">
        <v>0</v>
      </c>
      <c r="O18" t="s">
        <v>0</v>
      </c>
      <c r="P18" t="s">
        <v>0</v>
      </c>
      <c r="Q18" t="s">
        <v>0</v>
      </c>
      <c r="R18" t="s">
        <v>0</v>
      </c>
      <c r="S18" t="s">
        <v>0</v>
      </c>
      <c r="T18" t="s">
        <v>0</v>
      </c>
    </row>
    <row r="19" ht="30" customHeight="1" spans="1:20" x14ac:dyDescent="0.25">
      <c r="A19" s="256" t="s">
        <v>208</v>
      </c>
      <c r="B19" s="478" t="s">
        <v>0</v>
      </c>
      <c r="C19" s="69" t="s">
        <v>215</v>
      </c>
      <c r="D19" s="69"/>
      <c r="E19" s="70"/>
      <c r="F19" s="75" t="s">
        <v>1444</v>
      </c>
      <c r="G19" s="69"/>
      <c r="H19" s="70"/>
      <c r="I19" s="71">
        <v>17130</v>
      </c>
      <c r="J19" s="209"/>
      <c r="K19" s="72"/>
      <c r="L19" t="s">
        <v>0</v>
      </c>
      <c r="M19" t="s">
        <v>0</v>
      </c>
      <c r="N19" t="s">
        <v>0</v>
      </c>
      <c r="O19" t="s">
        <v>0</v>
      </c>
      <c r="P19" t="s">
        <v>0</v>
      </c>
      <c r="Q19" t="s">
        <v>0</v>
      </c>
      <c r="R19" t="s">
        <v>0</v>
      </c>
      <c r="S19" t="s">
        <v>0</v>
      </c>
      <c r="T19" t="s">
        <v>0</v>
      </c>
    </row>
    <row r="20" ht="30.75" customHeight="1" spans="1:20" x14ac:dyDescent="0.25">
      <c r="A20" s="256" t="s">
        <v>537</v>
      </c>
      <c r="B20" s="478" t="s">
        <v>0</v>
      </c>
      <c r="C20" s="69" t="s">
        <v>1340</v>
      </c>
      <c r="D20" s="69"/>
      <c r="E20" s="70"/>
      <c r="F20" s="75" t="s">
        <v>1445</v>
      </c>
      <c r="G20" s="69"/>
      <c r="H20" s="70"/>
      <c r="I20" s="71">
        <v>4497</v>
      </c>
      <c r="J20" s="209"/>
      <c r="K20" s="72"/>
      <c r="L20" t="s">
        <v>0</v>
      </c>
      <c r="M20" t="s">
        <v>0</v>
      </c>
      <c r="N20" t="s">
        <v>0</v>
      </c>
      <c r="O20" t="s">
        <v>0</v>
      </c>
      <c r="P20" t="s">
        <v>0</v>
      </c>
      <c r="Q20" t="s">
        <v>0</v>
      </c>
      <c r="R20" t="s">
        <v>0</v>
      </c>
      <c r="S20" t="s">
        <v>0</v>
      </c>
      <c r="T20" t="s">
        <v>0</v>
      </c>
    </row>
    <row r="21" ht="30" customHeight="1" spans="1:20" x14ac:dyDescent="0.25">
      <c r="A21" s="256" t="s">
        <v>208</v>
      </c>
      <c r="B21" s="478" t="s">
        <v>0</v>
      </c>
      <c r="C21" s="69" t="s">
        <v>215</v>
      </c>
      <c r="D21" s="69"/>
      <c r="E21" s="70"/>
      <c r="F21" s="75" t="s">
        <v>1446</v>
      </c>
      <c r="G21" s="69"/>
      <c r="H21" s="70"/>
      <c r="I21" s="71">
        <v>3490</v>
      </c>
      <c r="J21" s="209"/>
      <c r="K21" s="72"/>
      <c r="L21" t="s">
        <v>0</v>
      </c>
      <c r="M21" t="s">
        <v>0</v>
      </c>
      <c r="N21" t="s">
        <v>0</v>
      </c>
      <c r="O21" t="s">
        <v>0</v>
      </c>
      <c r="P21" t="s">
        <v>0</v>
      </c>
      <c r="Q21" t="s">
        <v>0</v>
      </c>
      <c r="R21" t="s">
        <v>0</v>
      </c>
      <c r="S21" t="s">
        <v>0</v>
      </c>
      <c r="T21" t="s">
        <v>0</v>
      </c>
    </row>
    <row r="22" ht="30" customHeight="1" spans="1:20" x14ac:dyDescent="0.25">
      <c r="A22" s="256" t="s">
        <v>1447</v>
      </c>
      <c r="B22" s="478" t="s">
        <v>0</v>
      </c>
      <c r="C22" s="69" t="s">
        <v>1448</v>
      </c>
      <c r="D22" s="69"/>
      <c r="E22" s="70"/>
      <c r="F22" s="75" t="s">
        <v>1449</v>
      </c>
      <c r="G22" s="69"/>
      <c r="H22" s="70"/>
      <c r="I22" s="71">
        <v>15087</v>
      </c>
      <c r="J22" s="209"/>
      <c r="K22" s="72"/>
      <c r="L22" t="s">
        <v>0</v>
      </c>
      <c r="M22" t="s">
        <v>0</v>
      </c>
      <c r="N22" t="s">
        <v>0</v>
      </c>
      <c r="O22" t="s">
        <v>0</v>
      </c>
      <c r="P22" t="s">
        <v>0</v>
      </c>
      <c r="Q22" t="s">
        <v>0</v>
      </c>
      <c r="R22" t="s">
        <v>0</v>
      </c>
      <c r="S22" t="s">
        <v>0</v>
      </c>
      <c r="T22" t="s">
        <v>0</v>
      </c>
    </row>
    <row r="23" ht="29.25" customHeight="1" spans="1:20" x14ac:dyDescent="0.25">
      <c r="A23" s="256" t="s">
        <v>232</v>
      </c>
      <c r="B23" s="478" t="s">
        <v>0</v>
      </c>
      <c r="C23" s="69" t="s">
        <v>1450</v>
      </c>
      <c r="D23" s="69"/>
      <c r="E23" s="70"/>
      <c r="F23" s="75" t="s">
        <v>1451</v>
      </c>
      <c r="G23" s="69"/>
      <c r="H23" s="70"/>
      <c r="I23" s="71">
        <v>8500</v>
      </c>
      <c r="J23" s="209"/>
      <c r="K23" s="72"/>
      <c r="L23" t="s">
        <v>0</v>
      </c>
      <c r="M23" t="s">
        <v>0</v>
      </c>
      <c r="N23" t="s">
        <v>0</v>
      </c>
      <c r="O23" t="s">
        <v>0</v>
      </c>
      <c r="P23" t="s">
        <v>0</v>
      </c>
      <c r="Q23" t="s">
        <v>0</v>
      </c>
      <c r="R23" t="s">
        <v>0</v>
      </c>
      <c r="S23" t="s">
        <v>0</v>
      </c>
      <c r="T23" t="s">
        <v>0</v>
      </c>
    </row>
    <row r="24" ht="15.75" customHeight="1" spans="1:20" x14ac:dyDescent="0.25">
      <c r="A24" s="479" t="s">
        <v>0</v>
      </c>
      <c r="B24" s="478" t="s">
        <v>0</v>
      </c>
      <c r="C24" s="89"/>
      <c r="D24" s="89"/>
      <c r="E24" s="90"/>
      <c r="F24" s="88"/>
      <c r="G24" s="89"/>
      <c r="H24" s="90"/>
      <c r="I24" s="91"/>
      <c r="J24" s="450"/>
      <c r="K24" s="92"/>
      <c r="L24" t="s">
        <v>0</v>
      </c>
      <c r="M24" t="s">
        <v>0</v>
      </c>
      <c r="N24" t="s">
        <v>0</v>
      </c>
      <c r="O24" t="s">
        <v>0</v>
      </c>
      <c r="P24" t="s">
        <v>0</v>
      </c>
      <c r="Q24" t="s">
        <v>0</v>
      </c>
      <c r="R24" t="s">
        <v>0</v>
      </c>
      <c r="S24" t="s">
        <v>0</v>
      </c>
      <c r="T24" t="s">
        <v>0</v>
      </c>
    </row>
    <row r="25" ht="15.75" customHeight="1" spans="1:20" x14ac:dyDescent="0.25">
      <c r="A25" s="93" t="s">
        <v>0</v>
      </c>
      <c r="B25" s="328" t="s">
        <v>0</v>
      </c>
      <c r="C25" s="95"/>
      <c r="D25" s="95"/>
      <c r="E25" s="96"/>
      <c r="F25" s="97" t="s">
        <v>96</v>
      </c>
      <c r="G25" s="98"/>
      <c r="H25" s="233"/>
      <c r="I25" s="331">
        <f>SUM(I16:K24)</f>
        <v>71985</v>
      </c>
      <c r="J25" s="98"/>
      <c r="K25" s="233"/>
      <c r="L25" t="s">
        <v>0</v>
      </c>
      <c r="M25" t="s">
        <v>0</v>
      </c>
      <c r="N25" t="s">
        <v>0</v>
      </c>
      <c r="O25" t="s">
        <v>0</v>
      </c>
      <c r="P25" t="s">
        <v>0</v>
      </c>
      <c r="Q25" t="s">
        <v>0</v>
      </c>
      <c r="R25" t="s">
        <v>0</v>
      </c>
      <c r="S25" t="s">
        <v>0</v>
      </c>
      <c r="T25" t="s">
        <v>0</v>
      </c>
    </row>
    <row r="26" spans="1:20"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row>
    <row r="27" ht="15.75" customHeight="1" spans="1:20" x14ac:dyDescent="0.25">
      <c r="A27" t="s">
        <v>0</v>
      </c>
      <c r="B27" t="s">
        <v>0</v>
      </c>
      <c r="C27" t="s">
        <v>0</v>
      </c>
      <c r="D27" t="s">
        <v>0</v>
      </c>
      <c r="E27" t="s">
        <v>0</v>
      </c>
      <c r="F27" t="s">
        <v>0</v>
      </c>
      <c r="G27" t="s">
        <v>0</v>
      </c>
      <c r="H27" t="s">
        <v>0</v>
      </c>
      <c r="I27" t="s">
        <v>0</v>
      </c>
      <c r="J27" t="s">
        <v>0</v>
      </c>
      <c r="K27" t="s">
        <v>0</v>
      </c>
      <c r="L27" t="s">
        <v>0</v>
      </c>
      <c r="M27" t="s">
        <v>0</v>
      </c>
      <c r="N27" t="s">
        <v>0</v>
      </c>
      <c r="O27" t="s">
        <v>0</v>
      </c>
      <c r="P27" t="s">
        <v>0</v>
      </c>
      <c r="Q27" t="s">
        <v>0</v>
      </c>
      <c r="R27" t="s">
        <v>0</v>
      </c>
      <c r="S27" t="s">
        <v>0</v>
      </c>
      <c r="T27" t="s">
        <v>0</v>
      </c>
    </row>
    <row r="28" ht="16.5" customHeight="1" spans="1:20" x14ac:dyDescent="0.25">
      <c r="A28" s="40" t="s">
        <v>74</v>
      </c>
      <c r="B28" s="41" t="s">
        <v>238</v>
      </c>
      <c r="C28" s="42"/>
      <c r="D28" s="42"/>
      <c r="E28" s="43"/>
      <c r="F28" s="41" t="s">
        <v>76</v>
      </c>
      <c r="G28" s="42"/>
      <c r="H28" s="43"/>
      <c r="I28" s="222" t="s">
        <v>77</v>
      </c>
      <c r="J28" s="394"/>
      <c r="K28" s="223"/>
      <c r="L28" t="s">
        <v>0</v>
      </c>
      <c r="M28" t="s">
        <v>0</v>
      </c>
      <c r="N28" t="s">
        <v>0</v>
      </c>
      <c r="O28" t="s">
        <v>0</v>
      </c>
      <c r="P28" t="s">
        <v>0</v>
      </c>
      <c r="Q28" t="s">
        <v>0</v>
      </c>
      <c r="R28" t="s">
        <v>0</v>
      </c>
      <c r="S28" t="s">
        <v>0</v>
      </c>
      <c r="T28" t="s">
        <v>0</v>
      </c>
    </row>
    <row r="29" ht="43.5" customHeight="1" spans="1:20" x14ac:dyDescent="0.25">
      <c r="A29" s="168" t="s">
        <v>1452</v>
      </c>
      <c r="B29" s="169" t="s">
        <v>1453</v>
      </c>
      <c r="C29" s="170"/>
      <c r="D29" s="170"/>
      <c r="E29" s="171"/>
      <c r="F29" s="216" t="s">
        <v>246</v>
      </c>
      <c r="G29" s="206"/>
      <c r="H29" s="255"/>
      <c r="I29" s="395">
        <v>1150</v>
      </c>
      <c r="J29" s="395"/>
      <c r="K29" s="250"/>
      <c r="L29" t="s">
        <v>0</v>
      </c>
      <c r="M29" t="s">
        <v>0</v>
      </c>
      <c r="N29" t="s">
        <v>0</v>
      </c>
      <c r="O29" t="s">
        <v>0</v>
      </c>
      <c r="P29" t="s">
        <v>0</v>
      </c>
      <c r="Q29" t="s">
        <v>0</v>
      </c>
      <c r="R29" t="s">
        <v>0</v>
      </c>
      <c r="S29" t="s">
        <v>0</v>
      </c>
      <c r="T29" t="s">
        <v>0</v>
      </c>
    </row>
    <row r="30" spans="1:20" x14ac:dyDescent="0.25">
      <c r="A30" s="60" t="s">
        <v>1452</v>
      </c>
      <c r="B30" s="137" t="s">
        <v>0</v>
      </c>
      <c r="C30" s="69" t="s">
        <v>1454</v>
      </c>
      <c r="D30" s="69"/>
      <c r="E30" s="70"/>
      <c r="F30" s="68" t="s">
        <v>1455</v>
      </c>
      <c r="G30" s="69"/>
      <c r="H30" s="70"/>
      <c r="I30" s="71">
        <v>1150</v>
      </c>
      <c r="J30" s="209"/>
      <c r="K30" s="72"/>
      <c r="L30" t="s">
        <v>0</v>
      </c>
      <c r="M30" t="s">
        <v>0</v>
      </c>
      <c r="N30" t="s">
        <v>0</v>
      </c>
      <c r="O30" t="s">
        <v>0</v>
      </c>
      <c r="P30" t="s">
        <v>0</v>
      </c>
      <c r="Q30" t="s">
        <v>0</v>
      </c>
      <c r="R30" t="s">
        <v>0</v>
      </c>
      <c r="S30" t="s">
        <v>0</v>
      </c>
      <c r="T30" t="s">
        <v>0</v>
      </c>
    </row>
    <row r="31" ht="30" customHeight="1" spans="1:20" x14ac:dyDescent="0.25">
      <c r="A31" s="480" t="s">
        <v>1456</v>
      </c>
      <c r="B31" s="137" t="s">
        <v>0</v>
      </c>
      <c r="C31" s="76" t="s">
        <v>79</v>
      </c>
      <c r="D31" s="76"/>
      <c r="E31" s="77"/>
      <c r="F31" s="68" t="s">
        <v>80</v>
      </c>
      <c r="G31" s="69"/>
      <c r="H31" s="70"/>
      <c r="I31" s="71">
        <v>6300</v>
      </c>
      <c r="J31" s="209"/>
      <c r="K31" s="72"/>
      <c r="L31" t="s">
        <v>0</v>
      </c>
      <c r="M31" t="s">
        <v>0</v>
      </c>
      <c r="N31" t="s">
        <v>0</v>
      </c>
      <c r="O31" t="s">
        <v>0</v>
      </c>
      <c r="P31" t="s">
        <v>0</v>
      </c>
      <c r="Q31" t="s">
        <v>0</v>
      </c>
      <c r="R31" t="s">
        <v>0</v>
      </c>
      <c r="S31" t="s">
        <v>0</v>
      </c>
      <c r="T31" t="s">
        <v>0</v>
      </c>
    </row>
    <row r="32" ht="60" customHeight="1" spans="1:20" s="80" customFormat="1" x14ac:dyDescent="0.25">
      <c r="A32" s="54" t="s">
        <v>1452</v>
      </c>
      <c r="B32" s="481" t="s">
        <v>0</v>
      </c>
      <c r="C32" s="134" t="s">
        <v>1457</v>
      </c>
      <c r="D32" s="82"/>
      <c r="E32" s="83"/>
      <c r="F32" s="172" t="s">
        <v>1458</v>
      </c>
      <c r="G32" s="82"/>
      <c r="H32" s="83"/>
      <c r="I32" s="85">
        <v>1850</v>
      </c>
      <c r="J32" s="355"/>
      <c r="K32" s="86"/>
      <c r="L32" s="80" t="s">
        <v>0</v>
      </c>
      <c r="M32" s="80" t="s">
        <v>0</v>
      </c>
      <c r="N32" s="80" t="s">
        <v>0</v>
      </c>
      <c r="O32" s="80" t="s">
        <v>0</v>
      </c>
      <c r="P32" s="80" t="s">
        <v>0</v>
      </c>
      <c r="Q32" s="80" t="s">
        <v>0</v>
      </c>
      <c r="R32" s="80" t="s">
        <v>0</v>
      </c>
      <c r="S32" s="80" t="s">
        <v>0</v>
      </c>
      <c r="T32" s="80" t="s">
        <v>0</v>
      </c>
    </row>
    <row r="33" ht="43.5" customHeight="1" spans="1:20" x14ac:dyDescent="0.25">
      <c r="A33" s="60" t="s">
        <v>1452</v>
      </c>
      <c r="B33" s="396" t="s">
        <v>0</v>
      </c>
      <c r="C33" s="76" t="s">
        <v>1459</v>
      </c>
      <c r="D33" s="76"/>
      <c r="E33" s="77"/>
      <c r="F33" s="68" t="s">
        <v>248</v>
      </c>
      <c r="G33" s="69"/>
      <c r="H33" s="70"/>
      <c r="I33" s="71">
        <v>1150</v>
      </c>
      <c r="J33" s="209"/>
      <c r="K33" s="72"/>
      <c r="L33" t="s">
        <v>0</v>
      </c>
      <c r="M33" t="s">
        <v>0</v>
      </c>
      <c r="N33" t="s">
        <v>0</v>
      </c>
      <c r="O33" t="s">
        <v>0</v>
      </c>
      <c r="P33" t="s">
        <v>0</v>
      </c>
      <c r="Q33" t="s">
        <v>0</v>
      </c>
      <c r="R33" t="s">
        <v>0</v>
      </c>
      <c r="S33" t="s">
        <v>0</v>
      </c>
      <c r="T33" t="s">
        <v>0</v>
      </c>
    </row>
    <row r="34" ht="15" customHeight="1" spans="1:20" x14ac:dyDescent="0.25">
      <c r="A34" s="60" t="s">
        <v>1452</v>
      </c>
      <c r="B34" s="396" t="s">
        <v>0</v>
      </c>
      <c r="C34" s="373" t="s">
        <v>1460</v>
      </c>
      <c r="D34" s="373"/>
      <c r="E34" s="374"/>
      <c r="F34" s="68" t="s">
        <v>1461</v>
      </c>
      <c r="G34" s="69"/>
      <c r="H34" s="70"/>
      <c r="I34" s="71">
        <v>1000</v>
      </c>
      <c r="J34" s="209"/>
      <c r="K34" s="72"/>
      <c r="L34" t="s">
        <v>0</v>
      </c>
      <c r="M34" t="s">
        <v>0</v>
      </c>
      <c r="N34" t="s">
        <v>0</v>
      </c>
      <c r="O34" t="s">
        <v>0</v>
      </c>
      <c r="P34" t="s">
        <v>0</v>
      </c>
      <c r="Q34" t="s">
        <v>0</v>
      </c>
      <c r="R34" t="s">
        <v>0</v>
      </c>
      <c r="S34" t="s">
        <v>0</v>
      </c>
      <c r="T34" t="s">
        <v>0</v>
      </c>
    </row>
    <row r="35" ht="46.5" customHeight="1" spans="1:20" s="80" customFormat="1" x14ac:dyDescent="0.25">
      <c r="A35" s="54" t="s">
        <v>1452</v>
      </c>
      <c r="B35" s="481" t="s">
        <v>0</v>
      </c>
      <c r="C35" s="134" t="s">
        <v>1462</v>
      </c>
      <c r="D35" s="134"/>
      <c r="E35" s="84"/>
      <c r="F35" s="172" t="s">
        <v>86</v>
      </c>
      <c r="G35" s="82"/>
      <c r="H35" s="83"/>
      <c r="I35" s="85">
        <v>12550</v>
      </c>
      <c r="J35" s="355"/>
      <c r="K35" s="86"/>
      <c r="L35" s="80" t="s">
        <v>0</v>
      </c>
      <c r="M35" s="80" t="s">
        <v>0</v>
      </c>
      <c r="N35" s="80" t="s">
        <v>0</v>
      </c>
      <c r="O35" s="80" t="s">
        <v>0</v>
      </c>
      <c r="P35" s="80" t="s">
        <v>0</v>
      </c>
      <c r="Q35" s="80" t="s">
        <v>0</v>
      </c>
      <c r="R35" s="80" t="s">
        <v>0</v>
      </c>
      <c r="S35" s="80" t="s">
        <v>0</v>
      </c>
      <c r="T35" s="80" t="s">
        <v>0</v>
      </c>
    </row>
    <row r="36" ht="59.25" customHeight="1" spans="1:20" x14ac:dyDescent="0.25">
      <c r="A36" s="60" t="s">
        <v>1452</v>
      </c>
      <c r="B36" s="396" t="s">
        <v>0</v>
      </c>
      <c r="C36" s="76" t="s">
        <v>1463</v>
      </c>
      <c r="D36" s="69"/>
      <c r="E36" s="70"/>
      <c r="F36" s="68" t="s">
        <v>1464</v>
      </c>
      <c r="G36" s="69"/>
      <c r="H36" s="70"/>
      <c r="I36" s="71">
        <v>2300</v>
      </c>
      <c r="J36" s="209"/>
      <c r="K36" s="72"/>
      <c r="L36" t="s">
        <v>0</v>
      </c>
      <c r="M36" t="s">
        <v>0</v>
      </c>
      <c r="N36" t="s">
        <v>0</v>
      </c>
      <c r="O36" t="s">
        <v>0</v>
      </c>
      <c r="P36" t="s">
        <v>0</v>
      </c>
      <c r="Q36" t="s">
        <v>0</v>
      </c>
      <c r="R36" t="s">
        <v>0</v>
      </c>
      <c r="S36" t="s">
        <v>0</v>
      </c>
      <c r="T36" t="s">
        <v>0</v>
      </c>
    </row>
    <row r="37" spans="1:20" x14ac:dyDescent="0.25">
      <c r="A37" s="60" t="s">
        <v>0</v>
      </c>
      <c r="B37" s="396" t="s">
        <v>0</v>
      </c>
      <c r="C37" s="69"/>
      <c r="D37" s="69"/>
      <c r="E37" s="70"/>
      <c r="F37" s="68"/>
      <c r="G37" s="69"/>
      <c r="H37" s="70"/>
      <c r="I37" s="71"/>
      <c r="J37" s="209"/>
      <c r="K37" s="72"/>
      <c r="L37" t="s">
        <v>0</v>
      </c>
      <c r="M37" t="s">
        <v>0</v>
      </c>
      <c r="N37" t="s">
        <v>0</v>
      </c>
      <c r="O37" t="s">
        <v>0</v>
      </c>
      <c r="P37" t="s">
        <v>0</v>
      </c>
      <c r="Q37" t="s">
        <v>0</v>
      </c>
      <c r="R37" t="s">
        <v>0</v>
      </c>
      <c r="S37" t="s">
        <v>0</v>
      </c>
      <c r="T37" t="s">
        <v>0</v>
      </c>
    </row>
    <row r="38" spans="1:20" x14ac:dyDescent="0.25">
      <c r="A38" s="60" t="s">
        <v>0</v>
      </c>
      <c r="B38" s="396" t="s">
        <v>0</v>
      </c>
      <c r="C38" s="69"/>
      <c r="D38" s="69"/>
      <c r="E38" s="70"/>
      <c r="F38" s="68"/>
      <c r="G38" s="69"/>
      <c r="H38" s="70"/>
      <c r="I38" s="71"/>
      <c r="J38" s="209"/>
      <c r="K38" s="72"/>
      <c r="L38" t="s">
        <v>0</v>
      </c>
      <c r="M38" t="s">
        <v>0</v>
      </c>
      <c r="N38" t="s">
        <v>0</v>
      </c>
      <c r="O38" t="s">
        <v>0</v>
      </c>
      <c r="P38" t="s">
        <v>0</v>
      </c>
      <c r="Q38" t="s">
        <v>0</v>
      </c>
      <c r="R38" t="s">
        <v>0</v>
      </c>
      <c r="S38" t="s">
        <v>0</v>
      </c>
      <c r="T38" t="s">
        <v>0</v>
      </c>
    </row>
    <row r="39" spans="1:20" x14ac:dyDescent="0.25">
      <c r="A39" s="60" t="s">
        <v>0</v>
      </c>
      <c r="B39" s="396" t="s">
        <v>0</v>
      </c>
      <c r="C39" s="69"/>
      <c r="D39" s="69"/>
      <c r="E39" s="70"/>
      <c r="F39" s="68"/>
      <c r="G39" s="69"/>
      <c r="H39" s="70"/>
      <c r="I39" s="71"/>
      <c r="J39" s="209"/>
      <c r="K39" s="72"/>
      <c r="L39" t="s">
        <v>0</v>
      </c>
      <c r="M39" t="s">
        <v>0</v>
      </c>
      <c r="N39" t="s">
        <v>0</v>
      </c>
      <c r="O39" t="s">
        <v>0</v>
      </c>
      <c r="P39" t="s">
        <v>0</v>
      </c>
      <c r="Q39" t="s">
        <v>0</v>
      </c>
      <c r="R39" t="s">
        <v>0</v>
      </c>
      <c r="S39" t="s">
        <v>0</v>
      </c>
      <c r="T39" t="s">
        <v>0</v>
      </c>
    </row>
    <row r="40" spans="1:20" x14ac:dyDescent="0.25">
      <c r="A40" s="60" t="s">
        <v>0</v>
      </c>
      <c r="B40" s="396" t="s">
        <v>0</v>
      </c>
      <c r="C40" s="69"/>
      <c r="D40" s="69"/>
      <c r="E40" s="70"/>
      <c r="F40" s="68"/>
      <c r="G40" s="69"/>
      <c r="H40" s="70"/>
      <c r="I40" s="71"/>
      <c r="J40" s="209"/>
      <c r="K40" s="72"/>
      <c r="L40" t="s">
        <v>0</v>
      </c>
      <c r="M40" t="s">
        <v>0</v>
      </c>
      <c r="N40" t="s">
        <v>0</v>
      </c>
      <c r="O40" t="s">
        <v>0</v>
      </c>
      <c r="P40" t="s">
        <v>0</v>
      </c>
      <c r="Q40" t="s">
        <v>0</v>
      </c>
      <c r="R40" t="s">
        <v>0</v>
      </c>
      <c r="S40" t="s">
        <v>0</v>
      </c>
      <c r="T40" t="s">
        <v>0</v>
      </c>
    </row>
    <row r="41" spans="1:20" x14ac:dyDescent="0.25">
      <c r="A41" s="60" t="s">
        <v>0</v>
      </c>
      <c r="B41" s="396" t="s">
        <v>0</v>
      </c>
      <c r="C41" s="69"/>
      <c r="D41" s="69"/>
      <c r="E41" s="70"/>
      <c r="F41" s="68"/>
      <c r="G41" s="69"/>
      <c r="H41" s="70"/>
      <c r="I41" s="71"/>
      <c r="J41" s="209"/>
      <c r="K41" s="72"/>
      <c r="L41" t="s">
        <v>0</v>
      </c>
      <c r="M41" t="s">
        <v>0</v>
      </c>
      <c r="N41" t="s">
        <v>0</v>
      </c>
      <c r="O41" t="s">
        <v>0</v>
      </c>
      <c r="P41" t="s">
        <v>0</v>
      </c>
      <c r="Q41" t="s">
        <v>0</v>
      </c>
      <c r="R41" t="s">
        <v>0</v>
      </c>
      <c r="S41" t="s">
        <v>0</v>
      </c>
      <c r="T41" t="s">
        <v>0</v>
      </c>
    </row>
    <row r="42" ht="15.75" customHeight="1" spans="1:20" x14ac:dyDescent="0.25">
      <c r="A42" s="213" t="s">
        <v>0</v>
      </c>
      <c r="B42" s="396" t="s">
        <v>0</v>
      </c>
      <c r="C42" s="89"/>
      <c r="D42" s="89"/>
      <c r="E42" s="90"/>
      <c r="F42" s="88"/>
      <c r="G42" s="89"/>
      <c r="H42" s="90"/>
      <c r="I42" s="91"/>
      <c r="J42" s="450"/>
      <c r="K42" s="92"/>
      <c r="L42" t="s">
        <v>0</v>
      </c>
      <c r="M42" t="s">
        <v>0</v>
      </c>
      <c r="N42" t="s">
        <v>0</v>
      </c>
      <c r="O42" t="s">
        <v>0</v>
      </c>
      <c r="P42" t="s">
        <v>0</v>
      </c>
      <c r="Q42" t="s">
        <v>0</v>
      </c>
      <c r="R42" t="s">
        <v>0</v>
      </c>
      <c r="S42" t="s">
        <v>0</v>
      </c>
      <c r="T42" t="s">
        <v>0</v>
      </c>
    </row>
    <row r="43" ht="15.75" customHeight="1" spans="1:20" x14ac:dyDescent="0.25">
      <c r="A43" s="93" t="s">
        <v>0</v>
      </c>
      <c r="B43" s="328" t="s">
        <v>0</v>
      </c>
      <c r="C43" s="95"/>
      <c r="D43" s="95"/>
      <c r="E43" s="96"/>
      <c r="F43" s="97" t="s">
        <v>96</v>
      </c>
      <c r="G43" s="98"/>
      <c r="H43" s="233"/>
      <c r="I43" s="331">
        <f>SUM(I29:K42)</f>
        <v>27450</v>
      </c>
      <c r="J43" s="98"/>
      <c r="K43" s="233"/>
      <c r="L43" t="s">
        <v>0</v>
      </c>
      <c r="M43" t="s">
        <v>0</v>
      </c>
      <c r="N43" t="s">
        <v>0</v>
      </c>
      <c r="O43" t="s">
        <v>0</v>
      </c>
      <c r="P43" t="s">
        <v>0</v>
      </c>
      <c r="Q43" t="s">
        <v>0</v>
      </c>
      <c r="R43" t="s">
        <v>0</v>
      </c>
      <c r="S43" t="s">
        <v>0</v>
      </c>
      <c r="T43" t="s">
        <v>0</v>
      </c>
    </row>
  </sheetData>
  <mergeCells count="81">
    <mergeCell ref="B15:E15"/>
    <mergeCell ref="F15:H15"/>
    <mergeCell ref="I15:K15"/>
    <mergeCell ref="B16:E16"/>
    <mergeCell ref="F16:H16"/>
    <mergeCell ref="I16:K16"/>
    <mergeCell ref="C17:E17"/>
    <mergeCell ref="F17:H17"/>
    <mergeCell ref="I17:K17"/>
    <mergeCell ref="C18:E18"/>
    <mergeCell ref="F18:H18"/>
    <mergeCell ref="I18:K18"/>
    <mergeCell ref="C19:E19"/>
    <mergeCell ref="F19:H19"/>
    <mergeCell ref="I19:K19"/>
    <mergeCell ref="C20:E20"/>
    <mergeCell ref="F20:H20"/>
    <mergeCell ref="I20:K20"/>
    <mergeCell ref="C21:E21"/>
    <mergeCell ref="F21:H21"/>
    <mergeCell ref="I21:K21"/>
    <mergeCell ref="C22:E22"/>
    <mergeCell ref="F22:H22"/>
    <mergeCell ref="I22:K22"/>
    <mergeCell ref="C23:E23"/>
    <mergeCell ref="F23:H23"/>
    <mergeCell ref="I23:K23"/>
    <mergeCell ref="C24:E24"/>
    <mergeCell ref="F24:H24"/>
    <mergeCell ref="I24:K24"/>
    <mergeCell ref="C25:E25"/>
    <mergeCell ref="F25:H25"/>
    <mergeCell ref="I25:K25"/>
    <mergeCell ref="B28:E28"/>
    <mergeCell ref="F28:H28"/>
    <mergeCell ref="I28:K28"/>
    <mergeCell ref="B29:E29"/>
    <mergeCell ref="F29:H29"/>
    <mergeCell ref="I29:K29"/>
    <mergeCell ref="C30:E30"/>
    <mergeCell ref="F30:H30"/>
    <mergeCell ref="I30:K30"/>
    <mergeCell ref="C31:E31"/>
    <mergeCell ref="F31:H31"/>
    <mergeCell ref="I31:K31"/>
    <mergeCell ref="C32:E32"/>
    <mergeCell ref="F32:H32"/>
    <mergeCell ref="I32:K32"/>
    <mergeCell ref="C33:E33"/>
    <mergeCell ref="F33:H33"/>
    <mergeCell ref="I33:K33"/>
    <mergeCell ref="C34:E34"/>
    <mergeCell ref="F34:H34"/>
    <mergeCell ref="I34:K34"/>
    <mergeCell ref="C35:E35"/>
    <mergeCell ref="F35:H35"/>
    <mergeCell ref="I35:K35"/>
    <mergeCell ref="C36:E36"/>
    <mergeCell ref="F36:H36"/>
    <mergeCell ref="I36:K36"/>
    <mergeCell ref="C37:E37"/>
    <mergeCell ref="F37:H37"/>
    <mergeCell ref="I37:K37"/>
    <mergeCell ref="C38:E38"/>
    <mergeCell ref="F38:H38"/>
    <mergeCell ref="I38:K38"/>
    <mergeCell ref="C39:E39"/>
    <mergeCell ref="F39:H39"/>
    <mergeCell ref="I39:K39"/>
    <mergeCell ref="C40:E40"/>
    <mergeCell ref="F40:H40"/>
    <mergeCell ref="I40:K40"/>
    <mergeCell ref="C41:E41"/>
    <mergeCell ref="F41:H41"/>
    <mergeCell ref="I41:K41"/>
    <mergeCell ref="C42:E42"/>
    <mergeCell ref="F42:H42"/>
    <mergeCell ref="I42:K42"/>
    <mergeCell ref="C43:E43"/>
    <mergeCell ref="F43:H43"/>
    <mergeCell ref="I43:K4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workbookViewId="0" zoomScale="100" zoomScaleNormal="100">
      <selection activeCell="Q8" sqref="Q8"/>
    </sheetView>
  </sheetViews>
  <sheetFormatPr defaultRowHeight="15" outlineLevelRow="0" outlineLevelCol="0" x14ac:dyDescent="0.25"/>
  <cols>
    <col min="1" max="1" width="38.85546875" customWidth="1"/>
    <col min="2" max="2" width="18.7109375" hidden="1" customWidth="1"/>
    <col min="3" max="3" width="14.5703125" customWidth="1"/>
    <col min="4" max="4" width="15.5703125" customWidth="1"/>
    <col min="5" max="5" width="16" customWidth="1"/>
    <col min="6" max="6" width="13.5703125" customWidth="1"/>
    <col min="7" max="8" width="10.28515625" customWidth="1"/>
    <col min="9" max="10" width="11.28515625" customWidth="1"/>
    <col min="11" max="14" width="10.28515625" customWidth="1"/>
    <col min="15" max="15" width="11.42578125" customWidth="1"/>
    <col min="16" max="18" width="12.140625" customWidth="1"/>
    <col min="19" max="19" width="12" customWidth="1"/>
  </cols>
  <sheetData>
    <row r="1" ht="72.75" customHeight="1" spans="1:19" x14ac:dyDescent="0.25">
      <c r="A1" s="1" t="s">
        <v>0</v>
      </c>
      <c r="B1" s="261" t="s">
        <v>728</v>
      </c>
      <c r="C1" s="3" t="s">
        <v>1521</v>
      </c>
      <c r="D1" s="4" t="s">
        <v>921</v>
      </c>
      <c r="E1" s="5" t="s">
        <v>922</v>
      </c>
      <c r="F1" s="6" t="s">
        <v>5</v>
      </c>
      <c r="G1" s="7" t="s">
        <v>6</v>
      </c>
      <c r="H1" s="8" t="s">
        <v>7</v>
      </c>
      <c r="I1" s="7" t="s">
        <v>8</v>
      </c>
      <c r="J1" s="8" t="s">
        <v>9</v>
      </c>
      <c r="K1" s="7" t="s">
        <v>10</v>
      </c>
      <c r="L1" s="8" t="s">
        <v>11</v>
      </c>
      <c r="M1" s="7" t="s">
        <v>12</v>
      </c>
      <c r="N1" s="8" t="s">
        <v>13</v>
      </c>
      <c r="O1" s="7" t="s">
        <v>14</v>
      </c>
      <c r="P1" s="8" t="s">
        <v>15</v>
      </c>
      <c r="Q1" s="7" t="s">
        <v>16</v>
      </c>
      <c r="R1" s="9" t="s">
        <v>0</v>
      </c>
      <c r="S1" s="10" t="s">
        <v>17</v>
      </c>
    </row>
    <row r="2" ht="16.5" customHeight="1" spans="1:19" x14ac:dyDescent="0.25">
      <c r="A2" s="12" t="s">
        <v>1522</v>
      </c>
      <c r="B2" s="103" t="s">
        <v>0</v>
      </c>
      <c r="C2" s="13"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18" t="s">
        <v>0</v>
      </c>
      <c r="S2" s="16" t="s">
        <v>0</v>
      </c>
    </row>
    <row r="3" ht="15.75" customHeight="1" spans="1:19" x14ac:dyDescent="0.25">
      <c r="A3" s="187" t="s">
        <v>19</v>
      </c>
      <c r="B3" s="263" t="s">
        <v>763</v>
      </c>
      <c r="C3" s="21" t="s">
        <v>0</v>
      </c>
      <c r="D3" s="22" t="s">
        <v>1523</v>
      </c>
      <c r="E3" s="23" t="s">
        <v>1524</v>
      </c>
      <c r="F3" s="23" t="s">
        <v>0</v>
      </c>
      <c r="G3" s="23" t="s">
        <v>0</v>
      </c>
      <c r="H3" s="23" t="s">
        <v>0</v>
      </c>
      <c r="I3" s="23" t="s">
        <v>0</v>
      </c>
      <c r="J3" s="23" t="s">
        <v>1523</v>
      </c>
      <c r="K3" s="23" t="s">
        <v>0</v>
      </c>
      <c r="L3" s="23" t="s">
        <v>0</v>
      </c>
      <c r="M3" s="23" t="s">
        <v>0</v>
      </c>
      <c r="N3" s="23" t="s">
        <v>0</v>
      </c>
      <c r="O3" s="23" t="s">
        <v>0</v>
      </c>
      <c r="P3" s="23" t="s">
        <v>0</v>
      </c>
      <c r="Q3" s="23" t="s">
        <v>0</v>
      </c>
      <c r="R3" s="23" t="s">
        <v>0</v>
      </c>
      <c r="S3" s="24" t="s">
        <v>1523</v>
      </c>
    </row>
    <row r="4" ht="15.75" customHeight="1" spans="1:19" x14ac:dyDescent="0.25">
      <c r="A4" s="19" t="s">
        <v>278</v>
      </c>
      <c r="B4" s="268" t="s">
        <v>0</v>
      </c>
      <c r="C4" s="188" t="s">
        <v>0</v>
      </c>
      <c r="D4" s="22" t="s">
        <v>1525</v>
      </c>
      <c r="E4" s="23" t="s">
        <v>1526</v>
      </c>
      <c r="F4" s="28" t="s">
        <v>0</v>
      </c>
      <c r="G4" s="28" t="s">
        <v>25</v>
      </c>
      <c r="H4" s="28" t="s">
        <v>1527</v>
      </c>
      <c r="I4" s="28" t="s">
        <v>1528</v>
      </c>
      <c r="J4" s="28" t="s">
        <v>0</v>
      </c>
      <c r="K4" s="28" t="s">
        <v>0</v>
      </c>
      <c r="L4" s="28" t="s">
        <v>0</v>
      </c>
      <c r="M4" s="28" t="s">
        <v>1529</v>
      </c>
      <c r="N4" s="28">
        <v>750</v>
      </c>
      <c r="O4" s="28" t="s">
        <v>1530</v>
      </c>
      <c r="P4" s="28" t="s">
        <v>0</v>
      </c>
      <c r="Q4" s="28" t="s">
        <v>0</v>
      </c>
      <c r="R4" s="24" t="s">
        <v>0</v>
      </c>
      <c r="S4" s="24" t="s">
        <v>1525</v>
      </c>
    </row>
    <row r="5" ht="15.75" customHeight="1" spans="1:19" x14ac:dyDescent="0.25">
      <c r="A5" s="19" t="s">
        <v>281</v>
      </c>
      <c r="B5" s="268" t="s">
        <v>0</v>
      </c>
      <c r="C5" s="188" t="s">
        <v>0</v>
      </c>
      <c r="D5" s="22" t="s">
        <v>128</v>
      </c>
      <c r="E5" s="23" t="s">
        <v>1032</v>
      </c>
      <c r="F5" s="28" t="s">
        <v>0</v>
      </c>
      <c r="G5" s="28" t="s">
        <v>0</v>
      </c>
      <c r="H5" s="28" t="s">
        <v>0</v>
      </c>
      <c r="I5" s="28" t="s">
        <v>0</v>
      </c>
      <c r="J5" s="28" t="s">
        <v>0</v>
      </c>
      <c r="K5" s="28" t="s">
        <v>0</v>
      </c>
      <c r="L5" s="28" t="s">
        <v>0</v>
      </c>
      <c r="M5" s="28" t="s">
        <v>128</v>
      </c>
      <c r="N5" s="28" t="s">
        <v>0</v>
      </c>
      <c r="O5" s="28" t="s">
        <v>0</v>
      </c>
      <c r="P5" s="28" t="s">
        <v>0</v>
      </c>
      <c r="Q5" s="28" t="s">
        <v>0</v>
      </c>
      <c r="R5" s="24" t="s">
        <v>0</v>
      </c>
      <c r="S5" s="24" t="s">
        <v>128</v>
      </c>
    </row>
    <row r="6" ht="15.75" customHeight="1" spans="1:19" x14ac:dyDescent="0.25">
      <c r="A6" s="31" t="s">
        <v>493</v>
      </c>
      <c r="B6" s="272" t="s">
        <v>776</v>
      </c>
      <c r="C6" s="188" t="s">
        <v>0</v>
      </c>
      <c r="D6" s="22" t="s">
        <v>0</v>
      </c>
      <c r="E6" s="23" t="s">
        <v>0</v>
      </c>
      <c r="F6" s="28" t="s">
        <v>0</v>
      </c>
      <c r="G6" s="28" t="s">
        <v>0</v>
      </c>
      <c r="H6" s="28" t="s">
        <v>0</v>
      </c>
      <c r="I6" s="28" t="s">
        <v>0</v>
      </c>
      <c r="J6" s="28" t="s">
        <v>0</v>
      </c>
      <c r="K6" s="28" t="s">
        <v>0</v>
      </c>
      <c r="L6" s="28" t="s">
        <v>0</v>
      </c>
      <c r="M6" s="28" t="s">
        <v>0</v>
      </c>
      <c r="N6" s="28" t="s">
        <v>0</v>
      </c>
      <c r="O6" s="28" t="s">
        <v>0</v>
      </c>
      <c r="P6" s="28" t="s">
        <v>0</v>
      </c>
      <c r="Q6" s="28" t="s">
        <v>0</v>
      </c>
      <c r="R6" s="24" t="s">
        <v>0</v>
      </c>
      <c r="S6" s="24" t="s">
        <v>0</v>
      </c>
    </row>
    <row r="7" ht="15.75" customHeight="1" spans="1:19" x14ac:dyDescent="0.25">
      <c r="A7" s="31" t="s">
        <v>45</v>
      </c>
      <c r="B7" s="272" t="s">
        <v>0</v>
      </c>
      <c r="C7" s="188" t="s">
        <v>0</v>
      </c>
      <c r="D7" s="22" t="s">
        <v>1531</v>
      </c>
      <c r="E7" s="23" t="s">
        <v>1532</v>
      </c>
      <c r="F7" s="28" t="s">
        <v>1533</v>
      </c>
      <c r="G7" s="28" t="s">
        <v>1534</v>
      </c>
      <c r="H7" s="28" t="s">
        <v>1535</v>
      </c>
      <c r="I7" s="28" t="s">
        <v>1536</v>
      </c>
      <c r="J7" s="28" t="s">
        <v>1537</v>
      </c>
      <c r="K7" s="28" t="s">
        <v>1538</v>
      </c>
      <c r="L7" s="28" t="s">
        <v>1539</v>
      </c>
      <c r="M7" s="28" t="s">
        <v>1540</v>
      </c>
      <c r="N7" s="28" t="s">
        <v>1541</v>
      </c>
      <c r="O7" s="28" t="s">
        <v>1542</v>
      </c>
      <c r="P7" s="28" t="s">
        <v>1543</v>
      </c>
      <c r="Q7" s="28" t="s">
        <v>1544</v>
      </c>
      <c r="R7" s="24" t="s">
        <v>0</v>
      </c>
      <c r="S7" s="24" t="s">
        <v>1531</v>
      </c>
    </row>
    <row r="8" ht="15.75" customHeight="1" spans="1:19" x14ac:dyDescent="0.25">
      <c r="A8" s="26" t="s">
        <v>41</v>
      </c>
      <c r="B8" s="272" t="s">
        <v>780</v>
      </c>
      <c r="C8" s="188" t="s">
        <v>0</v>
      </c>
      <c r="D8" s="22" t="s">
        <v>1545</v>
      </c>
      <c r="E8" s="23" t="s">
        <v>1546</v>
      </c>
      <c r="F8" s="28" t="s">
        <v>0</v>
      </c>
      <c r="G8" s="28" t="s">
        <v>0</v>
      </c>
      <c r="H8" s="28" t="s">
        <v>0</v>
      </c>
      <c r="I8" s="28" t="s">
        <v>0</v>
      </c>
      <c r="J8" s="28" t="s">
        <v>0</v>
      </c>
      <c r="K8" s="28" t="s">
        <v>0</v>
      </c>
      <c r="L8" s="28" t="s">
        <v>0</v>
      </c>
      <c r="M8" s="28" t="s">
        <v>0</v>
      </c>
      <c r="N8" s="28" t="s">
        <v>0</v>
      </c>
      <c r="O8" s="28" t="s">
        <v>0</v>
      </c>
      <c r="P8" s="28" t="s">
        <v>1545</v>
      </c>
      <c r="Q8" s="28" t="s">
        <v>0</v>
      </c>
      <c r="R8" s="24" t="s">
        <v>0</v>
      </c>
      <c r="S8" s="24" t="s">
        <v>1545</v>
      </c>
    </row>
    <row r="9" ht="15.75" customHeight="1" spans="1:19" x14ac:dyDescent="0.25">
      <c r="A9" s="26" t="s">
        <v>43</v>
      </c>
      <c r="B9" s="272" t="s">
        <v>769</v>
      </c>
      <c r="C9" s="188" t="s">
        <v>0</v>
      </c>
      <c r="D9" s="22" t="s">
        <v>1547</v>
      </c>
      <c r="E9" s="23" t="s">
        <v>1548</v>
      </c>
      <c r="F9" s="28" t="s">
        <v>0</v>
      </c>
      <c r="G9" s="28" t="s">
        <v>0</v>
      </c>
      <c r="H9" s="28" t="s">
        <v>0</v>
      </c>
      <c r="I9" s="28" t="s">
        <v>0</v>
      </c>
      <c r="J9" s="28" t="s">
        <v>0</v>
      </c>
      <c r="K9" s="28" t="s">
        <v>0</v>
      </c>
      <c r="L9" s="28" t="s">
        <v>0</v>
      </c>
      <c r="M9" s="28" t="s">
        <v>0</v>
      </c>
      <c r="N9" s="28" t="s">
        <v>1549</v>
      </c>
      <c r="O9" s="28" t="s">
        <v>136</v>
      </c>
      <c r="P9" s="28" t="s">
        <v>1550</v>
      </c>
      <c r="Q9" s="28" t="s">
        <v>0</v>
      </c>
      <c r="R9" s="24" t="s">
        <v>0</v>
      </c>
      <c r="S9" s="24" t="s">
        <v>1547</v>
      </c>
    </row>
    <row r="10" ht="16.5" customHeight="1" spans="1:19" x14ac:dyDescent="0.25">
      <c r="A10" s="34" t="s">
        <v>0</v>
      </c>
      <c r="B10" s="193" t="s">
        <v>96</v>
      </c>
      <c r="C10" s="37" t="s">
        <v>0</v>
      </c>
      <c r="D10" s="37" t="s">
        <v>1551</v>
      </c>
      <c r="E10" s="37" t="s">
        <v>1552</v>
      </c>
      <c r="F10" s="37" t="s">
        <v>1533</v>
      </c>
      <c r="G10" s="37" t="s">
        <v>1553</v>
      </c>
      <c r="H10" s="37" t="s">
        <v>1554</v>
      </c>
      <c r="I10" s="37" t="s">
        <v>1555</v>
      </c>
      <c r="J10" s="37" t="s">
        <v>1556</v>
      </c>
      <c r="K10" s="37" t="s">
        <v>1538</v>
      </c>
      <c r="L10" s="37" t="s">
        <v>1539</v>
      </c>
      <c r="M10" s="37" t="s">
        <v>1557</v>
      </c>
      <c r="N10" s="37" t="s">
        <v>1558</v>
      </c>
      <c r="O10" s="37" t="s">
        <v>1559</v>
      </c>
      <c r="P10" s="37" t="s">
        <v>1560</v>
      </c>
      <c r="Q10" s="37" t="s">
        <v>1544</v>
      </c>
      <c r="R10" s="193" t="s">
        <v>73</v>
      </c>
      <c r="S10" s="192" t="s">
        <v>1551</v>
      </c>
    </row>
    <row r="11" spans="1:19"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row>
    <row r="12" ht="38.25" customHeight="1" spans="1:19" x14ac:dyDescent="0.25">
      <c r="A12" s="39" t="s">
        <v>0</v>
      </c>
      <c r="B12" s="204"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ht="16.5" customHeight="1" spans="1:19" s="432" customFormat="1" x14ac:dyDescent="0.25">
      <c r="A13" s="41" t="s">
        <v>200</v>
      </c>
      <c r="B13" s="42"/>
      <c r="C13" s="41" t="s">
        <v>201</v>
      </c>
      <c r="D13" s="42"/>
      <c r="E13" s="42"/>
      <c r="F13" s="42"/>
      <c r="G13" s="41" t="s">
        <v>76</v>
      </c>
      <c r="H13" s="42"/>
      <c r="I13" s="43"/>
      <c r="J13" s="222" t="s">
        <v>77</v>
      </c>
      <c r="K13" s="394"/>
      <c r="L13" s="223"/>
      <c r="M13" s="126" t="s">
        <v>0</v>
      </c>
      <c r="N13" s="432" t="s">
        <v>0</v>
      </c>
      <c r="O13" s="432" t="s">
        <v>0</v>
      </c>
      <c r="P13" s="432" t="s">
        <v>0</v>
      </c>
      <c r="Q13" s="432" t="s">
        <v>0</v>
      </c>
      <c r="R13" s="432" t="s">
        <v>0</v>
      </c>
      <c r="S13" s="432" t="s">
        <v>0</v>
      </c>
    </row>
    <row r="14" ht="33.75" customHeight="1" spans="1:19" s="80" customFormat="1" x14ac:dyDescent="0.25">
      <c r="A14" s="488" t="s">
        <v>208</v>
      </c>
      <c r="B14" s="489"/>
      <c r="C14" s="490" t="s">
        <v>1561</v>
      </c>
      <c r="D14" s="491"/>
      <c r="E14" s="491"/>
      <c r="F14" s="492"/>
      <c r="G14" s="490" t="s">
        <v>1562</v>
      </c>
      <c r="H14" s="489"/>
      <c r="I14" s="493"/>
      <c r="J14" s="494">
        <v>8434</v>
      </c>
      <c r="K14" s="495"/>
      <c r="L14" s="496"/>
      <c r="M14" s="132" t="s">
        <v>0</v>
      </c>
      <c r="N14" s="80" t="s">
        <v>0</v>
      </c>
      <c r="O14" s="80" t="s">
        <v>0</v>
      </c>
      <c r="P14" s="80" t="s">
        <v>0</v>
      </c>
      <c r="Q14" s="80" t="s">
        <v>0</v>
      </c>
      <c r="R14" s="80" t="s">
        <v>0</v>
      </c>
      <c r="S14" s="80" t="s">
        <v>0</v>
      </c>
    </row>
    <row r="15" ht="30.75" customHeight="1" spans="1:19" s="80" customFormat="1" x14ac:dyDescent="0.25">
      <c r="A15" s="385" t="s">
        <v>208</v>
      </c>
      <c r="B15" s="305"/>
      <c r="C15" s="279" t="s">
        <v>1563</v>
      </c>
      <c r="D15" s="280"/>
      <c r="E15" s="280"/>
      <c r="F15" s="281"/>
      <c r="G15" s="279" t="s">
        <v>1564</v>
      </c>
      <c r="H15" s="305"/>
      <c r="I15" s="497"/>
      <c r="J15" s="498">
        <v>400</v>
      </c>
      <c r="K15" s="499"/>
      <c r="L15" s="500"/>
      <c r="M15" s="80" t="s">
        <v>0</v>
      </c>
      <c r="N15" s="80" t="s">
        <v>0</v>
      </c>
      <c r="O15" s="80" t="s">
        <v>0</v>
      </c>
      <c r="P15" s="80" t="s">
        <v>0</v>
      </c>
      <c r="Q15" s="80" t="s">
        <v>0</v>
      </c>
      <c r="R15" s="80" t="s">
        <v>0</v>
      </c>
      <c r="S15" s="80" t="s">
        <v>0</v>
      </c>
    </row>
    <row r="16" ht="33" customHeight="1" spans="1:19" s="80" customFormat="1" x14ac:dyDescent="0.25">
      <c r="A16" s="385" t="s">
        <v>208</v>
      </c>
      <c r="B16" s="305"/>
      <c r="C16" s="279" t="s">
        <v>1565</v>
      </c>
      <c r="D16" s="280"/>
      <c r="E16" s="280"/>
      <c r="F16" s="281"/>
      <c r="G16" s="279" t="s">
        <v>1566</v>
      </c>
      <c r="H16" s="305"/>
      <c r="I16" s="497"/>
      <c r="J16" s="498">
        <v>41400</v>
      </c>
      <c r="K16" s="499"/>
      <c r="L16" s="500"/>
      <c r="M16" s="80" t="s">
        <v>0</v>
      </c>
      <c r="N16" s="80" t="s">
        <v>0</v>
      </c>
      <c r="O16" s="80" t="s">
        <v>0</v>
      </c>
      <c r="P16" s="80" t="s">
        <v>0</v>
      </c>
      <c r="Q16" s="80" t="s">
        <v>0</v>
      </c>
      <c r="R16" s="80" t="s">
        <v>0</v>
      </c>
      <c r="S16" s="80" t="s">
        <v>0</v>
      </c>
    </row>
    <row r="17" ht="31.5" customHeight="1" spans="1:19" s="80" customFormat="1" x14ac:dyDescent="0.25">
      <c r="A17" s="501" t="s">
        <v>1567</v>
      </c>
      <c r="B17" s="502"/>
      <c r="C17" s="503" t="s">
        <v>1568</v>
      </c>
      <c r="D17" s="504"/>
      <c r="E17" s="504"/>
      <c r="F17" s="505"/>
      <c r="G17" s="279" t="s">
        <v>1569</v>
      </c>
      <c r="H17" s="305"/>
      <c r="I17" s="497"/>
      <c r="J17" s="498">
        <v>41000</v>
      </c>
      <c r="K17" s="499"/>
      <c r="L17" s="500"/>
      <c r="M17" s="80" t="s">
        <v>0</v>
      </c>
      <c r="N17" s="80" t="s">
        <v>0</v>
      </c>
      <c r="O17" s="80" t="s">
        <v>0</v>
      </c>
      <c r="P17" s="80" t="s">
        <v>0</v>
      </c>
      <c r="Q17" s="80" t="s">
        <v>0</v>
      </c>
      <c r="R17" s="80" t="s">
        <v>0</v>
      </c>
      <c r="S17" s="80" t="s">
        <v>0</v>
      </c>
    </row>
    <row r="18" ht="49.5" customHeight="1" spans="1:19" s="506" customFormat="1" x14ac:dyDescent="0.25">
      <c r="A18" s="507" t="s">
        <v>1570</v>
      </c>
      <c r="B18" s="508"/>
      <c r="C18" s="509" t="s">
        <v>1571</v>
      </c>
      <c r="D18" s="510"/>
      <c r="E18" s="510"/>
      <c r="F18" s="511"/>
      <c r="G18" s="288" t="s">
        <v>1572</v>
      </c>
      <c r="H18" s="297"/>
      <c r="I18" s="316"/>
      <c r="J18" s="306">
        <v>10500</v>
      </c>
      <c r="K18" s="307"/>
      <c r="L18" s="308"/>
      <c r="M18" s="506" t="s">
        <v>0</v>
      </c>
      <c r="N18" s="506" t="s">
        <v>0</v>
      </c>
      <c r="O18" s="506" t="s">
        <v>0</v>
      </c>
      <c r="P18" s="506" t="s">
        <v>0</v>
      </c>
      <c r="Q18" s="506" t="s">
        <v>0</v>
      </c>
      <c r="R18" s="506" t="s">
        <v>0</v>
      </c>
      <c r="S18" s="506" t="s">
        <v>0</v>
      </c>
    </row>
    <row r="19" ht="31.5" customHeight="1" spans="1:19" s="506" customFormat="1" x14ac:dyDescent="0.25">
      <c r="A19" s="296" t="s">
        <v>537</v>
      </c>
      <c r="B19" s="297"/>
      <c r="C19" s="288" t="s">
        <v>1340</v>
      </c>
      <c r="D19" s="289"/>
      <c r="E19" s="289"/>
      <c r="F19" s="290"/>
      <c r="G19" s="288" t="s">
        <v>1573</v>
      </c>
      <c r="H19" s="297"/>
      <c r="I19" s="316"/>
      <c r="J19" s="512">
        <v>3245</v>
      </c>
      <c r="K19" s="513"/>
      <c r="L19" s="514"/>
      <c r="M19" s="506" t="s">
        <v>0</v>
      </c>
      <c r="N19" s="506" t="s">
        <v>0</v>
      </c>
      <c r="O19" s="506" t="s">
        <v>0</v>
      </c>
      <c r="P19" s="506" t="s">
        <v>0</v>
      </c>
      <c r="Q19" s="506" t="s">
        <v>0</v>
      </c>
      <c r="R19" s="506" t="s">
        <v>0</v>
      </c>
      <c r="S19" s="506" t="s">
        <v>0</v>
      </c>
    </row>
    <row r="20" ht="15.75" customHeight="1" spans="1:19" s="506" customFormat="1" x14ac:dyDescent="0.25">
      <c r="A20" s="507"/>
      <c r="B20" s="508"/>
      <c r="C20" s="509"/>
      <c r="D20" s="510"/>
      <c r="E20" s="510"/>
      <c r="F20" s="511"/>
      <c r="G20" s="507"/>
      <c r="H20" s="508"/>
      <c r="I20" s="515"/>
      <c r="J20" s="516"/>
      <c r="K20" s="517"/>
      <c r="L20" s="518"/>
      <c r="M20" s="506" t="s">
        <v>0</v>
      </c>
      <c r="N20" s="506" t="s">
        <v>0</v>
      </c>
      <c r="O20" s="506" t="s">
        <v>0</v>
      </c>
      <c r="P20" s="506" t="s">
        <v>0</v>
      </c>
      <c r="Q20" s="506" t="s">
        <v>0</v>
      </c>
      <c r="R20" s="506" t="s">
        <v>0</v>
      </c>
      <c r="S20" s="506" t="s">
        <v>0</v>
      </c>
    </row>
    <row r="21" ht="15.75" customHeight="1" spans="1:19" s="506" customFormat="1" x14ac:dyDescent="0.25">
      <c r="A21" s="519" t="s">
        <v>0</v>
      </c>
      <c r="B21" s="520" t="s">
        <v>0</v>
      </c>
      <c r="C21" s="521"/>
      <c r="D21" s="522"/>
      <c r="E21" s="522"/>
      <c r="F21" s="523"/>
      <c r="G21" s="519" t="s">
        <v>0</v>
      </c>
      <c r="H21" s="520" t="s">
        <v>0</v>
      </c>
      <c r="I21" s="524" t="s">
        <v>0</v>
      </c>
      <c r="J21" s="525" t="s">
        <v>0</v>
      </c>
      <c r="K21" s="526" t="s">
        <v>0</v>
      </c>
      <c r="L21" s="527" t="s">
        <v>0</v>
      </c>
      <c r="M21" s="506" t="s">
        <v>0</v>
      </c>
      <c r="N21" s="506" t="s">
        <v>0</v>
      </c>
      <c r="O21" s="506" t="s">
        <v>0</v>
      </c>
      <c r="P21" s="506" t="s">
        <v>0</v>
      </c>
      <c r="Q21" s="506" t="s">
        <v>0</v>
      </c>
      <c r="R21" s="506" t="s">
        <v>0</v>
      </c>
      <c r="S21" s="506" t="s">
        <v>0</v>
      </c>
    </row>
    <row r="22" ht="15.75" customHeight="1" spans="1:19" s="506" customFormat="1" x14ac:dyDescent="0.25">
      <c r="A22" s="519" t="s">
        <v>0</v>
      </c>
      <c r="B22" s="520" t="s">
        <v>0</v>
      </c>
      <c r="C22" s="521"/>
      <c r="D22" s="522"/>
      <c r="E22" s="522"/>
      <c r="F22" s="523"/>
      <c r="G22" s="519" t="s">
        <v>0</v>
      </c>
      <c r="H22" s="520" t="s">
        <v>0</v>
      </c>
      <c r="I22" s="524" t="s">
        <v>0</v>
      </c>
      <c r="J22" s="525" t="s">
        <v>0</v>
      </c>
      <c r="K22" s="526" t="s">
        <v>0</v>
      </c>
      <c r="L22" s="527" t="s">
        <v>0</v>
      </c>
      <c r="M22" s="506" t="s">
        <v>0</v>
      </c>
      <c r="N22" s="506" t="s">
        <v>0</v>
      </c>
      <c r="O22" s="506" t="s">
        <v>0</v>
      </c>
      <c r="P22" s="506" t="s">
        <v>0</v>
      </c>
      <c r="Q22" s="506" t="s">
        <v>0</v>
      </c>
      <c r="R22" s="506" t="s">
        <v>0</v>
      </c>
      <c r="S22" s="506" t="s">
        <v>0</v>
      </c>
    </row>
    <row r="23" ht="13.5" customHeight="1" spans="1:19" s="528" customFormat="1" x14ac:dyDescent="0.25">
      <c r="A23" s="529"/>
      <c r="B23" s="530"/>
      <c r="C23" s="529"/>
      <c r="D23" s="530"/>
      <c r="E23" s="530"/>
      <c r="F23" s="531"/>
      <c r="G23" s="529"/>
      <c r="H23" s="530"/>
      <c r="I23" s="531"/>
      <c r="J23" s="532"/>
      <c r="K23" s="533"/>
      <c r="L23" s="534"/>
      <c r="M23" s="528" t="s">
        <v>0</v>
      </c>
      <c r="N23" s="528" t="s">
        <v>0</v>
      </c>
      <c r="O23" s="528" t="s">
        <v>0</v>
      </c>
      <c r="P23" s="528" t="s">
        <v>0</v>
      </c>
      <c r="Q23" s="528" t="s">
        <v>0</v>
      </c>
      <c r="R23" s="528" t="s">
        <v>0</v>
      </c>
      <c r="S23" s="528" t="s">
        <v>0</v>
      </c>
    </row>
    <row r="24" ht="15.75" customHeight="1" spans="1:19" x14ac:dyDescent="0.25">
      <c r="A24" s="94"/>
      <c r="B24" s="95"/>
      <c r="C24" s="94"/>
      <c r="D24" s="95"/>
      <c r="E24" s="95"/>
      <c r="F24" s="96"/>
      <c r="G24" s="97" t="s">
        <v>96</v>
      </c>
      <c r="H24" s="98"/>
      <c r="I24" s="233"/>
      <c r="J24" s="99">
        <f>SUM(J14:L23)</f>
        <v>104979</v>
      </c>
      <c r="K24" s="535"/>
      <c r="L24" s="536"/>
      <c r="M24" t="s">
        <v>0</v>
      </c>
      <c r="N24" t="s">
        <v>0</v>
      </c>
      <c r="O24" t="s">
        <v>0</v>
      </c>
      <c r="P24" t="s">
        <v>0</v>
      </c>
      <c r="Q24" t="s">
        <v>0</v>
      </c>
      <c r="R24" t="s">
        <v>0</v>
      </c>
      <c r="S24" t="s">
        <v>0</v>
      </c>
    </row>
    <row r="25" spans="1:19"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row>
    <row r="26" ht="15.75" customHeight="1" spans="1:19" x14ac:dyDescent="0.25">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row>
    <row r="27" ht="16.5" customHeight="1" spans="1:19" s="432" customFormat="1" x14ac:dyDescent="0.25">
      <c r="A27" s="41" t="s">
        <v>1574</v>
      </c>
      <c r="B27" s="42"/>
      <c r="C27" s="41" t="s">
        <v>437</v>
      </c>
      <c r="D27" s="42"/>
      <c r="E27" s="42"/>
      <c r="F27" s="42"/>
      <c r="G27" s="41" t="s">
        <v>76</v>
      </c>
      <c r="H27" s="42"/>
      <c r="I27" s="43"/>
      <c r="J27" s="222" t="s">
        <v>77</v>
      </c>
      <c r="K27" s="394"/>
      <c r="L27" s="223"/>
      <c r="M27" s="126" t="s">
        <v>0</v>
      </c>
      <c r="N27" s="432" t="s">
        <v>0</v>
      </c>
      <c r="O27" s="432" t="s">
        <v>0</v>
      </c>
      <c r="P27" s="432" t="s">
        <v>0</v>
      </c>
      <c r="Q27" s="432" t="s">
        <v>0</v>
      </c>
      <c r="R27" s="432" t="s">
        <v>0</v>
      </c>
      <c r="S27" s="432" t="s">
        <v>0</v>
      </c>
    </row>
    <row r="28" ht="33.75" customHeight="1" spans="1:19" s="80" customFormat="1" x14ac:dyDescent="0.25">
      <c r="A28" s="488" t="s">
        <v>1575</v>
      </c>
      <c r="B28" s="489"/>
      <c r="C28" s="490" t="s">
        <v>1576</v>
      </c>
      <c r="D28" s="491"/>
      <c r="E28" s="491"/>
      <c r="F28" s="492"/>
      <c r="G28" s="490" t="s">
        <v>1577</v>
      </c>
      <c r="H28" s="489"/>
      <c r="I28" s="493"/>
      <c r="J28" s="494">
        <v>24000</v>
      </c>
      <c r="K28" s="495"/>
      <c r="L28" s="496"/>
      <c r="M28" s="132" t="s">
        <v>0</v>
      </c>
      <c r="N28" s="80" t="s">
        <v>0</v>
      </c>
      <c r="O28" s="80" t="s">
        <v>0</v>
      </c>
      <c r="P28" s="80" t="s">
        <v>0</v>
      </c>
      <c r="Q28" s="80" t="s">
        <v>0</v>
      </c>
      <c r="R28" s="80" t="s">
        <v>0</v>
      </c>
      <c r="S28" s="80" t="s">
        <v>0</v>
      </c>
    </row>
    <row r="29" ht="30.75" customHeight="1" spans="1:19" s="80" customFormat="1" x14ac:dyDescent="0.25">
      <c r="A29" s="385" t="s">
        <v>1011</v>
      </c>
      <c r="B29" s="305"/>
      <c r="C29" s="279" t="s">
        <v>1578</v>
      </c>
      <c r="D29" s="280"/>
      <c r="E29" s="280"/>
      <c r="F29" s="281"/>
      <c r="G29" s="279" t="s">
        <v>1579</v>
      </c>
      <c r="H29" s="305"/>
      <c r="I29" s="497"/>
      <c r="J29" s="498">
        <v>5100</v>
      </c>
      <c r="K29" s="499"/>
      <c r="L29" s="500"/>
      <c r="M29" s="80" t="s">
        <v>0</v>
      </c>
      <c r="N29" s="80" t="s">
        <v>0</v>
      </c>
      <c r="O29" s="80" t="s">
        <v>0</v>
      </c>
      <c r="P29" s="80" t="s">
        <v>0</v>
      </c>
      <c r="Q29" s="80" t="s">
        <v>0</v>
      </c>
      <c r="R29" s="80" t="s">
        <v>0</v>
      </c>
      <c r="S29" s="80" t="s">
        <v>0</v>
      </c>
    </row>
    <row r="30" ht="33" customHeight="1" spans="1:19" s="80" customFormat="1" x14ac:dyDescent="0.25">
      <c r="A30" s="385" t="s">
        <v>1580</v>
      </c>
      <c r="B30" s="305"/>
      <c r="C30" s="169" t="s">
        <v>79</v>
      </c>
      <c r="D30" s="170"/>
      <c r="E30" s="170"/>
      <c r="F30" s="171"/>
      <c r="G30" s="279" t="s">
        <v>80</v>
      </c>
      <c r="H30" s="305"/>
      <c r="I30" s="497"/>
      <c r="J30" s="498">
        <v>2100</v>
      </c>
      <c r="K30" s="499"/>
      <c r="L30" s="500"/>
      <c r="M30" s="80" t="s">
        <v>0</v>
      </c>
      <c r="N30" s="80" t="s">
        <v>0</v>
      </c>
      <c r="O30" s="80" t="s">
        <v>0</v>
      </c>
      <c r="P30" s="80" t="s">
        <v>0</v>
      </c>
      <c r="Q30" s="80" t="s">
        <v>0</v>
      </c>
      <c r="R30" s="80" t="s">
        <v>0</v>
      </c>
      <c r="S30" s="80" t="s">
        <v>0</v>
      </c>
    </row>
    <row r="31" ht="63" customHeight="1" spans="1:19" s="80" customFormat="1" x14ac:dyDescent="0.25">
      <c r="A31" s="385" t="s">
        <v>1011</v>
      </c>
      <c r="B31" s="305"/>
      <c r="C31" s="279" t="s">
        <v>1581</v>
      </c>
      <c r="D31" s="280"/>
      <c r="E31" s="280"/>
      <c r="F31" s="281"/>
      <c r="G31" s="385" t="s">
        <v>1582</v>
      </c>
      <c r="H31" s="305"/>
      <c r="I31" s="497"/>
      <c r="J31" s="498">
        <v>5100</v>
      </c>
      <c r="K31" s="499"/>
      <c r="L31" s="500"/>
      <c r="M31" s="80" t="s">
        <v>0</v>
      </c>
      <c r="N31" s="80" t="s">
        <v>0</v>
      </c>
      <c r="O31" s="80" t="s">
        <v>0</v>
      </c>
      <c r="P31" s="80" t="s">
        <v>0</v>
      </c>
      <c r="Q31" s="80" t="s">
        <v>0</v>
      </c>
      <c r="R31" s="80" t="s">
        <v>0</v>
      </c>
      <c r="S31" s="80" t="s">
        <v>0</v>
      </c>
    </row>
    <row r="32" ht="46.5" customHeight="1" spans="1:19" s="80" customFormat="1" x14ac:dyDescent="0.25">
      <c r="A32" s="296" t="s">
        <v>1011</v>
      </c>
      <c r="B32" s="297"/>
      <c r="C32" s="288" t="s">
        <v>1133</v>
      </c>
      <c r="D32" s="289"/>
      <c r="E32" s="289"/>
      <c r="F32" s="290"/>
      <c r="G32" s="296" t="s">
        <v>1583</v>
      </c>
      <c r="H32" s="297"/>
      <c r="I32" s="316"/>
      <c r="J32" s="306">
        <v>3400</v>
      </c>
      <c r="K32" s="307"/>
      <c r="L32" s="308"/>
      <c r="M32" s="80" t="s">
        <v>0</v>
      </c>
      <c r="N32" s="80" t="s">
        <v>0</v>
      </c>
      <c r="O32" s="80" t="s">
        <v>0</v>
      </c>
      <c r="P32" s="80" t="s">
        <v>0</v>
      </c>
      <c r="Q32" s="80" t="s">
        <v>0</v>
      </c>
      <c r="R32" s="80" t="s">
        <v>0</v>
      </c>
      <c r="S32" s="80" t="s">
        <v>0</v>
      </c>
    </row>
    <row r="33" ht="63.75" customHeight="1" spans="1:19" s="80" customFormat="1" x14ac:dyDescent="0.25">
      <c r="A33" s="296" t="s">
        <v>1584</v>
      </c>
      <c r="B33" s="297"/>
      <c r="C33" s="288" t="s">
        <v>1585</v>
      </c>
      <c r="D33" s="289"/>
      <c r="E33" s="289"/>
      <c r="F33" s="290"/>
      <c r="G33" s="288" t="s">
        <v>1586</v>
      </c>
      <c r="H33" s="289"/>
      <c r="I33" s="290"/>
      <c r="J33" s="306">
        <v>5950</v>
      </c>
      <c r="K33" s="307"/>
      <c r="L33" s="308"/>
      <c r="M33" s="80" t="s">
        <v>0</v>
      </c>
      <c r="N33" s="80" t="s">
        <v>0</v>
      </c>
      <c r="O33" s="80" t="s">
        <v>0</v>
      </c>
      <c r="P33" s="80" t="s">
        <v>0</v>
      </c>
      <c r="Q33" s="80" t="s">
        <v>0</v>
      </c>
      <c r="R33" s="80" t="s">
        <v>0</v>
      </c>
      <c r="S33" s="80" t="s">
        <v>0</v>
      </c>
    </row>
    <row r="34" ht="46.5" customHeight="1" spans="1:19" s="80" customFormat="1" x14ac:dyDescent="0.25">
      <c r="A34" s="296" t="s">
        <v>889</v>
      </c>
      <c r="B34" s="297"/>
      <c r="C34" s="288" t="s">
        <v>1587</v>
      </c>
      <c r="D34" s="289"/>
      <c r="E34" s="289"/>
      <c r="F34" s="290"/>
      <c r="G34" s="296" t="s">
        <v>86</v>
      </c>
      <c r="H34" s="297"/>
      <c r="I34" s="316"/>
      <c r="J34" s="306">
        <v>12100</v>
      </c>
      <c r="K34" s="307"/>
      <c r="L34" s="308"/>
      <c r="M34" s="80" t="s">
        <v>0</v>
      </c>
      <c r="N34" s="80" t="s">
        <v>0</v>
      </c>
      <c r="O34" s="80" t="s">
        <v>0</v>
      </c>
      <c r="P34" s="80" t="s">
        <v>0</v>
      </c>
      <c r="Q34" s="80" t="s">
        <v>0</v>
      </c>
      <c r="R34" s="80" t="s">
        <v>0</v>
      </c>
      <c r="S34" s="80" t="s">
        <v>0</v>
      </c>
    </row>
    <row r="35" ht="31.5" customHeight="1" spans="1:19" s="80" customFormat="1" x14ac:dyDescent="0.25">
      <c r="A35" s="296" t="s">
        <v>889</v>
      </c>
      <c r="B35" s="297"/>
      <c r="C35" s="288" t="s">
        <v>1588</v>
      </c>
      <c r="D35" s="289"/>
      <c r="E35" s="289"/>
      <c r="F35" s="290"/>
      <c r="G35" s="296" t="s">
        <v>1461</v>
      </c>
      <c r="H35" s="297"/>
      <c r="I35" s="316"/>
      <c r="J35" s="306">
        <v>750</v>
      </c>
      <c r="K35" s="307"/>
      <c r="L35" s="308"/>
      <c r="M35" s="80" t="s">
        <v>0</v>
      </c>
      <c r="N35" s="80" t="s">
        <v>0</v>
      </c>
      <c r="O35" s="80" t="s">
        <v>0</v>
      </c>
      <c r="P35" s="80" t="s">
        <v>0</v>
      </c>
      <c r="Q35" s="80" t="s">
        <v>0</v>
      </c>
      <c r="R35" s="80" t="s">
        <v>0</v>
      </c>
      <c r="S35" s="80" t="s">
        <v>0</v>
      </c>
    </row>
    <row r="36" ht="51" customHeight="1" spans="1:19" s="80" customFormat="1" x14ac:dyDescent="0.25">
      <c r="A36" s="296" t="s">
        <v>1584</v>
      </c>
      <c r="B36" s="297"/>
      <c r="C36" s="288" t="s">
        <v>1589</v>
      </c>
      <c r="D36" s="289"/>
      <c r="E36" s="289"/>
      <c r="F36" s="290"/>
      <c r="G36" s="288" t="s">
        <v>1590</v>
      </c>
      <c r="H36" s="289"/>
      <c r="I36" s="290"/>
      <c r="J36" s="306">
        <v>7650</v>
      </c>
      <c r="K36" s="307"/>
      <c r="L36" s="308"/>
      <c r="M36" s="80" t="s">
        <v>0</v>
      </c>
      <c r="N36" s="80" t="s">
        <v>0</v>
      </c>
      <c r="O36" s="80" t="s">
        <v>0</v>
      </c>
      <c r="P36" s="80" t="s">
        <v>0</v>
      </c>
      <c r="Q36" s="80" t="s">
        <v>0</v>
      </c>
      <c r="R36" s="80" t="s">
        <v>0</v>
      </c>
      <c r="S36" s="80" t="s">
        <v>0</v>
      </c>
    </row>
    <row r="37" ht="15.75" customHeight="1" spans="1:19" s="80" customFormat="1" x14ac:dyDescent="0.25">
      <c r="A37" s="296"/>
      <c r="B37" s="297"/>
      <c r="C37" s="288"/>
      <c r="D37" s="289"/>
      <c r="E37" s="289"/>
      <c r="F37" s="290"/>
      <c r="G37" s="296"/>
      <c r="H37" s="297"/>
      <c r="I37" s="316"/>
      <c r="J37" s="306"/>
      <c r="K37" s="307"/>
      <c r="L37" s="308"/>
      <c r="M37" s="80" t="s">
        <v>0</v>
      </c>
      <c r="N37" s="80" t="s">
        <v>0</v>
      </c>
      <c r="O37" s="80" t="s">
        <v>0</v>
      </c>
      <c r="P37" s="80" t="s">
        <v>0</v>
      </c>
      <c r="Q37" s="80" t="s">
        <v>0</v>
      </c>
      <c r="R37" s="80" t="s">
        <v>0</v>
      </c>
      <c r="S37" s="80" t="s">
        <v>0</v>
      </c>
    </row>
    <row r="38" ht="15.75" customHeight="1" spans="1:19" s="80" customFormat="1" x14ac:dyDescent="0.25">
      <c r="A38" s="296"/>
      <c r="B38" s="297"/>
      <c r="C38" s="288"/>
      <c r="D38" s="289"/>
      <c r="E38" s="289"/>
      <c r="F38" s="290"/>
      <c r="G38" s="296"/>
      <c r="H38" s="297"/>
      <c r="I38" s="316"/>
      <c r="J38" s="306"/>
      <c r="K38" s="307"/>
      <c r="L38" s="308"/>
      <c r="M38" s="80" t="s">
        <v>0</v>
      </c>
      <c r="N38" s="80" t="s">
        <v>0</v>
      </c>
      <c r="O38" s="80" t="s">
        <v>0</v>
      </c>
      <c r="P38" s="80" t="s">
        <v>0</v>
      </c>
      <c r="Q38" s="80" t="s">
        <v>0</v>
      </c>
      <c r="R38" s="80" t="s">
        <v>0</v>
      </c>
      <c r="S38" s="80" t="s">
        <v>0</v>
      </c>
    </row>
    <row r="39" ht="15.75" customHeight="1" spans="1:19" s="80" customFormat="1" x14ac:dyDescent="0.25">
      <c r="A39" s="296"/>
      <c r="B39" s="297"/>
      <c r="C39" s="288"/>
      <c r="D39" s="289"/>
      <c r="E39" s="289"/>
      <c r="F39" s="290"/>
      <c r="G39" s="296"/>
      <c r="H39" s="297"/>
      <c r="I39" s="316"/>
      <c r="J39" s="306"/>
      <c r="K39" s="307"/>
      <c r="L39" s="308"/>
      <c r="M39" s="80" t="s">
        <v>0</v>
      </c>
      <c r="N39" s="80" t="s">
        <v>0</v>
      </c>
      <c r="O39" s="80" t="s">
        <v>0</v>
      </c>
      <c r="P39" s="80" t="s">
        <v>0</v>
      </c>
      <c r="Q39" s="80" t="s">
        <v>0</v>
      </c>
      <c r="R39" s="80" t="s">
        <v>0</v>
      </c>
      <c r="S39" s="80" t="s">
        <v>0</v>
      </c>
    </row>
    <row r="40" ht="15.75" customHeight="1" spans="1:19" s="80" customFormat="1" x14ac:dyDescent="0.25">
      <c r="A40" s="296"/>
      <c r="B40" s="297"/>
      <c r="C40" s="288"/>
      <c r="D40" s="289"/>
      <c r="E40" s="289"/>
      <c r="F40" s="290"/>
      <c r="G40" s="296"/>
      <c r="H40" s="297"/>
      <c r="I40" s="316"/>
      <c r="J40" s="306"/>
      <c r="K40" s="307"/>
      <c r="L40" s="308"/>
      <c r="M40" s="80" t="s">
        <v>0</v>
      </c>
      <c r="N40" s="80" t="s">
        <v>0</v>
      </c>
      <c r="O40" s="80" t="s">
        <v>0</v>
      </c>
      <c r="P40" s="80" t="s">
        <v>0</v>
      </c>
      <c r="Q40" s="80" t="s">
        <v>0</v>
      </c>
      <c r="R40" s="80" t="s">
        <v>0</v>
      </c>
      <c r="S40" s="80" t="s">
        <v>0</v>
      </c>
    </row>
    <row r="41" ht="15.75" customHeight="1" spans="1:19" s="80" customFormat="1" x14ac:dyDescent="0.25">
      <c r="A41" s="296"/>
      <c r="B41" s="297"/>
      <c r="C41" s="288"/>
      <c r="D41" s="289"/>
      <c r="E41" s="289"/>
      <c r="F41" s="290"/>
      <c r="G41" s="296"/>
      <c r="H41" s="297"/>
      <c r="I41" s="316"/>
      <c r="J41" s="498"/>
      <c r="K41" s="499"/>
      <c r="L41" s="500"/>
      <c r="M41" s="80" t="s">
        <v>0</v>
      </c>
      <c r="N41" s="80" t="s">
        <v>0</v>
      </c>
      <c r="O41" s="80" t="s">
        <v>0</v>
      </c>
      <c r="P41" s="80" t="s">
        <v>0</v>
      </c>
      <c r="Q41" s="80" t="s">
        <v>0</v>
      </c>
      <c r="R41" s="80" t="s">
        <v>0</v>
      </c>
      <c r="S41" s="80" t="s">
        <v>0</v>
      </c>
    </row>
    <row r="42" ht="15.75" customHeight="1" spans="1:19" x14ac:dyDescent="0.25">
      <c r="A42" s="537"/>
      <c r="B42" s="538"/>
      <c r="C42" s="537"/>
      <c r="D42" s="538"/>
      <c r="E42" s="538"/>
      <c r="F42" s="539"/>
      <c r="G42" s="537"/>
      <c r="H42" s="538"/>
      <c r="I42" s="539"/>
      <c r="J42" s="540"/>
      <c r="K42" s="541"/>
      <c r="L42" s="542"/>
      <c r="M42" t="s">
        <v>0</v>
      </c>
      <c r="N42" t="s">
        <v>0</v>
      </c>
      <c r="O42" t="s">
        <v>0</v>
      </c>
      <c r="P42" t="s">
        <v>0</v>
      </c>
      <c r="Q42" t="s">
        <v>0</v>
      </c>
      <c r="R42" t="s">
        <v>0</v>
      </c>
      <c r="S42" t="s">
        <v>0</v>
      </c>
    </row>
    <row r="43" ht="15.75" customHeight="1" spans="1:19" x14ac:dyDescent="0.25">
      <c r="A43" s="94"/>
      <c r="B43" s="95"/>
      <c r="C43" s="94"/>
      <c r="D43" s="95"/>
      <c r="E43" s="95"/>
      <c r="F43" s="96"/>
      <c r="G43" s="97" t="s">
        <v>96</v>
      </c>
      <c r="H43" s="98"/>
      <c r="I43" s="233"/>
      <c r="J43" s="99">
        <f>SUM(J28:L42)</f>
        <v>66150</v>
      </c>
      <c r="K43" s="535"/>
      <c r="L43" s="536"/>
      <c r="M43" t="s">
        <v>0</v>
      </c>
      <c r="N43" t="s">
        <v>0</v>
      </c>
      <c r="O43" t="s">
        <v>0</v>
      </c>
      <c r="P43" t="s">
        <v>0</v>
      </c>
      <c r="Q43" t="s">
        <v>0</v>
      </c>
      <c r="R43" t="s">
        <v>0</v>
      </c>
      <c r="S43" t="s">
        <v>0</v>
      </c>
    </row>
    <row r="45" spans="4:6" x14ac:dyDescent="0.25">
      <c r="D45" s="239"/>
      <c r="E45" s="239"/>
      <c r="F45" s="239"/>
    </row>
    <row r="46" spans="4:7" x14ac:dyDescent="0.25">
      <c r="D46" s="409"/>
      <c r="E46" s="409"/>
      <c r="F46" s="409"/>
      <c r="G46" s="409"/>
    </row>
  </sheetData>
  <mergeCells count="110">
    <mergeCell ref="A13:B13"/>
    <mergeCell ref="C13:F13"/>
    <mergeCell ref="G13:I13"/>
    <mergeCell ref="J13:L13"/>
    <mergeCell ref="A14:B14"/>
    <mergeCell ref="C14:F14"/>
    <mergeCell ref="G14:I14"/>
    <mergeCell ref="J14:L14"/>
    <mergeCell ref="A15:B15"/>
    <mergeCell ref="C15:F15"/>
    <mergeCell ref="G15:I15"/>
    <mergeCell ref="J15:L15"/>
    <mergeCell ref="A16:B16"/>
    <mergeCell ref="C16:F16"/>
    <mergeCell ref="G16:I16"/>
    <mergeCell ref="J16:L16"/>
    <mergeCell ref="A17:B17"/>
    <mergeCell ref="C17:F17"/>
    <mergeCell ref="G17:I17"/>
    <mergeCell ref="J17:L17"/>
    <mergeCell ref="A18:B18"/>
    <mergeCell ref="C18:F18"/>
    <mergeCell ref="G18:I18"/>
    <mergeCell ref="J18:L18"/>
    <mergeCell ref="A19:B19"/>
    <mergeCell ref="C19:F19"/>
    <mergeCell ref="G19:I19"/>
    <mergeCell ref="J19:L19"/>
    <mergeCell ref="A20:B20"/>
    <mergeCell ref="C20:F20"/>
    <mergeCell ref="G20:I20"/>
    <mergeCell ref="J20:L20"/>
    <mergeCell ref="C21:F21"/>
    <mergeCell ref="C22:F22"/>
    <mergeCell ref="A23:B23"/>
    <mergeCell ref="C23:F23"/>
    <mergeCell ref="G23:I23"/>
    <mergeCell ref="J23:L23"/>
    <mergeCell ref="A24:B24"/>
    <mergeCell ref="C24:F24"/>
    <mergeCell ref="G24:I24"/>
    <mergeCell ref="J24:L24"/>
    <mergeCell ref="A27:B27"/>
    <mergeCell ref="C27:F27"/>
    <mergeCell ref="G27:I27"/>
    <mergeCell ref="J27:L27"/>
    <mergeCell ref="A28:B28"/>
    <mergeCell ref="C28:F28"/>
    <mergeCell ref="G28:I28"/>
    <mergeCell ref="J28:L28"/>
    <mergeCell ref="A29:B29"/>
    <mergeCell ref="C29:F29"/>
    <mergeCell ref="G29:I29"/>
    <mergeCell ref="J29:L29"/>
    <mergeCell ref="A30:B30"/>
    <mergeCell ref="C30:F30"/>
    <mergeCell ref="G30:I30"/>
    <mergeCell ref="J30:L30"/>
    <mergeCell ref="A31:B31"/>
    <mergeCell ref="C31:F31"/>
    <mergeCell ref="G31:I31"/>
    <mergeCell ref="J31:L31"/>
    <mergeCell ref="A32:B32"/>
    <mergeCell ref="C32:F32"/>
    <mergeCell ref="G32:I32"/>
    <mergeCell ref="J32:L32"/>
    <mergeCell ref="A33:B33"/>
    <mergeCell ref="C33:F33"/>
    <mergeCell ref="G33:I33"/>
    <mergeCell ref="J33:L33"/>
    <mergeCell ref="A34:B34"/>
    <mergeCell ref="C34:F34"/>
    <mergeCell ref="G34:I34"/>
    <mergeCell ref="J34:L34"/>
    <mergeCell ref="A35:B35"/>
    <mergeCell ref="C35:F35"/>
    <mergeCell ref="G35:I35"/>
    <mergeCell ref="J35:L35"/>
    <mergeCell ref="A36:B36"/>
    <mergeCell ref="C36:F36"/>
    <mergeCell ref="G36:I36"/>
    <mergeCell ref="J36:L36"/>
    <mergeCell ref="A37:B37"/>
    <mergeCell ref="C37:F37"/>
    <mergeCell ref="G37:I37"/>
    <mergeCell ref="J37:L37"/>
    <mergeCell ref="A38:B38"/>
    <mergeCell ref="C38:F38"/>
    <mergeCell ref="G38:I38"/>
    <mergeCell ref="J38:L38"/>
    <mergeCell ref="A39:B39"/>
    <mergeCell ref="C39:F39"/>
    <mergeCell ref="G39:I39"/>
    <mergeCell ref="J39:L39"/>
    <mergeCell ref="A40:B40"/>
    <mergeCell ref="C40:F40"/>
    <mergeCell ref="G40:I40"/>
    <mergeCell ref="J40:L40"/>
    <mergeCell ref="A41:B41"/>
    <mergeCell ref="C41:F41"/>
    <mergeCell ref="G41:I41"/>
    <mergeCell ref="J41:L41"/>
    <mergeCell ref="A42:B42"/>
    <mergeCell ref="C42:F42"/>
    <mergeCell ref="G42:I42"/>
    <mergeCell ref="J42:L42"/>
    <mergeCell ref="A43:B43"/>
    <mergeCell ref="C43:F43"/>
    <mergeCell ref="G43:I43"/>
    <mergeCell ref="J43:L4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workbookViewId="0" zoomScale="90" zoomScaleNormal="90">
      <selection activeCell="P9" sqref="P9"/>
    </sheetView>
  </sheetViews>
  <sheetFormatPr defaultRowHeight="15" outlineLevelRow="0" outlineLevelCol="0" x14ac:dyDescent="0.25"/>
  <cols>
    <col min="1" max="1" width="40.28515625" customWidth="1"/>
    <col min="2" max="2" width="17.7109375" customWidth="1"/>
    <col min="3" max="3" width="17" customWidth="1"/>
    <col min="4" max="4" width="22.85546875" customWidth="1"/>
    <col min="5" max="5" width="10.85546875" customWidth="1"/>
    <col min="6" max="6" width="10.28515625" customWidth="1"/>
    <col min="7" max="7" width="12.5703125" customWidth="1"/>
    <col min="8" max="8" width="10.28515625" customWidth="1"/>
    <col min="9" max="9" width="11.28515625" customWidth="1"/>
    <col min="10" max="10" width="13.28515625" customWidth="1"/>
    <col min="11" max="11" width="13.140625" customWidth="1"/>
    <col min="12" max="12" width="12.5703125" customWidth="1"/>
    <col min="13" max="13" width="11.140625" customWidth="1"/>
    <col min="14" max="14" width="9.5703125" customWidth="1"/>
    <col min="15" max="15" width="10.5703125" customWidth="1"/>
    <col min="16" max="17" width="11" customWidth="1"/>
    <col min="18" max="18" width="15.140625" customWidth="1"/>
    <col min="20" max="20" width="11.5703125" customWidth="1"/>
  </cols>
  <sheetData>
    <row r="1" ht="72.75" customHeight="1" spans="1:18" x14ac:dyDescent="0.25">
      <c r="A1" s="1" t="s">
        <v>0</v>
      </c>
      <c r="B1" s="3" t="s">
        <v>263</v>
      </c>
      <c r="C1" s="4" t="s">
        <v>921</v>
      </c>
      <c r="D1" s="5" t="s">
        <v>922</v>
      </c>
      <c r="E1" s="6" t="s">
        <v>5</v>
      </c>
      <c r="F1" s="7" t="s">
        <v>6</v>
      </c>
      <c r="G1" s="8" t="s">
        <v>7</v>
      </c>
      <c r="H1" s="7" t="s">
        <v>8</v>
      </c>
      <c r="I1" s="8" t="s">
        <v>9</v>
      </c>
      <c r="J1" s="7" t="s">
        <v>10</v>
      </c>
      <c r="K1" s="8" t="s">
        <v>11</v>
      </c>
      <c r="L1" s="7" t="s">
        <v>12</v>
      </c>
      <c r="M1" s="8" t="s">
        <v>13</v>
      </c>
      <c r="N1" s="7" t="s">
        <v>14</v>
      </c>
      <c r="O1" s="8" t="s">
        <v>15</v>
      </c>
      <c r="P1" s="7" t="s">
        <v>16</v>
      </c>
      <c r="Q1" s="9" t="s">
        <v>0</v>
      </c>
      <c r="R1" s="10" t="s">
        <v>17</v>
      </c>
    </row>
    <row r="2" ht="16.5" customHeight="1" spans="1:18" x14ac:dyDescent="0.25">
      <c r="A2" s="12" t="s">
        <v>1591</v>
      </c>
      <c r="B2" s="186" t="s">
        <v>0</v>
      </c>
      <c r="C2" s="14" t="s">
        <v>0</v>
      </c>
      <c r="D2" s="15" t="s">
        <v>0</v>
      </c>
      <c r="E2" s="16" t="s">
        <v>0</v>
      </c>
      <c r="F2" s="17" t="s">
        <v>0</v>
      </c>
      <c r="G2" s="16" t="s">
        <v>0</v>
      </c>
      <c r="H2" s="17" t="s">
        <v>0</v>
      </c>
      <c r="I2" s="16" t="s">
        <v>0</v>
      </c>
      <c r="J2" s="17" t="s">
        <v>0</v>
      </c>
      <c r="K2" s="16" t="s">
        <v>0</v>
      </c>
      <c r="L2" s="17" t="s">
        <v>0</v>
      </c>
      <c r="M2" s="16" t="s">
        <v>0</v>
      </c>
      <c r="N2" s="17" t="s">
        <v>0</v>
      </c>
      <c r="O2" s="16" t="s">
        <v>0</v>
      </c>
      <c r="P2" s="18" t="s">
        <v>0</v>
      </c>
      <c r="Q2" s="16" t="s">
        <v>0</v>
      </c>
      <c r="R2" s="18" t="s">
        <v>0</v>
      </c>
    </row>
    <row r="3" ht="15.75" customHeight="1" spans="1:18" x14ac:dyDescent="0.25">
      <c r="A3" s="187" t="s">
        <v>19</v>
      </c>
      <c r="B3" s="21" t="s">
        <v>1592</v>
      </c>
      <c r="C3" s="22" t="s">
        <v>1593</v>
      </c>
      <c r="D3" s="23" t="s">
        <v>1594</v>
      </c>
      <c r="E3" s="23" t="s">
        <v>0</v>
      </c>
      <c r="F3" s="23" t="s">
        <v>0</v>
      </c>
      <c r="G3" s="23" t="s">
        <v>0</v>
      </c>
      <c r="H3" s="23" t="s">
        <v>0</v>
      </c>
      <c r="I3" s="23" t="s">
        <v>0</v>
      </c>
      <c r="J3" s="23" t="s">
        <v>0</v>
      </c>
      <c r="K3" s="23" t="s">
        <v>0</v>
      </c>
      <c r="L3" s="23" t="s">
        <v>0</v>
      </c>
      <c r="M3" s="23" t="s">
        <v>1593</v>
      </c>
      <c r="N3" s="23" t="s">
        <v>0</v>
      </c>
      <c r="O3" s="23" t="s">
        <v>0</v>
      </c>
      <c r="P3" s="23" t="s">
        <v>0</v>
      </c>
      <c r="Q3" s="110" t="s">
        <v>0</v>
      </c>
      <c r="R3" s="25" t="s">
        <v>1593</v>
      </c>
    </row>
    <row r="4" ht="15.75" customHeight="1" spans="1:18" x14ac:dyDescent="0.25">
      <c r="A4" s="26" t="s">
        <v>43</v>
      </c>
      <c r="B4" s="188" t="s">
        <v>1595</v>
      </c>
      <c r="C4" s="22" t="s">
        <v>1596</v>
      </c>
      <c r="D4" s="23" t="s">
        <v>1597</v>
      </c>
      <c r="E4" s="28" t="s">
        <v>0</v>
      </c>
      <c r="F4" s="28" t="s">
        <v>0</v>
      </c>
      <c r="G4" s="28" t="s">
        <v>0</v>
      </c>
      <c r="H4" s="28" t="s">
        <v>0</v>
      </c>
      <c r="I4" s="28" t="s">
        <v>0</v>
      </c>
      <c r="J4" s="28" t="s">
        <v>0</v>
      </c>
      <c r="K4" s="28" t="s">
        <v>0</v>
      </c>
      <c r="L4" s="28" t="s">
        <v>0</v>
      </c>
      <c r="M4" s="28" t="s">
        <v>1596</v>
      </c>
      <c r="N4" s="28" t="s">
        <v>0</v>
      </c>
      <c r="O4" s="28" t="s">
        <v>0</v>
      </c>
      <c r="P4" s="28" t="s">
        <v>0</v>
      </c>
      <c r="Q4" s="110" t="s">
        <v>0</v>
      </c>
      <c r="R4" s="23" t="s">
        <v>1596</v>
      </c>
    </row>
    <row r="5" ht="15.75" customHeight="1" spans="1:18" x14ac:dyDescent="0.25">
      <c r="A5" s="26" t="s">
        <v>123</v>
      </c>
      <c r="B5" s="188" t="s">
        <v>150</v>
      </c>
      <c r="C5" s="22" t="s">
        <v>1598</v>
      </c>
      <c r="D5" s="23" t="s">
        <v>1599</v>
      </c>
      <c r="E5" s="28" t="s">
        <v>0</v>
      </c>
      <c r="F5" s="28" t="s">
        <v>0</v>
      </c>
      <c r="G5" s="28" t="s">
        <v>0</v>
      </c>
      <c r="H5" s="28" t="s">
        <v>930</v>
      </c>
      <c r="I5" s="28" t="s">
        <v>1600</v>
      </c>
      <c r="J5" s="28" t="s">
        <v>0</v>
      </c>
      <c r="K5" s="28" t="s">
        <v>0</v>
      </c>
      <c r="L5" s="28" t="s">
        <v>0</v>
      </c>
      <c r="M5" s="28" t="s">
        <v>0</v>
      </c>
      <c r="N5" s="28" t="s">
        <v>0</v>
      </c>
      <c r="O5" s="28" t="s">
        <v>0</v>
      </c>
      <c r="P5" s="28" t="s">
        <v>0</v>
      </c>
      <c r="Q5" s="110" t="s">
        <v>0</v>
      </c>
      <c r="R5" s="23" t="s">
        <v>1598</v>
      </c>
    </row>
    <row r="6" ht="15.75" customHeight="1" spans="1:18" x14ac:dyDescent="0.25">
      <c r="A6" s="26" t="s">
        <v>114</v>
      </c>
      <c r="B6" s="188" t="s">
        <v>279</v>
      </c>
      <c r="C6" s="22" t="s">
        <v>1601</v>
      </c>
      <c r="D6" s="23" t="s">
        <v>1602</v>
      </c>
      <c r="E6" s="28" t="s">
        <v>0</v>
      </c>
      <c r="F6" s="28" t="s">
        <v>1429</v>
      </c>
      <c r="G6" s="28" t="s">
        <v>0</v>
      </c>
      <c r="H6" s="28" t="s">
        <v>1603</v>
      </c>
      <c r="I6" s="28" t="s">
        <v>1604</v>
      </c>
      <c r="J6" s="28" t="s">
        <v>120</v>
      </c>
      <c r="K6" s="28" t="s">
        <v>1605</v>
      </c>
      <c r="L6" s="28" t="s">
        <v>0</v>
      </c>
      <c r="M6" s="28" t="s">
        <v>115</v>
      </c>
      <c r="N6" s="28" t="s">
        <v>0</v>
      </c>
      <c r="O6" s="28" t="s">
        <v>0</v>
      </c>
      <c r="P6" s="28" t="s">
        <v>0</v>
      </c>
      <c r="Q6" s="110" t="s">
        <v>0</v>
      </c>
      <c r="R6" s="23" t="s">
        <v>1601</v>
      </c>
    </row>
    <row r="7" ht="15.75" customHeight="1" spans="1:18" x14ac:dyDescent="0.25">
      <c r="A7" s="26" t="s">
        <v>1606</v>
      </c>
      <c r="B7" s="188" t="s">
        <v>293</v>
      </c>
      <c r="C7" s="22" t="s">
        <v>0</v>
      </c>
      <c r="D7" s="23" t="s">
        <v>293</v>
      </c>
      <c r="E7" s="28" t="s">
        <v>0</v>
      </c>
      <c r="F7" s="28" t="s">
        <v>0</v>
      </c>
      <c r="G7" s="28" t="s">
        <v>0</v>
      </c>
      <c r="H7" s="28" t="s">
        <v>0</v>
      </c>
      <c r="I7" s="28" t="s">
        <v>0</v>
      </c>
      <c r="J7" s="28" t="s">
        <v>0</v>
      </c>
      <c r="K7" s="28" t="s">
        <v>0</v>
      </c>
      <c r="L7" s="28" t="s">
        <v>0</v>
      </c>
      <c r="M7" s="28" t="s">
        <v>0</v>
      </c>
      <c r="N7" s="28" t="s">
        <v>0</v>
      </c>
      <c r="O7" s="28" t="s">
        <v>0</v>
      </c>
      <c r="P7" s="28" t="s">
        <v>0</v>
      </c>
      <c r="Q7" s="110" t="s">
        <v>0</v>
      </c>
      <c r="R7" s="23" t="s">
        <v>0</v>
      </c>
    </row>
    <row r="8" ht="15.75" customHeight="1" spans="1:18" x14ac:dyDescent="0.25">
      <c r="A8" s="26" t="s">
        <v>45</v>
      </c>
      <c r="B8" s="188" t="s">
        <v>0</v>
      </c>
      <c r="C8" s="22" t="s">
        <v>1607</v>
      </c>
      <c r="D8" s="23" t="s">
        <v>1608</v>
      </c>
      <c r="E8" s="28" t="s">
        <v>1609</v>
      </c>
      <c r="F8" s="28" t="s">
        <v>1610</v>
      </c>
      <c r="G8" s="28" t="s">
        <v>1611</v>
      </c>
      <c r="H8" s="28" t="s">
        <v>1612</v>
      </c>
      <c r="I8" s="28" t="s">
        <v>1613</v>
      </c>
      <c r="J8" s="28" t="s">
        <v>1614</v>
      </c>
      <c r="K8" s="28" t="s">
        <v>1615</v>
      </c>
      <c r="L8" s="28" t="s">
        <v>1616</v>
      </c>
      <c r="M8" s="28" t="s">
        <v>1617</v>
      </c>
      <c r="N8" s="28" t="s">
        <v>1051</v>
      </c>
      <c r="O8" s="28" t="s">
        <v>1618</v>
      </c>
      <c r="P8" s="28" t="s">
        <v>1619</v>
      </c>
      <c r="Q8" s="110" t="s">
        <v>0</v>
      </c>
      <c r="R8" s="23" t="s">
        <v>1607</v>
      </c>
    </row>
    <row r="9" ht="15.75" customHeight="1" spans="1:18" x14ac:dyDescent="0.25">
      <c r="A9" s="19" t="s">
        <v>1302</v>
      </c>
      <c r="B9" s="188" t="s">
        <v>150</v>
      </c>
      <c r="C9" s="22" t="s">
        <v>0</v>
      </c>
      <c r="D9" s="23" t="s">
        <v>150</v>
      </c>
      <c r="E9" s="28" t="s">
        <v>0</v>
      </c>
      <c r="F9" s="28" t="s">
        <v>0</v>
      </c>
      <c r="G9" s="28" t="s">
        <v>0</v>
      </c>
      <c r="H9" s="28" t="s">
        <v>0</v>
      </c>
      <c r="I9" s="28" t="s">
        <v>0</v>
      </c>
      <c r="J9" s="28" t="s">
        <v>0</v>
      </c>
      <c r="K9" s="28" t="s">
        <v>0</v>
      </c>
      <c r="L9" s="28" t="s">
        <v>0</v>
      </c>
      <c r="M9" s="28" t="s">
        <v>0</v>
      </c>
      <c r="N9" s="28" t="s">
        <v>0</v>
      </c>
      <c r="O9" s="28" t="s">
        <v>0</v>
      </c>
      <c r="P9" s="28" t="s">
        <v>0</v>
      </c>
      <c r="Q9" s="110" t="s">
        <v>0</v>
      </c>
      <c r="R9" s="23" t="s">
        <v>0</v>
      </c>
    </row>
    <row r="10" ht="15.75" customHeight="1" spans="1:18" x14ac:dyDescent="0.25">
      <c r="A10" s="26" t="s">
        <v>41</v>
      </c>
      <c r="B10" s="188" t="s">
        <v>319</v>
      </c>
      <c r="C10" s="22" t="s">
        <v>0</v>
      </c>
      <c r="D10" s="23" t="s">
        <v>319</v>
      </c>
      <c r="E10" s="28" t="s">
        <v>0</v>
      </c>
      <c r="F10" s="28" t="s">
        <v>0</v>
      </c>
      <c r="G10" s="28" t="s">
        <v>0</v>
      </c>
      <c r="H10" s="28" t="s">
        <v>0</v>
      </c>
      <c r="I10" s="28" t="s">
        <v>0</v>
      </c>
      <c r="J10" s="28" t="s">
        <v>0</v>
      </c>
      <c r="K10" s="28" t="s">
        <v>0</v>
      </c>
      <c r="L10" s="28" t="s">
        <v>0</v>
      </c>
      <c r="M10" s="28" t="s">
        <v>0</v>
      </c>
      <c r="N10" s="28" t="s">
        <v>0</v>
      </c>
      <c r="O10" s="28" t="s">
        <v>0</v>
      </c>
      <c r="P10" s="28" t="s">
        <v>0</v>
      </c>
      <c r="Q10" s="189" t="s">
        <v>0</v>
      </c>
      <c r="R10" s="23" t="s">
        <v>0</v>
      </c>
    </row>
    <row r="11" ht="15.75" customHeight="1" spans="1:18" x14ac:dyDescent="0.25">
      <c r="A11" s="26" t="s">
        <v>33</v>
      </c>
      <c r="B11" s="190" t="s">
        <v>0</v>
      </c>
      <c r="C11" s="22" t="s">
        <v>1620</v>
      </c>
      <c r="D11" s="23" t="s">
        <v>1621</v>
      </c>
      <c r="E11" s="191" t="s">
        <v>0</v>
      </c>
      <c r="F11" s="191" t="s">
        <v>0</v>
      </c>
      <c r="G11" s="191" t="s">
        <v>0</v>
      </c>
      <c r="H11" s="191" t="s">
        <v>0</v>
      </c>
      <c r="I11" s="191" t="s">
        <v>0</v>
      </c>
      <c r="J11" s="191" t="s">
        <v>0</v>
      </c>
      <c r="K11" s="191" t="s">
        <v>0</v>
      </c>
      <c r="L11" s="191" t="s">
        <v>1620</v>
      </c>
      <c r="M11" s="191" t="s">
        <v>0</v>
      </c>
      <c r="N11" s="191" t="s">
        <v>0</v>
      </c>
      <c r="O11" s="191" t="s">
        <v>0</v>
      </c>
      <c r="P11" s="28" t="s">
        <v>0</v>
      </c>
      <c r="Q11" s="191" t="s">
        <v>0</v>
      </c>
      <c r="R11" s="23" t="s">
        <v>1620</v>
      </c>
    </row>
    <row r="12" ht="16.5" customHeight="1" spans="1:20" x14ac:dyDescent="0.25">
      <c r="A12" s="34" t="s">
        <v>0</v>
      </c>
      <c r="B12" s="37" t="s">
        <v>1622</v>
      </c>
      <c r="C12" s="37" t="s">
        <v>1623</v>
      </c>
      <c r="D12" s="37" t="s">
        <v>1624</v>
      </c>
      <c r="E12" s="37" t="s">
        <v>1609</v>
      </c>
      <c r="F12" s="37" t="s">
        <v>1625</v>
      </c>
      <c r="G12" s="37" t="s">
        <v>1611</v>
      </c>
      <c r="H12" s="37" t="s">
        <v>1626</v>
      </c>
      <c r="I12" s="37" t="s">
        <v>1627</v>
      </c>
      <c r="J12" s="37" t="s">
        <v>1628</v>
      </c>
      <c r="K12" s="37" t="s">
        <v>1629</v>
      </c>
      <c r="L12" s="37" t="s">
        <v>1616</v>
      </c>
      <c r="M12" s="37" t="s">
        <v>1630</v>
      </c>
      <c r="N12" s="37" t="s">
        <v>1051</v>
      </c>
      <c r="O12" s="37" t="s">
        <v>1618</v>
      </c>
      <c r="P12" s="37" t="s">
        <v>1619</v>
      </c>
      <c r="Q12" s="193" t="s">
        <v>73</v>
      </c>
      <c r="R12" s="38" t="s">
        <v>1623</v>
      </c>
      <c r="T12" s="203"/>
    </row>
    <row r="13" spans="1:18"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row>
    <row r="14" ht="15.75" customHeight="1" spans="1:18" x14ac:dyDescent="0.25">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row>
    <row r="15" ht="16.5" customHeight="1" spans="1:18" x14ac:dyDescent="0.25">
      <c r="A15" s="40" t="s">
        <v>200</v>
      </c>
      <c r="B15" s="42"/>
      <c r="C15" s="42"/>
      <c r="D15" s="43"/>
      <c r="E15" s="41" t="s">
        <v>76</v>
      </c>
      <c r="F15" s="42"/>
      <c r="G15" s="43"/>
      <c r="H15" s="398" t="s">
        <v>77</v>
      </c>
      <c r="I15" s="399"/>
      <c r="J15" s="126" t="s">
        <v>0</v>
      </c>
      <c r="K15" s="126" t="s">
        <v>0</v>
      </c>
      <c r="L15" s="126" t="s">
        <v>0</v>
      </c>
      <c r="M15" t="s">
        <v>0</v>
      </c>
      <c r="N15" t="s">
        <v>0</v>
      </c>
      <c r="O15" t="s">
        <v>0</v>
      </c>
      <c r="P15" t="s">
        <v>0</v>
      </c>
      <c r="Q15" t="s">
        <v>0</v>
      </c>
      <c r="R15" t="s">
        <v>0</v>
      </c>
    </row>
    <row r="16" ht="29.25" customHeight="1" spans="1:18" s="80" customFormat="1" x14ac:dyDescent="0.25">
      <c r="A16" s="543" t="s">
        <v>1631</v>
      </c>
      <c r="B16" s="136" t="s">
        <v>1632</v>
      </c>
      <c r="C16" s="136"/>
      <c r="D16" s="544"/>
      <c r="E16" s="545" t="s">
        <v>1633</v>
      </c>
      <c r="F16" s="546"/>
      <c r="G16" s="547"/>
      <c r="H16" s="548">
        <v>13107</v>
      </c>
      <c r="I16" s="549"/>
      <c r="J16" s="132" t="s">
        <v>0</v>
      </c>
      <c r="K16" s="132" t="s">
        <v>0</v>
      </c>
      <c r="L16" s="132" t="s">
        <v>0</v>
      </c>
      <c r="M16" s="80" t="s">
        <v>0</v>
      </c>
      <c r="N16" s="80" t="s">
        <v>0</v>
      </c>
      <c r="O16" s="80" t="s">
        <v>0</v>
      </c>
      <c r="P16" s="80" t="s">
        <v>0</v>
      </c>
      <c r="Q16" s="80" t="s">
        <v>0</v>
      </c>
      <c r="R16" s="80" t="s">
        <v>0</v>
      </c>
    </row>
    <row r="17" ht="30" customHeight="1" spans="1:18" x14ac:dyDescent="0.25">
      <c r="A17" s="60" t="s">
        <v>1631</v>
      </c>
      <c r="B17" s="56" t="s">
        <v>1632</v>
      </c>
      <c r="C17" s="56"/>
      <c r="D17" s="57"/>
      <c r="E17" s="55" t="s">
        <v>1634</v>
      </c>
      <c r="F17" s="140"/>
      <c r="G17" s="65"/>
      <c r="H17" s="85">
        <v>7535</v>
      </c>
      <c r="I17" s="86"/>
      <c r="J17" s="132" t="s">
        <v>0</v>
      </c>
      <c r="K17" s="132" t="s">
        <v>0</v>
      </c>
      <c r="L17" s="132" t="s">
        <v>0</v>
      </c>
      <c r="M17" t="s">
        <v>0</v>
      </c>
      <c r="N17" t="s">
        <v>0</v>
      </c>
      <c r="O17" t="s">
        <v>0</v>
      </c>
      <c r="P17" t="s">
        <v>0</v>
      </c>
      <c r="Q17" t="s">
        <v>0</v>
      </c>
      <c r="R17" t="s">
        <v>0</v>
      </c>
    </row>
    <row r="18" ht="31.5" customHeight="1" spans="1:18" x14ac:dyDescent="0.25">
      <c r="A18" s="60" t="s">
        <v>1631</v>
      </c>
      <c r="B18" s="56" t="s">
        <v>1632</v>
      </c>
      <c r="C18" s="56"/>
      <c r="D18" s="57"/>
      <c r="E18" s="55" t="s">
        <v>1635</v>
      </c>
      <c r="F18" s="140"/>
      <c r="G18" s="65"/>
      <c r="H18" s="85">
        <v>20899</v>
      </c>
      <c r="I18" s="86"/>
      <c r="J18" s="132" t="s">
        <v>0</v>
      </c>
      <c r="K18" s="132" t="s">
        <v>0</v>
      </c>
      <c r="L18" s="132" t="s">
        <v>0</v>
      </c>
      <c r="M18" t="s">
        <v>0</v>
      </c>
      <c r="N18" t="s">
        <v>0</v>
      </c>
      <c r="O18" t="s">
        <v>0</v>
      </c>
      <c r="P18" t="s">
        <v>0</v>
      </c>
      <c r="Q18" t="s">
        <v>0</v>
      </c>
      <c r="R18" t="s">
        <v>0</v>
      </c>
    </row>
    <row r="19" ht="28.5" customHeight="1" spans="1:18" x14ac:dyDescent="0.25">
      <c r="A19" s="482" t="s">
        <v>1631</v>
      </c>
      <c r="B19" s="56" t="s">
        <v>1636</v>
      </c>
      <c r="C19" s="56"/>
      <c r="D19" s="57"/>
      <c r="E19" s="55" t="s">
        <v>1637</v>
      </c>
      <c r="F19" s="140"/>
      <c r="G19" s="65"/>
      <c r="H19" s="85">
        <v>8050</v>
      </c>
      <c r="I19" s="86"/>
      <c r="J19" s="132" t="s">
        <v>0</v>
      </c>
      <c r="K19" s="132" t="s">
        <v>0</v>
      </c>
      <c r="L19" s="132" t="s">
        <v>0</v>
      </c>
      <c r="M19" t="s">
        <v>0</v>
      </c>
      <c r="N19" t="s">
        <v>0</v>
      </c>
      <c r="O19" t="s">
        <v>0</v>
      </c>
      <c r="P19" t="s">
        <v>0</v>
      </c>
      <c r="Q19" t="s">
        <v>0</v>
      </c>
      <c r="R19" t="s">
        <v>0</v>
      </c>
    </row>
    <row r="20" ht="30.75" customHeight="1" spans="1:18" x14ac:dyDescent="0.25">
      <c r="A20" s="168" t="s">
        <v>1631</v>
      </c>
      <c r="B20" s="170" t="s">
        <v>1632</v>
      </c>
      <c r="C20" s="170"/>
      <c r="D20" s="171"/>
      <c r="E20" s="169" t="s">
        <v>1638</v>
      </c>
      <c r="F20" s="206"/>
      <c r="G20" s="255"/>
      <c r="H20" s="207">
        <v>2287</v>
      </c>
      <c r="I20" s="208"/>
      <c r="J20" s="132" t="s">
        <v>0</v>
      </c>
      <c r="K20" s="132" t="s">
        <v>0</v>
      </c>
      <c r="L20" s="132" t="s">
        <v>0</v>
      </c>
      <c r="M20" t="s">
        <v>0</v>
      </c>
      <c r="N20" t="s">
        <v>0</v>
      </c>
      <c r="O20" t="s">
        <v>0</v>
      </c>
      <c r="P20" t="s">
        <v>0</v>
      </c>
      <c r="Q20" t="s">
        <v>0</v>
      </c>
      <c r="R20" t="s">
        <v>0</v>
      </c>
    </row>
    <row r="21" ht="30" customHeight="1" spans="1:18" x14ac:dyDescent="0.25">
      <c r="A21" s="228" t="s">
        <v>1570</v>
      </c>
      <c r="B21" s="134" t="s">
        <v>1639</v>
      </c>
      <c r="C21" s="134"/>
      <c r="D21" s="84"/>
      <c r="E21" s="81" t="s">
        <v>1640</v>
      </c>
      <c r="F21" s="134"/>
      <c r="G21" s="84"/>
      <c r="H21" s="251">
        <v>29900</v>
      </c>
      <c r="I21" s="252"/>
      <c r="J21" s="132" t="s">
        <v>0</v>
      </c>
      <c r="K21" s="132" t="s">
        <v>0</v>
      </c>
      <c r="L21" s="132" t="s">
        <v>0</v>
      </c>
      <c r="M21" t="s">
        <v>0</v>
      </c>
      <c r="N21" t="s">
        <v>0</v>
      </c>
      <c r="O21" t="s">
        <v>0</v>
      </c>
      <c r="P21" t="s">
        <v>0</v>
      </c>
      <c r="Q21" t="s">
        <v>0</v>
      </c>
      <c r="R21" t="s">
        <v>0</v>
      </c>
    </row>
    <row r="22" ht="30" customHeight="1" spans="1:18" x14ac:dyDescent="0.25">
      <c r="A22" s="228" t="s">
        <v>1641</v>
      </c>
      <c r="B22" s="81" t="s">
        <v>1642</v>
      </c>
      <c r="C22" s="134"/>
      <c r="D22" s="84"/>
      <c r="E22" s="81" t="s">
        <v>1643</v>
      </c>
      <c r="F22" s="134"/>
      <c r="G22" s="84"/>
      <c r="H22" s="85">
        <v>99700</v>
      </c>
      <c r="I22" s="86"/>
      <c r="J22" s="132" t="s">
        <v>0</v>
      </c>
      <c r="K22" s="132" t="s">
        <v>0</v>
      </c>
      <c r="L22" s="132" t="s">
        <v>0</v>
      </c>
      <c r="M22" t="s">
        <v>0</v>
      </c>
      <c r="N22" t="s">
        <v>0</v>
      </c>
      <c r="O22" t="s">
        <v>0</v>
      </c>
      <c r="P22" t="s">
        <v>0</v>
      </c>
      <c r="Q22" t="s">
        <v>0</v>
      </c>
      <c r="R22" t="s">
        <v>0</v>
      </c>
    </row>
    <row r="23" ht="29.25" customHeight="1" spans="1:18" x14ac:dyDescent="0.25">
      <c r="A23" s="228" t="s">
        <v>1644</v>
      </c>
      <c r="B23" s="81" t="s">
        <v>1645</v>
      </c>
      <c r="C23" s="134"/>
      <c r="D23" s="84"/>
      <c r="E23" s="81" t="s">
        <v>1646</v>
      </c>
      <c r="F23" s="134"/>
      <c r="G23" s="84"/>
      <c r="H23" s="85">
        <v>36350</v>
      </c>
      <c r="I23" s="86"/>
      <c r="J23" s="132" t="s">
        <v>0</v>
      </c>
      <c r="K23" s="132" t="s">
        <v>0</v>
      </c>
      <c r="L23" s="132" t="s">
        <v>0</v>
      </c>
      <c r="M23" t="s">
        <v>0</v>
      </c>
      <c r="N23" t="s">
        <v>0</v>
      </c>
      <c r="O23" t="s">
        <v>0</v>
      </c>
      <c r="P23" t="s">
        <v>0</v>
      </c>
      <c r="Q23" t="s">
        <v>0</v>
      </c>
      <c r="R23" t="s">
        <v>0</v>
      </c>
    </row>
    <row r="24" ht="30.75" customHeight="1" spans="1:18" x14ac:dyDescent="0.25">
      <c r="A24" s="228" t="s">
        <v>1570</v>
      </c>
      <c r="B24" s="172" t="s">
        <v>1647</v>
      </c>
      <c r="C24" s="82"/>
      <c r="D24" s="83"/>
      <c r="E24" s="81" t="s">
        <v>1648</v>
      </c>
      <c r="F24" s="134"/>
      <c r="G24" s="84"/>
      <c r="H24" s="85">
        <v>504</v>
      </c>
      <c r="I24" s="86"/>
      <c r="J24" s="132" t="s">
        <v>0</v>
      </c>
      <c r="K24" s="132" t="s">
        <v>0</v>
      </c>
      <c r="L24" s="132" t="s">
        <v>0</v>
      </c>
      <c r="M24" t="s">
        <v>0</v>
      </c>
      <c r="N24" t="s">
        <v>0</v>
      </c>
      <c r="O24" t="s">
        <v>0</v>
      </c>
      <c r="P24" t="s">
        <v>0</v>
      </c>
      <c r="Q24" t="s">
        <v>0</v>
      </c>
      <c r="R24" t="s">
        <v>0</v>
      </c>
    </row>
    <row r="25" ht="14.25" customHeight="1" spans="1:18" x14ac:dyDescent="0.25">
      <c r="A25" s="228" t="s">
        <v>0</v>
      </c>
      <c r="B25" s="172"/>
      <c r="C25" s="82"/>
      <c r="D25" s="83"/>
      <c r="E25" s="81"/>
      <c r="F25" s="134"/>
      <c r="G25" s="84"/>
      <c r="H25" s="85"/>
      <c r="I25" s="86"/>
      <c r="J25" s="132" t="s">
        <v>0</v>
      </c>
      <c r="K25" s="132" t="s">
        <v>0</v>
      </c>
      <c r="L25" s="132" t="s">
        <v>0</v>
      </c>
      <c r="M25" t="s">
        <v>0</v>
      </c>
      <c r="N25" t="s">
        <v>0</v>
      </c>
      <c r="O25" t="s">
        <v>0</v>
      </c>
      <c r="P25" t="s">
        <v>0</v>
      </c>
      <c r="Q25" t="s">
        <v>0</v>
      </c>
      <c r="R25" t="s">
        <v>0</v>
      </c>
    </row>
    <row r="26" ht="14.25" customHeight="1" spans="1:18" x14ac:dyDescent="0.25">
      <c r="A26" s="228" t="s">
        <v>0</v>
      </c>
      <c r="B26" s="172"/>
      <c r="C26" s="82"/>
      <c r="D26" s="83"/>
      <c r="E26" s="81"/>
      <c r="F26" s="134"/>
      <c r="G26" s="84"/>
      <c r="H26" s="85"/>
      <c r="I26" s="86"/>
      <c r="J26" s="132" t="s">
        <v>0</v>
      </c>
      <c r="K26" s="132" t="s">
        <v>0</v>
      </c>
      <c r="L26" s="132" t="s">
        <v>0</v>
      </c>
      <c r="M26" t="s">
        <v>0</v>
      </c>
      <c r="N26" t="s">
        <v>0</v>
      </c>
      <c r="O26" t="s">
        <v>0</v>
      </c>
      <c r="P26" t="s">
        <v>0</v>
      </c>
      <c r="Q26" t="s">
        <v>0</v>
      </c>
      <c r="R26" t="s">
        <v>0</v>
      </c>
    </row>
    <row r="27" ht="14.25" customHeight="1" spans="1:18" x14ac:dyDescent="0.25">
      <c r="A27" s="228" t="s">
        <v>0</v>
      </c>
      <c r="B27" s="172"/>
      <c r="C27" s="82"/>
      <c r="D27" s="83"/>
      <c r="E27" s="81"/>
      <c r="F27" s="134"/>
      <c r="G27" s="84"/>
      <c r="H27" s="85"/>
      <c r="I27" s="86"/>
      <c r="J27" s="132" t="s">
        <v>0</v>
      </c>
      <c r="K27" s="132" t="s">
        <v>0</v>
      </c>
      <c r="L27" s="132" t="s">
        <v>0</v>
      </c>
      <c r="M27" t="s">
        <v>0</v>
      </c>
      <c r="N27" t="s">
        <v>0</v>
      </c>
      <c r="O27" t="s">
        <v>0</v>
      </c>
      <c r="P27" t="s">
        <v>0</v>
      </c>
      <c r="Q27" t="s">
        <v>0</v>
      </c>
      <c r="R27" t="s">
        <v>0</v>
      </c>
    </row>
    <row r="28" ht="14.25" customHeight="1" spans="1:18" x14ac:dyDescent="0.25">
      <c r="A28" s="228" t="s">
        <v>0</v>
      </c>
      <c r="B28" s="172"/>
      <c r="C28" s="82"/>
      <c r="D28" s="83"/>
      <c r="E28" s="81"/>
      <c r="F28" s="134"/>
      <c r="G28" s="84"/>
      <c r="H28" s="85"/>
      <c r="I28" s="86"/>
      <c r="J28" s="132" t="s">
        <v>0</v>
      </c>
      <c r="K28" s="132" t="s">
        <v>0</v>
      </c>
      <c r="L28" s="132" t="s">
        <v>0</v>
      </c>
      <c r="M28" t="s">
        <v>0</v>
      </c>
      <c r="N28" t="s">
        <v>0</v>
      </c>
      <c r="O28" t="s">
        <v>0</v>
      </c>
      <c r="P28" t="s">
        <v>0</v>
      </c>
      <c r="Q28" t="s">
        <v>0</v>
      </c>
      <c r="R28" t="s">
        <v>0</v>
      </c>
    </row>
    <row r="29" ht="15.75" customHeight="1" spans="1:18" x14ac:dyDescent="0.25">
      <c r="A29" s="256" t="s">
        <v>0</v>
      </c>
      <c r="B29" s="69"/>
      <c r="C29" s="69"/>
      <c r="D29" s="70"/>
      <c r="E29" s="68"/>
      <c r="F29" s="69"/>
      <c r="G29" s="70"/>
      <c r="H29" s="143"/>
      <c r="I29" s="144"/>
      <c r="J29" s="203" t="s">
        <v>0</v>
      </c>
      <c r="K29" s="203" t="s">
        <v>0</v>
      </c>
      <c r="L29" s="203" t="s">
        <v>0</v>
      </c>
      <c r="M29" t="s">
        <v>0</v>
      </c>
      <c r="N29" t="s">
        <v>0</v>
      </c>
      <c r="O29" t="s">
        <v>0</v>
      </c>
      <c r="P29" t="s">
        <v>0</v>
      </c>
      <c r="Q29" t="s">
        <v>0</v>
      </c>
      <c r="R29" t="s">
        <v>0</v>
      </c>
    </row>
    <row r="30" ht="15.75" customHeight="1" spans="1:18" x14ac:dyDescent="0.25">
      <c r="A30" s="93" t="s">
        <v>0</v>
      </c>
      <c r="B30" s="95"/>
      <c r="C30" s="95"/>
      <c r="D30" s="96"/>
      <c r="E30" s="97" t="s">
        <v>96</v>
      </c>
      <c r="F30" s="98"/>
      <c r="G30" s="233"/>
      <c r="H30" s="331">
        <f>SUM(H16:I29)</f>
        <v>218332</v>
      </c>
      <c r="I30" s="233"/>
      <c r="J30" t="s">
        <v>0</v>
      </c>
      <c r="K30" t="s">
        <v>0</v>
      </c>
      <c r="L30" t="s">
        <v>0</v>
      </c>
      <c r="M30" t="s">
        <v>0</v>
      </c>
      <c r="N30" t="s">
        <v>0</v>
      </c>
      <c r="O30" t="s">
        <v>0</v>
      </c>
      <c r="P30" t="s">
        <v>0</v>
      </c>
      <c r="Q30" t="s">
        <v>0</v>
      </c>
      <c r="R30" t="s">
        <v>0</v>
      </c>
    </row>
    <row r="31" spans="1:18" x14ac:dyDescent="0.25">
      <c r="A31" t="s">
        <v>0</v>
      </c>
      <c r="B31" s="102"/>
      <c r="C31" s="102"/>
      <c r="D31" s="102"/>
      <c r="E31" s="102"/>
      <c r="F31" s="102"/>
      <c r="G31" s="102"/>
      <c r="H31" s="102"/>
      <c r="I31" s="102"/>
      <c r="J31" s="550"/>
      <c r="K31" s="551"/>
      <c r="L31" s="551"/>
      <c r="M31" t="s">
        <v>0</v>
      </c>
      <c r="N31" t="s">
        <v>0</v>
      </c>
      <c r="O31" t="s">
        <v>0</v>
      </c>
      <c r="P31" t="s">
        <v>0</v>
      </c>
      <c r="Q31" t="s">
        <v>0</v>
      </c>
      <c r="R31" t="s">
        <v>0</v>
      </c>
    </row>
    <row r="32" ht="15.75" customHeight="1" spans="1:18" x14ac:dyDescent="0.25">
      <c r="A32" t="s">
        <v>0</v>
      </c>
      <c r="B32" t="s">
        <v>0</v>
      </c>
      <c r="C32" t="s">
        <v>0</v>
      </c>
      <c r="D32" t="s">
        <v>0</v>
      </c>
      <c r="E32" t="s">
        <v>0</v>
      </c>
      <c r="F32" t="s">
        <v>0</v>
      </c>
      <c r="G32" t="s">
        <v>0</v>
      </c>
      <c r="H32" t="s">
        <v>0</v>
      </c>
      <c r="I32" t="s">
        <v>0</v>
      </c>
      <c r="J32" t="s">
        <v>0</v>
      </c>
      <c r="K32" t="s">
        <v>0</v>
      </c>
      <c r="L32" t="s">
        <v>0</v>
      </c>
      <c r="M32" t="s">
        <v>0</v>
      </c>
      <c r="N32" t="s">
        <v>0</v>
      </c>
      <c r="O32" t="s">
        <v>0</v>
      </c>
      <c r="P32" t="s">
        <v>0</v>
      </c>
      <c r="Q32" t="s">
        <v>0</v>
      </c>
      <c r="R32" t="s">
        <v>0</v>
      </c>
    </row>
    <row r="33" ht="16.5" customHeight="1" spans="1:18" x14ac:dyDescent="0.25">
      <c r="A33" s="40" t="s">
        <v>74</v>
      </c>
      <c r="B33" s="42"/>
      <c r="C33" s="42"/>
      <c r="D33" s="43"/>
      <c r="E33" s="41" t="s">
        <v>76</v>
      </c>
      <c r="F33" s="42"/>
      <c r="G33" s="43"/>
      <c r="H33" s="398" t="s">
        <v>77</v>
      </c>
      <c r="I33" s="399"/>
      <c r="J33" s="126"/>
      <c r="K33" s="126"/>
      <c r="L33" s="126"/>
      <c r="M33" t="s">
        <v>0</v>
      </c>
      <c r="N33" t="s">
        <v>0</v>
      </c>
      <c r="O33" t="s">
        <v>0</v>
      </c>
      <c r="P33" t="s">
        <v>0</v>
      </c>
      <c r="Q33" t="s">
        <v>0</v>
      </c>
      <c r="R33" t="s">
        <v>0</v>
      </c>
    </row>
    <row r="34" ht="44.25" customHeight="1" spans="1:18" s="80" customFormat="1" x14ac:dyDescent="0.25">
      <c r="A34" s="543" t="s">
        <v>991</v>
      </c>
      <c r="B34" s="247"/>
      <c r="C34" s="247"/>
      <c r="D34" s="552"/>
      <c r="E34" s="553" t="s">
        <v>1484</v>
      </c>
      <c r="F34" s="546"/>
      <c r="G34" s="547"/>
      <c r="H34" s="548">
        <v>1150</v>
      </c>
      <c r="I34" s="549"/>
      <c r="J34" s="132"/>
      <c r="K34" s="132"/>
      <c r="L34" s="132"/>
      <c r="M34" s="80" t="s">
        <v>0</v>
      </c>
      <c r="N34" s="80" t="s">
        <v>0</v>
      </c>
      <c r="O34" s="80" t="s">
        <v>0</v>
      </c>
      <c r="P34" s="80" t="s">
        <v>0</v>
      </c>
      <c r="Q34" s="80" t="s">
        <v>0</v>
      </c>
      <c r="R34" s="80" t="s">
        <v>0</v>
      </c>
    </row>
    <row r="35" spans="1:18" x14ac:dyDescent="0.25">
      <c r="A35" s="60" t="s">
        <v>1649</v>
      </c>
      <c r="B35" s="170"/>
      <c r="C35" s="170"/>
      <c r="D35" s="171"/>
      <c r="E35" s="64" t="s">
        <v>80</v>
      </c>
      <c r="F35" s="140"/>
      <c r="G35" s="65"/>
      <c r="H35" s="85">
        <f>2100*2</f>
        <v>4200</v>
      </c>
      <c r="I35" s="86"/>
      <c r="J35" s="132" t="s">
        <v>0</v>
      </c>
      <c r="K35" s="132" t="s">
        <v>0</v>
      </c>
      <c r="L35" s="132" t="s">
        <v>0</v>
      </c>
      <c r="M35" t="s">
        <v>0</v>
      </c>
      <c r="N35" t="s">
        <v>0</v>
      </c>
      <c r="O35" t="s">
        <v>0</v>
      </c>
      <c r="P35" t="s">
        <v>0</v>
      </c>
      <c r="Q35" t="s">
        <v>0</v>
      </c>
      <c r="R35" t="s">
        <v>0</v>
      </c>
    </row>
    <row r="36" ht="73.5" customHeight="1" spans="1:18" x14ac:dyDescent="0.25">
      <c r="A36" s="54" t="s">
        <v>1650</v>
      </c>
      <c r="B36" s="56"/>
      <c r="C36" s="56"/>
      <c r="D36" s="57"/>
      <c r="E36" s="55" t="s">
        <v>1651</v>
      </c>
      <c r="F36" s="56"/>
      <c r="G36" s="57"/>
      <c r="H36" s="85">
        <v>7500</v>
      </c>
      <c r="I36" s="86"/>
      <c r="J36" s="132" t="s">
        <v>0</v>
      </c>
      <c r="K36" s="132" t="s">
        <v>0</v>
      </c>
      <c r="L36" s="132" t="s">
        <v>0</v>
      </c>
      <c r="M36" t="s">
        <v>0</v>
      </c>
      <c r="N36" t="s">
        <v>0</v>
      </c>
      <c r="O36" t="s">
        <v>0</v>
      </c>
      <c r="P36" t="s">
        <v>0</v>
      </c>
      <c r="Q36" t="s">
        <v>0</v>
      </c>
      <c r="R36" t="s">
        <v>0</v>
      </c>
    </row>
    <row r="37" ht="30.75" customHeight="1" spans="1:18" x14ac:dyDescent="0.25">
      <c r="A37" s="482" t="s">
        <v>1652</v>
      </c>
      <c r="B37" s="56"/>
      <c r="C37" s="56"/>
      <c r="D37" s="57"/>
      <c r="E37" s="64" t="s">
        <v>1653</v>
      </c>
      <c r="F37" s="140"/>
      <c r="G37" s="65"/>
      <c r="H37" s="85">
        <v>6800</v>
      </c>
      <c r="I37" s="86"/>
      <c r="J37" s="132" t="s">
        <v>0</v>
      </c>
      <c r="K37" s="132" t="s">
        <v>0</v>
      </c>
      <c r="L37" s="132" t="s">
        <v>0</v>
      </c>
      <c r="M37" t="s">
        <v>0</v>
      </c>
      <c r="N37" t="s">
        <v>0</v>
      </c>
      <c r="O37" t="s">
        <v>0</v>
      </c>
      <c r="P37" t="s">
        <v>0</v>
      </c>
      <c r="Q37" t="s">
        <v>0</v>
      </c>
      <c r="R37" t="s">
        <v>0</v>
      </c>
    </row>
    <row r="38" ht="100.5" customHeight="1" spans="1:18" x14ac:dyDescent="0.25">
      <c r="A38" s="168" t="s">
        <v>1652</v>
      </c>
      <c r="B38" s="170"/>
      <c r="C38" s="170"/>
      <c r="D38" s="171"/>
      <c r="E38" s="216" t="s">
        <v>1654</v>
      </c>
      <c r="F38" s="206"/>
      <c r="G38" s="255"/>
      <c r="H38" s="207">
        <v>2000</v>
      </c>
      <c r="I38" s="208"/>
      <c r="J38" s="132" t="s">
        <v>0</v>
      </c>
      <c r="K38" s="132" t="s">
        <v>0</v>
      </c>
      <c r="L38" s="132" t="s">
        <v>0</v>
      </c>
      <c r="M38" t="s">
        <v>0</v>
      </c>
      <c r="N38" t="s">
        <v>0</v>
      </c>
      <c r="O38" t="s">
        <v>0</v>
      </c>
      <c r="P38" t="s">
        <v>0</v>
      </c>
      <c r="Q38" t="s">
        <v>0</v>
      </c>
      <c r="R38" t="s">
        <v>0</v>
      </c>
    </row>
    <row r="39" ht="133.5" customHeight="1" spans="1:18" x14ac:dyDescent="0.25">
      <c r="A39" s="168" t="s">
        <v>1650</v>
      </c>
      <c r="B39" s="134"/>
      <c r="C39" s="134"/>
      <c r="D39" s="84"/>
      <c r="E39" s="81" t="s">
        <v>1655</v>
      </c>
      <c r="F39" s="134"/>
      <c r="G39" s="84"/>
      <c r="H39" s="85">
        <v>8950</v>
      </c>
      <c r="I39" s="86"/>
      <c r="J39" s="132" t="s">
        <v>0</v>
      </c>
      <c r="K39" s="132" t="s">
        <v>0</v>
      </c>
      <c r="L39" s="132" t="s">
        <v>0</v>
      </c>
      <c r="M39" t="s">
        <v>0</v>
      </c>
      <c r="N39" t="s">
        <v>0</v>
      </c>
      <c r="O39" t="s">
        <v>0</v>
      </c>
      <c r="P39" t="s">
        <v>0</v>
      </c>
      <c r="Q39" t="s">
        <v>0</v>
      </c>
      <c r="R39" t="s">
        <v>0</v>
      </c>
    </row>
    <row r="40" ht="30" customHeight="1" spans="1:18" x14ac:dyDescent="0.25">
      <c r="A40" s="168" t="s">
        <v>1650</v>
      </c>
      <c r="B40" s="134"/>
      <c r="C40" s="134"/>
      <c r="D40" s="84"/>
      <c r="E40" s="172" t="s">
        <v>1411</v>
      </c>
      <c r="F40" s="82"/>
      <c r="G40" s="83"/>
      <c r="H40" s="85">
        <v>1150</v>
      </c>
      <c r="I40" s="86"/>
      <c r="J40" s="132" t="s">
        <v>0</v>
      </c>
      <c r="K40" s="132" t="s">
        <v>0</v>
      </c>
      <c r="L40" s="132" t="s">
        <v>0</v>
      </c>
      <c r="M40" t="s">
        <v>0</v>
      </c>
      <c r="N40" t="s">
        <v>0</v>
      </c>
      <c r="O40" t="s">
        <v>0</v>
      </c>
      <c r="P40" t="s">
        <v>0</v>
      </c>
      <c r="Q40" t="s">
        <v>0</v>
      </c>
      <c r="R40" t="s">
        <v>0</v>
      </c>
    </row>
    <row r="41" ht="46.5" customHeight="1" spans="1:18" x14ac:dyDescent="0.25">
      <c r="A41" s="168" t="s">
        <v>1652</v>
      </c>
      <c r="B41" s="76"/>
      <c r="C41" s="76"/>
      <c r="D41" s="77"/>
      <c r="E41" s="81" t="s">
        <v>1656</v>
      </c>
      <c r="F41" s="134"/>
      <c r="G41" s="84"/>
      <c r="H41" s="85">
        <v>2000</v>
      </c>
      <c r="I41" s="86"/>
      <c r="J41" s="132" t="s">
        <v>0</v>
      </c>
      <c r="K41" s="132" t="s">
        <v>0</v>
      </c>
      <c r="L41" s="132" t="s">
        <v>0</v>
      </c>
      <c r="M41" t="s">
        <v>0</v>
      </c>
      <c r="N41" t="s">
        <v>0</v>
      </c>
      <c r="O41" t="s">
        <v>0</v>
      </c>
      <c r="P41" t="s">
        <v>0</v>
      </c>
      <c r="Q41" t="s">
        <v>0</v>
      </c>
      <c r="R41" t="s">
        <v>0</v>
      </c>
    </row>
    <row r="42" ht="30" customHeight="1" spans="1:18" x14ac:dyDescent="0.25">
      <c r="A42" s="168" t="s">
        <v>1650</v>
      </c>
      <c r="B42" s="76"/>
      <c r="C42" s="76"/>
      <c r="D42" s="77"/>
      <c r="E42" s="81" t="s">
        <v>1657</v>
      </c>
      <c r="F42" s="134"/>
      <c r="G42" s="84"/>
      <c r="H42" s="85">
        <v>1550</v>
      </c>
      <c r="I42" s="86"/>
      <c r="J42" s="132" t="s">
        <v>0</v>
      </c>
      <c r="K42" s="132" t="s">
        <v>0</v>
      </c>
      <c r="L42" s="132" t="s">
        <v>0</v>
      </c>
      <c r="M42" t="s">
        <v>0</v>
      </c>
      <c r="N42" t="s">
        <v>0</v>
      </c>
      <c r="O42" t="s">
        <v>0</v>
      </c>
      <c r="P42" t="s">
        <v>0</v>
      </c>
      <c r="Q42" t="s">
        <v>0</v>
      </c>
      <c r="R42" t="s">
        <v>0</v>
      </c>
    </row>
    <row r="43" spans="1:18" x14ac:dyDescent="0.25">
      <c r="A43" s="168" t="s">
        <v>0</v>
      </c>
      <c r="B43" s="69"/>
      <c r="C43" s="69"/>
      <c r="D43" s="70"/>
      <c r="E43" s="172"/>
      <c r="F43" s="82"/>
      <c r="G43" s="83"/>
      <c r="H43" s="85"/>
      <c r="I43" s="86"/>
      <c r="J43" s="132" t="s">
        <v>0</v>
      </c>
      <c r="K43" s="132" t="s">
        <v>0</v>
      </c>
      <c r="L43" s="132" t="s">
        <v>0</v>
      </c>
      <c r="M43" t="s">
        <v>0</v>
      </c>
      <c r="N43" t="s">
        <v>0</v>
      </c>
      <c r="O43" t="s">
        <v>0</v>
      </c>
      <c r="P43" t="s">
        <v>0</v>
      </c>
      <c r="Q43" t="s">
        <v>0</v>
      </c>
      <c r="R43" t="s">
        <v>0</v>
      </c>
    </row>
    <row r="44" spans="1:18" x14ac:dyDescent="0.25">
      <c r="A44" s="168" t="s">
        <v>0</v>
      </c>
      <c r="B44" s="69"/>
      <c r="C44" s="69"/>
      <c r="D44" s="70"/>
      <c r="E44" s="172"/>
      <c r="F44" s="82"/>
      <c r="G44" s="83"/>
      <c r="H44" s="85"/>
      <c r="I44" s="86"/>
      <c r="J44" s="132" t="s">
        <v>0</v>
      </c>
      <c r="K44" s="132" t="s">
        <v>0</v>
      </c>
      <c r="L44" s="132" t="s">
        <v>0</v>
      </c>
      <c r="M44" t="s">
        <v>0</v>
      </c>
      <c r="N44" t="s">
        <v>0</v>
      </c>
      <c r="O44" t="s">
        <v>0</v>
      </c>
      <c r="P44" t="s">
        <v>0</v>
      </c>
      <c r="Q44" t="s">
        <v>0</v>
      </c>
      <c r="R44" t="s">
        <v>0</v>
      </c>
    </row>
    <row r="45" spans="1:18" x14ac:dyDescent="0.25">
      <c r="A45" s="168" t="s">
        <v>0</v>
      </c>
      <c r="B45" s="134"/>
      <c r="C45" s="134"/>
      <c r="D45" s="84"/>
      <c r="E45" s="172"/>
      <c r="F45" s="82"/>
      <c r="G45" s="83"/>
      <c r="H45" s="85"/>
      <c r="I45" s="86"/>
      <c r="J45" s="132" t="s">
        <v>0</v>
      </c>
      <c r="K45" s="132" t="s">
        <v>0</v>
      </c>
      <c r="L45" s="132" t="s">
        <v>0</v>
      </c>
      <c r="M45" t="s">
        <v>0</v>
      </c>
      <c r="N45" t="s">
        <v>0</v>
      </c>
      <c r="O45" t="s">
        <v>0</v>
      </c>
      <c r="P45" t="s">
        <v>0</v>
      </c>
      <c r="Q45" t="s">
        <v>0</v>
      </c>
      <c r="R45" t="s">
        <v>0</v>
      </c>
    </row>
    <row r="46" spans="1:18" x14ac:dyDescent="0.25">
      <c r="A46" s="54" t="s">
        <v>0</v>
      </c>
      <c r="B46" s="82"/>
      <c r="C46" s="82"/>
      <c r="D46" s="83"/>
      <c r="E46" s="81"/>
      <c r="F46" s="134"/>
      <c r="G46" s="84"/>
      <c r="H46" s="251"/>
      <c r="I46" s="252"/>
      <c r="J46" s="132" t="s">
        <v>0</v>
      </c>
      <c r="K46" s="132" t="s">
        <v>0</v>
      </c>
      <c r="L46" s="132" t="s">
        <v>0</v>
      </c>
      <c r="M46" t="s">
        <v>0</v>
      </c>
      <c r="N46" t="s">
        <v>0</v>
      </c>
      <c r="O46" t="s">
        <v>0</v>
      </c>
      <c r="P46" t="s">
        <v>0</v>
      </c>
      <c r="Q46" t="s">
        <v>0</v>
      </c>
      <c r="R46" t="s">
        <v>0</v>
      </c>
    </row>
    <row r="47" ht="15.75" customHeight="1" spans="1:18" x14ac:dyDescent="0.25">
      <c r="A47" s="60" t="s">
        <v>0</v>
      </c>
      <c r="B47" s="69"/>
      <c r="C47" s="69"/>
      <c r="D47" s="70"/>
      <c r="E47" s="68"/>
      <c r="F47" s="69"/>
      <c r="G47" s="70"/>
      <c r="H47" s="143"/>
      <c r="I47" s="144"/>
      <c r="J47" s="203" t="s">
        <v>0</v>
      </c>
      <c r="K47" s="203" t="s">
        <v>0</v>
      </c>
      <c r="L47" s="203" t="s">
        <v>0</v>
      </c>
      <c r="M47" t="s">
        <v>0</v>
      </c>
      <c r="N47" t="s">
        <v>0</v>
      </c>
      <c r="O47" t="s">
        <v>0</v>
      </c>
      <c r="P47" t="s">
        <v>0</v>
      </c>
      <c r="Q47" t="s">
        <v>0</v>
      </c>
      <c r="R47" t="s">
        <v>0</v>
      </c>
    </row>
    <row r="48" ht="15.75" customHeight="1" spans="1:18" x14ac:dyDescent="0.25">
      <c r="A48" s="93" t="s">
        <v>0</v>
      </c>
      <c r="B48" s="329"/>
      <c r="C48" s="329"/>
      <c r="D48" s="330"/>
      <c r="E48" s="97" t="s">
        <v>96</v>
      </c>
      <c r="F48" s="98"/>
      <c r="G48" s="233"/>
      <c r="H48" s="331">
        <f>SUM(H34:I47)</f>
        <v>35300</v>
      </c>
      <c r="I48" s="233"/>
      <c r="J48" t="s">
        <v>0</v>
      </c>
      <c r="K48" t="s">
        <v>0</v>
      </c>
      <c r="L48" t="s">
        <v>0</v>
      </c>
      <c r="M48" t="s">
        <v>0</v>
      </c>
      <c r="N48" t="s">
        <v>0</v>
      </c>
      <c r="O48" t="s">
        <v>0</v>
      </c>
      <c r="P48" t="s">
        <v>0</v>
      </c>
      <c r="Q48" t="s">
        <v>0</v>
      </c>
      <c r="R48" t="s">
        <v>0</v>
      </c>
    </row>
    <row r="50" spans="2:5" x14ac:dyDescent="0.25">
      <c r="B50" s="409"/>
      <c r="C50" s="409"/>
      <c r="D50" s="409"/>
      <c r="E50" s="409"/>
    </row>
  </sheetData>
  <mergeCells count="101">
    <mergeCell ref="B15:D15"/>
    <mergeCell ref="E15:G15"/>
    <mergeCell ref="H15:I15"/>
    <mergeCell ref="B16:D16"/>
    <mergeCell ref="E16:G16"/>
    <mergeCell ref="H16:I16"/>
    <mergeCell ref="B17:D17"/>
    <mergeCell ref="E17:G17"/>
    <mergeCell ref="H17:I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B26:D26"/>
    <mergeCell ref="E26:G26"/>
    <mergeCell ref="H26:I26"/>
    <mergeCell ref="B27:D27"/>
    <mergeCell ref="E27:G27"/>
    <mergeCell ref="H27:I27"/>
    <mergeCell ref="B28:D28"/>
    <mergeCell ref="E28:G28"/>
    <mergeCell ref="H28:I28"/>
    <mergeCell ref="B29:D29"/>
    <mergeCell ref="E29:G29"/>
    <mergeCell ref="H29:I29"/>
    <mergeCell ref="B30:D30"/>
    <mergeCell ref="E30:G30"/>
    <mergeCell ref="H30:I30"/>
    <mergeCell ref="B31:F31"/>
    <mergeCell ref="G31:I31"/>
    <mergeCell ref="J31:L31"/>
    <mergeCell ref="B33:D33"/>
    <mergeCell ref="E33:G33"/>
    <mergeCell ref="H33:I33"/>
    <mergeCell ref="J33:L33"/>
    <mergeCell ref="B34:D34"/>
    <mergeCell ref="E34:G34"/>
    <mergeCell ref="H34:I34"/>
    <mergeCell ref="J34:L34"/>
    <mergeCell ref="B35:D35"/>
    <mergeCell ref="E35:G35"/>
    <mergeCell ref="H35:I35"/>
    <mergeCell ref="B36:D36"/>
    <mergeCell ref="E36:G36"/>
    <mergeCell ref="H36:I36"/>
    <mergeCell ref="B37:D37"/>
    <mergeCell ref="E37:G37"/>
    <mergeCell ref="H37:I37"/>
    <mergeCell ref="B38:D38"/>
    <mergeCell ref="E38:G38"/>
    <mergeCell ref="H38:I38"/>
    <mergeCell ref="B39:D39"/>
    <mergeCell ref="E39:G39"/>
    <mergeCell ref="H39:I39"/>
    <mergeCell ref="B40:D40"/>
    <mergeCell ref="E40:G40"/>
    <mergeCell ref="H40:I40"/>
    <mergeCell ref="B41:D41"/>
    <mergeCell ref="E41:G41"/>
    <mergeCell ref="H41:I41"/>
    <mergeCell ref="B42:D42"/>
    <mergeCell ref="E42:G42"/>
    <mergeCell ref="H42:I42"/>
    <mergeCell ref="B43:D43"/>
    <mergeCell ref="E43:G43"/>
    <mergeCell ref="H43:I43"/>
    <mergeCell ref="B44:D44"/>
    <mergeCell ref="E44:G44"/>
    <mergeCell ref="H44:I44"/>
    <mergeCell ref="B45:D45"/>
    <mergeCell ref="E45:G45"/>
    <mergeCell ref="H45:I45"/>
    <mergeCell ref="B46:D46"/>
    <mergeCell ref="E46:G46"/>
    <mergeCell ref="H46:I46"/>
    <mergeCell ref="B47:D47"/>
    <mergeCell ref="E47:G47"/>
    <mergeCell ref="H47:I47"/>
    <mergeCell ref="B48:D48"/>
    <mergeCell ref="E48:G48"/>
    <mergeCell ref="H48:I4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workbookViewId="0" zoomScale="90" zoomScaleNormal="90">
      <selection activeCell="B22" sqref="B22"/>
    </sheetView>
  </sheetViews>
  <sheetFormatPr defaultRowHeight="15" outlineLevelRow="0" outlineLevelCol="0" x14ac:dyDescent="0.25"/>
  <cols>
    <col min="1" max="1" width="46.85546875" customWidth="1"/>
    <col min="2" max="2" width="18.28515625" customWidth="1"/>
    <col min="3" max="3" width="17.85546875" customWidth="1"/>
    <col min="4" max="4" width="31.5703125" customWidth="1"/>
    <col min="5" max="8" width="10.28515625" customWidth="1"/>
    <col min="9" max="9" width="11.28515625" customWidth="1"/>
    <col min="10" max="11" width="10.28515625" customWidth="1"/>
    <col min="12" max="12" width="9.28515625" customWidth="1"/>
    <col min="13" max="13" width="10.28515625" customWidth="1"/>
    <col min="14" max="14" width="9.28515625" customWidth="1"/>
    <col min="15" max="15" width="11.7109375" customWidth="1"/>
    <col min="16" max="17" width="11.5703125" customWidth="1"/>
    <col min="18" max="18" width="15.7109375" customWidth="1"/>
  </cols>
  <sheetData>
    <row r="1" ht="72.75" customHeight="1" spans="1:18" x14ac:dyDescent="0.25">
      <c r="A1" s="1" t="s">
        <v>0</v>
      </c>
      <c r="B1" s="3" t="s">
        <v>263</v>
      </c>
      <c r="C1" s="4" t="s">
        <v>921</v>
      </c>
      <c r="D1" s="5" t="s">
        <v>922</v>
      </c>
      <c r="E1" s="6" t="s">
        <v>5</v>
      </c>
      <c r="F1" s="7" t="s">
        <v>6</v>
      </c>
      <c r="G1" s="8" t="s">
        <v>7</v>
      </c>
      <c r="H1" s="7" t="s">
        <v>8</v>
      </c>
      <c r="I1" s="8" t="s">
        <v>9</v>
      </c>
      <c r="J1" s="7" t="s">
        <v>10</v>
      </c>
      <c r="K1" s="8" t="s">
        <v>11</v>
      </c>
      <c r="L1" s="7" t="s">
        <v>12</v>
      </c>
      <c r="M1" s="8" t="s">
        <v>13</v>
      </c>
      <c r="N1" s="7" t="s">
        <v>14</v>
      </c>
      <c r="O1" s="8" t="s">
        <v>15</v>
      </c>
      <c r="P1" s="7" t="s">
        <v>16</v>
      </c>
      <c r="Q1" s="9" t="s">
        <v>0</v>
      </c>
      <c r="R1" s="10" t="s">
        <v>17</v>
      </c>
    </row>
    <row r="2" ht="16.5" customHeight="1" spans="1:18" x14ac:dyDescent="0.25">
      <c r="A2" s="12" t="s">
        <v>1658</v>
      </c>
      <c r="B2" s="186" t="s">
        <v>0</v>
      </c>
      <c r="C2" s="14" t="s">
        <v>0</v>
      </c>
      <c r="D2" s="15" t="s">
        <v>0</v>
      </c>
      <c r="E2" s="105" t="s">
        <v>0</v>
      </c>
      <c r="F2" s="16" t="s">
        <v>0</v>
      </c>
      <c r="G2" s="17" t="s">
        <v>0</v>
      </c>
      <c r="H2" s="16" t="s">
        <v>0</v>
      </c>
      <c r="I2" s="17" t="s">
        <v>0</v>
      </c>
      <c r="J2" s="16" t="s">
        <v>0</v>
      </c>
      <c r="K2" s="17" t="s">
        <v>0</v>
      </c>
      <c r="L2" s="16" t="s">
        <v>0</v>
      </c>
      <c r="M2" s="18" t="s">
        <v>0</v>
      </c>
      <c r="N2" s="17" t="s">
        <v>0</v>
      </c>
      <c r="O2" s="16" t="s">
        <v>0</v>
      </c>
      <c r="P2" s="18" t="s">
        <v>0</v>
      </c>
      <c r="Q2" s="16" t="s">
        <v>0</v>
      </c>
      <c r="R2" s="16" t="s">
        <v>0</v>
      </c>
    </row>
    <row r="3" ht="15.75" customHeight="1" spans="1:18" x14ac:dyDescent="0.25">
      <c r="A3" s="187" t="s">
        <v>19</v>
      </c>
      <c r="B3" s="21" t="s">
        <v>1659</v>
      </c>
      <c r="C3" s="22" t="s">
        <v>0</v>
      </c>
      <c r="D3" s="23" t="s">
        <v>1659</v>
      </c>
      <c r="E3" s="23" t="s">
        <v>0</v>
      </c>
      <c r="F3" s="23" t="s">
        <v>0</v>
      </c>
      <c r="G3" s="23" t="s">
        <v>0</v>
      </c>
      <c r="H3" s="23" t="s">
        <v>0</v>
      </c>
      <c r="I3" s="23" t="s">
        <v>0</v>
      </c>
      <c r="J3" s="23" t="s">
        <v>0</v>
      </c>
      <c r="K3" s="23" t="s">
        <v>0</v>
      </c>
      <c r="L3" s="23" t="s">
        <v>0</v>
      </c>
      <c r="M3" s="23" t="s">
        <v>0</v>
      </c>
      <c r="N3" s="23" t="s">
        <v>0</v>
      </c>
      <c r="O3" s="23" t="s">
        <v>0</v>
      </c>
      <c r="P3" s="23" t="s">
        <v>0</v>
      </c>
      <c r="Q3" s="24" t="s">
        <v>0</v>
      </c>
      <c r="R3" s="24" t="s">
        <v>0</v>
      </c>
    </row>
    <row r="4" ht="15.75" customHeight="1" spans="1:18" x14ac:dyDescent="0.25">
      <c r="A4" s="187" t="s">
        <v>1660</v>
      </c>
      <c r="B4" s="21" t="s">
        <v>0</v>
      </c>
      <c r="C4" s="22" t="s">
        <v>1661</v>
      </c>
      <c r="D4" s="23" t="s">
        <v>1662</v>
      </c>
      <c r="E4" s="23" t="s">
        <v>0</v>
      </c>
      <c r="F4" s="23" t="s">
        <v>0</v>
      </c>
      <c r="G4" s="23" t="s">
        <v>0</v>
      </c>
      <c r="H4" s="23" t="s">
        <v>0</v>
      </c>
      <c r="I4" s="23" t="s">
        <v>0</v>
      </c>
      <c r="J4" s="23" t="s">
        <v>0</v>
      </c>
      <c r="K4" s="23" t="s">
        <v>1663</v>
      </c>
      <c r="L4" s="23" t="s">
        <v>0</v>
      </c>
      <c r="M4" s="23" t="s">
        <v>736</v>
      </c>
      <c r="N4" s="23" t="s">
        <v>0</v>
      </c>
      <c r="O4" s="23" t="s">
        <v>0</v>
      </c>
      <c r="P4" s="23" t="s">
        <v>0</v>
      </c>
      <c r="Q4" s="24" t="s">
        <v>0</v>
      </c>
      <c r="R4" s="24" t="s">
        <v>1661</v>
      </c>
    </row>
    <row r="5" ht="15.75" customHeight="1" spans="1:18" x14ac:dyDescent="0.25">
      <c r="A5" s="187" t="s">
        <v>114</v>
      </c>
      <c r="B5" s="21" t="s">
        <v>0</v>
      </c>
      <c r="C5" s="22" t="s">
        <v>1664</v>
      </c>
      <c r="D5" s="23" t="s">
        <v>1665</v>
      </c>
      <c r="E5" s="23" t="s">
        <v>0</v>
      </c>
      <c r="F5" s="23" t="s">
        <v>1429</v>
      </c>
      <c r="G5" s="23" t="s">
        <v>0</v>
      </c>
      <c r="H5" s="23" t="s">
        <v>0</v>
      </c>
      <c r="I5" s="23" t="s">
        <v>1666</v>
      </c>
      <c r="J5" s="23" t="s">
        <v>0</v>
      </c>
      <c r="K5" s="23" t="s">
        <v>1297</v>
      </c>
      <c r="L5" s="23" t="s">
        <v>0</v>
      </c>
      <c r="M5" s="23" t="s">
        <v>1172</v>
      </c>
      <c r="N5" s="23" t="s">
        <v>0</v>
      </c>
      <c r="O5" s="23" t="s">
        <v>0</v>
      </c>
      <c r="P5" s="23" t="s">
        <v>0</v>
      </c>
      <c r="Q5" s="24" t="s">
        <v>0</v>
      </c>
      <c r="R5" s="24" t="s">
        <v>1664</v>
      </c>
    </row>
    <row r="6" ht="15.75" customHeight="1" spans="1:18" x14ac:dyDescent="0.25">
      <c r="A6" s="26" t="s">
        <v>43</v>
      </c>
      <c r="B6" s="188" t="s">
        <v>1667</v>
      </c>
      <c r="C6" s="22" t="s">
        <v>1668</v>
      </c>
      <c r="D6" s="23" t="s">
        <v>1669</v>
      </c>
      <c r="E6" s="28" t="s">
        <v>0</v>
      </c>
      <c r="F6" s="28" t="s">
        <v>0</v>
      </c>
      <c r="G6" s="28" t="s">
        <v>0</v>
      </c>
      <c r="H6" s="28" t="s">
        <v>0</v>
      </c>
      <c r="I6" s="28" t="s">
        <v>0</v>
      </c>
      <c r="J6" s="28" t="s">
        <v>1670</v>
      </c>
      <c r="K6" s="28" t="s">
        <v>0</v>
      </c>
      <c r="L6" s="28" t="s">
        <v>0</v>
      </c>
      <c r="M6" s="28" t="s">
        <v>1671</v>
      </c>
      <c r="N6" s="28" t="s">
        <v>0</v>
      </c>
      <c r="O6" s="28" t="s">
        <v>0</v>
      </c>
      <c r="P6" s="28" t="s">
        <v>0</v>
      </c>
      <c r="Q6" s="24" t="s">
        <v>0</v>
      </c>
      <c r="R6" s="24" t="s">
        <v>1668</v>
      </c>
    </row>
    <row r="7" ht="15.75" customHeight="1" spans="1:18" x14ac:dyDescent="0.25">
      <c r="A7" s="26" t="s">
        <v>45</v>
      </c>
      <c r="B7" s="188" t="s">
        <v>0</v>
      </c>
      <c r="C7" s="22" t="s">
        <v>1672</v>
      </c>
      <c r="D7" s="23" t="s">
        <v>1673</v>
      </c>
      <c r="E7" s="28" t="s">
        <v>1674</v>
      </c>
      <c r="F7" s="28" t="s">
        <v>1541</v>
      </c>
      <c r="G7" s="28" t="s">
        <v>1675</v>
      </c>
      <c r="H7" s="28" t="s">
        <v>1676</v>
      </c>
      <c r="I7" s="28" t="s">
        <v>0</v>
      </c>
      <c r="J7" s="28" t="s">
        <v>0</v>
      </c>
      <c r="K7" s="28" t="s">
        <v>0</v>
      </c>
      <c r="L7" s="28" t="s">
        <v>0</v>
      </c>
      <c r="M7" s="28" t="s">
        <v>0</v>
      </c>
      <c r="N7" s="28" t="s">
        <v>0</v>
      </c>
      <c r="O7" s="28" t="s">
        <v>0</v>
      </c>
      <c r="P7" s="28" t="s">
        <v>0</v>
      </c>
      <c r="Q7" s="24" t="s">
        <v>0</v>
      </c>
      <c r="R7" s="24" t="s">
        <v>1672</v>
      </c>
    </row>
    <row r="8" ht="15.75" customHeight="1" spans="1:18" x14ac:dyDescent="0.25">
      <c r="A8" s="26" t="s">
        <v>1677</v>
      </c>
      <c r="B8" s="188" t="s">
        <v>310</v>
      </c>
      <c r="C8" s="22" t="s">
        <v>0</v>
      </c>
      <c r="D8" s="23" t="s">
        <v>310</v>
      </c>
      <c r="E8" s="28" t="s">
        <v>0</v>
      </c>
      <c r="F8" s="28" t="s">
        <v>0</v>
      </c>
      <c r="G8" s="28" t="s">
        <v>0</v>
      </c>
      <c r="H8" s="28" t="s">
        <v>0</v>
      </c>
      <c r="I8" s="28" t="s">
        <v>0</v>
      </c>
      <c r="J8" s="28" t="s">
        <v>0</v>
      </c>
      <c r="K8" s="28" t="s">
        <v>0</v>
      </c>
      <c r="L8" s="28" t="s">
        <v>0</v>
      </c>
      <c r="M8" s="28" t="s">
        <v>0</v>
      </c>
      <c r="N8" s="28" t="s">
        <v>0</v>
      </c>
      <c r="O8" s="28" t="s">
        <v>0</v>
      </c>
      <c r="P8" s="28" t="s">
        <v>0</v>
      </c>
      <c r="Q8" s="24" t="s">
        <v>0</v>
      </c>
      <c r="R8" s="24" t="s">
        <v>0</v>
      </c>
    </row>
    <row r="9" ht="15.75" customHeight="1" spans="1:18" x14ac:dyDescent="0.25">
      <c r="A9" s="26" t="s">
        <v>33</v>
      </c>
      <c r="B9" s="188" t="s">
        <v>0</v>
      </c>
      <c r="C9" s="22" t="s">
        <v>0</v>
      </c>
      <c r="D9" s="23" t="s">
        <v>0</v>
      </c>
      <c r="E9" s="28" t="s">
        <v>0</v>
      </c>
      <c r="F9" s="28" t="s">
        <v>0</v>
      </c>
      <c r="G9" s="28" t="s">
        <v>0</v>
      </c>
      <c r="H9" s="28" t="s">
        <v>0</v>
      </c>
      <c r="I9" s="28" t="s">
        <v>0</v>
      </c>
      <c r="J9" s="28" t="s">
        <v>0</v>
      </c>
      <c r="K9" s="28" t="s">
        <v>0</v>
      </c>
      <c r="L9" s="28" t="s">
        <v>0</v>
      </c>
      <c r="M9" s="28" t="s">
        <v>0</v>
      </c>
      <c r="N9" s="28" t="s">
        <v>0</v>
      </c>
      <c r="O9" s="28" t="s">
        <v>125</v>
      </c>
      <c r="P9" s="28" t="s">
        <v>0</v>
      </c>
      <c r="Q9" s="24" t="s">
        <v>0</v>
      </c>
      <c r="R9" s="24" t="s">
        <v>125</v>
      </c>
    </row>
    <row r="10" ht="15.75" customHeight="1" spans="1:18" x14ac:dyDescent="0.25">
      <c r="A10" s="19" t="s">
        <v>41</v>
      </c>
      <c r="B10" s="188" t="s">
        <v>1678</v>
      </c>
      <c r="C10" s="22" t="s">
        <v>0</v>
      </c>
      <c r="D10" s="23" t="s">
        <v>1678</v>
      </c>
      <c r="E10" s="28" t="s">
        <v>0</v>
      </c>
      <c r="F10" s="28" t="s">
        <v>0</v>
      </c>
      <c r="G10" s="28" t="s">
        <v>0</v>
      </c>
      <c r="H10" s="28" t="s">
        <v>0</v>
      </c>
      <c r="I10" s="28" t="s">
        <v>0</v>
      </c>
      <c r="J10" s="28" t="s">
        <v>0</v>
      </c>
      <c r="K10" s="28" t="s">
        <v>0</v>
      </c>
      <c r="L10" s="28" t="s">
        <v>0</v>
      </c>
      <c r="M10" s="28" t="s">
        <v>0</v>
      </c>
      <c r="N10" s="28" t="s">
        <v>0</v>
      </c>
      <c r="O10" s="28" t="s">
        <v>0</v>
      </c>
      <c r="P10" s="28" t="s">
        <v>0</v>
      </c>
      <c r="Q10" s="24" t="s">
        <v>0</v>
      </c>
      <c r="R10" s="24" t="s">
        <v>0</v>
      </c>
    </row>
    <row r="11" ht="16.5" customHeight="1" spans="1:18" x14ac:dyDescent="0.25">
      <c r="A11" s="34" t="s">
        <v>0</v>
      </c>
      <c r="B11" s="37" t="s">
        <v>319</v>
      </c>
      <c r="C11" s="37" t="s">
        <v>1679</v>
      </c>
      <c r="D11" s="37" t="s">
        <v>1680</v>
      </c>
      <c r="E11" s="37" t="s">
        <v>1674</v>
      </c>
      <c r="F11" s="37" t="s">
        <v>1681</v>
      </c>
      <c r="G11" s="37" t="s">
        <v>1675</v>
      </c>
      <c r="H11" s="37" t="s">
        <v>1676</v>
      </c>
      <c r="I11" s="37" t="s">
        <v>1666</v>
      </c>
      <c r="J11" s="37" t="s">
        <v>1670</v>
      </c>
      <c r="K11" s="37" t="s">
        <v>1682</v>
      </c>
      <c r="L11" s="37" t="s">
        <v>0</v>
      </c>
      <c r="M11" s="37" t="s">
        <v>1683</v>
      </c>
      <c r="N11" s="37" t="s">
        <v>0</v>
      </c>
      <c r="O11" s="37" t="s">
        <v>125</v>
      </c>
      <c r="P11" s="37" t="s">
        <v>0</v>
      </c>
      <c r="Q11" s="193" t="s">
        <v>73</v>
      </c>
      <c r="R11" s="192" t="s">
        <v>1684</v>
      </c>
    </row>
    <row r="12" spans="1:18"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row>
    <row r="13" ht="15.75" customHeight="1" spans="1:18"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row>
    <row r="14" ht="16.5" customHeight="1" spans="1:18" x14ac:dyDescent="0.25">
      <c r="A14" s="40" t="s">
        <v>200</v>
      </c>
      <c r="B14" s="42"/>
      <c r="C14" s="42"/>
      <c r="D14" s="43"/>
      <c r="E14" s="41" t="s">
        <v>76</v>
      </c>
      <c r="F14" s="42"/>
      <c r="G14" s="43"/>
      <c r="H14" s="44" t="s">
        <v>77</v>
      </c>
      <c r="I14" s="45" t="s">
        <v>0</v>
      </c>
      <c r="J14" t="s">
        <v>0</v>
      </c>
      <c r="K14" t="s">
        <v>0</v>
      </c>
      <c r="L14" t="s">
        <v>0</v>
      </c>
      <c r="M14" t="s">
        <v>0</v>
      </c>
      <c r="N14" t="s">
        <v>0</v>
      </c>
      <c r="O14" t="s">
        <v>0</v>
      </c>
      <c r="P14" t="s">
        <v>0</v>
      </c>
      <c r="Q14" t="s">
        <v>0</v>
      </c>
      <c r="R14" t="s">
        <v>0</v>
      </c>
    </row>
    <row r="15" ht="30" customHeight="1" spans="1:18" x14ac:dyDescent="0.25">
      <c r="A15" s="168" t="s">
        <v>1685</v>
      </c>
      <c r="B15" s="170"/>
      <c r="C15" s="170"/>
      <c r="D15" s="171"/>
      <c r="E15" s="169" t="s">
        <v>1686</v>
      </c>
      <c r="F15" s="206"/>
      <c r="G15" s="255"/>
      <c r="H15" s="207">
        <v>49380</v>
      </c>
      <c r="I15" s="208"/>
      <c r="J15" t="s">
        <v>0</v>
      </c>
      <c r="K15" t="s">
        <v>0</v>
      </c>
      <c r="L15" t="s">
        <v>0</v>
      </c>
      <c r="M15" t="s">
        <v>0</v>
      </c>
      <c r="N15" t="s">
        <v>0</v>
      </c>
      <c r="O15" t="s">
        <v>0</v>
      </c>
      <c r="P15" t="s">
        <v>0</v>
      </c>
      <c r="Q15" t="s">
        <v>0</v>
      </c>
      <c r="R15" t="s">
        <v>0</v>
      </c>
    </row>
    <row r="16" ht="31.5" customHeight="1" spans="1:18" x14ac:dyDescent="0.25">
      <c r="A16" s="168" t="s">
        <v>1687</v>
      </c>
      <c r="B16" s="170"/>
      <c r="C16" s="170"/>
      <c r="D16" s="171"/>
      <c r="E16" s="169" t="s">
        <v>1688</v>
      </c>
      <c r="F16" s="206"/>
      <c r="G16" s="255"/>
      <c r="H16" s="207">
        <v>14112</v>
      </c>
      <c r="I16" s="208"/>
      <c r="J16" t="s">
        <v>0</v>
      </c>
      <c r="K16" t="s">
        <v>0</v>
      </c>
      <c r="L16" t="s">
        <v>0</v>
      </c>
      <c r="M16" t="s">
        <v>0</v>
      </c>
      <c r="N16" t="s">
        <v>0</v>
      </c>
      <c r="O16" t="s">
        <v>0</v>
      </c>
      <c r="P16" t="s">
        <v>0</v>
      </c>
      <c r="Q16" t="s">
        <v>0</v>
      </c>
      <c r="R16" t="s">
        <v>0</v>
      </c>
    </row>
    <row r="17" ht="15.75" customHeight="1" spans="1:18" x14ac:dyDescent="0.25">
      <c r="A17" s="554" t="s">
        <v>0</v>
      </c>
      <c r="B17" s="170"/>
      <c r="C17" s="170"/>
      <c r="D17" s="171"/>
      <c r="E17" s="216"/>
      <c r="F17" s="206"/>
      <c r="G17" s="255"/>
      <c r="H17" s="207"/>
      <c r="I17" s="208"/>
      <c r="J17" t="s">
        <v>0</v>
      </c>
      <c r="K17" t="s">
        <v>0</v>
      </c>
      <c r="L17" t="s">
        <v>0</v>
      </c>
      <c r="M17" t="s">
        <v>0</v>
      </c>
      <c r="N17" t="s">
        <v>0</v>
      </c>
      <c r="O17" t="s">
        <v>0</v>
      </c>
      <c r="P17" t="s">
        <v>0</v>
      </c>
      <c r="Q17" t="s">
        <v>0</v>
      </c>
      <c r="R17" t="s">
        <v>0</v>
      </c>
    </row>
    <row r="18" spans="1:18" x14ac:dyDescent="0.25">
      <c r="A18" s="554" t="s">
        <v>0</v>
      </c>
      <c r="B18" s="170"/>
      <c r="C18" s="170"/>
      <c r="D18" s="171"/>
      <c r="E18" s="216"/>
      <c r="F18" s="206"/>
      <c r="G18" s="255"/>
      <c r="H18" s="207"/>
      <c r="I18" s="208"/>
      <c r="J18" t="s">
        <v>0</v>
      </c>
      <c r="K18" t="s">
        <v>0</v>
      </c>
      <c r="L18" t="s">
        <v>0</v>
      </c>
      <c r="M18" t="s">
        <v>0</v>
      </c>
      <c r="N18" t="s">
        <v>0</v>
      </c>
      <c r="O18" t="s">
        <v>0</v>
      </c>
      <c r="P18" t="s">
        <v>0</v>
      </c>
      <c r="Q18" t="s">
        <v>0</v>
      </c>
      <c r="R18" t="s">
        <v>0</v>
      </c>
    </row>
    <row r="19" spans="1:18" x14ac:dyDescent="0.25">
      <c r="A19" s="555" t="s">
        <v>0</v>
      </c>
      <c r="B19" s="56"/>
      <c r="C19" s="56"/>
      <c r="D19" s="57"/>
      <c r="E19" s="64"/>
      <c r="F19" s="140"/>
      <c r="G19" s="65"/>
      <c r="H19" s="85"/>
      <c r="I19" s="86"/>
      <c r="J19" t="s">
        <v>0</v>
      </c>
      <c r="K19" t="s">
        <v>0</v>
      </c>
      <c r="L19" t="s">
        <v>0</v>
      </c>
      <c r="M19" t="s">
        <v>0</v>
      </c>
      <c r="N19" t="s">
        <v>0</v>
      </c>
      <c r="O19" t="s">
        <v>0</v>
      </c>
      <c r="P19" t="s">
        <v>0</v>
      </c>
      <c r="Q19" t="s">
        <v>0</v>
      </c>
      <c r="R19" t="s">
        <v>0</v>
      </c>
    </row>
    <row r="20" ht="15.75" customHeight="1" spans="1:18" x14ac:dyDescent="0.25">
      <c r="A20" s="554" t="s">
        <v>0</v>
      </c>
      <c r="B20" s="170"/>
      <c r="C20" s="170"/>
      <c r="D20" s="171"/>
      <c r="E20" s="216"/>
      <c r="F20" s="206"/>
      <c r="G20" s="255"/>
      <c r="H20" s="207"/>
      <c r="I20" s="208"/>
      <c r="J20" t="s">
        <v>0</v>
      </c>
      <c r="K20" t="s">
        <v>0</v>
      </c>
      <c r="L20" t="s">
        <v>0</v>
      </c>
      <c r="M20" t="s">
        <v>0</v>
      </c>
      <c r="N20" t="s">
        <v>0</v>
      </c>
      <c r="O20" t="s">
        <v>0</v>
      </c>
      <c r="P20" t="s">
        <v>0</v>
      </c>
      <c r="Q20" t="s">
        <v>0</v>
      </c>
      <c r="R20" t="s">
        <v>0</v>
      </c>
    </row>
    <row r="21" ht="15.75" customHeight="1" spans="1:18" x14ac:dyDescent="0.25">
      <c r="A21" s="93" t="s">
        <v>0</v>
      </c>
      <c r="B21" s="95"/>
      <c r="C21" s="95"/>
      <c r="D21" s="96"/>
      <c r="E21" s="97" t="s">
        <v>96</v>
      </c>
      <c r="F21" s="98"/>
      <c r="G21" s="233"/>
      <c r="H21" s="99">
        <f>SUM(H15:J20)</f>
        <v>63492</v>
      </c>
      <c r="I21" s="100"/>
      <c r="J21" t="s">
        <v>0</v>
      </c>
      <c r="K21" t="s">
        <v>0</v>
      </c>
      <c r="L21" t="s">
        <v>0</v>
      </c>
      <c r="M21" t="s">
        <v>0</v>
      </c>
      <c r="N21" t="s">
        <v>0</v>
      </c>
      <c r="O21" t="s">
        <v>0</v>
      </c>
      <c r="P21" t="s">
        <v>0</v>
      </c>
      <c r="Q21" t="s">
        <v>0</v>
      </c>
      <c r="R21" t="s">
        <v>0</v>
      </c>
    </row>
    <row r="22" spans="1:18" x14ac:dyDescent="0.25">
      <c r="A22" t="s">
        <v>0</v>
      </c>
      <c r="B22" t="s">
        <v>0</v>
      </c>
      <c r="C22" t="s">
        <v>0</v>
      </c>
      <c r="D22" t="s">
        <v>0</v>
      </c>
      <c r="E22" t="s">
        <v>0</v>
      </c>
      <c r="F22" t="s">
        <v>0</v>
      </c>
      <c r="G22" t="s">
        <v>0</v>
      </c>
      <c r="H22" t="s">
        <v>0</v>
      </c>
      <c r="I22" t="s">
        <v>0</v>
      </c>
      <c r="J22" t="s">
        <v>0</v>
      </c>
      <c r="K22" t="s">
        <v>0</v>
      </c>
      <c r="L22" t="s">
        <v>0</v>
      </c>
      <c r="M22" t="s">
        <v>0</v>
      </c>
      <c r="N22" t="s">
        <v>0</v>
      </c>
      <c r="O22" t="s">
        <v>0</v>
      </c>
      <c r="P22" t="s">
        <v>0</v>
      </c>
      <c r="Q22" t="s">
        <v>0</v>
      </c>
      <c r="R22" t="s">
        <v>0</v>
      </c>
    </row>
    <row r="23" ht="15.75" customHeight="1" spans="1:18" x14ac:dyDescent="0.25">
      <c r="A23" t="s">
        <v>0</v>
      </c>
      <c r="B23" t="s">
        <v>0</v>
      </c>
      <c r="C23" t="s">
        <v>0</v>
      </c>
      <c r="D23" t="s">
        <v>0</v>
      </c>
      <c r="E23" t="s">
        <v>0</v>
      </c>
      <c r="F23" t="s">
        <v>0</v>
      </c>
      <c r="G23" t="s">
        <v>0</v>
      </c>
      <c r="H23" t="s">
        <v>0</v>
      </c>
      <c r="I23" t="s">
        <v>0</v>
      </c>
      <c r="J23" t="s">
        <v>0</v>
      </c>
      <c r="K23" s="203" t="s">
        <v>0</v>
      </c>
      <c r="L23" t="s">
        <v>0</v>
      </c>
      <c r="M23" t="s">
        <v>0</v>
      </c>
      <c r="N23" t="s">
        <v>0</v>
      </c>
      <c r="O23" t="s">
        <v>0</v>
      </c>
      <c r="P23" t="s">
        <v>0</v>
      </c>
      <c r="Q23" t="s">
        <v>0</v>
      </c>
      <c r="R23" t="s">
        <v>0</v>
      </c>
    </row>
    <row r="24" ht="16.5" customHeight="1" spans="1:18" x14ac:dyDescent="0.25">
      <c r="A24" s="40" t="s">
        <v>74</v>
      </c>
      <c r="B24" s="42"/>
      <c r="C24" s="42"/>
      <c r="D24" s="43"/>
      <c r="E24" s="41" t="s">
        <v>76</v>
      </c>
      <c r="F24" s="42"/>
      <c r="G24" s="43"/>
      <c r="H24" s="44" t="s">
        <v>77</v>
      </c>
      <c r="I24" s="45" t="s">
        <v>0</v>
      </c>
      <c r="J24" t="s">
        <v>0</v>
      </c>
      <c r="K24" t="s">
        <v>0</v>
      </c>
      <c r="L24" t="s">
        <v>0</v>
      </c>
      <c r="M24" t="s">
        <v>0</v>
      </c>
      <c r="N24" t="s">
        <v>0</v>
      </c>
      <c r="O24" t="s">
        <v>0</v>
      </c>
      <c r="P24" t="s">
        <v>0</v>
      </c>
      <c r="Q24" t="s">
        <v>0</v>
      </c>
      <c r="R24" t="s">
        <v>0</v>
      </c>
    </row>
    <row r="25" ht="44.25" customHeight="1" spans="1:18" x14ac:dyDescent="0.25">
      <c r="A25" s="248" t="s">
        <v>1689</v>
      </c>
      <c r="B25" s="170"/>
      <c r="C25" s="170"/>
      <c r="D25" s="171"/>
      <c r="E25" s="216" t="s">
        <v>80</v>
      </c>
      <c r="F25" s="206"/>
      <c r="G25" s="255"/>
      <c r="H25" s="207">
        <v>6300</v>
      </c>
      <c r="I25" s="208"/>
      <c r="J25" t="s">
        <v>0</v>
      </c>
      <c r="K25" t="s">
        <v>0</v>
      </c>
      <c r="L25" t="s">
        <v>0</v>
      </c>
      <c r="M25" t="s">
        <v>0</v>
      </c>
      <c r="N25" t="s">
        <v>0</v>
      </c>
      <c r="O25" t="s">
        <v>0</v>
      </c>
      <c r="P25" t="s">
        <v>0</v>
      </c>
      <c r="Q25" t="s">
        <v>0</v>
      </c>
      <c r="R25" t="s">
        <v>0</v>
      </c>
    </row>
    <row r="26" ht="30.75" customHeight="1" spans="1:18" x14ac:dyDescent="0.25">
      <c r="A26" s="168" t="s">
        <v>1690</v>
      </c>
      <c r="B26" s="170"/>
      <c r="C26" s="170"/>
      <c r="D26" s="171"/>
      <c r="E26" s="216" t="s">
        <v>1691</v>
      </c>
      <c r="F26" s="206"/>
      <c r="G26" s="255"/>
      <c r="H26" s="207">
        <v>600</v>
      </c>
      <c r="I26" s="208"/>
      <c r="J26" t="s">
        <v>0</v>
      </c>
      <c r="K26" t="s">
        <v>0</v>
      </c>
      <c r="L26" t="s">
        <v>0</v>
      </c>
      <c r="M26" t="s">
        <v>0</v>
      </c>
      <c r="N26" t="s">
        <v>0</v>
      </c>
      <c r="O26" t="s">
        <v>0</v>
      </c>
      <c r="P26" t="s">
        <v>0</v>
      </c>
      <c r="Q26" t="s">
        <v>0</v>
      </c>
      <c r="R26" t="s">
        <v>0</v>
      </c>
    </row>
    <row r="27" ht="15.75" customHeight="1" spans="1:18" x14ac:dyDescent="0.25">
      <c r="A27" s="168" t="s">
        <v>1692</v>
      </c>
      <c r="B27" s="170"/>
      <c r="C27" s="170"/>
      <c r="D27" s="171"/>
      <c r="E27" s="216" t="s">
        <v>1691</v>
      </c>
      <c r="F27" s="206"/>
      <c r="G27" s="255"/>
      <c r="H27" s="207">
        <v>800</v>
      </c>
      <c r="I27" s="208"/>
      <c r="J27" t="s">
        <v>0</v>
      </c>
      <c r="K27" t="s">
        <v>0</v>
      </c>
      <c r="L27" t="s">
        <v>0</v>
      </c>
      <c r="M27" t="s">
        <v>0</v>
      </c>
      <c r="N27" t="s">
        <v>0</v>
      </c>
      <c r="O27" t="s">
        <v>0</v>
      </c>
      <c r="P27" t="s">
        <v>0</v>
      </c>
      <c r="Q27" t="s">
        <v>0</v>
      </c>
      <c r="R27" t="s">
        <v>0</v>
      </c>
    </row>
    <row r="28" spans="1:18" x14ac:dyDescent="0.25">
      <c r="A28" s="168" t="s">
        <v>1693</v>
      </c>
      <c r="B28" s="170"/>
      <c r="C28" s="170"/>
      <c r="D28" s="171"/>
      <c r="E28" s="216" t="s">
        <v>1691</v>
      </c>
      <c r="F28" s="206"/>
      <c r="G28" s="255"/>
      <c r="H28" s="207">
        <v>800</v>
      </c>
      <c r="I28" s="208"/>
      <c r="J28" t="s">
        <v>0</v>
      </c>
      <c r="K28" s="203" t="s">
        <v>0</v>
      </c>
      <c r="L28" t="s">
        <v>0</v>
      </c>
      <c r="M28" t="s">
        <v>0</v>
      </c>
      <c r="N28" t="s">
        <v>0</v>
      </c>
      <c r="O28" t="s">
        <v>0</v>
      </c>
      <c r="P28" t="s">
        <v>0</v>
      </c>
      <c r="Q28" t="s">
        <v>0</v>
      </c>
      <c r="R28" t="s">
        <v>0</v>
      </c>
    </row>
    <row r="29" ht="30" customHeight="1" spans="1:18" x14ac:dyDescent="0.25">
      <c r="A29" s="168" t="s">
        <v>1690</v>
      </c>
      <c r="B29" s="134"/>
      <c r="C29" s="134"/>
      <c r="D29" s="84"/>
      <c r="E29" s="172" t="s">
        <v>86</v>
      </c>
      <c r="F29" s="82"/>
      <c r="G29" s="83"/>
      <c r="H29" s="85">
        <v>12550</v>
      </c>
      <c r="I29" s="86"/>
      <c r="J29" t="s">
        <v>0</v>
      </c>
      <c r="K29" s="203" t="s">
        <v>0</v>
      </c>
      <c r="L29" t="s">
        <v>0</v>
      </c>
      <c r="M29" t="s">
        <v>0</v>
      </c>
      <c r="N29" t="s">
        <v>0</v>
      </c>
      <c r="O29" t="s">
        <v>0</v>
      </c>
      <c r="P29" t="s">
        <v>0</v>
      </c>
      <c r="Q29" t="s">
        <v>0</v>
      </c>
      <c r="R29" t="s">
        <v>0</v>
      </c>
    </row>
    <row r="30" ht="30" customHeight="1" spans="1:18" x14ac:dyDescent="0.25">
      <c r="A30" s="168" t="s">
        <v>1692</v>
      </c>
      <c r="B30" s="134"/>
      <c r="C30" s="134"/>
      <c r="D30" s="84"/>
      <c r="E30" s="172" t="s">
        <v>1694</v>
      </c>
      <c r="F30" s="82"/>
      <c r="G30" s="83"/>
      <c r="H30" s="85">
        <v>11200</v>
      </c>
      <c r="I30" s="86"/>
      <c r="J30" t="s">
        <v>0</v>
      </c>
      <c r="K30" s="203" t="s">
        <v>0</v>
      </c>
      <c r="L30" t="s">
        <v>0</v>
      </c>
      <c r="M30" t="s">
        <v>0</v>
      </c>
      <c r="N30" t="s">
        <v>0</v>
      </c>
      <c r="O30" t="s">
        <v>0</v>
      </c>
      <c r="P30" t="s">
        <v>0</v>
      </c>
      <c r="Q30" t="s">
        <v>0</v>
      </c>
      <c r="R30" t="s">
        <v>0</v>
      </c>
    </row>
    <row r="31" ht="30.75" customHeight="1" spans="1:18" x14ac:dyDescent="0.25">
      <c r="A31" s="168" t="s">
        <v>1690</v>
      </c>
      <c r="B31" s="134"/>
      <c r="C31" s="134"/>
      <c r="D31" s="84"/>
      <c r="E31" s="81" t="s">
        <v>1695</v>
      </c>
      <c r="F31" s="134"/>
      <c r="G31" s="84"/>
      <c r="H31" s="85">
        <v>1850</v>
      </c>
      <c r="I31" s="86"/>
      <c r="J31" t="s">
        <v>0</v>
      </c>
      <c r="K31" s="203" t="s">
        <v>0</v>
      </c>
      <c r="L31" t="s">
        <v>0</v>
      </c>
      <c r="M31" t="s">
        <v>0</v>
      </c>
      <c r="N31" t="s">
        <v>0</v>
      </c>
      <c r="O31" t="s">
        <v>0</v>
      </c>
      <c r="P31" t="s">
        <v>0</v>
      </c>
      <c r="Q31" t="s">
        <v>0</v>
      </c>
      <c r="R31" t="s">
        <v>0</v>
      </c>
    </row>
    <row r="32" spans="1:18" x14ac:dyDescent="0.25">
      <c r="A32" s="168" t="s">
        <v>0</v>
      </c>
      <c r="B32" s="134"/>
      <c r="C32" s="134"/>
      <c r="D32" s="84"/>
      <c r="E32" s="172"/>
      <c r="F32" s="82"/>
      <c r="G32" s="83"/>
      <c r="H32" s="85"/>
      <c r="I32" s="86"/>
      <c r="J32" t="s">
        <v>0</v>
      </c>
      <c r="K32" s="203" t="s">
        <v>0</v>
      </c>
      <c r="L32" t="s">
        <v>0</v>
      </c>
      <c r="M32" t="s">
        <v>0</v>
      </c>
      <c r="N32" t="s">
        <v>0</v>
      </c>
      <c r="O32" t="s">
        <v>0</v>
      </c>
      <c r="P32" t="s">
        <v>0</v>
      </c>
      <c r="Q32" t="s">
        <v>0</v>
      </c>
      <c r="R32" t="s">
        <v>0</v>
      </c>
    </row>
    <row r="33" spans="1:18" x14ac:dyDescent="0.25">
      <c r="A33" s="168" t="s">
        <v>0</v>
      </c>
      <c r="B33" s="134"/>
      <c r="C33" s="134"/>
      <c r="D33" s="84"/>
      <c r="E33" s="172"/>
      <c r="F33" s="82"/>
      <c r="G33" s="83"/>
      <c r="H33" s="85"/>
      <c r="I33" s="86"/>
      <c r="J33" t="s">
        <v>0</v>
      </c>
      <c r="K33" s="203" t="s">
        <v>0</v>
      </c>
      <c r="L33" t="s">
        <v>0</v>
      </c>
      <c r="M33" t="s">
        <v>0</v>
      </c>
      <c r="N33" t="s">
        <v>0</v>
      </c>
      <c r="O33" t="s">
        <v>0</v>
      </c>
      <c r="P33" t="s">
        <v>0</v>
      </c>
      <c r="Q33" t="s">
        <v>0</v>
      </c>
      <c r="R33" t="s">
        <v>0</v>
      </c>
    </row>
    <row r="34" spans="1:18" x14ac:dyDescent="0.25">
      <c r="A34" s="168" t="s">
        <v>0</v>
      </c>
      <c r="B34" s="134"/>
      <c r="C34" s="134"/>
      <c r="D34" s="84"/>
      <c r="E34" s="172"/>
      <c r="F34" s="82"/>
      <c r="G34" s="83"/>
      <c r="H34" s="85"/>
      <c r="I34" s="86"/>
      <c r="J34" t="s">
        <v>0</v>
      </c>
      <c r="K34" s="203" t="s">
        <v>0</v>
      </c>
      <c r="L34" t="s">
        <v>0</v>
      </c>
      <c r="M34" t="s">
        <v>0</v>
      </c>
      <c r="N34" t="s">
        <v>0</v>
      </c>
      <c r="O34" t="s">
        <v>0</v>
      </c>
      <c r="P34" t="s">
        <v>0</v>
      </c>
      <c r="Q34" t="s">
        <v>0</v>
      </c>
      <c r="R34" t="s">
        <v>0</v>
      </c>
    </row>
    <row r="35" spans="1:18" x14ac:dyDescent="0.25">
      <c r="A35" s="555" t="s">
        <v>0</v>
      </c>
      <c r="B35" s="134"/>
      <c r="C35" s="134"/>
      <c r="D35" s="84"/>
      <c r="E35" s="172"/>
      <c r="F35" s="82"/>
      <c r="G35" s="83"/>
      <c r="H35" s="85"/>
      <c r="I35" s="86"/>
      <c r="J35" t="s">
        <v>0</v>
      </c>
      <c r="K35" t="s">
        <v>0</v>
      </c>
      <c r="L35" t="s">
        <v>0</v>
      </c>
      <c r="M35" t="s">
        <v>0</v>
      </c>
      <c r="N35" t="s">
        <v>0</v>
      </c>
      <c r="O35" t="s">
        <v>0</v>
      </c>
      <c r="P35" t="s">
        <v>0</v>
      </c>
      <c r="Q35" t="s">
        <v>0</v>
      </c>
      <c r="R35" t="s">
        <v>0</v>
      </c>
    </row>
    <row r="36" ht="15.75" customHeight="1" spans="1:18" x14ac:dyDescent="0.25">
      <c r="A36" s="554" t="s">
        <v>0</v>
      </c>
      <c r="B36" s="48"/>
      <c r="C36" s="48"/>
      <c r="D36" s="49"/>
      <c r="E36" s="226"/>
      <c r="F36" s="227"/>
      <c r="G36" s="556"/>
      <c r="H36" s="207"/>
      <c r="I36" s="208"/>
      <c r="J36" t="s">
        <v>0</v>
      </c>
      <c r="K36" t="s">
        <v>0</v>
      </c>
      <c r="L36" t="s">
        <v>0</v>
      </c>
      <c r="M36" t="s">
        <v>0</v>
      </c>
      <c r="N36" t="s">
        <v>0</v>
      </c>
      <c r="O36" t="s">
        <v>0</v>
      </c>
      <c r="P36" t="s">
        <v>0</v>
      </c>
      <c r="Q36" t="s">
        <v>0</v>
      </c>
      <c r="R36" t="s">
        <v>0</v>
      </c>
    </row>
    <row r="37" ht="15.75" customHeight="1" spans="1:18" x14ac:dyDescent="0.25">
      <c r="A37" s="93" t="s">
        <v>0</v>
      </c>
      <c r="B37" s="95"/>
      <c r="C37" s="95"/>
      <c r="D37" s="96"/>
      <c r="E37" s="97" t="s">
        <v>96</v>
      </c>
      <c r="F37" s="98"/>
      <c r="G37" s="233"/>
      <c r="H37" s="99">
        <f>SUM(H25:J36)</f>
        <v>34100</v>
      </c>
      <c r="I37" s="100"/>
      <c r="J37" t="s">
        <v>0</v>
      </c>
      <c r="K37" t="s">
        <v>0</v>
      </c>
      <c r="L37" t="s">
        <v>0</v>
      </c>
      <c r="M37" t="s">
        <v>0</v>
      </c>
      <c r="N37" t="s">
        <v>0</v>
      </c>
      <c r="O37" t="s">
        <v>0</v>
      </c>
      <c r="P37" t="s">
        <v>0</v>
      </c>
      <c r="Q37" t="s">
        <v>0</v>
      </c>
      <c r="R37" t="s">
        <v>0</v>
      </c>
    </row>
    <row r="38" spans="1:18" x14ac:dyDescent="0.25">
      <c r="A38" t="s">
        <v>0</v>
      </c>
      <c r="B38" t="s">
        <v>0</v>
      </c>
      <c r="C38" t="s">
        <v>0</v>
      </c>
      <c r="D38" t="s">
        <v>0</v>
      </c>
      <c r="E38" t="s">
        <v>0</v>
      </c>
      <c r="F38" t="s">
        <v>0</v>
      </c>
      <c r="G38" t="s">
        <v>0</v>
      </c>
      <c r="H38" t="s">
        <v>0</v>
      </c>
      <c r="I38" t="s">
        <v>0</v>
      </c>
      <c r="J38" t="s">
        <v>0</v>
      </c>
      <c r="K38" t="s">
        <v>0</v>
      </c>
      <c r="L38" t="s">
        <v>0</v>
      </c>
      <c r="M38" t="s">
        <v>0</v>
      </c>
      <c r="N38" t="s">
        <v>0</v>
      </c>
      <c r="O38" t="s">
        <v>0</v>
      </c>
      <c r="P38" t="s">
        <v>0</v>
      </c>
      <c r="Q38" t="s">
        <v>0</v>
      </c>
      <c r="R38" t="s">
        <v>0</v>
      </c>
    </row>
    <row r="39" spans="1:18" x14ac:dyDescent="0.25">
      <c r="A39" t="s">
        <v>0</v>
      </c>
      <c r="B39" t="s">
        <v>0</v>
      </c>
      <c r="C39" t="s">
        <v>0</v>
      </c>
      <c r="D39" t="s">
        <v>0</v>
      </c>
      <c r="E39" t="s">
        <v>0</v>
      </c>
      <c r="F39" t="s">
        <v>0</v>
      </c>
      <c r="G39" t="s">
        <v>0</v>
      </c>
      <c r="H39" t="s">
        <v>0</v>
      </c>
      <c r="I39" t="s">
        <v>0</v>
      </c>
      <c r="J39" t="s">
        <v>0</v>
      </c>
      <c r="K39" t="s">
        <v>0</v>
      </c>
      <c r="L39" t="s">
        <v>0</v>
      </c>
      <c r="M39" t="s">
        <v>0</v>
      </c>
      <c r="N39" t="s">
        <v>0</v>
      </c>
      <c r="O39" t="s">
        <v>0</v>
      </c>
      <c r="P39" t="s">
        <v>0</v>
      </c>
      <c r="Q39" t="s">
        <v>0</v>
      </c>
      <c r="R39" t="s">
        <v>0</v>
      </c>
    </row>
    <row r="40" spans="1:18" x14ac:dyDescent="0.25">
      <c r="A40" t="s">
        <v>0</v>
      </c>
      <c r="B40" s="73"/>
      <c r="C40" s="73"/>
      <c r="D40" s="73"/>
      <c r="E40" t="s">
        <v>0</v>
      </c>
      <c r="F40" t="s">
        <v>0</v>
      </c>
      <c r="G40" t="s">
        <v>0</v>
      </c>
      <c r="H40" t="s">
        <v>0</v>
      </c>
      <c r="I40" t="s">
        <v>0</v>
      </c>
      <c r="J40" t="s">
        <v>0</v>
      </c>
      <c r="K40" t="s">
        <v>0</v>
      </c>
      <c r="L40" t="s">
        <v>0</v>
      </c>
      <c r="M40" t="s">
        <v>0</v>
      </c>
      <c r="N40" t="s">
        <v>0</v>
      </c>
      <c r="O40" t="s">
        <v>0</v>
      </c>
      <c r="P40" t="s">
        <v>0</v>
      </c>
      <c r="Q40" t="s">
        <v>0</v>
      </c>
      <c r="R40" t="s">
        <v>0</v>
      </c>
    </row>
  </sheetData>
  <mergeCells count="65">
    <mergeCell ref="B14:D14"/>
    <mergeCell ref="E14:G14"/>
    <mergeCell ref="B15:D15"/>
    <mergeCell ref="E15:G15"/>
    <mergeCell ref="H15:I15"/>
    <mergeCell ref="B16:D16"/>
    <mergeCell ref="E16:G16"/>
    <mergeCell ref="H16:I16"/>
    <mergeCell ref="B17:D17"/>
    <mergeCell ref="E17:G17"/>
    <mergeCell ref="H17:I17"/>
    <mergeCell ref="B18:D18"/>
    <mergeCell ref="E18:G18"/>
    <mergeCell ref="H18:I18"/>
    <mergeCell ref="B19:D19"/>
    <mergeCell ref="E19:G19"/>
    <mergeCell ref="H19:I19"/>
    <mergeCell ref="B20:D20"/>
    <mergeCell ref="E20:G20"/>
    <mergeCell ref="H20:I20"/>
    <mergeCell ref="B21:D21"/>
    <mergeCell ref="E21:G21"/>
    <mergeCell ref="H21:I21"/>
    <mergeCell ref="B24:D24"/>
    <mergeCell ref="E24:G24"/>
    <mergeCell ref="B25:D25"/>
    <mergeCell ref="E25:G25"/>
    <mergeCell ref="H25:I25"/>
    <mergeCell ref="B26:D26"/>
    <mergeCell ref="E26:G26"/>
    <mergeCell ref="H26:I26"/>
    <mergeCell ref="B27:D27"/>
    <mergeCell ref="E27:G27"/>
    <mergeCell ref="H27:I27"/>
    <mergeCell ref="B28:D28"/>
    <mergeCell ref="E28:G28"/>
    <mergeCell ref="H28:I28"/>
    <mergeCell ref="B29:D29"/>
    <mergeCell ref="E29:G29"/>
    <mergeCell ref="H29:I29"/>
    <mergeCell ref="B30:D30"/>
    <mergeCell ref="E30:G30"/>
    <mergeCell ref="H30:I30"/>
    <mergeCell ref="B31:D31"/>
    <mergeCell ref="E31:G31"/>
    <mergeCell ref="H31:I31"/>
    <mergeCell ref="B32:D32"/>
    <mergeCell ref="E32:G32"/>
    <mergeCell ref="H32:I32"/>
    <mergeCell ref="B33:D33"/>
    <mergeCell ref="E33:G33"/>
    <mergeCell ref="H33:I33"/>
    <mergeCell ref="B34:D34"/>
    <mergeCell ref="E34:G34"/>
    <mergeCell ref="H34:I34"/>
    <mergeCell ref="B35:D35"/>
    <mergeCell ref="E35:G35"/>
    <mergeCell ref="H35:I35"/>
    <mergeCell ref="B36:D36"/>
    <mergeCell ref="E36:G36"/>
    <mergeCell ref="H36:I36"/>
    <mergeCell ref="B37:D37"/>
    <mergeCell ref="E37:G37"/>
    <mergeCell ref="H37:I37"/>
    <mergeCell ref="B40:D4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zoomScale="100" zoomScaleNormal="100">
      <selection activeCell="A17" sqref="A17"/>
    </sheetView>
  </sheetViews>
  <sheetFormatPr defaultRowHeight="15" outlineLevelRow="0" outlineLevelCol="0" x14ac:dyDescent="0.25"/>
  <cols>
    <col min="1" max="1" width="34.85546875" customWidth="1"/>
    <col min="2" max="2" width="16.7109375" hidden="1" customWidth="1"/>
    <col min="3" max="3" width="18.85546875" customWidth="1"/>
    <col min="4" max="4" width="16.42578125" customWidth="1"/>
    <col min="5" max="5" width="15.140625" customWidth="1"/>
    <col min="6" max="6" width="13.7109375" customWidth="1"/>
    <col min="7" max="7" width="13" customWidth="1"/>
    <col min="8" max="8" width="12.7109375" customWidth="1"/>
    <col min="9" max="9" width="10.28515625" customWidth="1"/>
    <col min="10" max="10" width="11.28515625" customWidth="1"/>
    <col min="11" max="11" width="11.140625" customWidth="1"/>
    <col min="12" max="15" width="10.28515625" customWidth="1"/>
    <col min="16" max="16" width="10.7109375" customWidth="1"/>
    <col min="17" max="18" width="12.85546875" customWidth="1"/>
    <col min="19" max="19" width="15.5703125" customWidth="1"/>
  </cols>
  <sheetData>
    <row r="1" ht="72.75" customHeight="1" spans="1:19" x14ac:dyDescent="0.25">
      <c r="A1" s="1" t="s">
        <v>0</v>
      </c>
      <c r="B1" s="2" t="s">
        <v>920</v>
      </c>
      <c r="C1" s="3" t="s">
        <v>263</v>
      </c>
      <c r="D1" s="4" t="s">
        <v>921</v>
      </c>
      <c r="E1" s="5" t="s">
        <v>922</v>
      </c>
      <c r="F1" s="6" t="s">
        <v>5</v>
      </c>
      <c r="G1" s="7" t="s">
        <v>6</v>
      </c>
      <c r="H1" s="8" t="s">
        <v>7</v>
      </c>
      <c r="I1" s="7" t="s">
        <v>8</v>
      </c>
      <c r="J1" s="8" t="s">
        <v>9</v>
      </c>
      <c r="K1" s="7" t="s">
        <v>10</v>
      </c>
      <c r="L1" s="8" t="s">
        <v>11</v>
      </c>
      <c r="M1" s="7" t="s">
        <v>12</v>
      </c>
      <c r="N1" s="8" t="s">
        <v>13</v>
      </c>
      <c r="O1" s="7" t="s">
        <v>14</v>
      </c>
      <c r="P1" s="8" t="s">
        <v>15</v>
      </c>
      <c r="Q1" s="7" t="s">
        <v>16</v>
      </c>
      <c r="R1" s="9" t="s">
        <v>0</v>
      </c>
      <c r="S1" s="10" t="s">
        <v>17</v>
      </c>
    </row>
    <row r="2" ht="16.5" customHeight="1" spans="1:19" x14ac:dyDescent="0.25">
      <c r="A2" s="12" t="s">
        <v>1696</v>
      </c>
      <c r="B2" s="13" t="s">
        <v>0</v>
      </c>
      <c r="C2" s="13"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16" t="s">
        <v>0</v>
      </c>
      <c r="S2" s="16" t="s">
        <v>0</v>
      </c>
    </row>
    <row r="3" ht="15.75" customHeight="1" spans="1:19" x14ac:dyDescent="0.25">
      <c r="A3" s="187" t="s">
        <v>19</v>
      </c>
      <c r="B3" s="20" t="s">
        <v>0</v>
      </c>
      <c r="C3" s="21" t="s">
        <v>1697</v>
      </c>
      <c r="D3" s="22" t="s">
        <v>1698</v>
      </c>
      <c r="E3" s="23" t="s">
        <v>1699</v>
      </c>
      <c r="F3" s="23" t="s">
        <v>0</v>
      </c>
      <c r="G3" s="23" t="s">
        <v>0</v>
      </c>
      <c r="H3" s="23" t="s">
        <v>1700</v>
      </c>
      <c r="I3" s="23" t="s">
        <v>0</v>
      </c>
      <c r="J3" s="23" t="s">
        <v>1701</v>
      </c>
      <c r="K3" s="23" t="s">
        <v>0</v>
      </c>
      <c r="L3" s="23" t="s">
        <v>0</v>
      </c>
      <c r="M3" s="23" t="s">
        <v>0</v>
      </c>
      <c r="N3" s="23" t="s">
        <v>0</v>
      </c>
      <c r="O3" s="23" t="s">
        <v>0</v>
      </c>
      <c r="P3" s="23" t="s">
        <v>0</v>
      </c>
      <c r="Q3" s="266" t="s">
        <v>0</v>
      </c>
      <c r="R3" s="25" t="s">
        <v>0</v>
      </c>
      <c r="S3" s="24" t="s">
        <v>1698</v>
      </c>
    </row>
    <row r="4" ht="15.75" customHeight="1" spans="1:19" x14ac:dyDescent="0.25">
      <c r="A4" s="26" t="s">
        <v>43</v>
      </c>
      <c r="B4" s="27" t="s">
        <v>0</v>
      </c>
      <c r="C4" s="188" t="s">
        <v>1702</v>
      </c>
      <c r="D4" s="22" t="s">
        <v>1703</v>
      </c>
      <c r="E4" s="23" t="s">
        <v>1704</v>
      </c>
      <c r="F4" s="28" t="s">
        <v>0</v>
      </c>
      <c r="G4" s="28" t="s">
        <v>0</v>
      </c>
      <c r="H4" s="28" t="s">
        <v>0</v>
      </c>
      <c r="I4" s="28" t="s">
        <v>0</v>
      </c>
      <c r="J4" s="28" t="s">
        <v>1705</v>
      </c>
      <c r="K4" s="28" t="s">
        <v>1706</v>
      </c>
      <c r="L4" s="28" t="s">
        <v>0</v>
      </c>
      <c r="M4" s="28" t="s">
        <v>0</v>
      </c>
      <c r="N4" s="28" t="s">
        <v>0</v>
      </c>
      <c r="O4" s="28" t="s">
        <v>0</v>
      </c>
      <c r="P4" s="28" t="s">
        <v>0</v>
      </c>
      <c r="Q4" s="191" t="s">
        <v>0</v>
      </c>
      <c r="R4" s="23" t="s">
        <v>0</v>
      </c>
      <c r="S4" s="24" t="s">
        <v>1703</v>
      </c>
    </row>
    <row r="5" ht="15.75" customHeight="1" spans="1:19" x14ac:dyDescent="0.25">
      <c r="A5" s="26" t="s">
        <v>60</v>
      </c>
      <c r="B5" s="30" t="s">
        <v>0</v>
      </c>
      <c r="C5" s="190" t="s">
        <v>1707</v>
      </c>
      <c r="D5" s="22" t="s">
        <v>0</v>
      </c>
      <c r="E5" s="23" t="s">
        <v>1707</v>
      </c>
      <c r="F5" s="191" t="s">
        <v>0</v>
      </c>
      <c r="G5" s="191" t="s">
        <v>0</v>
      </c>
      <c r="H5" s="191" t="s">
        <v>0</v>
      </c>
      <c r="I5" s="191" t="s">
        <v>0</v>
      </c>
      <c r="J5" s="191" t="s">
        <v>0</v>
      </c>
      <c r="K5" s="191" t="s">
        <v>0</v>
      </c>
      <c r="L5" s="191" t="s">
        <v>0</v>
      </c>
      <c r="M5" s="191" t="s">
        <v>0</v>
      </c>
      <c r="N5" s="191" t="s">
        <v>0</v>
      </c>
      <c r="O5" s="191" t="s">
        <v>0</v>
      </c>
      <c r="P5" s="191" t="s">
        <v>0</v>
      </c>
      <c r="Q5" s="191" t="s">
        <v>0</v>
      </c>
      <c r="R5" s="28" t="s">
        <v>0</v>
      </c>
      <c r="S5" s="24" t="s">
        <v>0</v>
      </c>
    </row>
    <row r="6" ht="15.75" customHeight="1" spans="1:19" x14ac:dyDescent="0.25">
      <c r="A6" s="26" t="s">
        <v>45</v>
      </c>
      <c r="B6" s="30" t="s">
        <v>0</v>
      </c>
      <c r="C6" s="190" t="s">
        <v>1708</v>
      </c>
      <c r="D6" s="22" t="s">
        <v>1709</v>
      </c>
      <c r="E6" s="23" t="s">
        <v>1710</v>
      </c>
      <c r="F6" s="191" t="s">
        <v>1711</v>
      </c>
      <c r="G6" s="191" t="s">
        <v>1712</v>
      </c>
      <c r="H6" s="191" t="s">
        <v>1713</v>
      </c>
      <c r="I6" s="191" t="s">
        <v>1714</v>
      </c>
      <c r="J6" s="191" t="s">
        <v>1715</v>
      </c>
      <c r="K6" s="191" t="s">
        <v>1716</v>
      </c>
      <c r="L6" s="191" t="s">
        <v>1717</v>
      </c>
      <c r="M6" s="191" t="s">
        <v>1718</v>
      </c>
      <c r="N6" s="191" t="s">
        <v>1719</v>
      </c>
      <c r="O6" s="191" t="s">
        <v>1720</v>
      </c>
      <c r="P6" s="191" t="s">
        <v>1721</v>
      </c>
      <c r="Q6" s="191" t="s">
        <v>1722</v>
      </c>
      <c r="R6" s="28" t="s">
        <v>0</v>
      </c>
      <c r="S6" s="24" t="s">
        <v>1709</v>
      </c>
    </row>
    <row r="7" ht="16.5" customHeight="1" spans="1:19" x14ac:dyDescent="0.25">
      <c r="A7" s="34" t="s">
        <v>0</v>
      </c>
      <c r="B7" s="37" t="s">
        <v>0</v>
      </c>
      <c r="C7" s="37" t="s">
        <v>1723</v>
      </c>
      <c r="D7" s="37" t="s">
        <v>1724</v>
      </c>
      <c r="E7" s="37" t="s">
        <v>1725</v>
      </c>
      <c r="F7" s="37" t="s">
        <v>1711</v>
      </c>
      <c r="G7" s="37" t="s">
        <v>1712</v>
      </c>
      <c r="H7" s="37" t="s">
        <v>1726</v>
      </c>
      <c r="I7" s="37" t="s">
        <v>1714</v>
      </c>
      <c r="J7" s="37" t="s">
        <v>1727</v>
      </c>
      <c r="K7" s="37" t="s">
        <v>1728</v>
      </c>
      <c r="L7" s="37" t="s">
        <v>1717</v>
      </c>
      <c r="M7" s="37" t="s">
        <v>1718</v>
      </c>
      <c r="N7" s="37" t="s">
        <v>1719</v>
      </c>
      <c r="O7" s="37" t="s">
        <v>1720</v>
      </c>
      <c r="P7" s="37" t="s">
        <v>1721</v>
      </c>
      <c r="Q7" s="37" t="s">
        <v>1722</v>
      </c>
      <c r="R7" s="118" t="s">
        <v>73</v>
      </c>
      <c r="S7" s="119" t="s">
        <v>1724</v>
      </c>
    </row>
    <row r="8" spans="1:19" x14ac:dyDescent="0.25">
      <c r="A8" t="s">
        <v>0</v>
      </c>
      <c r="B8" t="s">
        <v>0</v>
      </c>
      <c r="C8" t="s">
        <v>0</v>
      </c>
      <c r="D8" t="s">
        <v>0</v>
      </c>
      <c r="E8" t="s">
        <v>0</v>
      </c>
      <c r="F8" t="s">
        <v>0</v>
      </c>
      <c r="G8" t="s">
        <v>0</v>
      </c>
      <c r="H8" t="s">
        <v>0</v>
      </c>
      <c r="I8" t="s">
        <v>0</v>
      </c>
      <c r="J8" t="s">
        <v>0</v>
      </c>
      <c r="K8" t="s">
        <v>0</v>
      </c>
      <c r="L8" t="s">
        <v>0</v>
      </c>
      <c r="M8" t="s">
        <v>0</v>
      </c>
      <c r="N8" t="s">
        <v>0</v>
      </c>
      <c r="O8" t="s">
        <v>0</v>
      </c>
      <c r="P8" t="s">
        <v>0</v>
      </c>
      <c r="Q8" t="s">
        <v>0</v>
      </c>
      <c r="R8" t="s">
        <v>0</v>
      </c>
      <c r="S8" t="s">
        <v>0</v>
      </c>
    </row>
    <row r="9" ht="38.25" customHeight="1" spans="1:19" x14ac:dyDescent="0.25">
      <c r="A9" s="39" t="s">
        <v>0</v>
      </c>
      <c r="B9" s="204" t="s">
        <v>0</v>
      </c>
      <c r="C9" t="s">
        <v>0</v>
      </c>
      <c r="D9" t="s">
        <v>0</v>
      </c>
      <c r="E9" t="s">
        <v>0</v>
      </c>
      <c r="F9" t="s">
        <v>0</v>
      </c>
      <c r="G9" t="s">
        <v>0</v>
      </c>
      <c r="H9" t="s">
        <v>0</v>
      </c>
      <c r="I9" t="s">
        <v>0</v>
      </c>
      <c r="J9" t="s">
        <v>0</v>
      </c>
      <c r="K9" t="s">
        <v>0</v>
      </c>
      <c r="L9" t="s">
        <v>0</v>
      </c>
      <c r="M9" t="s">
        <v>0</v>
      </c>
      <c r="N9" t="s">
        <v>0</v>
      </c>
      <c r="O9" t="s">
        <v>0</v>
      </c>
      <c r="P9" t="s">
        <v>0</v>
      </c>
      <c r="Q9" t="s">
        <v>0</v>
      </c>
      <c r="R9" t="s">
        <v>0</v>
      </c>
      <c r="S9" t="s">
        <v>0</v>
      </c>
    </row>
    <row r="10" ht="16.5" customHeight="1" spans="1:19" x14ac:dyDescent="0.25">
      <c r="A10" s="40" t="s">
        <v>200</v>
      </c>
      <c r="B10" s="41" t="s">
        <v>201</v>
      </c>
      <c r="C10" s="42"/>
      <c r="D10" s="42"/>
      <c r="E10" s="43"/>
      <c r="F10" s="41" t="s">
        <v>76</v>
      </c>
      <c r="G10" s="42"/>
      <c r="H10" s="43"/>
      <c r="I10" s="44" t="s">
        <v>77</v>
      </c>
      <c r="J10" s="45" t="s">
        <v>0</v>
      </c>
      <c r="K10" t="s">
        <v>0</v>
      </c>
      <c r="L10" t="s">
        <v>0</v>
      </c>
      <c r="M10" t="s">
        <v>0</v>
      </c>
      <c r="N10" t="s">
        <v>0</v>
      </c>
      <c r="O10" t="s">
        <v>0</v>
      </c>
      <c r="P10" t="s">
        <v>0</v>
      </c>
      <c r="Q10" t="s">
        <v>0</v>
      </c>
      <c r="R10" t="s">
        <v>0</v>
      </c>
      <c r="S10" t="s">
        <v>0</v>
      </c>
    </row>
    <row r="11" ht="30.75" customHeight="1" spans="1:19" x14ac:dyDescent="0.25">
      <c r="A11" s="168" t="s">
        <v>208</v>
      </c>
      <c r="B11" s="169" t="s">
        <v>427</v>
      </c>
      <c r="C11" s="170"/>
      <c r="D11" s="170"/>
      <c r="E11" s="171"/>
      <c r="F11" s="169" t="s">
        <v>1729</v>
      </c>
      <c r="G11" s="206"/>
      <c r="H11" s="255"/>
      <c r="I11" s="207">
        <v>123012</v>
      </c>
      <c r="J11" s="208"/>
      <c r="K11" t="s">
        <v>0</v>
      </c>
      <c r="L11" t="s">
        <v>0</v>
      </c>
      <c r="M11" t="s">
        <v>0</v>
      </c>
      <c r="N11" t="s">
        <v>0</v>
      </c>
      <c r="O11" t="s">
        <v>0</v>
      </c>
      <c r="P11" t="s">
        <v>0</v>
      </c>
      <c r="Q11" t="s">
        <v>0</v>
      </c>
      <c r="R11" t="s">
        <v>0</v>
      </c>
      <c r="S11" t="s">
        <v>0</v>
      </c>
    </row>
    <row r="12" ht="30.75" customHeight="1" spans="1:19" x14ac:dyDescent="0.25">
      <c r="A12" s="168" t="s">
        <v>208</v>
      </c>
      <c r="B12" s="169" t="s">
        <v>427</v>
      </c>
      <c r="C12" s="170"/>
      <c r="D12" s="170"/>
      <c r="E12" s="171"/>
      <c r="F12" s="169" t="s">
        <v>1730</v>
      </c>
      <c r="G12" s="206"/>
      <c r="H12" s="255"/>
      <c r="I12" s="207">
        <v>10000</v>
      </c>
      <c r="J12" s="208"/>
      <c r="K12" t="s">
        <v>0</v>
      </c>
      <c r="L12" t="s">
        <v>0</v>
      </c>
      <c r="M12" t="s">
        <v>0</v>
      </c>
      <c r="N12" t="s">
        <v>0</v>
      </c>
      <c r="O12" t="s">
        <v>0</v>
      </c>
      <c r="P12" t="s">
        <v>0</v>
      </c>
      <c r="Q12" t="s">
        <v>0</v>
      </c>
      <c r="R12" t="s">
        <v>0</v>
      </c>
      <c r="S12" t="s">
        <v>0</v>
      </c>
    </row>
    <row r="13" ht="29.25" customHeight="1" spans="1:19" x14ac:dyDescent="0.25">
      <c r="A13" s="168" t="s">
        <v>208</v>
      </c>
      <c r="B13" s="169" t="s">
        <v>1731</v>
      </c>
      <c r="C13" s="170"/>
      <c r="D13" s="170"/>
      <c r="E13" s="171"/>
      <c r="F13" s="169" t="s">
        <v>1730</v>
      </c>
      <c r="G13" s="206"/>
      <c r="H13" s="255"/>
      <c r="I13" s="207">
        <v>2220</v>
      </c>
      <c r="J13" s="208"/>
      <c r="K13" t="s">
        <v>0</v>
      </c>
      <c r="L13" t="s">
        <v>0</v>
      </c>
      <c r="M13" t="s">
        <v>0</v>
      </c>
      <c r="N13" t="s">
        <v>0</v>
      </c>
      <c r="O13" t="s">
        <v>0</v>
      </c>
      <c r="P13" t="s">
        <v>0</v>
      </c>
      <c r="Q13" t="s">
        <v>0</v>
      </c>
      <c r="R13" t="s">
        <v>0</v>
      </c>
      <c r="S13" t="s">
        <v>0</v>
      </c>
    </row>
    <row r="14" ht="30.75" customHeight="1" spans="1:19" x14ac:dyDescent="0.25">
      <c r="A14" s="168" t="s">
        <v>537</v>
      </c>
      <c r="B14" s="169" t="s">
        <v>1732</v>
      </c>
      <c r="C14" s="170"/>
      <c r="D14" s="170"/>
      <c r="E14" s="171"/>
      <c r="F14" s="169" t="s">
        <v>1733</v>
      </c>
      <c r="G14" s="206"/>
      <c r="H14" s="255"/>
      <c r="I14" s="207">
        <v>47100</v>
      </c>
      <c r="J14" s="208"/>
      <c r="K14" t="s">
        <v>0</v>
      </c>
      <c r="L14" t="s">
        <v>0</v>
      </c>
      <c r="M14" t="s">
        <v>0</v>
      </c>
      <c r="N14" t="s">
        <v>0</v>
      </c>
      <c r="O14" t="s">
        <v>0</v>
      </c>
      <c r="P14" t="s">
        <v>0</v>
      </c>
      <c r="Q14" t="s">
        <v>0</v>
      </c>
      <c r="R14" t="s">
        <v>0</v>
      </c>
      <c r="S14" t="s">
        <v>0</v>
      </c>
    </row>
    <row r="15" ht="30" customHeight="1" spans="1:19" x14ac:dyDescent="0.25">
      <c r="A15" s="168" t="s">
        <v>537</v>
      </c>
      <c r="B15" s="55" t="s">
        <v>1734</v>
      </c>
      <c r="C15" s="56"/>
      <c r="D15" s="56"/>
      <c r="E15" s="57"/>
      <c r="F15" s="55" t="s">
        <v>1735</v>
      </c>
      <c r="G15" s="56"/>
      <c r="H15" s="57"/>
      <c r="I15" s="85">
        <v>9325</v>
      </c>
      <c r="J15" s="86"/>
      <c r="K15" t="s">
        <v>0</v>
      </c>
      <c r="L15" t="s">
        <v>0</v>
      </c>
      <c r="M15" t="s">
        <v>0</v>
      </c>
      <c r="N15" t="s">
        <v>0</v>
      </c>
      <c r="O15" t="s">
        <v>0</v>
      </c>
      <c r="P15" t="s">
        <v>0</v>
      </c>
      <c r="Q15" t="s">
        <v>0</v>
      </c>
      <c r="R15" t="s">
        <v>0</v>
      </c>
      <c r="S15" t="s">
        <v>0</v>
      </c>
    </row>
    <row r="16" ht="30" customHeight="1" spans="1:19" x14ac:dyDescent="0.25">
      <c r="A16" s="168" t="s">
        <v>537</v>
      </c>
      <c r="B16" s="55" t="s">
        <v>1736</v>
      </c>
      <c r="C16" s="56"/>
      <c r="D16" s="56"/>
      <c r="E16" s="57"/>
      <c r="F16" s="55" t="s">
        <v>1737</v>
      </c>
      <c r="G16" s="56"/>
      <c r="H16" s="57"/>
      <c r="I16" s="85">
        <v>1222</v>
      </c>
      <c r="J16" s="86"/>
      <c r="K16" t="s">
        <v>0</v>
      </c>
      <c r="L16" t="s">
        <v>0</v>
      </c>
      <c r="M16" t="s">
        <v>0</v>
      </c>
      <c r="N16" t="s">
        <v>0</v>
      </c>
      <c r="O16" t="s">
        <v>0</v>
      </c>
      <c r="P16" t="s">
        <v>0</v>
      </c>
      <c r="Q16" t="s">
        <v>0</v>
      </c>
      <c r="R16" t="s">
        <v>0</v>
      </c>
      <c r="S16" t="s">
        <v>0</v>
      </c>
    </row>
    <row r="17" ht="30" customHeight="1" spans="1:19" x14ac:dyDescent="0.25">
      <c r="A17" s="168" t="s">
        <v>537</v>
      </c>
      <c r="B17" s="55" t="s">
        <v>1738</v>
      </c>
      <c r="C17" s="56"/>
      <c r="D17" s="56"/>
      <c r="E17" s="57"/>
      <c r="F17" s="55" t="s">
        <v>1739</v>
      </c>
      <c r="G17" s="56"/>
      <c r="H17" s="57"/>
      <c r="I17" s="85">
        <v>1740</v>
      </c>
      <c r="J17" s="86"/>
      <c r="K17" t="s">
        <v>0</v>
      </c>
      <c r="L17" t="s">
        <v>0</v>
      </c>
      <c r="M17" t="s">
        <v>0</v>
      </c>
      <c r="N17" t="s">
        <v>0</v>
      </c>
      <c r="O17" t="s">
        <v>0</v>
      </c>
      <c r="P17" t="s">
        <v>0</v>
      </c>
      <c r="Q17" t="s">
        <v>0</v>
      </c>
      <c r="R17" t="s">
        <v>0</v>
      </c>
      <c r="S17" t="s">
        <v>0</v>
      </c>
    </row>
    <row r="18" ht="30" customHeight="1" spans="1:19" x14ac:dyDescent="0.25">
      <c r="A18" s="168" t="s">
        <v>1740</v>
      </c>
      <c r="B18" s="81" t="s">
        <v>1741</v>
      </c>
      <c r="C18" s="134"/>
      <c r="D18" s="134"/>
      <c r="E18" s="84"/>
      <c r="F18" s="81" t="s">
        <v>1742</v>
      </c>
      <c r="G18" s="134"/>
      <c r="H18" s="84"/>
      <c r="I18" s="85">
        <v>139996</v>
      </c>
      <c r="J18" s="86"/>
      <c r="K18" t="s">
        <v>0</v>
      </c>
      <c r="L18" t="s">
        <v>0</v>
      </c>
      <c r="M18" t="s">
        <v>0</v>
      </c>
      <c r="N18" t="s">
        <v>0</v>
      </c>
      <c r="O18" t="s">
        <v>0</v>
      </c>
      <c r="P18" t="s">
        <v>0</v>
      </c>
      <c r="Q18" t="s">
        <v>0</v>
      </c>
      <c r="R18" t="s">
        <v>0</v>
      </c>
      <c r="S18" t="s">
        <v>0</v>
      </c>
    </row>
    <row r="19" spans="1:19" x14ac:dyDescent="0.25">
      <c r="A19" s="168" t="s">
        <v>0</v>
      </c>
      <c r="B19" s="557"/>
      <c r="C19" s="230"/>
      <c r="D19" s="230"/>
      <c r="E19" s="231"/>
      <c r="F19" s="557"/>
      <c r="G19" s="230"/>
      <c r="H19" s="231"/>
      <c r="I19" s="85"/>
      <c r="J19" s="86"/>
      <c r="K19" t="s">
        <v>0</v>
      </c>
      <c r="L19" t="s">
        <v>0</v>
      </c>
      <c r="M19" t="s">
        <v>0</v>
      </c>
      <c r="N19" t="s">
        <v>0</v>
      </c>
      <c r="O19" t="s">
        <v>0</v>
      </c>
      <c r="P19" t="s">
        <v>0</v>
      </c>
      <c r="Q19" t="s">
        <v>0</v>
      </c>
      <c r="R19" t="s">
        <v>0</v>
      </c>
      <c r="S19" t="s">
        <v>0</v>
      </c>
    </row>
    <row r="20" spans="1:19" x14ac:dyDescent="0.25">
      <c r="A20" s="168" t="s">
        <v>0</v>
      </c>
      <c r="B20" s="557"/>
      <c r="C20" s="230"/>
      <c r="D20" s="230"/>
      <c r="E20" s="231"/>
      <c r="F20" s="557"/>
      <c r="G20" s="230"/>
      <c r="H20" s="231"/>
      <c r="I20" s="85"/>
      <c r="J20" s="86"/>
      <c r="K20" t="s">
        <v>0</v>
      </c>
      <c r="L20" t="s">
        <v>0</v>
      </c>
      <c r="M20" t="s">
        <v>0</v>
      </c>
      <c r="N20" t="s">
        <v>0</v>
      </c>
      <c r="O20" t="s">
        <v>0</v>
      </c>
      <c r="P20" t="s">
        <v>0</v>
      </c>
      <c r="Q20" t="s">
        <v>0</v>
      </c>
      <c r="R20" t="s">
        <v>0</v>
      </c>
      <c r="S20" t="s">
        <v>0</v>
      </c>
    </row>
    <row r="21" spans="1:19" x14ac:dyDescent="0.25">
      <c r="A21" s="168" t="s">
        <v>0</v>
      </c>
      <c r="B21" s="557"/>
      <c r="C21" s="230"/>
      <c r="D21" s="230"/>
      <c r="E21" s="231"/>
      <c r="F21" s="557"/>
      <c r="G21" s="230"/>
      <c r="H21" s="231"/>
      <c r="I21" s="85"/>
      <c r="J21" s="86"/>
      <c r="K21" t="s">
        <v>0</v>
      </c>
      <c r="L21" t="s">
        <v>0</v>
      </c>
      <c r="M21" t="s">
        <v>0</v>
      </c>
      <c r="N21" t="s">
        <v>0</v>
      </c>
      <c r="O21" t="s">
        <v>0</v>
      </c>
      <c r="P21" t="s">
        <v>0</v>
      </c>
      <c r="Q21" t="s">
        <v>0</v>
      </c>
      <c r="R21" t="s">
        <v>0</v>
      </c>
      <c r="S21" t="s">
        <v>0</v>
      </c>
    </row>
    <row r="22" spans="1:19" x14ac:dyDescent="0.25">
      <c r="A22" s="168" t="s">
        <v>0</v>
      </c>
      <c r="B22" s="557"/>
      <c r="C22" s="230"/>
      <c r="D22" s="230"/>
      <c r="E22" s="231"/>
      <c r="F22" s="557"/>
      <c r="G22" s="230"/>
      <c r="H22" s="231"/>
      <c r="I22" s="85"/>
      <c r="J22" s="86"/>
      <c r="K22" t="s">
        <v>0</v>
      </c>
      <c r="L22" t="s">
        <v>0</v>
      </c>
      <c r="M22" t="s">
        <v>0</v>
      </c>
      <c r="N22" t="s">
        <v>0</v>
      </c>
      <c r="O22" t="s">
        <v>0</v>
      </c>
      <c r="P22" t="s">
        <v>0</v>
      </c>
      <c r="Q22" t="s">
        <v>0</v>
      </c>
      <c r="R22" t="s">
        <v>0</v>
      </c>
      <c r="S22" t="s">
        <v>0</v>
      </c>
    </row>
    <row r="23" spans="1:19" x14ac:dyDescent="0.25">
      <c r="A23" s="168" t="s">
        <v>0</v>
      </c>
      <c r="B23" s="557"/>
      <c r="C23" s="230"/>
      <c r="D23" s="230"/>
      <c r="E23" s="231"/>
      <c r="F23" s="557"/>
      <c r="G23" s="230"/>
      <c r="H23" s="231"/>
      <c r="I23" s="85"/>
      <c r="J23" s="86"/>
      <c r="K23" t="s">
        <v>0</v>
      </c>
      <c r="L23" t="s">
        <v>0</v>
      </c>
      <c r="M23" t="s">
        <v>0</v>
      </c>
      <c r="N23" t="s">
        <v>0</v>
      </c>
      <c r="O23" t="s">
        <v>0</v>
      </c>
      <c r="P23" t="s">
        <v>0</v>
      </c>
      <c r="Q23" t="s">
        <v>0</v>
      </c>
      <c r="R23" t="s">
        <v>0</v>
      </c>
      <c r="S23" t="s">
        <v>0</v>
      </c>
    </row>
    <row r="24" spans="1:19" x14ac:dyDescent="0.25">
      <c r="A24" s="54" t="s">
        <v>0</v>
      </c>
      <c r="B24" s="55"/>
      <c r="C24" s="56"/>
      <c r="D24" s="56"/>
      <c r="E24" s="57"/>
      <c r="F24" s="64"/>
      <c r="G24" s="140"/>
      <c r="H24" s="65"/>
      <c r="I24" s="85"/>
      <c r="J24" s="86"/>
      <c r="K24" t="s">
        <v>0</v>
      </c>
      <c r="L24" t="s">
        <v>0</v>
      </c>
      <c r="M24" t="s">
        <v>0</v>
      </c>
      <c r="N24" t="s">
        <v>0</v>
      </c>
      <c r="O24" t="s">
        <v>0</v>
      </c>
      <c r="P24" t="s">
        <v>0</v>
      </c>
      <c r="Q24" t="s">
        <v>0</v>
      </c>
      <c r="R24" t="s">
        <v>0</v>
      </c>
      <c r="S24" t="s">
        <v>0</v>
      </c>
    </row>
    <row r="25" ht="15.75" customHeight="1" spans="1:19" x14ac:dyDescent="0.25">
      <c r="A25" s="168" t="s">
        <v>0</v>
      </c>
      <c r="B25" s="169"/>
      <c r="C25" s="170"/>
      <c r="D25" s="170"/>
      <c r="E25" s="171"/>
      <c r="F25" s="216"/>
      <c r="G25" s="206"/>
      <c r="H25" s="255"/>
      <c r="I25" s="207"/>
      <c r="J25" s="208"/>
      <c r="K25" t="s">
        <v>0</v>
      </c>
      <c r="L25" t="s">
        <v>0</v>
      </c>
      <c r="M25" t="s">
        <v>0</v>
      </c>
      <c r="N25" t="s">
        <v>0</v>
      </c>
      <c r="O25" t="s">
        <v>0</v>
      </c>
      <c r="P25" t="s">
        <v>0</v>
      </c>
      <c r="Q25" t="s">
        <v>0</v>
      </c>
      <c r="R25" t="s">
        <v>0</v>
      </c>
      <c r="S25" t="s">
        <v>0</v>
      </c>
    </row>
    <row r="26" ht="15.75" customHeight="1" spans="1:19" x14ac:dyDescent="0.25">
      <c r="A26" s="93" t="s">
        <v>0</v>
      </c>
      <c r="B26" s="94"/>
      <c r="C26" s="95"/>
      <c r="D26" s="95"/>
      <c r="E26" s="96"/>
      <c r="F26" s="97" t="s">
        <v>96</v>
      </c>
      <c r="G26" s="98"/>
      <c r="H26" s="233"/>
      <c r="I26" s="99">
        <f>SUM(I11:K25)</f>
        <v>334615</v>
      </c>
      <c r="J26" s="100"/>
      <c r="K26" t="s">
        <v>0</v>
      </c>
      <c r="L26" t="s">
        <v>0</v>
      </c>
      <c r="M26" t="s">
        <v>0</v>
      </c>
      <c r="N26" t="s">
        <v>0</v>
      </c>
      <c r="O26" t="s">
        <v>0</v>
      </c>
      <c r="P26" t="s">
        <v>0</v>
      </c>
      <c r="Q26" t="s">
        <v>0</v>
      </c>
      <c r="R26" t="s">
        <v>0</v>
      </c>
      <c r="S26" t="s">
        <v>0</v>
      </c>
    </row>
  </sheetData>
  <mergeCells count="50">
    <mergeCell ref="B10:E10"/>
    <mergeCell ref="F10:H10"/>
    <mergeCell ref="B11:E11"/>
    <mergeCell ref="F11:H11"/>
    <mergeCell ref="I11:J11"/>
    <mergeCell ref="B12:E12"/>
    <mergeCell ref="F12:H12"/>
    <mergeCell ref="I12:J12"/>
    <mergeCell ref="B13:E13"/>
    <mergeCell ref="F13:H13"/>
    <mergeCell ref="I13:J13"/>
    <mergeCell ref="B14:E14"/>
    <mergeCell ref="F14:H14"/>
    <mergeCell ref="I14:J14"/>
    <mergeCell ref="B15:E15"/>
    <mergeCell ref="F15:H15"/>
    <mergeCell ref="I15:J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B21:E21"/>
    <mergeCell ref="F21:H21"/>
    <mergeCell ref="I21:J21"/>
    <mergeCell ref="B22:E22"/>
    <mergeCell ref="F22:H22"/>
    <mergeCell ref="I22:J22"/>
    <mergeCell ref="B23:E23"/>
    <mergeCell ref="F23:H23"/>
    <mergeCell ref="I23:J23"/>
    <mergeCell ref="B24:E24"/>
    <mergeCell ref="F24:H24"/>
    <mergeCell ref="I24:J24"/>
    <mergeCell ref="B25:E25"/>
    <mergeCell ref="F25:H25"/>
    <mergeCell ref="I25:J25"/>
    <mergeCell ref="B26:E26"/>
    <mergeCell ref="F26:H26"/>
    <mergeCell ref="I26:J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zoomScale="100" zoomScaleNormal="100">
      <selection activeCell="M20" sqref="M20"/>
    </sheetView>
  </sheetViews>
  <sheetFormatPr defaultRowHeight="15" outlineLevelRow="0" outlineLevelCol="0" x14ac:dyDescent="0.25"/>
  <cols>
    <col min="1" max="1" width="40.7109375" customWidth="1"/>
    <col min="2" max="2" width="16.7109375" hidden="1" customWidth="1"/>
    <col min="3" max="3" width="18" customWidth="1"/>
    <col min="4" max="4" width="16" customWidth="1"/>
    <col min="5" max="5" width="15.85546875" customWidth="1"/>
    <col min="6" max="6" width="11.5703125" customWidth="1"/>
    <col min="7" max="8" width="12.85546875" customWidth="1"/>
    <col min="9" max="9" width="10.28515625" customWidth="1"/>
    <col min="10" max="10" width="11.28515625" customWidth="1"/>
    <col min="11" max="11" width="13.140625" customWidth="1"/>
    <col min="12" max="12" width="11.140625" customWidth="1"/>
    <col min="13" max="13" width="11.28515625" customWidth="1"/>
    <col min="14" max="14" width="12.28515625" customWidth="1"/>
    <col min="15" max="15" width="11.85546875" customWidth="1"/>
    <col min="16" max="16" width="14" customWidth="1"/>
    <col min="17" max="18" width="11.140625" customWidth="1"/>
    <col min="19" max="19" width="14.28515625" customWidth="1"/>
  </cols>
  <sheetData>
    <row r="1" ht="72.75" customHeight="1" spans="1:19" x14ac:dyDescent="0.25">
      <c r="A1" s="1" t="s">
        <v>0</v>
      </c>
      <c r="B1" s="2" t="s">
        <v>1743</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3" t="s">
        <v>1744</v>
      </c>
      <c r="B2" s="13" t="s">
        <v>0</v>
      </c>
      <c r="C2" s="13"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105" t="s">
        <v>0</v>
      </c>
      <c r="S2" s="16" t="s">
        <v>0</v>
      </c>
    </row>
    <row r="3" ht="15.75" customHeight="1" spans="1:19" x14ac:dyDescent="0.25">
      <c r="A3" s="187" t="s">
        <v>19</v>
      </c>
      <c r="B3" s="20" t="s">
        <v>0</v>
      </c>
      <c r="C3" s="21" t="s">
        <v>1745</v>
      </c>
      <c r="D3" s="22" t="s">
        <v>0</v>
      </c>
      <c r="E3" s="23" t="s">
        <v>1745</v>
      </c>
      <c r="F3" s="23" t="s">
        <v>0</v>
      </c>
      <c r="G3" s="23" t="s">
        <v>0</v>
      </c>
      <c r="H3" s="23" t="s">
        <v>0</v>
      </c>
      <c r="I3" s="23" t="s">
        <v>0</v>
      </c>
      <c r="J3" s="23" t="s">
        <v>0</v>
      </c>
      <c r="K3" s="23" t="s">
        <v>0</v>
      </c>
      <c r="L3" s="23" t="s">
        <v>0</v>
      </c>
      <c r="M3" s="23" t="s">
        <v>0</v>
      </c>
      <c r="N3" s="23" t="s">
        <v>0</v>
      </c>
      <c r="O3" s="23" t="s">
        <v>0</v>
      </c>
      <c r="P3" s="23" t="s">
        <v>0</v>
      </c>
      <c r="Q3" s="23" t="s">
        <v>0</v>
      </c>
      <c r="R3" s="24" t="s">
        <v>0</v>
      </c>
      <c r="S3" s="24" t="s">
        <v>0</v>
      </c>
    </row>
    <row r="4" ht="15.75" customHeight="1" spans="1:19" x14ac:dyDescent="0.25">
      <c r="A4" s="187" t="s">
        <v>1746</v>
      </c>
      <c r="B4" s="20" t="s">
        <v>0</v>
      </c>
      <c r="C4" s="21" t="s">
        <v>1747</v>
      </c>
      <c r="D4" s="22" t="s">
        <v>1748</v>
      </c>
      <c r="E4" s="23" t="s">
        <v>1749</v>
      </c>
      <c r="F4" s="23" t="s">
        <v>0</v>
      </c>
      <c r="G4" s="23" t="s">
        <v>0</v>
      </c>
      <c r="H4" s="23" t="s">
        <v>0</v>
      </c>
      <c r="I4" s="23" t="s">
        <v>0</v>
      </c>
      <c r="J4" s="23" t="s">
        <v>0</v>
      </c>
      <c r="K4" s="23" t="s">
        <v>0</v>
      </c>
      <c r="L4" s="23" t="s">
        <v>0</v>
      </c>
      <c r="M4" s="23" t="s">
        <v>0</v>
      </c>
      <c r="N4" s="23" t="s">
        <v>1748</v>
      </c>
      <c r="O4" s="23" t="s">
        <v>0</v>
      </c>
      <c r="P4" s="23" t="s">
        <v>0</v>
      </c>
      <c r="Q4" s="23" t="s">
        <v>0</v>
      </c>
      <c r="R4" s="24" t="s">
        <v>0</v>
      </c>
      <c r="S4" s="24" t="s">
        <v>1748</v>
      </c>
    </row>
    <row r="5" ht="15.75" customHeight="1" spans="1:19" x14ac:dyDescent="0.25">
      <c r="A5" s="187" t="s">
        <v>114</v>
      </c>
      <c r="B5" s="20" t="s">
        <v>0</v>
      </c>
      <c r="C5" s="21" t="s">
        <v>0</v>
      </c>
      <c r="D5" s="22" t="s">
        <v>25</v>
      </c>
      <c r="E5" s="23" t="s">
        <v>1750</v>
      </c>
      <c r="F5" s="23" t="s">
        <v>0</v>
      </c>
      <c r="G5" s="23" t="s">
        <v>25</v>
      </c>
      <c r="H5" s="23" t="s">
        <v>0</v>
      </c>
      <c r="I5" s="23" t="s">
        <v>0</v>
      </c>
      <c r="J5" s="23" t="s">
        <v>0</v>
      </c>
      <c r="K5" s="23" t="s">
        <v>0</v>
      </c>
      <c r="L5" s="23" t="s">
        <v>0</v>
      </c>
      <c r="M5" s="23" t="s">
        <v>0</v>
      </c>
      <c r="N5" s="23" t="s">
        <v>0</v>
      </c>
      <c r="O5" s="23" t="s">
        <v>0</v>
      </c>
      <c r="P5" s="23" t="s">
        <v>0</v>
      </c>
      <c r="Q5" s="23" t="s">
        <v>0</v>
      </c>
      <c r="R5" s="24" t="s">
        <v>0</v>
      </c>
      <c r="S5" s="24" t="s">
        <v>25</v>
      </c>
    </row>
    <row r="6" ht="15.75" customHeight="1" spans="1:19" x14ac:dyDescent="0.25">
      <c r="A6" s="187" t="s">
        <v>45</v>
      </c>
      <c r="B6" s="20" t="s">
        <v>0</v>
      </c>
      <c r="C6" s="21" t="s">
        <v>0</v>
      </c>
      <c r="D6" s="22" t="s">
        <v>1751</v>
      </c>
      <c r="E6" s="23" t="s">
        <v>1752</v>
      </c>
      <c r="F6" s="23" t="s">
        <v>1753</v>
      </c>
      <c r="G6" s="23" t="s">
        <v>1754</v>
      </c>
      <c r="H6" s="23" t="s">
        <v>1755</v>
      </c>
      <c r="I6" s="23" t="s">
        <v>1756</v>
      </c>
      <c r="J6" s="23" t="s">
        <v>1757</v>
      </c>
      <c r="K6" s="23" t="s">
        <v>1758</v>
      </c>
      <c r="L6" s="23" t="s">
        <v>1759</v>
      </c>
      <c r="M6" s="23" t="s">
        <v>1760</v>
      </c>
      <c r="N6" s="23" t="s">
        <v>1761</v>
      </c>
      <c r="O6" s="23" t="s">
        <v>1762</v>
      </c>
      <c r="P6" s="23" t="s">
        <v>1763</v>
      </c>
      <c r="Q6" s="23" t="s">
        <v>1764</v>
      </c>
      <c r="R6" s="24" t="s">
        <v>0</v>
      </c>
      <c r="S6" s="24" t="s">
        <v>1751</v>
      </c>
    </row>
    <row r="7" ht="15.75" customHeight="1" spans="1:19" x14ac:dyDescent="0.25">
      <c r="A7" s="187" t="s">
        <v>1765</v>
      </c>
      <c r="B7" s="20" t="s">
        <v>0</v>
      </c>
      <c r="C7" s="21" t="s">
        <v>0</v>
      </c>
      <c r="D7" s="22" t="s">
        <v>0</v>
      </c>
      <c r="E7" s="23" t="s">
        <v>0</v>
      </c>
      <c r="F7" s="23" t="s">
        <v>0</v>
      </c>
      <c r="G7" s="23" t="s">
        <v>0</v>
      </c>
      <c r="H7" s="23" t="s">
        <v>0</v>
      </c>
      <c r="I7" s="23" t="s">
        <v>0</v>
      </c>
      <c r="J7" s="23" t="s">
        <v>0</v>
      </c>
      <c r="K7" s="23" t="s">
        <v>0</v>
      </c>
      <c r="L7" s="23" t="s">
        <v>0</v>
      </c>
      <c r="M7" s="23" t="s">
        <v>0</v>
      </c>
      <c r="N7" s="23" t="s">
        <v>1766</v>
      </c>
      <c r="O7" s="23" t="s">
        <v>0</v>
      </c>
      <c r="P7" s="23" t="s">
        <v>1767</v>
      </c>
      <c r="Q7" s="23" t="s">
        <v>0</v>
      </c>
      <c r="R7" s="24" t="s">
        <v>0</v>
      </c>
      <c r="S7" s="24" t="s">
        <v>1768</v>
      </c>
    </row>
    <row r="8" ht="15.75" customHeight="1" spans="1:19" x14ac:dyDescent="0.25">
      <c r="A8" s="187" t="s">
        <v>1769</v>
      </c>
      <c r="B8" s="20" t="s">
        <v>0</v>
      </c>
      <c r="C8" s="21" t="s">
        <v>1770</v>
      </c>
      <c r="D8" s="22" t="s">
        <v>0</v>
      </c>
      <c r="E8" s="23" t="s">
        <v>1770</v>
      </c>
      <c r="F8" s="23" t="s">
        <v>0</v>
      </c>
      <c r="G8" s="23" t="s">
        <v>0</v>
      </c>
      <c r="H8" s="23" t="s">
        <v>0</v>
      </c>
      <c r="I8" s="23" t="s">
        <v>0</v>
      </c>
      <c r="J8" s="23" t="s">
        <v>0</v>
      </c>
      <c r="K8" s="23" t="s">
        <v>0</v>
      </c>
      <c r="L8" s="23" t="s">
        <v>0</v>
      </c>
      <c r="M8" s="23" t="s">
        <v>0</v>
      </c>
      <c r="N8" s="23" t="s">
        <v>0</v>
      </c>
      <c r="O8" s="23" t="s">
        <v>0</v>
      </c>
      <c r="P8" s="23" t="s">
        <v>0</v>
      </c>
      <c r="Q8" s="23" t="s">
        <v>0</v>
      </c>
      <c r="R8" s="24" t="s">
        <v>0</v>
      </c>
      <c r="S8" s="24" t="s">
        <v>0</v>
      </c>
    </row>
    <row r="9" ht="15.75" customHeight="1" spans="1:19" x14ac:dyDescent="0.25">
      <c r="A9" s="187" t="s">
        <v>1771</v>
      </c>
      <c r="B9" s="20" t="s">
        <v>0</v>
      </c>
      <c r="C9" s="21" t="s">
        <v>1772</v>
      </c>
      <c r="D9" s="22" t="s">
        <v>0</v>
      </c>
      <c r="E9" s="23" t="s">
        <v>1772</v>
      </c>
      <c r="F9" s="23" t="s">
        <v>0</v>
      </c>
      <c r="G9" s="23" t="s">
        <v>0</v>
      </c>
      <c r="H9" s="23" t="s">
        <v>0</v>
      </c>
      <c r="I9" s="23" t="s">
        <v>0</v>
      </c>
      <c r="J9" s="23" t="s">
        <v>0</v>
      </c>
      <c r="K9" s="23" t="s">
        <v>0</v>
      </c>
      <c r="L9" s="23" t="s">
        <v>0</v>
      </c>
      <c r="M9" s="23" t="s">
        <v>0</v>
      </c>
      <c r="N9" s="23" t="s">
        <v>0</v>
      </c>
      <c r="O9" s="23" t="s">
        <v>0</v>
      </c>
      <c r="P9" s="23" t="s">
        <v>0</v>
      </c>
      <c r="Q9" s="23" t="s">
        <v>0</v>
      </c>
      <c r="R9" s="24" t="s">
        <v>0</v>
      </c>
      <c r="S9" s="24" t="s">
        <v>0</v>
      </c>
    </row>
    <row r="10" ht="15.75" customHeight="1" spans="1:19" x14ac:dyDescent="0.25">
      <c r="A10" s="26" t="s">
        <v>1194</v>
      </c>
      <c r="B10" s="27" t="s">
        <v>0</v>
      </c>
      <c r="C10" s="188" t="s">
        <v>1773</v>
      </c>
      <c r="D10" s="22" t="s">
        <v>0</v>
      </c>
      <c r="E10" s="23" t="s">
        <v>1773</v>
      </c>
      <c r="F10" s="28" t="s">
        <v>0</v>
      </c>
      <c r="G10" s="28" t="s">
        <v>0</v>
      </c>
      <c r="H10" s="28" t="s">
        <v>0</v>
      </c>
      <c r="I10" s="28" t="s">
        <v>0</v>
      </c>
      <c r="J10" s="28" t="s">
        <v>0</v>
      </c>
      <c r="K10" s="28" t="s">
        <v>0</v>
      </c>
      <c r="L10" s="28" t="s">
        <v>0</v>
      </c>
      <c r="M10" s="28" t="s">
        <v>0</v>
      </c>
      <c r="N10" s="28" t="s">
        <v>0</v>
      </c>
      <c r="O10" s="28" t="s">
        <v>0</v>
      </c>
      <c r="P10" s="28" t="s">
        <v>0</v>
      </c>
      <c r="Q10" s="28" t="s">
        <v>0</v>
      </c>
      <c r="R10" s="24" t="s">
        <v>0</v>
      </c>
      <c r="S10" s="24" t="s">
        <v>0</v>
      </c>
    </row>
    <row r="11" ht="16.5" customHeight="1" spans="1:19" x14ac:dyDescent="0.25">
      <c r="A11" s="34" t="s">
        <v>0</v>
      </c>
      <c r="B11" s="37" t="s">
        <v>0</v>
      </c>
      <c r="C11" s="37" t="s">
        <v>1774</v>
      </c>
      <c r="D11" s="37" t="s">
        <v>1775</v>
      </c>
      <c r="E11" s="37" t="s">
        <v>1776</v>
      </c>
      <c r="F11" s="37" t="s">
        <v>1753</v>
      </c>
      <c r="G11" s="37" t="s">
        <v>1777</v>
      </c>
      <c r="H11" s="37" t="s">
        <v>1755</v>
      </c>
      <c r="I11" s="37" t="s">
        <v>1756</v>
      </c>
      <c r="J11" s="37" t="s">
        <v>1757</v>
      </c>
      <c r="K11" s="37" t="s">
        <v>1758</v>
      </c>
      <c r="L11" s="37" t="s">
        <v>1759</v>
      </c>
      <c r="M11" s="37" t="s">
        <v>1760</v>
      </c>
      <c r="N11" s="37" t="s">
        <v>1778</v>
      </c>
      <c r="O11" s="37" t="s">
        <v>1762</v>
      </c>
      <c r="P11" s="37" t="s">
        <v>1779</v>
      </c>
      <c r="Q11" s="37" t="s">
        <v>1764</v>
      </c>
      <c r="R11" s="193" t="s">
        <v>73</v>
      </c>
      <c r="S11" s="192" t="s">
        <v>1780</v>
      </c>
    </row>
    <row r="12" spans="1:19"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ht="15.75" customHeight="1"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16.5" customHeight="1" spans="1:19" x14ac:dyDescent="0.25">
      <c r="A14" s="40" t="s">
        <v>200</v>
      </c>
      <c r="B14" s="41" t="s">
        <v>201</v>
      </c>
      <c r="C14" s="42"/>
      <c r="D14" s="42"/>
      <c r="E14" s="43"/>
      <c r="F14" s="41" t="s">
        <v>76</v>
      </c>
      <c r="G14" s="42"/>
      <c r="H14" s="43"/>
      <c r="I14" s="44" t="s">
        <v>77</v>
      </c>
      <c r="J14" s="45" t="s">
        <v>0</v>
      </c>
      <c r="K14" t="s">
        <v>0</v>
      </c>
      <c r="L14" t="s">
        <v>0</v>
      </c>
      <c r="M14" t="s">
        <v>0</v>
      </c>
      <c r="N14" t="s">
        <v>0</v>
      </c>
      <c r="O14" t="s">
        <v>0</v>
      </c>
      <c r="P14" t="s">
        <v>0</v>
      </c>
      <c r="Q14" t="s">
        <v>0</v>
      </c>
      <c r="R14" t="s">
        <v>0</v>
      </c>
      <c r="S14" t="s">
        <v>0</v>
      </c>
    </row>
    <row r="15" ht="30" customHeight="1" spans="1:19" x14ac:dyDescent="0.25">
      <c r="A15" s="168" t="s">
        <v>537</v>
      </c>
      <c r="B15" s="169" t="s">
        <v>1781</v>
      </c>
      <c r="C15" s="170"/>
      <c r="D15" s="170"/>
      <c r="E15" s="171"/>
      <c r="F15" s="169" t="s">
        <v>1782</v>
      </c>
      <c r="G15" s="206"/>
      <c r="H15" s="255"/>
      <c r="I15" s="207">
        <v>24600</v>
      </c>
      <c r="J15" s="208"/>
      <c r="K15" t="s">
        <v>0</v>
      </c>
      <c r="L15" t="s">
        <v>0</v>
      </c>
      <c r="M15" t="s">
        <v>0</v>
      </c>
      <c r="N15" t="s">
        <v>0</v>
      </c>
      <c r="O15" t="s">
        <v>0</v>
      </c>
      <c r="P15" t="s">
        <v>0</v>
      </c>
      <c r="Q15" t="s">
        <v>0</v>
      </c>
      <c r="R15" t="s">
        <v>0</v>
      </c>
      <c r="S15" t="s">
        <v>0</v>
      </c>
    </row>
    <row r="16" spans="1:19" x14ac:dyDescent="0.25">
      <c r="A16" s="168" t="s">
        <v>1783</v>
      </c>
      <c r="B16" s="169" t="s">
        <v>1784</v>
      </c>
      <c r="C16" s="170"/>
      <c r="D16" s="170"/>
      <c r="E16" s="171"/>
      <c r="F16" s="169" t="s">
        <v>1785</v>
      </c>
      <c r="G16" s="206"/>
      <c r="H16" s="255"/>
      <c r="I16" s="207">
        <v>26465</v>
      </c>
      <c r="J16" s="208"/>
      <c r="K16" t="s">
        <v>0</v>
      </c>
      <c r="L16" t="s">
        <v>0</v>
      </c>
      <c r="M16" t="s">
        <v>0</v>
      </c>
      <c r="N16" t="s">
        <v>0</v>
      </c>
      <c r="O16" t="s">
        <v>0</v>
      </c>
      <c r="P16" t="s">
        <v>0</v>
      </c>
      <c r="Q16" t="s">
        <v>0</v>
      </c>
      <c r="R16" t="s">
        <v>0</v>
      </c>
      <c r="S16" t="s">
        <v>0</v>
      </c>
    </row>
    <row r="17" ht="31.5" customHeight="1" spans="1:19" x14ac:dyDescent="0.25">
      <c r="A17" s="168" t="s">
        <v>1783</v>
      </c>
      <c r="B17" s="169" t="s">
        <v>1786</v>
      </c>
      <c r="C17" s="170"/>
      <c r="D17" s="170"/>
      <c r="E17" s="171"/>
      <c r="F17" s="169" t="s">
        <v>1787</v>
      </c>
      <c r="G17" s="206"/>
      <c r="H17" s="255"/>
      <c r="I17" s="207">
        <v>14132.87</v>
      </c>
      <c r="J17" s="208"/>
      <c r="K17" t="s">
        <v>0</v>
      </c>
      <c r="L17" t="s">
        <v>0</v>
      </c>
      <c r="M17" t="s">
        <v>0</v>
      </c>
      <c r="N17" t="s">
        <v>0</v>
      </c>
      <c r="O17" t="s">
        <v>0</v>
      </c>
      <c r="P17" t="s">
        <v>0</v>
      </c>
      <c r="Q17" t="s">
        <v>0</v>
      </c>
      <c r="R17" t="s">
        <v>0</v>
      </c>
      <c r="S17" t="s">
        <v>0</v>
      </c>
    </row>
    <row r="18" ht="15.75" customHeight="1" spans="1:19" x14ac:dyDescent="0.25">
      <c r="A18" s="168" t="s">
        <v>0</v>
      </c>
      <c r="B18" s="169"/>
      <c r="C18" s="170"/>
      <c r="D18" s="170"/>
      <c r="E18" s="171"/>
      <c r="F18" s="169"/>
      <c r="G18" s="206"/>
      <c r="H18" s="255"/>
      <c r="I18" s="207"/>
      <c r="J18" s="208"/>
      <c r="K18" t="s">
        <v>0</v>
      </c>
      <c r="L18" t="s">
        <v>0</v>
      </c>
      <c r="M18" t="s">
        <v>0</v>
      </c>
      <c r="N18" t="s">
        <v>0</v>
      </c>
      <c r="O18" t="s">
        <v>0</v>
      </c>
      <c r="P18" t="s">
        <v>0</v>
      </c>
      <c r="Q18" t="s">
        <v>0</v>
      </c>
      <c r="R18" t="s">
        <v>0</v>
      </c>
      <c r="S18" t="s">
        <v>0</v>
      </c>
    </row>
    <row r="19" spans="1:19" x14ac:dyDescent="0.25">
      <c r="A19" s="168" t="s">
        <v>0</v>
      </c>
      <c r="B19" s="81"/>
      <c r="C19" s="134"/>
      <c r="D19" s="134"/>
      <c r="E19" s="84"/>
      <c r="F19" s="81"/>
      <c r="G19" s="134"/>
      <c r="H19" s="84"/>
      <c r="I19" s="85"/>
      <c r="J19" s="86"/>
      <c r="K19" t="s">
        <v>0</v>
      </c>
      <c r="L19" t="s">
        <v>0</v>
      </c>
      <c r="M19" t="s">
        <v>0</v>
      </c>
      <c r="N19" t="s">
        <v>0</v>
      </c>
      <c r="O19" t="s">
        <v>0</v>
      </c>
      <c r="P19" t="s">
        <v>0</v>
      </c>
      <c r="Q19" t="s">
        <v>0</v>
      </c>
      <c r="R19" t="s">
        <v>0</v>
      </c>
      <c r="S19" t="s">
        <v>0</v>
      </c>
    </row>
    <row r="20" spans="1:19" x14ac:dyDescent="0.25">
      <c r="A20" s="168" t="s">
        <v>0</v>
      </c>
      <c r="B20" s="81"/>
      <c r="C20" s="134"/>
      <c r="D20" s="134"/>
      <c r="E20" s="84"/>
      <c r="F20" s="81"/>
      <c r="G20" s="134"/>
      <c r="H20" s="84"/>
      <c r="I20" s="85"/>
      <c r="J20" s="86"/>
      <c r="K20" t="s">
        <v>0</v>
      </c>
      <c r="L20" t="s">
        <v>0</v>
      </c>
      <c r="M20" t="s">
        <v>0</v>
      </c>
      <c r="N20" t="s">
        <v>0</v>
      </c>
      <c r="O20" t="s">
        <v>0</v>
      </c>
      <c r="P20" t="s">
        <v>0</v>
      </c>
      <c r="Q20" t="s">
        <v>0</v>
      </c>
      <c r="R20" t="s">
        <v>0</v>
      </c>
      <c r="S20" t="s">
        <v>0</v>
      </c>
    </row>
    <row r="21" spans="1:19" x14ac:dyDescent="0.25">
      <c r="A21" s="54" t="s">
        <v>0</v>
      </c>
      <c r="B21" s="55"/>
      <c r="C21" s="56"/>
      <c r="D21" s="56"/>
      <c r="E21" s="57"/>
      <c r="F21" s="64"/>
      <c r="G21" s="140"/>
      <c r="H21" s="65"/>
      <c r="I21" s="85"/>
      <c r="J21" s="86"/>
      <c r="K21" t="s">
        <v>0</v>
      </c>
      <c r="L21" t="s">
        <v>0</v>
      </c>
      <c r="M21" t="s">
        <v>0</v>
      </c>
      <c r="N21" t="s">
        <v>0</v>
      </c>
      <c r="O21" t="s">
        <v>0</v>
      </c>
      <c r="P21" t="s">
        <v>0</v>
      </c>
      <c r="Q21" t="s">
        <v>0</v>
      </c>
      <c r="R21" t="s">
        <v>0</v>
      </c>
      <c r="S21" t="s">
        <v>0</v>
      </c>
    </row>
    <row r="22" ht="15.75" customHeight="1" spans="1:19" x14ac:dyDescent="0.25">
      <c r="A22" s="168" t="s">
        <v>0</v>
      </c>
      <c r="B22" s="169"/>
      <c r="C22" s="170"/>
      <c r="D22" s="170"/>
      <c r="E22" s="171"/>
      <c r="F22" s="216"/>
      <c r="G22" s="206"/>
      <c r="H22" s="255"/>
      <c r="I22" s="207"/>
      <c r="J22" s="208"/>
      <c r="K22" t="s">
        <v>0</v>
      </c>
      <c r="L22" t="s">
        <v>0</v>
      </c>
      <c r="M22" t="s">
        <v>0</v>
      </c>
      <c r="N22" t="s">
        <v>0</v>
      </c>
      <c r="O22" t="s">
        <v>0</v>
      </c>
      <c r="P22" t="s">
        <v>0</v>
      </c>
      <c r="Q22" t="s">
        <v>0</v>
      </c>
      <c r="R22" t="s">
        <v>0</v>
      </c>
      <c r="S22" t="s">
        <v>0</v>
      </c>
    </row>
    <row r="23" ht="15.75" customHeight="1" spans="1:19" x14ac:dyDescent="0.25">
      <c r="A23" s="93" t="s">
        <v>0</v>
      </c>
      <c r="B23" s="94"/>
      <c r="C23" s="95"/>
      <c r="D23" s="95"/>
      <c r="E23" s="96"/>
      <c r="F23" s="97" t="s">
        <v>96</v>
      </c>
      <c r="G23" s="98"/>
      <c r="H23" s="233"/>
      <c r="I23" s="99">
        <f>SUM(I15:K22)</f>
        <v>65197.87</v>
      </c>
      <c r="J23" s="100"/>
      <c r="K23" t="s">
        <v>0</v>
      </c>
      <c r="L23" t="s">
        <v>0</v>
      </c>
      <c r="M23" t="s">
        <v>0</v>
      </c>
      <c r="N23" t="s">
        <v>0</v>
      </c>
      <c r="O23" t="s">
        <v>0</v>
      </c>
      <c r="P23" t="s">
        <v>0</v>
      </c>
      <c r="Q23" t="s">
        <v>0</v>
      </c>
      <c r="R23" t="s">
        <v>0</v>
      </c>
      <c r="S23" t="s">
        <v>0</v>
      </c>
    </row>
  </sheetData>
  <mergeCells count="29">
    <mergeCell ref="B14:E14"/>
    <mergeCell ref="F14:H14"/>
    <mergeCell ref="B15:E15"/>
    <mergeCell ref="F15:H15"/>
    <mergeCell ref="I15:J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B21:E21"/>
    <mergeCell ref="F21:H21"/>
    <mergeCell ref="I21:J21"/>
    <mergeCell ref="B22:E22"/>
    <mergeCell ref="F22:H22"/>
    <mergeCell ref="I22:J22"/>
    <mergeCell ref="B23:E23"/>
    <mergeCell ref="F23:H23"/>
    <mergeCell ref="I23:J2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
  <sheetViews>
    <sheetView workbookViewId="0" zoomScale="100" zoomScaleNormal="100">
      <selection activeCell="Q9" sqref="Q9"/>
    </sheetView>
  </sheetViews>
  <sheetFormatPr defaultRowHeight="15" outlineLevelRow="0" outlineLevelCol="0" x14ac:dyDescent="0.25"/>
  <cols>
    <col min="1" max="1" width="32.85546875" customWidth="1"/>
    <col min="2" max="2" width="16.7109375" hidden="1" customWidth="1"/>
    <col min="3" max="3" width="16.85546875" customWidth="1"/>
    <col min="4" max="4" width="16.7109375" customWidth="1"/>
    <col min="5" max="5" width="19.28515625" customWidth="1"/>
    <col min="6" max="6" width="11.7109375" customWidth="1"/>
    <col min="7" max="7" width="12.42578125" customWidth="1"/>
    <col min="8" max="8" width="14.5703125" customWidth="1"/>
    <col min="9" max="9" width="12" customWidth="1"/>
    <col min="10" max="10" width="11.28515625" customWidth="1"/>
    <col min="11" max="13" width="10.28515625" customWidth="1"/>
    <col min="14" max="14" width="10.85546875" customWidth="1"/>
    <col min="15" max="15" width="10.28515625" customWidth="1"/>
    <col min="16" max="16" width="10.85546875" customWidth="1"/>
    <col min="17" max="18" width="12" customWidth="1"/>
    <col min="19" max="19" width="14.5703125" customWidth="1"/>
  </cols>
  <sheetData>
    <row r="1" ht="72.75" customHeight="1" spans="1:19" x14ac:dyDescent="0.25">
      <c r="A1" s="1" t="s">
        <v>0</v>
      </c>
      <c r="B1" s="2" t="s">
        <v>920</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3" t="s">
        <v>1788</v>
      </c>
      <c r="B2" s="12" t="s">
        <v>0</v>
      </c>
      <c r="C2" s="13"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105" t="s">
        <v>0</v>
      </c>
      <c r="S2" s="16" t="s">
        <v>0</v>
      </c>
    </row>
    <row r="3" ht="15.75" customHeight="1" spans="1:19" x14ac:dyDescent="0.25">
      <c r="A3" s="187" t="s">
        <v>19</v>
      </c>
      <c r="B3" s="20" t="s">
        <v>0</v>
      </c>
      <c r="C3" s="21" t="s">
        <v>1789</v>
      </c>
      <c r="D3" s="22" t="s">
        <v>1790</v>
      </c>
      <c r="E3" s="23" t="s">
        <v>1791</v>
      </c>
      <c r="F3" s="23" t="s">
        <v>0</v>
      </c>
      <c r="G3" s="23" t="s">
        <v>0</v>
      </c>
      <c r="H3" s="23" t="s">
        <v>0</v>
      </c>
      <c r="I3" s="23" t="s">
        <v>0</v>
      </c>
      <c r="J3" s="23" t="s">
        <v>1790</v>
      </c>
      <c r="K3" s="23" t="s">
        <v>0</v>
      </c>
      <c r="L3" s="23" t="s">
        <v>0</v>
      </c>
      <c r="M3" s="23" t="s">
        <v>0</v>
      </c>
      <c r="N3" s="23" t="s">
        <v>0</v>
      </c>
      <c r="O3" s="23" t="s">
        <v>0</v>
      </c>
      <c r="P3" s="23" t="s">
        <v>0</v>
      </c>
      <c r="Q3" s="23" t="s">
        <v>0</v>
      </c>
      <c r="R3" s="24" t="s">
        <v>0</v>
      </c>
      <c r="S3" s="24" t="s">
        <v>1790</v>
      </c>
    </row>
    <row r="4" ht="15.75" customHeight="1" spans="1:19" x14ac:dyDescent="0.25">
      <c r="A4" s="187" t="s">
        <v>537</v>
      </c>
      <c r="B4" s="20" t="s">
        <v>0</v>
      </c>
      <c r="C4" s="21" t="s">
        <v>0</v>
      </c>
      <c r="D4" s="22" t="s">
        <v>1792</v>
      </c>
      <c r="E4" s="23" t="s">
        <v>1793</v>
      </c>
      <c r="F4" s="23" t="s">
        <v>0</v>
      </c>
      <c r="G4" s="23" t="s">
        <v>0</v>
      </c>
      <c r="H4" s="23" t="s">
        <v>0</v>
      </c>
      <c r="I4" s="23" t="s">
        <v>0</v>
      </c>
      <c r="J4" s="23" t="s">
        <v>1792</v>
      </c>
      <c r="K4" s="23" t="s">
        <v>0</v>
      </c>
      <c r="L4" s="23" t="s">
        <v>0</v>
      </c>
      <c r="M4" s="23" t="s">
        <v>0</v>
      </c>
      <c r="N4" s="23" t="s">
        <v>0</v>
      </c>
      <c r="O4" s="23" t="s">
        <v>0</v>
      </c>
      <c r="P4" s="23" t="s">
        <v>0</v>
      </c>
      <c r="Q4" s="23" t="s">
        <v>0</v>
      </c>
      <c r="R4" s="24" t="s">
        <v>0</v>
      </c>
      <c r="S4" s="24" t="s">
        <v>1792</v>
      </c>
    </row>
    <row r="5" ht="15.75" customHeight="1" spans="1:19" x14ac:dyDescent="0.25">
      <c r="A5" s="187" t="s">
        <v>281</v>
      </c>
      <c r="B5" s="20" t="s">
        <v>0</v>
      </c>
      <c r="C5" s="21" t="s">
        <v>150</v>
      </c>
      <c r="D5" s="22" t="s">
        <v>128</v>
      </c>
      <c r="E5" s="23" t="s">
        <v>1431</v>
      </c>
      <c r="F5" s="23" t="s">
        <v>0</v>
      </c>
      <c r="G5" s="23" t="s">
        <v>0</v>
      </c>
      <c r="H5" s="23" t="s">
        <v>0</v>
      </c>
      <c r="I5" s="23" t="s">
        <v>0</v>
      </c>
      <c r="J5" s="23" t="s">
        <v>0</v>
      </c>
      <c r="K5" s="23" t="s">
        <v>0</v>
      </c>
      <c r="L5" s="23" t="s">
        <v>128</v>
      </c>
      <c r="M5" s="23" t="s">
        <v>0</v>
      </c>
      <c r="N5" s="23" t="s">
        <v>0</v>
      </c>
      <c r="O5" s="23" t="s">
        <v>0</v>
      </c>
      <c r="P5" s="23" t="s">
        <v>0</v>
      </c>
      <c r="Q5" s="23" t="s">
        <v>0</v>
      </c>
      <c r="R5" s="24" t="s">
        <v>0</v>
      </c>
      <c r="S5" s="24" t="s">
        <v>128</v>
      </c>
    </row>
    <row r="6" ht="15.75" customHeight="1" spans="1:19" x14ac:dyDescent="0.25">
      <c r="A6" s="19" t="s">
        <v>114</v>
      </c>
      <c r="B6" s="27" t="s">
        <v>0</v>
      </c>
      <c r="C6" s="188" t="s">
        <v>0</v>
      </c>
      <c r="D6" s="22" t="s">
        <v>1794</v>
      </c>
      <c r="E6" s="23" t="s">
        <v>1795</v>
      </c>
      <c r="F6" s="28" t="s">
        <v>0</v>
      </c>
      <c r="G6" s="28" t="s">
        <v>120</v>
      </c>
      <c r="H6" s="28" t="s">
        <v>0</v>
      </c>
      <c r="I6" s="28" t="s">
        <v>0</v>
      </c>
      <c r="J6" s="28" t="s">
        <v>0</v>
      </c>
      <c r="K6" s="28" t="s">
        <v>120</v>
      </c>
      <c r="L6" s="28" t="s">
        <v>1294</v>
      </c>
      <c r="M6" s="28" t="s">
        <v>0</v>
      </c>
      <c r="N6" s="28" t="s">
        <v>0</v>
      </c>
      <c r="O6" s="28" t="s">
        <v>0</v>
      </c>
      <c r="P6" s="28" t="s">
        <v>0</v>
      </c>
      <c r="Q6" s="28" t="s">
        <v>0</v>
      </c>
      <c r="R6" s="24" t="s">
        <v>0</v>
      </c>
      <c r="S6" s="24" t="s">
        <v>1794</v>
      </c>
    </row>
    <row r="7" ht="15.75" customHeight="1" spans="1:19" x14ac:dyDescent="0.25">
      <c r="A7" s="26" t="s">
        <v>1796</v>
      </c>
      <c r="B7" s="27" t="s">
        <v>0</v>
      </c>
      <c r="C7" s="188" t="s">
        <v>1797</v>
      </c>
      <c r="D7" s="22" t="s">
        <v>0</v>
      </c>
      <c r="E7" s="23" t="s">
        <v>1797</v>
      </c>
      <c r="F7" s="28" t="s">
        <v>0</v>
      </c>
      <c r="G7" s="28" t="s">
        <v>0</v>
      </c>
      <c r="H7" s="28" t="s">
        <v>0</v>
      </c>
      <c r="I7" s="28" t="s">
        <v>0</v>
      </c>
      <c r="J7" s="28" t="s">
        <v>0</v>
      </c>
      <c r="K7" s="28" t="s">
        <v>0</v>
      </c>
      <c r="L7" s="28" t="s">
        <v>0</v>
      </c>
      <c r="M7" s="28" t="s">
        <v>0</v>
      </c>
      <c r="N7" s="28" t="s">
        <v>0</v>
      </c>
      <c r="O7" s="28" t="s">
        <v>0</v>
      </c>
      <c r="P7" s="28" t="s">
        <v>0</v>
      </c>
      <c r="Q7" s="28" t="s">
        <v>0</v>
      </c>
      <c r="R7" s="24" t="s">
        <v>0</v>
      </c>
      <c r="S7" s="24" t="s">
        <v>0</v>
      </c>
    </row>
    <row r="8" ht="15.75" customHeight="1" spans="1:19" x14ac:dyDescent="0.25">
      <c r="A8" s="26" t="s">
        <v>45</v>
      </c>
      <c r="B8" s="27" t="s">
        <v>0</v>
      </c>
      <c r="C8" s="188" t="s">
        <v>0</v>
      </c>
      <c r="D8" s="22" t="s">
        <v>1798</v>
      </c>
      <c r="E8" s="23" t="s">
        <v>1799</v>
      </c>
      <c r="F8" s="28" t="s">
        <v>1800</v>
      </c>
      <c r="G8" s="28" t="s">
        <v>1801</v>
      </c>
      <c r="H8" s="28" t="s">
        <v>1802</v>
      </c>
      <c r="I8" s="28" t="s">
        <v>1803</v>
      </c>
      <c r="J8" s="28" t="s">
        <v>1804</v>
      </c>
      <c r="K8" s="28" t="s">
        <v>1805</v>
      </c>
      <c r="L8" s="28" t="s">
        <v>1806</v>
      </c>
      <c r="M8" s="28" t="s">
        <v>396</v>
      </c>
      <c r="N8" s="28" t="s">
        <v>1807</v>
      </c>
      <c r="O8" s="28" t="s">
        <v>1808</v>
      </c>
      <c r="P8" s="28" t="s">
        <v>1809</v>
      </c>
      <c r="Q8" s="28" t="s">
        <v>1810</v>
      </c>
      <c r="R8" s="24" t="s">
        <v>0</v>
      </c>
      <c r="S8" s="24" t="s">
        <v>1798</v>
      </c>
    </row>
    <row r="9" ht="15.75" customHeight="1" spans="1:19" x14ac:dyDescent="0.25">
      <c r="A9" s="19" t="s">
        <v>41</v>
      </c>
      <c r="B9" s="27" t="s">
        <v>0</v>
      </c>
      <c r="C9" s="188" t="s">
        <v>280</v>
      </c>
      <c r="D9" s="22" t="s">
        <v>0</v>
      </c>
      <c r="E9" s="23" t="s">
        <v>280</v>
      </c>
      <c r="F9" s="28" t="s">
        <v>0</v>
      </c>
      <c r="G9" s="28" t="s">
        <v>0</v>
      </c>
      <c r="H9" s="28" t="s">
        <v>0</v>
      </c>
      <c r="I9" s="28" t="s">
        <v>0</v>
      </c>
      <c r="J9" s="28" t="s">
        <v>0</v>
      </c>
      <c r="K9" s="28" t="s">
        <v>0</v>
      </c>
      <c r="L9" s="28" t="s">
        <v>0</v>
      </c>
      <c r="M9" s="28" t="s">
        <v>0</v>
      </c>
      <c r="N9" s="28" t="s">
        <v>0</v>
      </c>
      <c r="O9" s="28" t="s">
        <v>0</v>
      </c>
      <c r="P9" s="28" t="s">
        <v>0</v>
      </c>
      <c r="Q9" s="28" t="s">
        <v>0</v>
      </c>
      <c r="R9" s="24" t="s">
        <v>0</v>
      </c>
      <c r="S9" s="24" t="s">
        <v>0</v>
      </c>
    </row>
    <row r="10" ht="15.75" customHeight="1" spans="1:19" x14ac:dyDescent="0.25">
      <c r="A10" s="26" t="s">
        <v>1811</v>
      </c>
      <c r="B10" s="27" t="s">
        <v>0</v>
      </c>
      <c r="C10" s="188" t="s">
        <v>23</v>
      </c>
      <c r="D10" s="22" t="s">
        <v>0</v>
      </c>
      <c r="E10" s="23" t="s">
        <v>23</v>
      </c>
      <c r="F10" s="28" t="s">
        <v>0</v>
      </c>
      <c r="G10" s="28" t="s">
        <v>0</v>
      </c>
      <c r="H10" s="28" t="s">
        <v>0</v>
      </c>
      <c r="I10" s="28" t="s">
        <v>0</v>
      </c>
      <c r="J10" s="28" t="s">
        <v>0</v>
      </c>
      <c r="K10" s="28" t="s">
        <v>0</v>
      </c>
      <c r="L10" s="28" t="s">
        <v>0</v>
      </c>
      <c r="M10" s="28" t="s">
        <v>0</v>
      </c>
      <c r="N10" s="28" t="s">
        <v>0</v>
      </c>
      <c r="O10" s="28" t="s">
        <v>0</v>
      </c>
      <c r="P10" s="28" t="s">
        <v>0</v>
      </c>
      <c r="Q10" s="28" t="s">
        <v>0</v>
      </c>
      <c r="R10" s="24" t="s">
        <v>0</v>
      </c>
      <c r="S10" s="24" t="s">
        <v>0</v>
      </c>
    </row>
    <row r="11" ht="16.5" customHeight="1" spans="1:19" x14ac:dyDescent="0.25">
      <c r="A11" s="34" t="s">
        <v>0</v>
      </c>
      <c r="B11" s="37" t="s">
        <v>0</v>
      </c>
      <c r="C11" s="37" t="s">
        <v>124</v>
      </c>
      <c r="D11" s="37" t="s">
        <v>1812</v>
      </c>
      <c r="E11" s="37" t="s">
        <v>1813</v>
      </c>
      <c r="F11" s="37" t="s">
        <v>1800</v>
      </c>
      <c r="G11" s="37" t="s">
        <v>1814</v>
      </c>
      <c r="H11" s="37" t="s">
        <v>1802</v>
      </c>
      <c r="I11" s="37" t="s">
        <v>1803</v>
      </c>
      <c r="J11" s="37" t="s">
        <v>1815</v>
      </c>
      <c r="K11" s="37" t="s">
        <v>1816</v>
      </c>
      <c r="L11" s="37" t="s">
        <v>1817</v>
      </c>
      <c r="M11" s="37" t="s">
        <v>396</v>
      </c>
      <c r="N11" s="37" t="s">
        <v>1807</v>
      </c>
      <c r="O11" s="37" t="s">
        <v>1808</v>
      </c>
      <c r="P11" s="37" t="s">
        <v>1809</v>
      </c>
      <c r="Q11" s="37" t="s">
        <v>1810</v>
      </c>
      <c r="R11" s="193" t="s">
        <v>73</v>
      </c>
      <c r="S11" s="192" t="s">
        <v>1812</v>
      </c>
    </row>
    <row r="12" spans="1:19"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ht="38.25" customHeight="1" spans="1:19" x14ac:dyDescent="0.25">
      <c r="A13" s="39" t="s">
        <v>0</v>
      </c>
      <c r="B13" s="204"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16.5" customHeight="1" spans="1:19" x14ac:dyDescent="0.25">
      <c r="A14" s="40" t="s">
        <v>200</v>
      </c>
      <c r="B14" s="41" t="s">
        <v>201</v>
      </c>
      <c r="C14" s="42"/>
      <c r="D14" s="42"/>
      <c r="E14" s="43"/>
      <c r="F14" s="41" t="s">
        <v>76</v>
      </c>
      <c r="G14" s="42"/>
      <c r="H14" s="43"/>
      <c r="I14" s="44" t="s">
        <v>77</v>
      </c>
      <c r="J14" s="45" t="s">
        <v>0</v>
      </c>
      <c r="K14" t="s">
        <v>0</v>
      </c>
      <c r="L14" t="s">
        <v>0</v>
      </c>
      <c r="M14" t="s">
        <v>0</v>
      </c>
      <c r="N14" t="s">
        <v>0</v>
      </c>
      <c r="O14" t="s">
        <v>0</v>
      </c>
      <c r="P14" t="s">
        <v>0</v>
      </c>
      <c r="Q14" t="s">
        <v>0</v>
      </c>
      <c r="R14" t="s">
        <v>0</v>
      </c>
      <c r="S14" t="s">
        <v>0</v>
      </c>
    </row>
    <row r="15" ht="33" customHeight="1" spans="1:19" x14ac:dyDescent="0.25">
      <c r="A15" s="168" t="s">
        <v>208</v>
      </c>
      <c r="B15" s="169" t="s">
        <v>215</v>
      </c>
      <c r="C15" s="170"/>
      <c r="D15" s="170"/>
      <c r="E15" s="171"/>
      <c r="F15" s="169" t="s">
        <v>1818</v>
      </c>
      <c r="G15" s="206"/>
      <c r="H15" s="255"/>
      <c r="I15" s="207">
        <v>3124</v>
      </c>
      <c r="J15" s="208"/>
      <c r="K15" t="s">
        <v>0</v>
      </c>
      <c r="L15" t="s">
        <v>0</v>
      </c>
      <c r="M15" t="s">
        <v>0</v>
      </c>
      <c r="N15" t="s">
        <v>0</v>
      </c>
      <c r="O15" t="s">
        <v>0</v>
      </c>
      <c r="P15" t="s">
        <v>0</v>
      </c>
      <c r="Q15" t="s">
        <v>0</v>
      </c>
      <c r="R15" t="s">
        <v>0</v>
      </c>
      <c r="S15" t="s">
        <v>0</v>
      </c>
    </row>
    <row r="16" ht="30.75" customHeight="1" spans="1:19" x14ac:dyDescent="0.25">
      <c r="A16" s="168" t="s">
        <v>208</v>
      </c>
      <c r="B16" s="169" t="s">
        <v>1819</v>
      </c>
      <c r="C16" s="170"/>
      <c r="D16" s="170"/>
      <c r="E16" s="171"/>
      <c r="F16" s="169" t="s">
        <v>1820</v>
      </c>
      <c r="G16" s="206"/>
      <c r="H16" s="255"/>
      <c r="I16" s="207">
        <v>4200</v>
      </c>
      <c r="J16" s="208"/>
      <c r="K16" t="s">
        <v>0</v>
      </c>
      <c r="L16" t="s">
        <v>0</v>
      </c>
      <c r="M16" t="s">
        <v>0</v>
      </c>
      <c r="N16" t="s">
        <v>0</v>
      </c>
      <c r="O16" t="s">
        <v>0</v>
      </c>
      <c r="P16" t="s">
        <v>0</v>
      </c>
      <c r="Q16" t="s">
        <v>0</v>
      </c>
      <c r="R16" t="s">
        <v>0</v>
      </c>
      <c r="S16" t="s">
        <v>0</v>
      </c>
    </row>
    <row r="17" ht="30" customHeight="1" spans="1:19" x14ac:dyDescent="0.25">
      <c r="A17" s="168" t="s">
        <v>208</v>
      </c>
      <c r="B17" s="169" t="s">
        <v>1821</v>
      </c>
      <c r="C17" s="170"/>
      <c r="D17" s="170"/>
      <c r="E17" s="171"/>
      <c r="F17" s="169" t="s">
        <v>1822</v>
      </c>
      <c r="G17" s="206"/>
      <c r="H17" s="255"/>
      <c r="I17" s="207">
        <v>8595</v>
      </c>
      <c r="J17" s="208"/>
      <c r="K17" t="s">
        <v>0</v>
      </c>
      <c r="L17" t="s">
        <v>0</v>
      </c>
      <c r="M17" t="s">
        <v>0</v>
      </c>
      <c r="N17" t="s">
        <v>0</v>
      </c>
      <c r="O17" t="s">
        <v>0</v>
      </c>
      <c r="P17" t="s">
        <v>0</v>
      </c>
      <c r="Q17" t="s">
        <v>0</v>
      </c>
      <c r="R17" t="s">
        <v>0</v>
      </c>
      <c r="S17" t="s">
        <v>0</v>
      </c>
    </row>
    <row r="18" ht="30" customHeight="1" spans="1:19" x14ac:dyDescent="0.25">
      <c r="A18" s="168" t="s">
        <v>208</v>
      </c>
      <c r="B18" s="169" t="s">
        <v>1823</v>
      </c>
      <c r="C18" s="170"/>
      <c r="D18" s="170"/>
      <c r="E18" s="171"/>
      <c r="F18" s="169" t="s">
        <v>1824</v>
      </c>
      <c r="G18" s="206"/>
      <c r="H18" s="255"/>
      <c r="I18" s="207">
        <v>638</v>
      </c>
      <c r="J18" s="208"/>
      <c r="K18" t="s">
        <v>0</v>
      </c>
      <c r="L18" t="s">
        <v>0</v>
      </c>
      <c r="M18" t="s">
        <v>0</v>
      </c>
      <c r="N18" t="s">
        <v>0</v>
      </c>
      <c r="O18" t="s">
        <v>0</v>
      </c>
      <c r="P18" t="s">
        <v>0</v>
      </c>
      <c r="Q18" t="s">
        <v>0</v>
      </c>
      <c r="R18" t="s">
        <v>0</v>
      </c>
      <c r="S18" t="s">
        <v>0</v>
      </c>
    </row>
    <row r="19" ht="30" customHeight="1" spans="1:19" x14ac:dyDescent="0.25">
      <c r="A19" s="168" t="s">
        <v>537</v>
      </c>
      <c r="B19" s="81" t="s">
        <v>1825</v>
      </c>
      <c r="C19" s="134"/>
      <c r="D19" s="134"/>
      <c r="E19" s="84"/>
      <c r="F19" s="81" t="s">
        <v>1826</v>
      </c>
      <c r="G19" s="134"/>
      <c r="H19" s="84"/>
      <c r="I19" s="85">
        <v>16000</v>
      </c>
      <c r="J19" s="86"/>
      <c r="K19" t="s">
        <v>0</v>
      </c>
      <c r="L19" t="s">
        <v>0</v>
      </c>
      <c r="M19" t="s">
        <v>0</v>
      </c>
      <c r="N19" t="s">
        <v>0</v>
      </c>
      <c r="O19" t="s">
        <v>0</v>
      </c>
      <c r="P19" t="s">
        <v>0</v>
      </c>
      <c r="Q19" t="s">
        <v>0</v>
      </c>
      <c r="R19" t="s">
        <v>0</v>
      </c>
      <c r="S19" t="s">
        <v>0</v>
      </c>
    </row>
    <row r="20" ht="30" customHeight="1" spans="1:19" x14ac:dyDescent="0.25">
      <c r="A20" s="168" t="s">
        <v>0</v>
      </c>
      <c r="B20" s="81"/>
      <c r="C20" s="134"/>
      <c r="D20" s="134"/>
      <c r="E20" s="84"/>
      <c r="F20" s="81"/>
      <c r="G20" s="134"/>
      <c r="H20" s="84"/>
      <c r="I20" s="85"/>
      <c r="J20" s="86"/>
      <c r="K20" t="s">
        <v>0</v>
      </c>
      <c r="L20" t="s">
        <v>0</v>
      </c>
      <c r="M20" t="s">
        <v>0</v>
      </c>
      <c r="N20" t="s">
        <v>0</v>
      </c>
      <c r="O20" t="s">
        <v>0</v>
      </c>
      <c r="P20" t="s">
        <v>0</v>
      </c>
      <c r="Q20" t="s">
        <v>0</v>
      </c>
      <c r="R20" t="s">
        <v>0</v>
      </c>
      <c r="S20" t="s">
        <v>0</v>
      </c>
    </row>
    <row r="21" spans="1:19" x14ac:dyDescent="0.25">
      <c r="A21" s="54" t="s">
        <v>0</v>
      </c>
      <c r="B21" s="55"/>
      <c r="C21" s="56"/>
      <c r="D21" s="56"/>
      <c r="E21" s="57"/>
      <c r="F21" s="64"/>
      <c r="G21" s="140"/>
      <c r="H21" s="65"/>
      <c r="I21" s="85"/>
      <c r="J21" s="86"/>
      <c r="K21" t="s">
        <v>0</v>
      </c>
      <c r="L21" t="s">
        <v>0</v>
      </c>
      <c r="M21" t="s">
        <v>0</v>
      </c>
      <c r="N21" t="s">
        <v>0</v>
      </c>
      <c r="O21" t="s">
        <v>0</v>
      </c>
      <c r="P21" t="s">
        <v>0</v>
      </c>
      <c r="Q21" t="s">
        <v>0</v>
      </c>
      <c r="R21" t="s">
        <v>0</v>
      </c>
      <c r="S21" t="s">
        <v>0</v>
      </c>
    </row>
    <row r="22" ht="15.75" customHeight="1" spans="1:19" x14ac:dyDescent="0.25">
      <c r="A22" s="168" t="s">
        <v>0</v>
      </c>
      <c r="B22" s="169"/>
      <c r="C22" s="170"/>
      <c r="D22" s="170"/>
      <c r="E22" s="171"/>
      <c r="F22" s="216"/>
      <c r="G22" s="206"/>
      <c r="H22" s="255"/>
      <c r="I22" s="207"/>
      <c r="J22" s="208"/>
      <c r="K22" t="s">
        <v>0</v>
      </c>
      <c r="L22" t="s">
        <v>0</v>
      </c>
      <c r="M22" t="s">
        <v>0</v>
      </c>
      <c r="N22" t="s">
        <v>0</v>
      </c>
      <c r="O22" t="s">
        <v>0</v>
      </c>
      <c r="P22" t="s">
        <v>0</v>
      </c>
      <c r="Q22" t="s">
        <v>0</v>
      </c>
      <c r="R22" t="s">
        <v>0</v>
      </c>
      <c r="S22" t="s">
        <v>0</v>
      </c>
    </row>
    <row r="23" ht="15.75" customHeight="1" spans="1:19" x14ac:dyDescent="0.25">
      <c r="A23" s="93" t="s">
        <v>0</v>
      </c>
      <c r="B23" s="94"/>
      <c r="C23" s="95"/>
      <c r="D23" s="95"/>
      <c r="E23" s="96"/>
      <c r="F23" s="97" t="s">
        <v>96</v>
      </c>
      <c r="G23" s="98"/>
      <c r="H23" s="233"/>
      <c r="I23" s="99">
        <f>SUM(I15:K22)</f>
        <v>32557</v>
      </c>
      <c r="J23" s="100"/>
      <c r="K23" t="s">
        <v>0</v>
      </c>
      <c r="L23" t="s">
        <v>0</v>
      </c>
      <c r="M23" t="s">
        <v>0</v>
      </c>
      <c r="N23" t="s">
        <v>0</v>
      </c>
      <c r="O23" t="s">
        <v>0</v>
      </c>
      <c r="P23" t="s">
        <v>0</v>
      </c>
      <c r="Q23" t="s">
        <v>0</v>
      </c>
      <c r="R23" t="s">
        <v>0</v>
      </c>
      <c r="S23" t="s">
        <v>0</v>
      </c>
    </row>
    <row r="24" spans="1:19" x14ac:dyDescent="0.25">
      <c r="A24" t="s">
        <v>0</v>
      </c>
      <c r="B24" t="s">
        <v>0</v>
      </c>
      <c r="C24" t="s">
        <v>0</v>
      </c>
      <c r="D24" t="s">
        <v>0</v>
      </c>
      <c r="E24" t="s">
        <v>0</v>
      </c>
      <c r="F24" t="s">
        <v>0</v>
      </c>
      <c r="G24" t="s">
        <v>0</v>
      </c>
      <c r="H24" t="s">
        <v>0</v>
      </c>
      <c r="I24" t="s">
        <v>0</v>
      </c>
      <c r="J24" t="s">
        <v>0</v>
      </c>
      <c r="K24" t="s">
        <v>0</v>
      </c>
      <c r="L24" t="s">
        <v>0</v>
      </c>
      <c r="M24" t="s">
        <v>0</v>
      </c>
      <c r="N24" t="s">
        <v>0</v>
      </c>
      <c r="O24" t="s">
        <v>0</v>
      </c>
      <c r="P24" t="s">
        <v>0</v>
      </c>
      <c r="Q24" t="s">
        <v>0</v>
      </c>
      <c r="R24" t="s">
        <v>0</v>
      </c>
      <c r="S24" t="s">
        <v>0</v>
      </c>
    </row>
    <row r="25" ht="15.75" customHeight="1" spans="1:19"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row>
    <row r="26" ht="16.5" customHeight="1" spans="1:19" x14ac:dyDescent="0.25">
      <c r="A26" s="40" t="s">
        <v>74</v>
      </c>
      <c r="B26" s="41" t="s">
        <v>238</v>
      </c>
      <c r="C26" s="42"/>
      <c r="D26" s="42"/>
      <c r="E26" s="43"/>
      <c r="F26" s="41" t="s">
        <v>76</v>
      </c>
      <c r="G26" s="42"/>
      <c r="H26" s="43"/>
      <c r="I26" s="44" t="s">
        <v>77</v>
      </c>
      <c r="J26" s="45" t="s">
        <v>0</v>
      </c>
      <c r="K26" t="s">
        <v>0</v>
      </c>
      <c r="L26" t="s">
        <v>0</v>
      </c>
      <c r="M26" t="s">
        <v>0</v>
      </c>
      <c r="N26" t="s">
        <v>0</v>
      </c>
      <c r="O26" t="s">
        <v>0</v>
      </c>
      <c r="P26" t="s">
        <v>0</v>
      </c>
      <c r="Q26" t="s">
        <v>0</v>
      </c>
      <c r="R26" t="s">
        <v>0</v>
      </c>
      <c r="S26" t="s">
        <v>0</v>
      </c>
    </row>
    <row r="27" ht="30.75" customHeight="1" spans="1:19" x14ac:dyDescent="0.25">
      <c r="A27" s="168" t="s">
        <v>723</v>
      </c>
      <c r="B27" s="169" t="s">
        <v>1827</v>
      </c>
      <c r="C27" s="170"/>
      <c r="D27" s="170"/>
      <c r="E27" s="171"/>
      <c r="F27" s="169" t="s">
        <v>246</v>
      </c>
      <c r="G27" s="206"/>
      <c r="H27" s="255"/>
      <c r="I27" s="207">
        <v>1150</v>
      </c>
      <c r="J27" s="208"/>
      <c r="K27" t="s">
        <v>0</v>
      </c>
      <c r="L27" t="s">
        <v>0</v>
      </c>
      <c r="M27" t="s">
        <v>0</v>
      </c>
      <c r="N27" t="s">
        <v>0</v>
      </c>
      <c r="O27" t="s">
        <v>0</v>
      </c>
      <c r="P27" t="s">
        <v>0</v>
      </c>
      <c r="Q27" t="s">
        <v>0</v>
      </c>
      <c r="R27" t="s">
        <v>0</v>
      </c>
      <c r="S27" t="s">
        <v>0</v>
      </c>
    </row>
    <row r="28" spans="1:19" x14ac:dyDescent="0.25">
      <c r="A28" s="168" t="s">
        <v>723</v>
      </c>
      <c r="B28" s="169" t="s">
        <v>1828</v>
      </c>
      <c r="C28" s="170"/>
      <c r="D28" s="170"/>
      <c r="E28" s="171"/>
      <c r="F28" s="169" t="s">
        <v>250</v>
      </c>
      <c r="G28" s="206"/>
      <c r="H28" s="255"/>
      <c r="I28" s="207">
        <v>1150</v>
      </c>
      <c r="J28" s="208"/>
      <c r="K28" t="s">
        <v>0</v>
      </c>
      <c r="L28" t="s">
        <v>0</v>
      </c>
      <c r="M28" t="s">
        <v>0</v>
      </c>
      <c r="N28" t="s">
        <v>0</v>
      </c>
      <c r="O28" t="s">
        <v>0</v>
      </c>
      <c r="P28" t="s">
        <v>0</v>
      </c>
      <c r="Q28" t="s">
        <v>0</v>
      </c>
      <c r="R28" t="s">
        <v>0</v>
      </c>
      <c r="S28" t="s">
        <v>0</v>
      </c>
    </row>
    <row r="29" ht="45" customHeight="1" spans="1:19" x14ac:dyDescent="0.25">
      <c r="A29" s="168" t="s">
        <v>723</v>
      </c>
      <c r="B29" s="169" t="s">
        <v>1829</v>
      </c>
      <c r="C29" s="170"/>
      <c r="D29" s="170"/>
      <c r="E29" s="171"/>
      <c r="F29" s="169" t="s">
        <v>86</v>
      </c>
      <c r="G29" s="206"/>
      <c r="H29" s="255"/>
      <c r="I29" s="207">
        <v>12550</v>
      </c>
      <c r="J29" s="208"/>
      <c r="K29" t="s">
        <v>0</v>
      </c>
      <c r="L29" t="s">
        <v>0</v>
      </c>
      <c r="M29" t="s">
        <v>0</v>
      </c>
      <c r="N29" t="s">
        <v>0</v>
      </c>
      <c r="O29" t="s">
        <v>0</v>
      </c>
      <c r="P29" t="s">
        <v>0</v>
      </c>
      <c r="Q29" t="s">
        <v>0</v>
      </c>
      <c r="R29" t="s">
        <v>0</v>
      </c>
      <c r="S29" t="s">
        <v>0</v>
      </c>
    </row>
    <row r="30" spans="1:19" x14ac:dyDescent="0.25">
      <c r="A30" s="168" t="s">
        <v>0</v>
      </c>
      <c r="B30" s="169"/>
      <c r="C30" s="170"/>
      <c r="D30" s="170"/>
      <c r="E30" s="171"/>
      <c r="F30" s="169"/>
      <c r="G30" s="206"/>
      <c r="H30" s="255"/>
      <c r="I30" s="207"/>
      <c r="J30" s="208"/>
      <c r="K30" t="s">
        <v>0</v>
      </c>
      <c r="L30" t="s">
        <v>0</v>
      </c>
      <c r="M30" t="s">
        <v>0</v>
      </c>
      <c r="N30" t="s">
        <v>0</v>
      </c>
      <c r="O30" t="s">
        <v>0</v>
      </c>
      <c r="P30" t="s">
        <v>0</v>
      </c>
      <c r="Q30" t="s">
        <v>0</v>
      </c>
      <c r="R30" t="s">
        <v>0</v>
      </c>
      <c r="S30" t="s">
        <v>0</v>
      </c>
    </row>
    <row r="31" spans="1:19" x14ac:dyDescent="0.25">
      <c r="A31" s="168" t="s">
        <v>0</v>
      </c>
      <c r="B31" s="81"/>
      <c r="C31" s="134"/>
      <c r="D31" s="134"/>
      <c r="E31" s="84"/>
      <c r="F31" s="81"/>
      <c r="G31" s="134"/>
      <c r="H31" s="84"/>
      <c r="I31" s="85"/>
      <c r="J31" s="86"/>
      <c r="K31" t="s">
        <v>0</v>
      </c>
      <c r="L31" t="s">
        <v>0</v>
      </c>
      <c r="M31" t="s">
        <v>0</v>
      </c>
      <c r="N31" t="s">
        <v>0</v>
      </c>
      <c r="O31" t="s">
        <v>0</v>
      </c>
      <c r="P31" t="s">
        <v>0</v>
      </c>
      <c r="Q31" t="s">
        <v>0</v>
      </c>
      <c r="R31" t="s">
        <v>0</v>
      </c>
      <c r="S31" t="s">
        <v>0</v>
      </c>
    </row>
    <row r="32" spans="1:19" x14ac:dyDescent="0.25">
      <c r="A32" s="168" t="s">
        <v>0</v>
      </c>
      <c r="B32" s="81"/>
      <c r="C32" s="134"/>
      <c r="D32" s="134"/>
      <c r="E32" s="84"/>
      <c r="F32" s="81"/>
      <c r="G32" s="134"/>
      <c r="H32" s="84"/>
      <c r="I32" s="85"/>
      <c r="J32" s="86"/>
      <c r="K32" t="s">
        <v>0</v>
      </c>
      <c r="L32" t="s">
        <v>0</v>
      </c>
      <c r="M32" t="s">
        <v>0</v>
      </c>
      <c r="N32" t="s">
        <v>0</v>
      </c>
      <c r="O32" t="s">
        <v>0</v>
      </c>
      <c r="P32" t="s">
        <v>0</v>
      </c>
      <c r="Q32" t="s">
        <v>0</v>
      </c>
      <c r="R32" t="s">
        <v>0</v>
      </c>
      <c r="S32" t="s">
        <v>0</v>
      </c>
    </row>
    <row r="33" spans="1:19" x14ac:dyDescent="0.25">
      <c r="A33" s="54" t="s">
        <v>0</v>
      </c>
      <c r="B33" s="55"/>
      <c r="C33" s="56"/>
      <c r="D33" s="56"/>
      <c r="E33" s="57"/>
      <c r="F33" s="64"/>
      <c r="G33" s="140"/>
      <c r="H33" s="65"/>
      <c r="I33" s="85"/>
      <c r="J33" s="86"/>
      <c r="K33" t="s">
        <v>0</v>
      </c>
      <c r="L33" t="s">
        <v>0</v>
      </c>
      <c r="M33" t="s">
        <v>0</v>
      </c>
      <c r="N33" t="s">
        <v>0</v>
      </c>
      <c r="O33" t="s">
        <v>0</v>
      </c>
      <c r="P33" t="s">
        <v>0</v>
      </c>
      <c r="Q33" t="s">
        <v>0</v>
      </c>
      <c r="R33" t="s">
        <v>0</v>
      </c>
      <c r="S33" t="s">
        <v>0</v>
      </c>
    </row>
    <row r="34" ht="15.75" customHeight="1" spans="1:19" x14ac:dyDescent="0.25">
      <c r="A34" s="168" t="s">
        <v>0</v>
      </c>
      <c r="B34" s="169"/>
      <c r="C34" s="170"/>
      <c r="D34" s="170"/>
      <c r="E34" s="171"/>
      <c r="F34" s="216"/>
      <c r="G34" s="206"/>
      <c r="H34" s="255"/>
      <c r="I34" s="207"/>
      <c r="J34" s="208"/>
      <c r="K34" t="s">
        <v>0</v>
      </c>
      <c r="L34" t="s">
        <v>0</v>
      </c>
      <c r="M34" t="s">
        <v>0</v>
      </c>
      <c r="N34" t="s">
        <v>0</v>
      </c>
      <c r="O34" t="s">
        <v>0</v>
      </c>
      <c r="P34" t="s">
        <v>0</v>
      </c>
      <c r="Q34" t="s">
        <v>0</v>
      </c>
      <c r="R34" t="s">
        <v>0</v>
      </c>
      <c r="S34" t="s">
        <v>0</v>
      </c>
    </row>
    <row r="35" ht="15.75" customHeight="1" spans="1:19" x14ac:dyDescent="0.25">
      <c r="A35" s="93" t="s">
        <v>0</v>
      </c>
      <c r="B35" s="94"/>
      <c r="C35" s="95"/>
      <c r="D35" s="95"/>
      <c r="E35" s="96"/>
      <c r="F35" s="97" t="s">
        <v>96</v>
      </c>
      <c r="G35" s="98"/>
      <c r="H35" s="233"/>
      <c r="I35" s="99">
        <f>SUM(I27:K34)</f>
        <v>14850</v>
      </c>
      <c r="J35" s="100"/>
      <c r="K35" t="s">
        <v>0</v>
      </c>
      <c r="L35" t="s">
        <v>0</v>
      </c>
      <c r="M35" t="s">
        <v>0</v>
      </c>
      <c r="N35" t="s">
        <v>0</v>
      </c>
      <c r="O35" t="s">
        <v>0</v>
      </c>
      <c r="P35" t="s">
        <v>0</v>
      </c>
      <c r="Q35" t="s">
        <v>0</v>
      </c>
      <c r="R35" t="s">
        <v>0</v>
      </c>
      <c r="S35" t="s">
        <v>0</v>
      </c>
    </row>
  </sheetData>
  <mergeCells count="58">
    <mergeCell ref="B14:E14"/>
    <mergeCell ref="F14:H14"/>
    <mergeCell ref="B15:E15"/>
    <mergeCell ref="F15:H15"/>
    <mergeCell ref="I15:J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B21:E21"/>
    <mergeCell ref="F21:H21"/>
    <mergeCell ref="I21:J21"/>
    <mergeCell ref="B22:E22"/>
    <mergeCell ref="F22:H22"/>
    <mergeCell ref="I22:J22"/>
    <mergeCell ref="B23:E23"/>
    <mergeCell ref="F23:H23"/>
    <mergeCell ref="I23:J23"/>
    <mergeCell ref="B26:E26"/>
    <mergeCell ref="F26:H26"/>
    <mergeCell ref="B27:E27"/>
    <mergeCell ref="F27:H27"/>
    <mergeCell ref="I27:J27"/>
    <mergeCell ref="B28:E28"/>
    <mergeCell ref="F28:H28"/>
    <mergeCell ref="I28:J28"/>
    <mergeCell ref="B29:E29"/>
    <mergeCell ref="F29:H29"/>
    <mergeCell ref="I29:J29"/>
    <mergeCell ref="B30:E30"/>
    <mergeCell ref="F30:H30"/>
    <mergeCell ref="I30:J30"/>
    <mergeCell ref="B31:E31"/>
    <mergeCell ref="F31:H31"/>
    <mergeCell ref="I31:J31"/>
    <mergeCell ref="B32:E32"/>
    <mergeCell ref="F32:H32"/>
    <mergeCell ref="I32:J32"/>
    <mergeCell ref="B33:E33"/>
    <mergeCell ref="F33:H33"/>
    <mergeCell ref="I33:J33"/>
    <mergeCell ref="B34:E34"/>
    <mergeCell ref="F34:H34"/>
    <mergeCell ref="I34:J34"/>
    <mergeCell ref="B35:E35"/>
    <mergeCell ref="F35:H35"/>
    <mergeCell ref="I35:J3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zoomScale="100" zoomScaleNormal="100">
      <selection activeCell="Q7" sqref="Q7"/>
    </sheetView>
  </sheetViews>
  <sheetFormatPr defaultRowHeight="15" outlineLevelRow="0" outlineLevelCol="0" x14ac:dyDescent="0.25"/>
  <cols>
    <col min="1" max="1" width="36.7109375" customWidth="1"/>
    <col min="2" max="2" width="16.7109375" hidden="1" customWidth="1"/>
    <col min="3" max="3" width="15.7109375" customWidth="1"/>
    <col min="4" max="4" width="15.42578125" customWidth="1"/>
    <col min="5" max="5" width="17.42578125" customWidth="1"/>
    <col min="6" max="6" width="11.140625" customWidth="1"/>
    <col min="7" max="9" width="10.28515625" customWidth="1"/>
    <col min="10" max="10" width="11.28515625" customWidth="1"/>
    <col min="11" max="13" width="10.28515625" customWidth="1"/>
    <col min="14" max="15" width="11.28515625" customWidth="1"/>
    <col min="16" max="16" width="11" customWidth="1"/>
    <col min="17" max="17" width="13.42578125" customWidth="1"/>
    <col min="18" max="18" width="11.28515625" customWidth="1"/>
    <col min="19" max="19" width="13.28515625" customWidth="1"/>
  </cols>
  <sheetData>
    <row r="1" ht="72.75" customHeight="1" spans="1:19" x14ac:dyDescent="0.25">
      <c r="A1" s="1" t="s">
        <v>0</v>
      </c>
      <c r="B1" s="2" t="s">
        <v>601</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2" t="s">
        <v>1830</v>
      </c>
      <c r="B2" s="13" t="s">
        <v>0</v>
      </c>
      <c r="C2" s="186" t="s">
        <v>0</v>
      </c>
      <c r="D2" s="14" t="s">
        <v>0</v>
      </c>
      <c r="E2" s="15" t="s">
        <v>0</v>
      </c>
      <c r="F2" s="16" t="s">
        <v>0</v>
      </c>
      <c r="G2" s="105" t="s">
        <v>0</v>
      </c>
      <c r="H2" s="16" t="s">
        <v>0</v>
      </c>
      <c r="I2" s="17" t="s">
        <v>0</v>
      </c>
      <c r="J2" s="16" t="s">
        <v>0</v>
      </c>
      <c r="K2" s="17" t="s">
        <v>0</v>
      </c>
      <c r="L2" s="16" t="s">
        <v>0</v>
      </c>
      <c r="M2" s="17" t="s">
        <v>0</v>
      </c>
      <c r="N2" s="16" t="s">
        <v>0</v>
      </c>
      <c r="O2" s="17" t="s">
        <v>0</v>
      </c>
      <c r="P2" s="16" t="s">
        <v>0</v>
      </c>
      <c r="Q2" s="18" t="s">
        <v>0</v>
      </c>
      <c r="R2" s="105" t="s">
        <v>0</v>
      </c>
      <c r="S2" s="16" t="s">
        <v>0</v>
      </c>
    </row>
    <row r="3" ht="15.75" customHeight="1" spans="1:19" x14ac:dyDescent="0.25">
      <c r="A3" s="187" t="s">
        <v>19</v>
      </c>
      <c r="B3" s="20" t="s">
        <v>0</v>
      </c>
      <c r="C3" s="21" t="s">
        <v>1831</v>
      </c>
      <c r="D3" s="22" t="s">
        <v>1832</v>
      </c>
      <c r="E3" s="23" t="s">
        <v>1833</v>
      </c>
      <c r="F3" s="23" t="s">
        <v>0</v>
      </c>
      <c r="G3" s="23" t="s">
        <v>0</v>
      </c>
      <c r="H3" s="23" t="s">
        <v>0</v>
      </c>
      <c r="I3" s="23" t="s">
        <v>0</v>
      </c>
      <c r="J3" s="23" t="s">
        <v>0</v>
      </c>
      <c r="K3" s="23" t="s">
        <v>0</v>
      </c>
      <c r="L3" s="23" t="s">
        <v>0</v>
      </c>
      <c r="M3" s="23" t="s">
        <v>0</v>
      </c>
      <c r="N3" s="23" t="s">
        <v>1834</v>
      </c>
      <c r="O3" s="23" t="s">
        <v>1835</v>
      </c>
      <c r="P3" s="23" t="s">
        <v>0</v>
      </c>
      <c r="Q3" s="23" t="s">
        <v>0</v>
      </c>
      <c r="R3" s="24" t="s">
        <v>0</v>
      </c>
      <c r="S3" s="24" t="s">
        <v>1832</v>
      </c>
    </row>
    <row r="4" ht="15.75" customHeight="1" spans="1:19" x14ac:dyDescent="0.25">
      <c r="A4" s="187" t="s">
        <v>537</v>
      </c>
      <c r="B4" s="20" t="s">
        <v>0</v>
      </c>
      <c r="C4" s="21" t="s">
        <v>0</v>
      </c>
      <c r="D4" s="22" t="s">
        <v>1836</v>
      </c>
      <c r="E4" s="23" t="s">
        <v>1837</v>
      </c>
      <c r="F4" s="23" t="s">
        <v>0</v>
      </c>
      <c r="G4" s="23" t="s">
        <v>0</v>
      </c>
      <c r="H4" s="23" t="s">
        <v>0</v>
      </c>
      <c r="I4" s="23" t="s">
        <v>0</v>
      </c>
      <c r="J4" s="23" t="s">
        <v>0</v>
      </c>
      <c r="K4" s="23" t="s">
        <v>0</v>
      </c>
      <c r="L4" s="23" t="s">
        <v>0</v>
      </c>
      <c r="M4" s="23" t="s">
        <v>0</v>
      </c>
      <c r="N4" s="23" t="s">
        <v>1838</v>
      </c>
      <c r="O4" s="23" t="s">
        <v>1839</v>
      </c>
      <c r="P4" s="23" t="s">
        <v>0</v>
      </c>
      <c r="Q4" s="23" t="s">
        <v>0</v>
      </c>
      <c r="R4" s="24" t="s">
        <v>0</v>
      </c>
      <c r="S4" s="24" t="s">
        <v>1836</v>
      </c>
    </row>
    <row r="5" ht="15.75" customHeight="1" spans="1:19" x14ac:dyDescent="0.25">
      <c r="A5" s="19" t="s">
        <v>60</v>
      </c>
      <c r="B5" s="27" t="s">
        <v>0</v>
      </c>
      <c r="C5" s="188" t="s">
        <v>1106</v>
      </c>
      <c r="D5" s="22" t="s">
        <v>1840</v>
      </c>
      <c r="E5" s="23" t="s">
        <v>1841</v>
      </c>
      <c r="F5" s="28" t="s">
        <v>0</v>
      </c>
      <c r="G5" s="28" t="s">
        <v>0</v>
      </c>
      <c r="H5" s="28" t="s">
        <v>0</v>
      </c>
      <c r="I5" s="28" t="s">
        <v>0</v>
      </c>
      <c r="J5" s="28" t="s">
        <v>0</v>
      </c>
      <c r="K5" s="28" t="s">
        <v>0</v>
      </c>
      <c r="L5" s="28" t="s">
        <v>0</v>
      </c>
      <c r="M5" s="28" t="s">
        <v>0</v>
      </c>
      <c r="N5" s="28" t="s">
        <v>1840</v>
      </c>
      <c r="O5" s="28" t="s">
        <v>0</v>
      </c>
      <c r="P5" s="28" t="s">
        <v>0</v>
      </c>
      <c r="Q5" s="28" t="s">
        <v>0</v>
      </c>
      <c r="R5" s="24" t="s">
        <v>0</v>
      </c>
      <c r="S5" s="24" t="s">
        <v>1840</v>
      </c>
    </row>
    <row r="6" ht="15.75" customHeight="1" spans="1:19" x14ac:dyDescent="0.25">
      <c r="A6" s="19" t="s">
        <v>45</v>
      </c>
      <c r="B6" s="27" t="s">
        <v>0</v>
      </c>
      <c r="C6" s="188" t="s">
        <v>0</v>
      </c>
      <c r="D6" s="22" t="s">
        <v>1842</v>
      </c>
      <c r="E6" s="23" t="s">
        <v>1843</v>
      </c>
      <c r="F6" s="28" t="s">
        <v>1844</v>
      </c>
      <c r="G6" s="28" t="s">
        <v>49</v>
      </c>
      <c r="H6" s="28" t="s">
        <v>1845</v>
      </c>
      <c r="I6" s="28" t="s">
        <v>1846</v>
      </c>
      <c r="J6" s="28" t="s">
        <v>950</v>
      </c>
      <c r="K6" s="28" t="s">
        <v>1847</v>
      </c>
      <c r="L6" s="28" t="s">
        <v>1848</v>
      </c>
      <c r="M6" s="28" t="s">
        <v>167</v>
      </c>
      <c r="N6" s="28" t="s">
        <v>170</v>
      </c>
      <c r="O6" s="28" t="s">
        <v>1849</v>
      </c>
      <c r="P6" s="28" t="s">
        <v>167</v>
      </c>
      <c r="Q6" s="28" t="s">
        <v>1850</v>
      </c>
      <c r="R6" s="28" t="s">
        <v>0</v>
      </c>
      <c r="S6" s="24" t="s">
        <v>1842</v>
      </c>
    </row>
    <row r="7" ht="14.25" customHeight="1" spans="1:19" x14ac:dyDescent="0.25">
      <c r="A7" s="19" t="s">
        <v>41</v>
      </c>
      <c r="B7" s="27" t="s">
        <v>0</v>
      </c>
      <c r="C7" s="188" t="s">
        <v>1851</v>
      </c>
      <c r="D7" s="22" t="s">
        <v>0</v>
      </c>
      <c r="E7" s="23" t="s">
        <v>1851</v>
      </c>
      <c r="F7" s="28" t="s">
        <v>0</v>
      </c>
      <c r="G7" s="28" t="s">
        <v>0</v>
      </c>
      <c r="H7" s="28" t="s">
        <v>0</v>
      </c>
      <c r="I7" s="28" t="s">
        <v>0</v>
      </c>
      <c r="J7" s="28" t="s">
        <v>0</v>
      </c>
      <c r="K7" s="28" t="s">
        <v>0</v>
      </c>
      <c r="L7" s="28" t="s">
        <v>0</v>
      </c>
      <c r="M7" s="28" t="s">
        <v>0</v>
      </c>
      <c r="N7" s="28" t="s">
        <v>0</v>
      </c>
      <c r="O7" s="28" t="s">
        <v>0</v>
      </c>
      <c r="P7" s="28" t="s">
        <v>0</v>
      </c>
      <c r="Q7" s="28" t="s">
        <v>0</v>
      </c>
      <c r="R7" s="33" t="s">
        <v>0</v>
      </c>
      <c r="S7" s="24" t="s">
        <v>0</v>
      </c>
    </row>
    <row r="8" ht="15.75" customHeight="1" spans="1:19" x14ac:dyDescent="0.25">
      <c r="A8" s="19" t="s">
        <v>33</v>
      </c>
      <c r="B8" s="30" t="s">
        <v>0</v>
      </c>
      <c r="C8" s="190" t="s">
        <v>348</v>
      </c>
      <c r="D8" s="22" t="s">
        <v>1852</v>
      </c>
      <c r="E8" s="23" t="s">
        <v>1853</v>
      </c>
      <c r="F8" s="191" t="s">
        <v>0</v>
      </c>
      <c r="G8" s="191" t="s">
        <v>0</v>
      </c>
      <c r="H8" s="191" t="s">
        <v>1852</v>
      </c>
      <c r="I8" s="191" t="s">
        <v>0</v>
      </c>
      <c r="J8" s="191" t="s">
        <v>0</v>
      </c>
      <c r="K8" s="191" t="s">
        <v>0</v>
      </c>
      <c r="L8" s="191" t="s">
        <v>0</v>
      </c>
      <c r="M8" s="191" t="s">
        <v>0</v>
      </c>
      <c r="N8" s="191" t="s">
        <v>0</v>
      </c>
      <c r="O8" s="191" t="s">
        <v>0</v>
      </c>
      <c r="P8" s="191" t="s">
        <v>0</v>
      </c>
      <c r="Q8" s="191" t="s">
        <v>0</v>
      </c>
      <c r="R8" s="28" t="s">
        <v>0</v>
      </c>
      <c r="S8" s="24" t="s">
        <v>1852</v>
      </c>
    </row>
    <row r="9" ht="16.5" customHeight="1" spans="1:19" x14ac:dyDescent="0.25">
      <c r="A9" s="34" t="s">
        <v>0</v>
      </c>
      <c r="B9" s="37" t="s">
        <v>0</v>
      </c>
      <c r="C9" s="37" t="s">
        <v>1854</v>
      </c>
      <c r="D9" s="37" t="s">
        <v>1855</v>
      </c>
      <c r="E9" s="37" t="s">
        <v>1856</v>
      </c>
      <c r="F9" s="37" t="s">
        <v>1844</v>
      </c>
      <c r="G9" s="37" t="s">
        <v>49</v>
      </c>
      <c r="H9" s="37" t="s">
        <v>1845</v>
      </c>
      <c r="I9" s="37" t="s">
        <v>1846</v>
      </c>
      <c r="J9" s="37" t="s">
        <v>950</v>
      </c>
      <c r="K9" s="37" t="s">
        <v>1847</v>
      </c>
      <c r="L9" s="37" t="s">
        <v>1848</v>
      </c>
      <c r="M9" s="37" t="s">
        <v>167</v>
      </c>
      <c r="N9" s="37" t="s">
        <v>1857</v>
      </c>
      <c r="O9" s="37" t="s">
        <v>1858</v>
      </c>
      <c r="P9" s="37" t="s">
        <v>167</v>
      </c>
      <c r="Q9" s="37" t="s">
        <v>1850</v>
      </c>
      <c r="R9" s="193" t="s">
        <v>73</v>
      </c>
      <c r="S9" s="192" t="s">
        <v>1859</v>
      </c>
    </row>
    <row r="10" spans="1:19" x14ac:dyDescent="0.25">
      <c r="A10" t="s">
        <v>0</v>
      </c>
      <c r="B10" t="s">
        <v>0</v>
      </c>
      <c r="C10" t="s">
        <v>0</v>
      </c>
      <c r="D10" t="s">
        <v>0</v>
      </c>
      <c r="E10" t="s">
        <v>0</v>
      </c>
      <c r="F10" t="s">
        <v>0</v>
      </c>
      <c r="G10" t="s">
        <v>0</v>
      </c>
      <c r="H10" t="s">
        <v>0</v>
      </c>
      <c r="I10" t="s">
        <v>0</v>
      </c>
      <c r="J10" t="s">
        <v>0</v>
      </c>
      <c r="K10" t="s">
        <v>0</v>
      </c>
      <c r="L10" t="s">
        <v>0</v>
      </c>
      <c r="M10" t="s">
        <v>0</v>
      </c>
      <c r="N10" t="s">
        <v>0</v>
      </c>
      <c r="O10" t="s">
        <v>0</v>
      </c>
      <c r="P10" t="s">
        <v>0</v>
      </c>
      <c r="Q10" t="s">
        <v>0</v>
      </c>
      <c r="R10" t="s">
        <v>0</v>
      </c>
      <c r="S10" t="s">
        <v>0</v>
      </c>
    </row>
    <row r="11" ht="15.75" customHeight="1" spans="1:19"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row>
    <row r="12" ht="16.5" customHeight="1" spans="1:19" x14ac:dyDescent="0.25">
      <c r="A12" s="40" t="s">
        <v>200</v>
      </c>
      <c r="B12" s="41" t="s">
        <v>201</v>
      </c>
      <c r="C12" s="42"/>
      <c r="D12" s="42"/>
      <c r="E12" s="43"/>
      <c r="F12" s="41" t="s">
        <v>76</v>
      </c>
      <c r="G12" s="42"/>
      <c r="H12" s="43"/>
      <c r="I12" s="44" t="s">
        <v>77</v>
      </c>
      <c r="J12" s="45" t="s">
        <v>0</v>
      </c>
      <c r="K12" t="s">
        <v>0</v>
      </c>
      <c r="L12" t="s">
        <v>0</v>
      </c>
      <c r="M12" t="s">
        <v>0</v>
      </c>
      <c r="N12" t="s">
        <v>0</v>
      </c>
      <c r="O12" t="s">
        <v>0</v>
      </c>
      <c r="P12" t="s">
        <v>0</v>
      </c>
      <c r="Q12" t="s">
        <v>0</v>
      </c>
      <c r="R12" t="s">
        <v>0</v>
      </c>
      <c r="S12" t="s">
        <v>0</v>
      </c>
    </row>
    <row r="13" ht="30" customHeight="1" spans="1:19" x14ac:dyDescent="0.25">
      <c r="A13" s="168" t="s">
        <v>1860</v>
      </c>
      <c r="B13" s="169" t="s">
        <v>1861</v>
      </c>
      <c r="C13" s="170"/>
      <c r="D13" s="170"/>
      <c r="E13" s="171"/>
      <c r="F13" s="169" t="s">
        <v>1862</v>
      </c>
      <c r="G13" s="206"/>
      <c r="H13" s="255"/>
      <c r="I13" s="207">
        <v>117975</v>
      </c>
      <c r="J13" s="208"/>
      <c r="K13" t="s">
        <v>0</v>
      </c>
      <c r="L13" t="s">
        <v>0</v>
      </c>
      <c r="M13" t="s">
        <v>0</v>
      </c>
      <c r="N13" t="s">
        <v>0</v>
      </c>
      <c r="O13" t="s">
        <v>0</v>
      </c>
      <c r="P13" t="s">
        <v>0</v>
      </c>
      <c r="Q13" t="s">
        <v>0</v>
      </c>
      <c r="R13" t="s">
        <v>0</v>
      </c>
      <c r="S13" t="s">
        <v>0</v>
      </c>
    </row>
    <row r="14" ht="30.75" customHeight="1" spans="1:19" x14ac:dyDescent="0.25">
      <c r="A14" s="168" t="s">
        <v>208</v>
      </c>
      <c r="B14" s="169" t="s">
        <v>1863</v>
      </c>
      <c r="C14" s="170"/>
      <c r="D14" s="170"/>
      <c r="E14" s="171"/>
      <c r="F14" s="169" t="s">
        <v>1864</v>
      </c>
      <c r="G14" s="206"/>
      <c r="H14" s="255"/>
      <c r="I14" s="207">
        <v>28092</v>
      </c>
      <c r="J14" s="208"/>
      <c r="K14" t="s">
        <v>0</v>
      </c>
      <c r="L14" t="s">
        <v>0</v>
      </c>
      <c r="M14" t="s">
        <v>0</v>
      </c>
      <c r="N14" t="s">
        <v>0</v>
      </c>
      <c r="O14" t="s">
        <v>0</v>
      </c>
      <c r="P14" t="s">
        <v>0</v>
      </c>
      <c r="Q14" t="s">
        <v>0</v>
      </c>
      <c r="R14" t="s">
        <v>0</v>
      </c>
      <c r="S14" t="s">
        <v>0</v>
      </c>
    </row>
    <row r="15" ht="31.5" customHeight="1" spans="1:19" x14ac:dyDescent="0.25">
      <c r="A15" s="168" t="s">
        <v>1631</v>
      </c>
      <c r="B15" s="169" t="s">
        <v>1865</v>
      </c>
      <c r="C15" s="170"/>
      <c r="D15" s="170"/>
      <c r="E15" s="171"/>
      <c r="F15" s="169" t="s">
        <v>1866</v>
      </c>
      <c r="G15" s="206"/>
      <c r="H15" s="255"/>
      <c r="I15" s="207">
        <v>14934</v>
      </c>
      <c r="J15" s="208"/>
      <c r="K15" t="s">
        <v>0</v>
      </c>
      <c r="L15" t="s">
        <v>0</v>
      </c>
      <c r="M15" t="s">
        <v>0</v>
      </c>
      <c r="N15" t="s">
        <v>0</v>
      </c>
      <c r="O15" t="s">
        <v>0</v>
      </c>
      <c r="P15" t="s">
        <v>0</v>
      </c>
      <c r="Q15" t="s">
        <v>0</v>
      </c>
      <c r="R15" t="s">
        <v>0</v>
      </c>
      <c r="S15" t="s">
        <v>0</v>
      </c>
    </row>
    <row r="16" ht="30" customHeight="1" spans="1:19" x14ac:dyDescent="0.25">
      <c r="A16" s="168" t="s">
        <v>1867</v>
      </c>
      <c r="B16" s="169" t="s">
        <v>1868</v>
      </c>
      <c r="C16" s="170"/>
      <c r="D16" s="170"/>
      <c r="E16" s="171"/>
      <c r="F16" s="169" t="s">
        <v>1869</v>
      </c>
      <c r="G16" s="206"/>
      <c r="H16" s="255"/>
      <c r="I16" s="207">
        <v>33480</v>
      </c>
      <c r="J16" s="208"/>
      <c r="K16" t="s">
        <v>0</v>
      </c>
      <c r="L16" t="s">
        <v>0</v>
      </c>
      <c r="M16" t="s">
        <v>0</v>
      </c>
      <c r="N16" t="s">
        <v>0</v>
      </c>
      <c r="O16" t="s">
        <v>0</v>
      </c>
      <c r="P16" t="s">
        <v>0</v>
      </c>
      <c r="Q16" t="s">
        <v>0</v>
      </c>
      <c r="R16" t="s">
        <v>0</v>
      </c>
      <c r="S16" t="s">
        <v>0</v>
      </c>
    </row>
    <row r="17" ht="30" customHeight="1" spans="1:19" x14ac:dyDescent="0.25">
      <c r="A17" s="168" t="s">
        <v>208</v>
      </c>
      <c r="B17" s="81" t="s">
        <v>1870</v>
      </c>
      <c r="C17" s="134"/>
      <c r="D17" s="134"/>
      <c r="E17" s="84"/>
      <c r="F17" s="81" t="s">
        <v>1871</v>
      </c>
      <c r="G17" s="134"/>
      <c r="H17" s="84"/>
      <c r="I17" s="85">
        <v>100000</v>
      </c>
      <c r="J17" s="86"/>
      <c r="K17" t="s">
        <v>0</v>
      </c>
      <c r="L17" t="s">
        <v>0</v>
      </c>
      <c r="M17" t="s">
        <v>0</v>
      </c>
      <c r="N17" t="s">
        <v>0</v>
      </c>
      <c r="O17" t="s">
        <v>0</v>
      </c>
      <c r="P17" t="s">
        <v>0</v>
      </c>
      <c r="Q17" t="s">
        <v>0</v>
      </c>
      <c r="R17" t="s">
        <v>0</v>
      </c>
      <c r="S17" t="s">
        <v>0</v>
      </c>
    </row>
    <row r="18" spans="1:19" x14ac:dyDescent="0.25">
      <c r="A18" s="168" t="s">
        <v>0</v>
      </c>
      <c r="B18" s="81"/>
      <c r="C18" s="134"/>
      <c r="D18" s="134"/>
      <c r="E18" s="84"/>
      <c r="F18" s="81"/>
      <c r="G18" s="134"/>
      <c r="H18" s="84"/>
      <c r="I18" s="85"/>
      <c r="J18" s="86"/>
      <c r="K18" t="s">
        <v>0</v>
      </c>
      <c r="L18" t="s">
        <v>0</v>
      </c>
      <c r="M18" t="s">
        <v>0</v>
      </c>
      <c r="N18" t="s">
        <v>0</v>
      </c>
      <c r="O18" t="s">
        <v>0</v>
      </c>
      <c r="P18" t="s">
        <v>0</v>
      </c>
      <c r="Q18" t="s">
        <v>0</v>
      </c>
      <c r="R18" t="s">
        <v>0</v>
      </c>
      <c r="S18" t="s">
        <v>0</v>
      </c>
    </row>
    <row r="19" spans="1:19" x14ac:dyDescent="0.25">
      <c r="A19" s="54" t="s">
        <v>0</v>
      </c>
      <c r="B19" s="55"/>
      <c r="C19" s="56"/>
      <c r="D19" s="56"/>
      <c r="E19" s="57"/>
      <c r="F19" s="64"/>
      <c r="G19" s="140"/>
      <c r="H19" s="65"/>
      <c r="I19" s="85"/>
      <c r="J19" s="86"/>
      <c r="K19" t="s">
        <v>0</v>
      </c>
      <c r="L19" t="s">
        <v>0</v>
      </c>
      <c r="M19" t="s">
        <v>0</v>
      </c>
      <c r="N19" t="s">
        <v>0</v>
      </c>
      <c r="O19" t="s">
        <v>0</v>
      </c>
      <c r="P19" t="s">
        <v>0</v>
      </c>
      <c r="Q19" t="s">
        <v>0</v>
      </c>
      <c r="R19" t="s">
        <v>0</v>
      </c>
      <c r="S19" t="s">
        <v>0</v>
      </c>
    </row>
    <row r="20" ht="15.75" customHeight="1" spans="1:19" x14ac:dyDescent="0.25">
      <c r="A20" s="168" t="s">
        <v>0</v>
      </c>
      <c r="B20" s="169"/>
      <c r="C20" s="170"/>
      <c r="D20" s="170"/>
      <c r="E20" s="171"/>
      <c r="F20" s="216"/>
      <c r="G20" s="206"/>
      <c r="H20" s="255"/>
      <c r="I20" s="207"/>
      <c r="J20" s="208"/>
      <c r="K20" t="s">
        <v>0</v>
      </c>
      <c r="L20" t="s">
        <v>0</v>
      </c>
      <c r="M20" t="s">
        <v>0</v>
      </c>
      <c r="N20" t="s">
        <v>0</v>
      </c>
      <c r="O20" t="s">
        <v>0</v>
      </c>
      <c r="P20" t="s">
        <v>0</v>
      </c>
      <c r="Q20" t="s">
        <v>0</v>
      </c>
      <c r="R20" t="s">
        <v>0</v>
      </c>
      <c r="S20" t="s">
        <v>0</v>
      </c>
    </row>
    <row r="21" ht="15.75" customHeight="1" spans="1:19" x14ac:dyDescent="0.25">
      <c r="A21" s="93" t="s">
        <v>0</v>
      </c>
      <c r="B21" s="94"/>
      <c r="C21" s="95"/>
      <c r="D21" s="95"/>
      <c r="E21" s="96"/>
      <c r="F21" s="97" t="s">
        <v>96</v>
      </c>
      <c r="G21" s="98"/>
      <c r="H21" s="233"/>
      <c r="I21" s="99">
        <f>SUM(I13:K20)</f>
        <v>294481</v>
      </c>
      <c r="J21" s="100"/>
      <c r="K21" t="s">
        <v>0</v>
      </c>
      <c r="L21" t="s">
        <v>0</v>
      </c>
      <c r="M21" t="s">
        <v>0</v>
      </c>
      <c r="N21" t="s">
        <v>0</v>
      </c>
      <c r="O21" t="s">
        <v>0</v>
      </c>
      <c r="P21" t="s">
        <v>0</v>
      </c>
      <c r="Q21" t="s">
        <v>0</v>
      </c>
      <c r="R21" t="s">
        <v>0</v>
      </c>
      <c r="S21" t="s">
        <v>0</v>
      </c>
    </row>
  </sheetData>
  <mergeCells count="29">
    <mergeCell ref="B12:E12"/>
    <mergeCell ref="F12:H12"/>
    <mergeCell ref="B13:E13"/>
    <mergeCell ref="F13:H13"/>
    <mergeCell ref="I13:J13"/>
    <mergeCell ref="B14:E14"/>
    <mergeCell ref="F14:H14"/>
    <mergeCell ref="I14:J14"/>
    <mergeCell ref="B15:E15"/>
    <mergeCell ref="F15:H15"/>
    <mergeCell ref="I15:J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B21:E21"/>
    <mergeCell ref="F21:H21"/>
    <mergeCell ref="I21:J2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workbookViewId="0" zoomScale="100" zoomScaleNormal="100">
      <selection activeCell="Q9" sqref="Q9"/>
    </sheetView>
  </sheetViews>
  <sheetFormatPr defaultRowHeight="15" outlineLevelRow="0" outlineLevelCol="0" x14ac:dyDescent="0.25"/>
  <cols>
    <col min="1" max="1" width="34.7109375" customWidth="1"/>
    <col min="2" max="2" width="16.7109375" hidden="1" customWidth="1"/>
    <col min="3" max="3" width="17.140625" customWidth="1"/>
    <col min="4" max="4" width="18.140625" customWidth="1"/>
    <col min="5" max="5" width="18.5703125" customWidth="1"/>
    <col min="6" max="6" width="10.5703125" customWidth="1"/>
    <col min="7" max="8" width="10.28515625" customWidth="1"/>
    <col min="9" max="9" width="12.42578125" customWidth="1"/>
    <col min="10" max="10" width="11.28515625" customWidth="1"/>
    <col min="11" max="12" width="10.28515625" customWidth="1"/>
    <col min="13" max="13" width="9.28515625" customWidth="1"/>
    <col min="14" max="14" width="11.28515625" customWidth="1"/>
    <col min="15" max="15" width="10.28515625" customWidth="1"/>
    <col min="16" max="16" width="12" customWidth="1"/>
    <col min="17" max="18" width="12.42578125" customWidth="1"/>
    <col min="19" max="19" width="14.28515625" customWidth="1"/>
  </cols>
  <sheetData>
    <row r="1" ht="72.75" customHeight="1" spans="1:19" x14ac:dyDescent="0.25">
      <c r="A1" s="1" t="s">
        <v>0</v>
      </c>
      <c r="B1" s="2" t="s">
        <v>255</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2" t="s">
        <v>1872</v>
      </c>
      <c r="B2" s="13" t="s">
        <v>0</v>
      </c>
      <c r="C2" s="186" t="s">
        <v>0</v>
      </c>
      <c r="D2" s="14" t="s">
        <v>0</v>
      </c>
      <c r="E2" s="15" t="s">
        <v>0</v>
      </c>
      <c r="F2" s="105" t="s">
        <v>0</v>
      </c>
      <c r="G2" s="16" t="s">
        <v>0</v>
      </c>
      <c r="H2" s="17" t="s">
        <v>0</v>
      </c>
      <c r="I2" s="16" t="s">
        <v>0</v>
      </c>
      <c r="J2" s="17" t="s">
        <v>0</v>
      </c>
      <c r="K2" s="16" t="s">
        <v>0</v>
      </c>
      <c r="L2" s="16" t="s">
        <v>0</v>
      </c>
      <c r="M2" s="17" t="s">
        <v>0</v>
      </c>
      <c r="N2" s="16" t="s">
        <v>0</v>
      </c>
      <c r="O2" s="17" t="s">
        <v>0</v>
      </c>
      <c r="P2" s="16" t="s">
        <v>0</v>
      </c>
      <c r="Q2" s="18" t="s">
        <v>0</v>
      </c>
      <c r="R2" s="105" t="s">
        <v>0</v>
      </c>
      <c r="S2" s="16" t="s">
        <v>0</v>
      </c>
    </row>
    <row r="3" ht="15.75" customHeight="1" spans="1:19" x14ac:dyDescent="0.25">
      <c r="A3" s="187" t="s">
        <v>19</v>
      </c>
      <c r="B3" s="20" t="s">
        <v>0</v>
      </c>
      <c r="C3" s="21" t="s">
        <v>1873</v>
      </c>
      <c r="D3" s="22" t="s">
        <v>1874</v>
      </c>
      <c r="E3" s="23" t="s">
        <v>1875</v>
      </c>
      <c r="F3" s="23" t="s">
        <v>0</v>
      </c>
      <c r="G3" s="23" t="s">
        <v>0</v>
      </c>
      <c r="H3" s="23" t="s">
        <v>0</v>
      </c>
      <c r="I3" s="23" t="s">
        <v>0</v>
      </c>
      <c r="J3" s="23" t="s">
        <v>1874</v>
      </c>
      <c r="K3" s="23" t="s">
        <v>0</v>
      </c>
      <c r="L3" s="23" t="s">
        <v>0</v>
      </c>
      <c r="M3" s="23" t="s">
        <v>0</v>
      </c>
      <c r="N3" s="23" t="s">
        <v>0</v>
      </c>
      <c r="O3" s="23" t="s">
        <v>0</v>
      </c>
      <c r="P3" s="23" t="s">
        <v>0</v>
      </c>
      <c r="Q3" s="23" t="s">
        <v>0</v>
      </c>
      <c r="R3" s="110" t="s">
        <v>0</v>
      </c>
      <c r="S3" s="25" t="s">
        <v>1874</v>
      </c>
    </row>
    <row r="4" ht="15.75" customHeight="1" spans="1:19" x14ac:dyDescent="0.25">
      <c r="A4" s="19" t="s">
        <v>114</v>
      </c>
      <c r="B4" s="27" t="s">
        <v>0</v>
      </c>
      <c r="C4" s="188" t="s">
        <v>1622</v>
      </c>
      <c r="D4" s="22" t="s">
        <v>1876</v>
      </c>
      <c r="E4" s="23" t="s">
        <v>1877</v>
      </c>
      <c r="F4" s="28" t="s">
        <v>0</v>
      </c>
      <c r="G4" s="28" t="s">
        <v>0</v>
      </c>
      <c r="H4" s="28" t="s">
        <v>0</v>
      </c>
      <c r="I4" s="28" t="s">
        <v>1878</v>
      </c>
      <c r="J4" s="28" t="s">
        <v>1879</v>
      </c>
      <c r="K4" s="28" t="s">
        <v>0</v>
      </c>
      <c r="L4" s="28" t="s">
        <v>1879</v>
      </c>
      <c r="M4" s="28" t="s">
        <v>0</v>
      </c>
      <c r="N4" s="28" t="s">
        <v>0</v>
      </c>
      <c r="O4" s="28" t="s">
        <v>0</v>
      </c>
      <c r="P4" s="28" t="s">
        <v>0</v>
      </c>
      <c r="Q4" s="28" t="s">
        <v>0</v>
      </c>
      <c r="R4" s="110" t="s">
        <v>0</v>
      </c>
      <c r="S4" s="23" t="s">
        <v>1876</v>
      </c>
    </row>
    <row r="5" ht="15.75" customHeight="1" spans="1:19" x14ac:dyDescent="0.25">
      <c r="A5" s="19" t="s">
        <v>281</v>
      </c>
      <c r="B5" s="27" t="s">
        <v>0</v>
      </c>
      <c r="C5" s="188" t="s">
        <v>280</v>
      </c>
      <c r="D5" s="22" t="s">
        <v>0</v>
      </c>
      <c r="E5" s="23" t="s">
        <v>280</v>
      </c>
      <c r="F5" s="28" t="s">
        <v>0</v>
      </c>
      <c r="G5" s="28" t="s">
        <v>0</v>
      </c>
      <c r="H5" s="28" t="s">
        <v>0</v>
      </c>
      <c r="I5" s="28" t="s">
        <v>0</v>
      </c>
      <c r="J5" s="28" t="s">
        <v>0</v>
      </c>
      <c r="K5" s="28" t="s">
        <v>0</v>
      </c>
      <c r="L5" s="28" t="s">
        <v>0</v>
      </c>
      <c r="M5" s="28" t="s">
        <v>0</v>
      </c>
      <c r="N5" s="28" t="s">
        <v>0</v>
      </c>
      <c r="O5" s="28" t="s">
        <v>0</v>
      </c>
      <c r="P5" s="28" t="s">
        <v>0</v>
      </c>
      <c r="Q5" s="28" t="s">
        <v>0</v>
      </c>
      <c r="R5" s="110" t="s">
        <v>0</v>
      </c>
      <c r="S5" s="23" t="s">
        <v>0</v>
      </c>
    </row>
    <row r="6" ht="15.75" customHeight="1" spans="1:19" x14ac:dyDescent="0.25">
      <c r="A6" s="19" t="s">
        <v>1880</v>
      </c>
      <c r="B6" s="27" t="s">
        <v>0</v>
      </c>
      <c r="C6" s="188" t="s">
        <v>1881</v>
      </c>
      <c r="D6" s="22" t="s">
        <v>0</v>
      </c>
      <c r="E6" s="23" t="s">
        <v>1881</v>
      </c>
      <c r="F6" s="28" t="s">
        <v>0</v>
      </c>
      <c r="G6" s="28" t="s">
        <v>0</v>
      </c>
      <c r="H6" s="28" t="s">
        <v>0</v>
      </c>
      <c r="I6" s="28" t="s">
        <v>0</v>
      </c>
      <c r="J6" s="28" t="s">
        <v>0</v>
      </c>
      <c r="K6" s="28" t="s">
        <v>0</v>
      </c>
      <c r="L6" s="28" t="s">
        <v>0</v>
      </c>
      <c r="M6" s="28" t="s">
        <v>0</v>
      </c>
      <c r="N6" s="28" t="s">
        <v>0</v>
      </c>
      <c r="O6" s="28" t="s">
        <v>0</v>
      </c>
      <c r="P6" s="28" t="s">
        <v>0</v>
      </c>
      <c r="Q6" s="28" t="s">
        <v>0</v>
      </c>
      <c r="R6" s="110" t="s">
        <v>0</v>
      </c>
      <c r="S6" s="23" t="s">
        <v>0</v>
      </c>
    </row>
    <row r="7" ht="15.75" customHeight="1" spans="1:19" x14ac:dyDescent="0.25">
      <c r="A7" s="19" t="s">
        <v>43</v>
      </c>
      <c r="B7" s="27" t="s">
        <v>0</v>
      </c>
      <c r="C7" s="188" t="s">
        <v>1882</v>
      </c>
      <c r="D7" s="22" t="s">
        <v>1883</v>
      </c>
      <c r="E7" s="23" t="s">
        <v>1884</v>
      </c>
      <c r="F7" s="28" t="s">
        <v>0</v>
      </c>
      <c r="G7" s="28" t="s">
        <v>0</v>
      </c>
      <c r="H7" s="28" t="s">
        <v>0</v>
      </c>
      <c r="I7" s="28" t="s">
        <v>0</v>
      </c>
      <c r="J7" s="28" t="s">
        <v>1885</v>
      </c>
      <c r="K7" s="28" t="s">
        <v>0</v>
      </c>
      <c r="L7" s="28" t="s">
        <v>0</v>
      </c>
      <c r="M7" s="28">
        <v>445</v>
      </c>
      <c r="N7" s="28" t="s">
        <v>1886</v>
      </c>
      <c r="O7" s="28" t="s">
        <v>0</v>
      </c>
      <c r="P7" s="28" t="s">
        <v>0</v>
      </c>
      <c r="Q7" s="28" t="s">
        <v>0</v>
      </c>
      <c r="R7" s="110" t="s">
        <v>0</v>
      </c>
      <c r="S7" s="23" t="s">
        <v>1883</v>
      </c>
    </row>
    <row r="8" ht="15.75" customHeight="1" spans="1:19" x14ac:dyDescent="0.25">
      <c r="A8" s="19" t="s">
        <v>45</v>
      </c>
      <c r="B8" s="27" t="s">
        <v>0</v>
      </c>
      <c r="C8" s="188" t="s">
        <v>319</v>
      </c>
      <c r="D8" s="22" t="s">
        <v>1887</v>
      </c>
      <c r="E8" s="23" t="s">
        <v>1888</v>
      </c>
      <c r="F8" s="28" t="s">
        <v>1889</v>
      </c>
      <c r="G8" s="28" t="s">
        <v>1890</v>
      </c>
      <c r="H8" s="28" t="s">
        <v>1891</v>
      </c>
      <c r="I8" s="28" t="s">
        <v>0</v>
      </c>
      <c r="J8" s="28" t="s">
        <v>0</v>
      </c>
      <c r="K8" s="28" t="s">
        <v>0</v>
      </c>
      <c r="L8" s="28" t="s">
        <v>1892</v>
      </c>
      <c r="M8" s="28" t="s">
        <v>1893</v>
      </c>
      <c r="N8" s="28" t="s">
        <v>170</v>
      </c>
      <c r="O8" s="28" t="s">
        <v>1894</v>
      </c>
      <c r="P8" s="28" t="s">
        <v>167</v>
      </c>
      <c r="Q8" s="28" t="s">
        <v>508</v>
      </c>
      <c r="R8" s="110" t="s">
        <v>0</v>
      </c>
      <c r="S8" s="23" t="s">
        <v>1887</v>
      </c>
    </row>
    <row r="9" ht="15.75" customHeight="1" spans="1:19" x14ac:dyDescent="0.25">
      <c r="A9" s="26" t="s">
        <v>33</v>
      </c>
      <c r="B9" s="27" t="s">
        <v>0</v>
      </c>
      <c r="C9" s="188" t="s">
        <v>1895</v>
      </c>
      <c r="D9" s="22" t="s">
        <v>1896</v>
      </c>
      <c r="E9" s="23" t="s">
        <v>1897</v>
      </c>
      <c r="F9" s="28" t="s">
        <v>0</v>
      </c>
      <c r="G9" s="28" t="s">
        <v>0</v>
      </c>
      <c r="H9" s="28" t="s">
        <v>0</v>
      </c>
      <c r="I9" s="28" t="s">
        <v>0</v>
      </c>
      <c r="J9" s="28" t="s">
        <v>0</v>
      </c>
      <c r="K9" s="28" t="s">
        <v>0</v>
      </c>
      <c r="L9" s="28" t="s">
        <v>0</v>
      </c>
      <c r="M9" s="28" t="s">
        <v>0</v>
      </c>
      <c r="N9" s="28" t="s">
        <v>1898</v>
      </c>
      <c r="O9" s="28" t="s">
        <v>0</v>
      </c>
      <c r="P9" s="28" t="s">
        <v>1899</v>
      </c>
      <c r="Q9" s="28" t="s">
        <v>0</v>
      </c>
      <c r="R9" s="110" t="s">
        <v>0</v>
      </c>
      <c r="S9" s="23" t="s">
        <v>1896</v>
      </c>
    </row>
    <row r="10" ht="16.5" customHeight="1" spans="1:19" x14ac:dyDescent="0.25">
      <c r="A10" s="34" t="s">
        <v>0</v>
      </c>
      <c r="B10" s="37" t="s">
        <v>0</v>
      </c>
      <c r="C10" s="37" t="s">
        <v>1900</v>
      </c>
      <c r="D10" s="37" t="s">
        <v>1901</v>
      </c>
      <c r="E10" s="37" t="s">
        <v>1902</v>
      </c>
      <c r="F10" s="37" t="s">
        <v>1889</v>
      </c>
      <c r="G10" s="37" t="s">
        <v>1890</v>
      </c>
      <c r="H10" s="37" t="s">
        <v>1891</v>
      </c>
      <c r="I10" s="37" t="s">
        <v>1878</v>
      </c>
      <c r="J10" s="37" t="s">
        <v>1903</v>
      </c>
      <c r="K10" s="37" t="s">
        <v>0</v>
      </c>
      <c r="L10" s="37" t="s">
        <v>1904</v>
      </c>
      <c r="M10" s="37" t="s">
        <v>1905</v>
      </c>
      <c r="N10" s="37" t="s">
        <v>1906</v>
      </c>
      <c r="O10" s="37" t="s">
        <v>1894</v>
      </c>
      <c r="P10" s="37" t="s">
        <v>1907</v>
      </c>
      <c r="Q10" s="37" t="s">
        <v>508</v>
      </c>
      <c r="R10" s="193" t="s">
        <v>73</v>
      </c>
      <c r="S10" s="38" t="s">
        <v>1901</v>
      </c>
    </row>
    <row r="11" spans="1:19"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row>
    <row r="12" spans="1:19"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spans="1:19" x14ac:dyDescent="0.25">
      <c r="A13" t="s">
        <v>1908</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38.25" customHeight="1" spans="1:19" x14ac:dyDescent="0.25">
      <c r="A14" s="39" t="s">
        <v>0</v>
      </c>
      <c r="B14" s="20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row>
    <row r="15" ht="16.5" customHeight="1" spans="1:19" x14ac:dyDescent="0.25">
      <c r="A15" s="40" t="s">
        <v>200</v>
      </c>
      <c r="B15" s="41" t="s">
        <v>201</v>
      </c>
      <c r="C15" s="42"/>
      <c r="D15" s="42"/>
      <c r="E15" s="43"/>
      <c r="F15" s="41" t="s">
        <v>76</v>
      </c>
      <c r="G15" s="42"/>
      <c r="H15" s="43"/>
      <c r="I15" s="44" t="s">
        <v>77</v>
      </c>
      <c r="J15" s="45" t="s">
        <v>0</v>
      </c>
      <c r="K15" t="s">
        <v>0</v>
      </c>
      <c r="L15" t="s">
        <v>0</v>
      </c>
      <c r="M15" t="s">
        <v>0</v>
      </c>
      <c r="N15" t="s">
        <v>0</v>
      </c>
      <c r="O15" t="s">
        <v>0</v>
      </c>
      <c r="P15" t="s">
        <v>0</v>
      </c>
      <c r="Q15" t="s">
        <v>0</v>
      </c>
      <c r="R15" t="s">
        <v>0</v>
      </c>
      <c r="S15" t="s">
        <v>0</v>
      </c>
    </row>
    <row r="16" ht="30.75" customHeight="1" spans="1:19" x14ac:dyDescent="0.25">
      <c r="A16" s="168" t="s">
        <v>208</v>
      </c>
      <c r="B16" s="169" t="s">
        <v>427</v>
      </c>
      <c r="C16" s="170"/>
      <c r="D16" s="170"/>
      <c r="E16" s="171"/>
      <c r="F16" s="169" t="s">
        <v>1909</v>
      </c>
      <c r="G16" s="206"/>
      <c r="H16" s="255"/>
      <c r="I16" s="207">
        <v>15390</v>
      </c>
      <c r="J16" s="208"/>
      <c r="K16" t="s">
        <v>0</v>
      </c>
      <c r="L16" t="s">
        <v>0</v>
      </c>
      <c r="M16" t="s">
        <v>0</v>
      </c>
      <c r="N16" t="s">
        <v>0</v>
      </c>
      <c r="O16" t="s">
        <v>0</v>
      </c>
      <c r="P16" t="s">
        <v>0</v>
      </c>
      <c r="Q16" t="s">
        <v>0</v>
      </c>
      <c r="R16" t="s">
        <v>0</v>
      </c>
      <c r="S16" t="s">
        <v>0</v>
      </c>
    </row>
    <row r="17" ht="30.75" customHeight="1" spans="1:19" x14ac:dyDescent="0.25">
      <c r="A17" s="168" t="s">
        <v>208</v>
      </c>
      <c r="B17" s="169" t="s">
        <v>1910</v>
      </c>
      <c r="C17" s="170"/>
      <c r="D17" s="170"/>
      <c r="E17" s="171"/>
      <c r="F17" s="169" t="s">
        <v>1911</v>
      </c>
      <c r="G17" s="206"/>
      <c r="H17" s="255"/>
      <c r="I17" s="207">
        <v>11250</v>
      </c>
      <c r="J17" s="208"/>
      <c r="K17" t="s">
        <v>0</v>
      </c>
      <c r="L17" t="s">
        <v>0</v>
      </c>
      <c r="M17" t="s">
        <v>0</v>
      </c>
      <c r="N17" t="s">
        <v>0</v>
      </c>
      <c r="O17" t="s">
        <v>0</v>
      </c>
      <c r="P17" t="s">
        <v>0</v>
      </c>
      <c r="Q17" t="s">
        <v>0</v>
      </c>
      <c r="R17" t="s">
        <v>0</v>
      </c>
      <c r="S17" t="s">
        <v>0</v>
      </c>
    </row>
    <row r="18" ht="30" customHeight="1" spans="1:19" x14ac:dyDescent="0.25">
      <c r="A18" s="168" t="s">
        <v>537</v>
      </c>
      <c r="B18" s="169" t="s">
        <v>1912</v>
      </c>
      <c r="C18" s="170"/>
      <c r="D18" s="170"/>
      <c r="E18" s="171"/>
      <c r="F18" s="169" t="s">
        <v>1913</v>
      </c>
      <c r="G18" s="206"/>
      <c r="H18" s="255"/>
      <c r="I18" s="207">
        <v>11595</v>
      </c>
      <c r="J18" s="208"/>
      <c r="K18" t="s">
        <v>0</v>
      </c>
      <c r="L18" t="s">
        <v>0</v>
      </c>
      <c r="M18" t="s">
        <v>0</v>
      </c>
      <c r="N18" t="s">
        <v>0</v>
      </c>
      <c r="O18" t="s">
        <v>0</v>
      </c>
      <c r="P18" t="s">
        <v>0</v>
      </c>
      <c r="Q18" t="s">
        <v>0</v>
      </c>
      <c r="R18" t="s">
        <v>0</v>
      </c>
      <c r="S18" t="s">
        <v>0</v>
      </c>
    </row>
    <row r="19" ht="30" customHeight="1" spans="1:19" x14ac:dyDescent="0.25">
      <c r="A19" s="168" t="s">
        <v>850</v>
      </c>
      <c r="B19" s="169" t="s">
        <v>1914</v>
      </c>
      <c r="C19" s="170"/>
      <c r="D19" s="170"/>
      <c r="E19" s="171"/>
      <c r="F19" s="169" t="s">
        <v>1915</v>
      </c>
      <c r="G19" s="206"/>
      <c r="H19" s="255"/>
      <c r="I19" s="207">
        <v>52500</v>
      </c>
      <c r="J19" s="208"/>
      <c r="K19" t="s">
        <v>0</v>
      </c>
      <c r="L19" t="s">
        <v>0</v>
      </c>
      <c r="M19" t="s">
        <v>0</v>
      </c>
      <c r="N19" t="s">
        <v>0</v>
      </c>
      <c r="O19" t="s">
        <v>0</v>
      </c>
      <c r="P19" t="s">
        <v>0</v>
      </c>
      <c r="Q19" t="s">
        <v>0</v>
      </c>
      <c r="R19" t="s">
        <v>0</v>
      </c>
      <c r="S19" t="s">
        <v>0</v>
      </c>
    </row>
    <row r="20" ht="30.75" customHeight="1" spans="1:19" x14ac:dyDescent="0.25">
      <c r="A20" s="54" t="s">
        <v>1916</v>
      </c>
      <c r="B20" s="55" t="s">
        <v>1917</v>
      </c>
      <c r="C20" s="56"/>
      <c r="D20" s="56"/>
      <c r="E20" s="57"/>
      <c r="F20" s="55" t="s">
        <v>1918</v>
      </c>
      <c r="G20" s="140"/>
      <c r="H20" s="65"/>
      <c r="I20" s="85">
        <v>32100</v>
      </c>
      <c r="J20" s="86"/>
      <c r="K20" t="s">
        <v>0</v>
      </c>
      <c r="L20" t="s">
        <v>0</v>
      </c>
      <c r="M20" t="s">
        <v>0</v>
      </c>
      <c r="N20" t="s">
        <v>0</v>
      </c>
      <c r="O20" t="s">
        <v>0</v>
      </c>
      <c r="P20" t="s">
        <v>0</v>
      </c>
      <c r="Q20" t="s">
        <v>0</v>
      </c>
      <c r="R20" t="s">
        <v>0</v>
      </c>
      <c r="S20" t="s">
        <v>0</v>
      </c>
    </row>
    <row r="21" ht="29.25" customHeight="1" spans="1:19" x14ac:dyDescent="0.25">
      <c r="A21" s="168" t="s">
        <v>844</v>
      </c>
      <c r="B21" s="169" t="s">
        <v>0</v>
      </c>
      <c r="C21" s="134" t="s">
        <v>1919</v>
      </c>
      <c r="D21" s="134"/>
      <c r="E21" s="84"/>
      <c r="F21" s="81" t="s">
        <v>1920</v>
      </c>
      <c r="G21" s="82"/>
      <c r="H21" s="83"/>
      <c r="I21" s="85">
        <v>2040</v>
      </c>
      <c r="J21" s="86"/>
      <c r="K21" t="s">
        <v>0</v>
      </c>
      <c r="L21" t="s">
        <v>0</v>
      </c>
      <c r="M21" t="s">
        <v>0</v>
      </c>
      <c r="N21" t="s">
        <v>0</v>
      </c>
      <c r="O21" t="s">
        <v>0</v>
      </c>
      <c r="P21" t="s">
        <v>0</v>
      </c>
      <c r="Q21" t="s">
        <v>0</v>
      </c>
      <c r="R21" t="s">
        <v>0</v>
      </c>
      <c r="S21" t="s">
        <v>0</v>
      </c>
    </row>
    <row r="22" ht="30" customHeight="1" spans="1:19" x14ac:dyDescent="0.25">
      <c r="A22" s="168" t="s">
        <v>1921</v>
      </c>
      <c r="B22" s="169" t="s">
        <v>0</v>
      </c>
      <c r="C22" s="134" t="s">
        <v>1922</v>
      </c>
      <c r="D22" s="134"/>
      <c r="E22" s="84"/>
      <c r="F22" s="81" t="s">
        <v>1923</v>
      </c>
      <c r="G22" s="82"/>
      <c r="H22" s="83"/>
      <c r="I22" s="85">
        <v>21000</v>
      </c>
      <c r="J22" s="86"/>
      <c r="K22" t="s">
        <v>0</v>
      </c>
      <c r="L22" t="s">
        <v>0</v>
      </c>
      <c r="M22" t="s">
        <v>0</v>
      </c>
      <c r="N22" t="s">
        <v>0</v>
      </c>
      <c r="O22" t="s">
        <v>0</v>
      </c>
      <c r="P22" t="s">
        <v>0</v>
      </c>
      <c r="Q22" t="s">
        <v>0</v>
      </c>
      <c r="R22" t="s">
        <v>0</v>
      </c>
      <c r="S22" t="s">
        <v>0</v>
      </c>
    </row>
    <row r="23" spans="1:19" x14ac:dyDescent="0.25">
      <c r="A23" s="168" t="s">
        <v>0</v>
      </c>
      <c r="B23" s="169" t="s">
        <v>0</v>
      </c>
      <c r="C23" s="230"/>
      <c r="D23" s="230"/>
      <c r="E23" s="231"/>
      <c r="F23" s="470"/>
      <c r="G23" s="477"/>
      <c r="H23" s="471"/>
      <c r="I23" s="85"/>
      <c r="J23" s="86"/>
      <c r="K23" t="s">
        <v>0</v>
      </c>
      <c r="L23" t="s">
        <v>0</v>
      </c>
      <c r="M23" t="s">
        <v>0</v>
      </c>
      <c r="N23" t="s">
        <v>0</v>
      </c>
      <c r="O23" t="s">
        <v>0</v>
      </c>
      <c r="P23" t="s">
        <v>0</v>
      </c>
      <c r="Q23" t="s">
        <v>0</v>
      </c>
      <c r="R23" t="s">
        <v>0</v>
      </c>
      <c r="S23" t="s">
        <v>0</v>
      </c>
    </row>
    <row r="24" spans="1:19" x14ac:dyDescent="0.25">
      <c r="A24" s="168" t="s">
        <v>0</v>
      </c>
      <c r="B24" s="169" t="s">
        <v>0</v>
      </c>
      <c r="C24" s="230"/>
      <c r="D24" s="230"/>
      <c r="E24" s="231"/>
      <c r="F24" s="470"/>
      <c r="G24" s="477"/>
      <c r="H24" s="471"/>
      <c r="I24" s="85"/>
      <c r="J24" s="86"/>
      <c r="K24" t="s">
        <v>0</v>
      </c>
      <c r="L24" t="s">
        <v>0</v>
      </c>
      <c r="M24" t="s">
        <v>0</v>
      </c>
      <c r="N24" t="s">
        <v>0</v>
      </c>
      <c r="O24" t="s">
        <v>0</v>
      </c>
      <c r="P24" t="s">
        <v>0</v>
      </c>
      <c r="Q24" t="s">
        <v>0</v>
      </c>
      <c r="R24" t="s">
        <v>0</v>
      </c>
      <c r="S24" t="s">
        <v>0</v>
      </c>
    </row>
    <row r="25" ht="15.75" customHeight="1" spans="1:19" x14ac:dyDescent="0.25">
      <c r="A25" s="168" t="s">
        <v>0</v>
      </c>
      <c r="B25" s="169"/>
      <c r="C25" s="170"/>
      <c r="D25" s="170"/>
      <c r="E25" s="171"/>
      <c r="F25" s="216"/>
      <c r="G25" s="206"/>
      <c r="H25" s="255"/>
      <c r="I25" s="207"/>
      <c r="J25" s="208"/>
      <c r="K25" t="s">
        <v>0</v>
      </c>
      <c r="L25" t="s">
        <v>0</v>
      </c>
      <c r="M25" t="s">
        <v>0</v>
      </c>
      <c r="N25" t="s">
        <v>0</v>
      </c>
      <c r="O25" t="s">
        <v>0</v>
      </c>
      <c r="P25" t="s">
        <v>0</v>
      </c>
      <c r="Q25" t="s">
        <v>0</v>
      </c>
      <c r="R25" t="s">
        <v>0</v>
      </c>
      <c r="S25" t="s">
        <v>0</v>
      </c>
    </row>
    <row r="26" ht="15.75" customHeight="1" spans="1:19" x14ac:dyDescent="0.25">
      <c r="A26" s="93" t="s">
        <v>0</v>
      </c>
      <c r="B26" s="94"/>
      <c r="C26" s="95"/>
      <c r="D26" s="95"/>
      <c r="E26" s="96"/>
      <c r="F26" s="97" t="s">
        <v>96</v>
      </c>
      <c r="G26" s="98"/>
      <c r="H26" s="233"/>
      <c r="I26" s="99">
        <f>SUM(I16:K25)</f>
        <v>145875</v>
      </c>
      <c r="J26" s="100"/>
      <c r="K26" t="s">
        <v>0</v>
      </c>
      <c r="L26" t="s">
        <v>0</v>
      </c>
      <c r="M26" t="s">
        <v>0</v>
      </c>
      <c r="N26" t="s">
        <v>0</v>
      </c>
      <c r="O26" t="s">
        <v>0</v>
      </c>
      <c r="P26" t="s">
        <v>0</v>
      </c>
      <c r="Q26" t="s">
        <v>0</v>
      </c>
      <c r="R26" t="s">
        <v>0</v>
      </c>
      <c r="S26" t="s">
        <v>0</v>
      </c>
    </row>
    <row r="27" spans="1:19" x14ac:dyDescent="0.25">
      <c r="A27" t="s">
        <v>0</v>
      </c>
      <c r="B27" t="s">
        <v>0</v>
      </c>
      <c r="C27" t="s">
        <v>0</v>
      </c>
      <c r="D27" t="s">
        <v>0</v>
      </c>
      <c r="E27" t="s">
        <v>0</v>
      </c>
      <c r="F27" t="s">
        <v>0</v>
      </c>
      <c r="G27" t="s">
        <v>0</v>
      </c>
      <c r="H27" t="s">
        <v>0</v>
      </c>
      <c r="I27" t="s">
        <v>0</v>
      </c>
      <c r="J27" t="s">
        <v>0</v>
      </c>
      <c r="K27" t="s">
        <v>0</v>
      </c>
      <c r="L27" t="s">
        <v>0</v>
      </c>
      <c r="M27" t="s">
        <v>0</v>
      </c>
      <c r="N27" t="s">
        <v>0</v>
      </c>
      <c r="O27" t="s">
        <v>0</v>
      </c>
      <c r="P27" t="s">
        <v>0</v>
      </c>
      <c r="Q27" t="s">
        <v>0</v>
      </c>
      <c r="R27" t="s">
        <v>0</v>
      </c>
      <c r="S27" t="s">
        <v>0</v>
      </c>
    </row>
    <row r="28" ht="15.75" customHeight="1" spans="1:19" x14ac:dyDescent="0.25">
      <c r="A28" t="s">
        <v>0</v>
      </c>
      <c r="B28" t="s">
        <v>0</v>
      </c>
      <c r="C28" t="s">
        <v>0</v>
      </c>
      <c r="D28" t="s">
        <v>0</v>
      </c>
      <c r="E28" t="s">
        <v>0</v>
      </c>
      <c r="F28" t="s">
        <v>0</v>
      </c>
      <c r="G28" t="s">
        <v>0</v>
      </c>
      <c r="H28" t="s">
        <v>0</v>
      </c>
      <c r="I28" t="s">
        <v>0</v>
      </c>
      <c r="J28" t="s">
        <v>0</v>
      </c>
      <c r="K28" t="s">
        <v>0</v>
      </c>
      <c r="L28" t="s">
        <v>0</v>
      </c>
      <c r="M28" t="s">
        <v>0</v>
      </c>
      <c r="N28" t="s">
        <v>0</v>
      </c>
      <c r="O28" t="s">
        <v>0</v>
      </c>
      <c r="P28" t="s">
        <v>0</v>
      </c>
      <c r="Q28" t="s">
        <v>0</v>
      </c>
      <c r="R28" t="s">
        <v>0</v>
      </c>
      <c r="S28" t="s">
        <v>0</v>
      </c>
    </row>
    <row r="29" ht="16.5" customHeight="1" spans="1:19" x14ac:dyDescent="0.25">
      <c r="A29" s="40" t="s">
        <v>74</v>
      </c>
      <c r="B29" s="41" t="s">
        <v>238</v>
      </c>
      <c r="C29" s="42"/>
      <c r="D29" s="42"/>
      <c r="E29" s="43"/>
      <c r="F29" s="41" t="s">
        <v>76</v>
      </c>
      <c r="G29" s="42"/>
      <c r="H29" s="43"/>
      <c r="I29" s="44" t="s">
        <v>77</v>
      </c>
      <c r="J29" s="45" t="s">
        <v>0</v>
      </c>
      <c r="K29" t="s">
        <v>0</v>
      </c>
      <c r="L29" t="s">
        <v>0</v>
      </c>
      <c r="M29" t="s">
        <v>0</v>
      </c>
      <c r="N29" t="s">
        <v>0</v>
      </c>
      <c r="O29" t="s">
        <v>0</v>
      </c>
      <c r="P29" t="s">
        <v>0</v>
      </c>
      <c r="Q29" t="s">
        <v>0</v>
      </c>
      <c r="R29" t="s">
        <v>0</v>
      </c>
      <c r="S29" t="s">
        <v>0</v>
      </c>
    </row>
    <row r="30" ht="33.75" customHeight="1" spans="1:19" x14ac:dyDescent="0.25">
      <c r="A30" s="168" t="s">
        <v>1146</v>
      </c>
      <c r="B30" s="169" t="s">
        <v>1924</v>
      </c>
      <c r="C30" s="170"/>
      <c r="D30" s="170"/>
      <c r="E30" s="171"/>
      <c r="F30" s="169" t="s">
        <v>1925</v>
      </c>
      <c r="G30" s="206"/>
      <c r="H30" s="255"/>
      <c r="I30" s="207">
        <v>900</v>
      </c>
      <c r="J30" s="208"/>
      <c r="K30" t="s">
        <v>0</v>
      </c>
      <c r="L30" t="s">
        <v>0</v>
      </c>
      <c r="M30" t="s">
        <v>0</v>
      </c>
      <c r="N30" t="s">
        <v>0</v>
      </c>
      <c r="O30" t="s">
        <v>0</v>
      </c>
      <c r="P30" t="s">
        <v>0</v>
      </c>
      <c r="Q30" t="s">
        <v>0</v>
      </c>
      <c r="R30" t="s">
        <v>0</v>
      </c>
      <c r="S30" t="s">
        <v>0</v>
      </c>
    </row>
    <row r="31" ht="78.75" customHeight="1" spans="1:19" x14ac:dyDescent="0.25">
      <c r="A31" s="168" t="s">
        <v>1071</v>
      </c>
      <c r="B31" s="169" t="s">
        <v>1926</v>
      </c>
      <c r="C31" s="170"/>
      <c r="D31" s="170"/>
      <c r="E31" s="171"/>
      <c r="F31" s="169" t="s">
        <v>1927</v>
      </c>
      <c r="G31" s="206"/>
      <c r="H31" s="255"/>
      <c r="I31" s="207">
        <v>3929.3</v>
      </c>
      <c r="J31" s="208"/>
      <c r="K31" t="s">
        <v>0</v>
      </c>
      <c r="L31" t="s">
        <v>0</v>
      </c>
      <c r="M31" t="s">
        <v>0</v>
      </c>
      <c r="N31" t="s">
        <v>0</v>
      </c>
      <c r="O31" t="s">
        <v>0</v>
      </c>
      <c r="P31" t="s">
        <v>0</v>
      </c>
      <c r="Q31" t="s">
        <v>0</v>
      </c>
      <c r="R31" t="s">
        <v>0</v>
      </c>
      <c r="S31" t="s">
        <v>0</v>
      </c>
    </row>
    <row r="32" ht="93.75" customHeight="1" spans="1:19" x14ac:dyDescent="0.25">
      <c r="A32" s="248" t="s">
        <v>1928</v>
      </c>
      <c r="B32" s="169" t="s">
        <v>1929</v>
      </c>
      <c r="C32" s="170"/>
      <c r="D32" s="170"/>
      <c r="E32" s="171"/>
      <c r="F32" s="169" t="s">
        <v>1494</v>
      </c>
      <c r="G32" s="206"/>
      <c r="H32" s="255"/>
      <c r="I32" s="207">
        <v>89980</v>
      </c>
      <c r="J32" s="208"/>
      <c r="K32" t="s">
        <v>0</v>
      </c>
      <c r="L32" t="s">
        <v>0</v>
      </c>
      <c r="M32" t="s">
        <v>0</v>
      </c>
      <c r="N32" t="s">
        <v>0</v>
      </c>
      <c r="O32" t="s">
        <v>0</v>
      </c>
      <c r="P32" t="s">
        <v>0</v>
      </c>
      <c r="Q32" t="s">
        <v>0</v>
      </c>
      <c r="R32" t="s">
        <v>0</v>
      </c>
      <c r="S32" t="s">
        <v>0</v>
      </c>
    </row>
    <row r="33" ht="78.75" customHeight="1" spans="1:19" x14ac:dyDescent="0.25">
      <c r="A33" s="248" t="s">
        <v>1930</v>
      </c>
      <c r="B33" s="169" t="s">
        <v>1929</v>
      </c>
      <c r="C33" s="170"/>
      <c r="D33" s="170"/>
      <c r="E33" s="171"/>
      <c r="F33" s="169" t="s">
        <v>1494</v>
      </c>
      <c r="G33" s="206"/>
      <c r="H33" s="255"/>
      <c r="I33" s="85">
        <v>79960</v>
      </c>
      <c r="J33" s="86"/>
      <c r="K33" t="s">
        <v>0</v>
      </c>
      <c r="L33" t="s">
        <v>0</v>
      </c>
      <c r="M33" t="s">
        <v>0</v>
      </c>
      <c r="N33" t="s">
        <v>0</v>
      </c>
      <c r="O33" t="s">
        <v>0</v>
      </c>
      <c r="P33" t="s">
        <v>0</v>
      </c>
      <c r="Q33" t="s">
        <v>0</v>
      </c>
      <c r="R33" t="s">
        <v>0</v>
      </c>
      <c r="S33" t="s">
        <v>0</v>
      </c>
    </row>
    <row r="34" ht="75.75" customHeight="1" spans="1:19" x14ac:dyDescent="0.25">
      <c r="A34" s="248" t="s">
        <v>1931</v>
      </c>
      <c r="B34" s="169" t="s">
        <v>1929</v>
      </c>
      <c r="C34" s="170"/>
      <c r="D34" s="170"/>
      <c r="E34" s="171"/>
      <c r="F34" s="169" t="s">
        <v>1494</v>
      </c>
      <c r="G34" s="206"/>
      <c r="H34" s="255"/>
      <c r="I34" s="85">
        <v>76070</v>
      </c>
      <c r="J34" s="86"/>
      <c r="K34" t="s">
        <v>0</v>
      </c>
      <c r="L34" t="s">
        <v>0</v>
      </c>
      <c r="M34" t="s">
        <v>0</v>
      </c>
      <c r="N34" t="s">
        <v>0</v>
      </c>
      <c r="O34" t="s">
        <v>0</v>
      </c>
      <c r="P34" t="s">
        <v>0</v>
      </c>
      <c r="Q34" t="s">
        <v>0</v>
      </c>
      <c r="R34" t="s">
        <v>0</v>
      </c>
      <c r="S34" t="s">
        <v>0</v>
      </c>
    </row>
    <row r="35" ht="124.5" customHeight="1" spans="1:19" x14ac:dyDescent="0.25">
      <c r="A35" s="248" t="s">
        <v>1932</v>
      </c>
      <c r="B35" s="169" t="s">
        <v>1929</v>
      </c>
      <c r="C35" s="170"/>
      <c r="D35" s="170"/>
      <c r="E35" s="171"/>
      <c r="F35" s="169" t="s">
        <v>1494</v>
      </c>
      <c r="G35" s="206"/>
      <c r="H35" s="255"/>
      <c r="I35" s="85">
        <v>364740</v>
      </c>
      <c r="J35" s="86"/>
      <c r="K35" t="s">
        <v>0</v>
      </c>
      <c r="L35" t="s">
        <v>0</v>
      </c>
      <c r="M35" t="s">
        <v>0</v>
      </c>
      <c r="N35" t="s">
        <v>0</v>
      </c>
      <c r="O35" t="s">
        <v>0</v>
      </c>
      <c r="P35" t="s">
        <v>0</v>
      </c>
      <c r="Q35" t="s">
        <v>0</v>
      </c>
      <c r="R35" t="s">
        <v>0</v>
      </c>
      <c r="S35" t="s">
        <v>0</v>
      </c>
    </row>
    <row r="36" ht="31.5" customHeight="1" spans="1:19" x14ac:dyDescent="0.25">
      <c r="A36" s="168" t="s">
        <v>1146</v>
      </c>
      <c r="B36" s="81" t="s">
        <v>1933</v>
      </c>
      <c r="C36" s="134"/>
      <c r="D36" s="134"/>
      <c r="E36" s="84"/>
      <c r="F36" s="81" t="s">
        <v>1934</v>
      </c>
      <c r="G36" s="134"/>
      <c r="H36" s="84"/>
      <c r="I36" s="85">
        <v>1350</v>
      </c>
      <c r="J36" s="86"/>
      <c r="K36" t="s">
        <v>0</v>
      </c>
      <c r="L36" t="s">
        <v>0</v>
      </c>
      <c r="M36" t="s">
        <v>0</v>
      </c>
      <c r="N36" t="s">
        <v>0</v>
      </c>
      <c r="O36" t="s">
        <v>0</v>
      </c>
      <c r="P36" t="s">
        <v>0</v>
      </c>
      <c r="Q36" t="s">
        <v>0</v>
      </c>
      <c r="R36" t="s">
        <v>0</v>
      </c>
      <c r="S36" t="s">
        <v>0</v>
      </c>
    </row>
    <row r="37" ht="31.5" customHeight="1" spans="1:19" x14ac:dyDescent="0.25">
      <c r="A37" s="168" t="s">
        <v>1146</v>
      </c>
      <c r="B37" s="81" t="s">
        <v>1935</v>
      </c>
      <c r="C37" s="134"/>
      <c r="D37" s="134"/>
      <c r="E37" s="84"/>
      <c r="F37" s="81" t="s">
        <v>1494</v>
      </c>
      <c r="G37" s="134"/>
      <c r="H37" s="84"/>
      <c r="I37" s="85">
        <v>3960</v>
      </c>
      <c r="J37" s="86"/>
      <c r="K37" t="s">
        <v>0</v>
      </c>
      <c r="L37" t="s">
        <v>0</v>
      </c>
      <c r="M37" t="s">
        <v>0</v>
      </c>
      <c r="N37" t="s">
        <v>0</v>
      </c>
      <c r="O37" t="s">
        <v>0</v>
      </c>
      <c r="P37" t="s">
        <v>0</v>
      </c>
      <c r="Q37" t="s">
        <v>0</v>
      </c>
      <c r="R37" t="s">
        <v>0</v>
      </c>
      <c r="S37" t="s">
        <v>0</v>
      </c>
    </row>
    <row r="38" ht="15.75" customHeight="1" spans="1:19" x14ac:dyDescent="0.25">
      <c r="A38" s="168" t="s">
        <v>0</v>
      </c>
      <c r="B38" s="557"/>
      <c r="C38" s="230"/>
      <c r="D38" s="230"/>
      <c r="E38" s="231"/>
      <c r="F38" s="557"/>
      <c r="G38" s="230"/>
      <c r="H38" s="231"/>
      <c r="I38" s="85"/>
      <c r="J38" s="86"/>
      <c r="K38" t="s">
        <v>0</v>
      </c>
      <c r="L38" t="s">
        <v>0</v>
      </c>
      <c r="M38" t="s">
        <v>0</v>
      </c>
      <c r="N38" t="s">
        <v>0</v>
      </c>
      <c r="O38" t="s">
        <v>0</v>
      </c>
      <c r="P38" t="s">
        <v>0</v>
      </c>
      <c r="Q38" t="s">
        <v>0</v>
      </c>
      <c r="R38" t="s">
        <v>0</v>
      </c>
      <c r="S38" t="s">
        <v>0</v>
      </c>
    </row>
    <row r="39" spans="1:19" x14ac:dyDescent="0.25">
      <c r="A39" s="168" t="s">
        <v>0</v>
      </c>
      <c r="B39" s="169"/>
      <c r="C39" s="170"/>
      <c r="D39" s="170"/>
      <c r="E39" s="171"/>
      <c r="F39" s="216"/>
      <c r="G39" s="206"/>
      <c r="H39" s="255"/>
      <c r="I39" s="207"/>
      <c r="J39" s="208"/>
      <c r="K39" t="s">
        <v>0</v>
      </c>
      <c r="L39" t="s">
        <v>0</v>
      </c>
      <c r="M39" t="s">
        <v>0</v>
      </c>
      <c r="N39" t="s">
        <v>0</v>
      </c>
      <c r="O39" t="s">
        <v>0</v>
      </c>
      <c r="P39" t="s">
        <v>0</v>
      </c>
      <c r="Q39" t="s">
        <v>0</v>
      </c>
      <c r="R39" t="s">
        <v>0</v>
      </c>
      <c r="S39" t="s">
        <v>0</v>
      </c>
    </row>
    <row r="40" spans="1:19" x14ac:dyDescent="0.25">
      <c r="A40" s="54" t="s">
        <v>0</v>
      </c>
      <c r="B40" s="55"/>
      <c r="C40" s="56"/>
      <c r="D40" s="56"/>
      <c r="E40" s="57"/>
      <c r="F40" s="64"/>
      <c r="G40" s="140"/>
      <c r="H40" s="65"/>
      <c r="I40" s="85"/>
      <c r="J40" s="86"/>
      <c r="K40" t="s">
        <v>0</v>
      </c>
      <c r="L40" t="s">
        <v>0</v>
      </c>
      <c r="M40" t="s">
        <v>0</v>
      </c>
      <c r="N40" t="s">
        <v>0</v>
      </c>
      <c r="O40" t="s">
        <v>0</v>
      </c>
      <c r="P40" t="s">
        <v>0</v>
      </c>
      <c r="Q40" t="s">
        <v>0</v>
      </c>
      <c r="R40" t="s">
        <v>0</v>
      </c>
      <c r="S40" t="s">
        <v>0</v>
      </c>
    </row>
    <row r="41" ht="15.75" customHeight="1" spans="1:19" x14ac:dyDescent="0.25">
      <c r="A41" s="168" t="s">
        <v>0</v>
      </c>
      <c r="B41" s="169"/>
      <c r="C41" s="170"/>
      <c r="D41" s="170"/>
      <c r="E41" s="171"/>
      <c r="F41" s="216"/>
      <c r="G41" s="206"/>
      <c r="H41" s="255"/>
      <c r="I41" s="207"/>
      <c r="J41" s="208"/>
      <c r="K41" t="s">
        <v>0</v>
      </c>
      <c r="L41" t="s">
        <v>0</v>
      </c>
      <c r="M41" t="s">
        <v>0</v>
      </c>
      <c r="N41" t="s">
        <v>0</v>
      </c>
      <c r="O41" t="s">
        <v>0</v>
      </c>
      <c r="P41" t="s">
        <v>0</v>
      </c>
      <c r="Q41" t="s">
        <v>0</v>
      </c>
      <c r="R41" t="s">
        <v>0</v>
      </c>
      <c r="S41" t="s">
        <v>0</v>
      </c>
    </row>
    <row r="42" ht="15.75" customHeight="1" spans="1:19" x14ac:dyDescent="0.25">
      <c r="A42" s="93" t="s">
        <v>0</v>
      </c>
      <c r="B42" s="94"/>
      <c r="C42" s="95"/>
      <c r="D42" s="95"/>
      <c r="E42" s="96"/>
      <c r="F42" s="97" t="s">
        <v>96</v>
      </c>
      <c r="G42" s="98"/>
      <c r="H42" s="233"/>
      <c r="I42" s="99">
        <f>SUM(I30:K41)</f>
        <v>620889.3</v>
      </c>
      <c r="J42" s="100"/>
      <c r="K42" t="s">
        <v>0</v>
      </c>
      <c r="L42" t="s">
        <v>0</v>
      </c>
      <c r="M42" t="s">
        <v>0</v>
      </c>
      <c r="N42" t="s">
        <v>0</v>
      </c>
      <c r="O42" t="s">
        <v>0</v>
      </c>
      <c r="P42" t="s">
        <v>0</v>
      </c>
      <c r="Q42" t="s">
        <v>0</v>
      </c>
      <c r="R42" t="s">
        <v>0</v>
      </c>
      <c r="S42" t="s">
        <v>0</v>
      </c>
    </row>
  </sheetData>
  <mergeCells count="76">
    <mergeCell ref="B15:E15"/>
    <mergeCell ref="F15:H15"/>
    <mergeCell ref="B16:E16"/>
    <mergeCell ref="F16:H16"/>
    <mergeCell ref="I16:J16"/>
    <mergeCell ref="B17:E17"/>
    <mergeCell ref="F17:H17"/>
    <mergeCell ref="I17:J17"/>
    <mergeCell ref="B18:E18"/>
    <mergeCell ref="F18:H18"/>
    <mergeCell ref="I18:J18"/>
    <mergeCell ref="B19:E19"/>
    <mergeCell ref="F19:H19"/>
    <mergeCell ref="I19:J19"/>
    <mergeCell ref="B20:E20"/>
    <mergeCell ref="F20:H20"/>
    <mergeCell ref="I20:J20"/>
    <mergeCell ref="C21:E21"/>
    <mergeCell ref="F21:H21"/>
    <mergeCell ref="I21:J21"/>
    <mergeCell ref="C22:E22"/>
    <mergeCell ref="F22:H22"/>
    <mergeCell ref="I22:J22"/>
    <mergeCell ref="C23:E23"/>
    <mergeCell ref="F23:H23"/>
    <mergeCell ref="I23:J23"/>
    <mergeCell ref="C24:E24"/>
    <mergeCell ref="F24:H24"/>
    <mergeCell ref="I24:J24"/>
    <mergeCell ref="B25:E25"/>
    <mergeCell ref="F25:H25"/>
    <mergeCell ref="I25:J25"/>
    <mergeCell ref="B26:E26"/>
    <mergeCell ref="F26:H26"/>
    <mergeCell ref="I26:J26"/>
    <mergeCell ref="B29:E29"/>
    <mergeCell ref="F29:H29"/>
    <mergeCell ref="B30:E30"/>
    <mergeCell ref="F30:H30"/>
    <mergeCell ref="I30:J30"/>
    <mergeCell ref="B31:E31"/>
    <mergeCell ref="F31:H31"/>
    <mergeCell ref="I31:J31"/>
    <mergeCell ref="B32:E32"/>
    <mergeCell ref="F32:H32"/>
    <mergeCell ref="I32:J32"/>
    <mergeCell ref="B33:E33"/>
    <mergeCell ref="F33:H33"/>
    <mergeCell ref="I33:J33"/>
    <mergeCell ref="B34:E34"/>
    <mergeCell ref="F34:H34"/>
    <mergeCell ref="I34:J34"/>
    <mergeCell ref="B35:E35"/>
    <mergeCell ref="F35:H35"/>
    <mergeCell ref="I35:J35"/>
    <mergeCell ref="B36:E36"/>
    <mergeCell ref="F36:H36"/>
    <mergeCell ref="I36:J36"/>
    <mergeCell ref="B37:E37"/>
    <mergeCell ref="F37:H37"/>
    <mergeCell ref="I37:J37"/>
    <mergeCell ref="B38:E38"/>
    <mergeCell ref="F38:H38"/>
    <mergeCell ref="I38:J38"/>
    <mergeCell ref="B39:E39"/>
    <mergeCell ref="F39:H39"/>
    <mergeCell ref="I39:J39"/>
    <mergeCell ref="B40:E40"/>
    <mergeCell ref="F40:H40"/>
    <mergeCell ref="I40:J40"/>
    <mergeCell ref="B41:E41"/>
    <mergeCell ref="F41:H41"/>
    <mergeCell ref="I41:J41"/>
    <mergeCell ref="B42:E42"/>
    <mergeCell ref="F42:H42"/>
    <mergeCell ref="I42:J4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workbookViewId="0" zoomScale="100" zoomScaleNormal="100">
      <selection activeCell="I19" sqref="I19"/>
    </sheetView>
  </sheetViews>
  <sheetFormatPr defaultRowHeight="15" outlineLevelRow="0" outlineLevelCol="0" x14ac:dyDescent="0.25"/>
  <cols>
    <col min="1" max="1" width="30.140625" customWidth="1"/>
    <col min="2" max="2" width="16.7109375" hidden="1" customWidth="1"/>
    <col min="3" max="3" width="19" customWidth="1"/>
    <col min="4" max="4" width="17.7109375" customWidth="1"/>
    <col min="5" max="5" width="18.140625" customWidth="1"/>
    <col min="6" max="6" width="9.7109375" customWidth="1"/>
    <col min="7" max="8" width="10.28515625" customWidth="1"/>
    <col min="9" max="9" width="12.28515625" customWidth="1"/>
    <col min="10" max="10" width="11.28515625" customWidth="1"/>
    <col min="11" max="12" width="10.28515625" customWidth="1"/>
    <col min="13" max="13" width="9.28515625" customWidth="1"/>
    <col min="14" max="14" width="11.85546875" customWidth="1"/>
    <col min="15" max="15" width="9.28515625" customWidth="1"/>
    <col min="16" max="16" width="10.5703125" customWidth="1"/>
    <col min="17" max="17" width="12.28515625" customWidth="1"/>
    <col min="18" max="18" width="10.140625" customWidth="1"/>
    <col min="19" max="19" width="11.42578125" customWidth="1"/>
  </cols>
  <sheetData>
    <row r="1" ht="72.75" customHeight="1" spans="1:19" x14ac:dyDescent="0.25">
      <c r="A1" s="1" t="s">
        <v>0</v>
      </c>
      <c r="B1" s="2" t="s">
        <v>601</v>
      </c>
      <c r="C1" s="3" t="s">
        <v>263</v>
      </c>
      <c r="D1" s="4" t="s">
        <v>921</v>
      </c>
      <c r="E1" s="5" t="s">
        <v>922</v>
      </c>
      <c r="F1" s="452" t="s">
        <v>5</v>
      </c>
      <c r="G1" s="453" t="s">
        <v>6</v>
      </c>
      <c r="H1" s="453" t="s">
        <v>7</v>
      </c>
      <c r="I1" s="453" t="s">
        <v>8</v>
      </c>
      <c r="J1" s="453" t="s">
        <v>9</v>
      </c>
      <c r="K1" s="453" t="s">
        <v>10</v>
      </c>
      <c r="L1" s="453" t="s">
        <v>11</v>
      </c>
      <c r="M1" s="571" t="s">
        <v>12</v>
      </c>
      <c r="N1" s="571" t="s">
        <v>13</v>
      </c>
      <c r="O1" s="571" t="s">
        <v>14</v>
      </c>
      <c r="P1" s="571" t="s">
        <v>15</v>
      </c>
      <c r="Q1" s="572" t="s">
        <v>16</v>
      </c>
      <c r="R1" s="573" t="s">
        <v>0</v>
      </c>
      <c r="S1" s="574" t="s">
        <v>17</v>
      </c>
    </row>
    <row r="2" ht="16.5" customHeight="1" spans="1:19" x14ac:dyDescent="0.25">
      <c r="A2" s="12" t="s">
        <v>2009</v>
      </c>
      <c r="B2" s="13" t="s">
        <v>0</v>
      </c>
      <c r="C2" s="186" t="s">
        <v>0</v>
      </c>
      <c r="D2" s="14" t="s">
        <v>0</v>
      </c>
      <c r="E2" s="15" t="s">
        <v>0</v>
      </c>
      <c r="F2" s="105" t="s">
        <v>0</v>
      </c>
      <c r="G2" s="16" t="s">
        <v>0</v>
      </c>
      <c r="H2" s="17" t="s">
        <v>0</v>
      </c>
      <c r="I2" s="16" t="s">
        <v>0</v>
      </c>
      <c r="J2" s="16" t="s">
        <v>0</v>
      </c>
      <c r="K2" s="17" t="s">
        <v>0</v>
      </c>
      <c r="L2" s="16" t="s">
        <v>0</v>
      </c>
      <c r="M2" s="16" t="s">
        <v>0</v>
      </c>
      <c r="N2" s="17" t="s">
        <v>0</v>
      </c>
      <c r="O2" s="16" t="s">
        <v>0</v>
      </c>
      <c r="P2" s="17" t="s">
        <v>0</v>
      </c>
      <c r="Q2" s="16" t="s">
        <v>0</v>
      </c>
      <c r="R2" s="410" t="s">
        <v>0</v>
      </c>
      <c r="S2" s="575" t="s">
        <v>0</v>
      </c>
    </row>
    <row r="3" ht="15.75" customHeight="1" spans="1:19" x14ac:dyDescent="0.25">
      <c r="A3" s="187" t="s">
        <v>2010</v>
      </c>
      <c r="B3" s="20" t="s">
        <v>0</v>
      </c>
      <c r="C3" s="21" t="s">
        <v>2011</v>
      </c>
      <c r="D3" s="22" t="s">
        <v>317</v>
      </c>
      <c r="E3" s="23">
        <v>510.55</v>
      </c>
      <c r="F3" s="23" t="s">
        <v>0</v>
      </c>
      <c r="G3" s="23" t="s">
        <v>0</v>
      </c>
      <c r="H3" s="23" t="s">
        <v>0</v>
      </c>
      <c r="I3" s="23" t="s">
        <v>317</v>
      </c>
      <c r="J3" s="23" t="s">
        <v>0</v>
      </c>
      <c r="K3" s="23" t="s">
        <v>0</v>
      </c>
      <c r="L3" s="23" t="s">
        <v>0</v>
      </c>
      <c r="M3" s="23" t="s">
        <v>0</v>
      </c>
      <c r="N3" s="23" t="s">
        <v>0</v>
      </c>
      <c r="O3" s="23" t="s">
        <v>0</v>
      </c>
      <c r="P3" s="23" t="s">
        <v>0</v>
      </c>
      <c r="Q3" s="23" t="s">
        <v>0</v>
      </c>
      <c r="R3" s="24" t="s">
        <v>0</v>
      </c>
      <c r="S3" s="24" t="s">
        <v>317</v>
      </c>
    </row>
    <row r="4" ht="15.75" customHeight="1" spans="1:19" x14ac:dyDescent="0.25">
      <c r="A4" s="19" t="s">
        <v>0</v>
      </c>
      <c r="B4" s="27" t="s">
        <v>0</v>
      </c>
      <c r="C4" s="188" t="s">
        <v>0</v>
      </c>
      <c r="D4" s="22" t="s">
        <v>0</v>
      </c>
      <c r="E4" s="23" t="s">
        <v>0</v>
      </c>
      <c r="F4" s="28" t="s">
        <v>0</v>
      </c>
      <c r="G4" s="28" t="s">
        <v>0</v>
      </c>
      <c r="H4" s="28" t="s">
        <v>0</v>
      </c>
      <c r="I4" s="28" t="s">
        <v>0</v>
      </c>
      <c r="J4" s="28" t="s">
        <v>0</v>
      </c>
      <c r="K4" s="28" t="s">
        <v>0</v>
      </c>
      <c r="L4" s="28" t="s">
        <v>0</v>
      </c>
      <c r="M4" s="28" t="s">
        <v>0</v>
      </c>
      <c r="N4" s="28" t="s">
        <v>0</v>
      </c>
      <c r="O4" s="28" t="s">
        <v>0</v>
      </c>
      <c r="P4" s="28" t="s">
        <v>0</v>
      </c>
      <c r="Q4" s="28" t="s">
        <v>0</v>
      </c>
      <c r="R4" s="24" t="s">
        <v>0</v>
      </c>
      <c r="S4" s="24" t="s">
        <v>0</v>
      </c>
    </row>
    <row r="5" ht="16.5" customHeight="1" spans="1:19" x14ac:dyDescent="0.25">
      <c r="A5" s="34" t="s">
        <v>0</v>
      </c>
      <c r="B5" s="37" t="s">
        <v>0</v>
      </c>
      <c r="C5" s="37" t="s">
        <v>2011</v>
      </c>
      <c r="D5" s="37" t="s">
        <v>317</v>
      </c>
      <c r="E5" s="37">
        <v>510.55</v>
      </c>
      <c r="F5" s="37" t="s">
        <v>0</v>
      </c>
      <c r="G5" s="37" t="s">
        <v>0</v>
      </c>
      <c r="H5" s="37" t="s">
        <v>0</v>
      </c>
      <c r="I5" s="37" t="s">
        <v>317</v>
      </c>
      <c r="J5" s="37" t="s">
        <v>0</v>
      </c>
      <c r="K5" s="37" t="s">
        <v>0</v>
      </c>
      <c r="L5" s="37" t="s">
        <v>0</v>
      </c>
      <c r="M5" s="37" t="s">
        <v>0</v>
      </c>
      <c r="N5" s="37" t="s">
        <v>0</v>
      </c>
      <c r="O5" s="37" t="s">
        <v>0</v>
      </c>
      <c r="P5" s="37" t="s">
        <v>0</v>
      </c>
      <c r="Q5" s="37" t="s">
        <v>0</v>
      </c>
      <c r="R5" s="193" t="s">
        <v>73</v>
      </c>
      <c r="S5" s="192" t="s">
        <v>317</v>
      </c>
    </row>
    <row r="6" spans="1:19" x14ac:dyDescent="0.25">
      <c r="A6" t="s">
        <v>0</v>
      </c>
      <c r="B6" t="s">
        <v>0</v>
      </c>
      <c r="C6" t="s">
        <v>0</v>
      </c>
      <c r="D6" t="s">
        <v>0</v>
      </c>
      <c r="E6" t="s">
        <v>0</v>
      </c>
      <c r="F6" t="s">
        <v>0</v>
      </c>
      <c r="G6" t="s">
        <v>0</v>
      </c>
      <c r="H6" t="s">
        <v>0</v>
      </c>
      <c r="I6" t="s">
        <v>0</v>
      </c>
      <c r="J6" t="s">
        <v>0</v>
      </c>
      <c r="K6" t="s">
        <v>0</v>
      </c>
      <c r="L6" t="s">
        <v>0</v>
      </c>
      <c r="M6" t="s">
        <v>0</v>
      </c>
      <c r="N6" t="s">
        <v>0</v>
      </c>
      <c r="O6" t="s">
        <v>0</v>
      </c>
      <c r="P6" t="s">
        <v>0</v>
      </c>
      <c r="Q6" t="s">
        <v>0</v>
      </c>
      <c r="R6" t="s">
        <v>0</v>
      </c>
      <c r="S6" t="s">
        <v>0</v>
      </c>
    </row>
    <row r="7" spans="1:19" x14ac:dyDescent="0.25">
      <c r="A7" t="s">
        <v>0</v>
      </c>
      <c r="B7" t="s">
        <v>0</v>
      </c>
      <c r="C7" t="s">
        <v>0</v>
      </c>
      <c r="D7" t="s">
        <v>0</v>
      </c>
      <c r="E7" t="s">
        <v>0</v>
      </c>
      <c r="F7" t="s">
        <v>0</v>
      </c>
      <c r="G7" t="s">
        <v>0</v>
      </c>
      <c r="H7" t="s">
        <v>0</v>
      </c>
      <c r="I7" t="s">
        <v>0</v>
      </c>
      <c r="J7" t="s">
        <v>0</v>
      </c>
      <c r="K7" t="s">
        <v>0</v>
      </c>
      <c r="L7" t="s">
        <v>0</v>
      </c>
      <c r="M7" t="s">
        <v>0</v>
      </c>
      <c r="N7" t="s">
        <v>0</v>
      </c>
      <c r="O7" t="s">
        <v>0</v>
      </c>
      <c r="P7" t="s">
        <v>0</v>
      </c>
      <c r="Q7" t="s">
        <v>0</v>
      </c>
      <c r="R7" t="s">
        <v>0</v>
      </c>
      <c r="S7" t="s">
        <v>0</v>
      </c>
    </row>
    <row r="8" spans="1:19" x14ac:dyDescent="0.25">
      <c r="A8" t="s">
        <v>0</v>
      </c>
      <c r="B8" t="s">
        <v>0</v>
      </c>
      <c r="C8" t="s">
        <v>0</v>
      </c>
      <c r="D8" t="s">
        <v>0</v>
      </c>
      <c r="E8" t="s">
        <v>0</v>
      </c>
      <c r="F8" t="s">
        <v>0</v>
      </c>
      <c r="G8" t="s">
        <v>0</v>
      </c>
      <c r="H8" t="s">
        <v>0</v>
      </c>
      <c r="I8" t="s">
        <v>0</v>
      </c>
      <c r="J8" t="s">
        <v>0</v>
      </c>
      <c r="K8" t="s">
        <v>0</v>
      </c>
      <c r="L8" t="s">
        <v>0</v>
      </c>
      <c r="M8" t="s">
        <v>0</v>
      </c>
      <c r="N8" t="s">
        <v>0</v>
      </c>
      <c r="O8" t="s">
        <v>0</v>
      </c>
      <c r="P8" t="s">
        <v>0</v>
      </c>
      <c r="Q8" t="s">
        <v>0</v>
      </c>
      <c r="R8" t="s">
        <v>0</v>
      </c>
      <c r="S8" t="s">
        <v>0</v>
      </c>
    </row>
    <row r="9" ht="37.5" customHeight="1" spans="1:19" x14ac:dyDescent="0.25">
      <c r="A9" s="39" t="s">
        <v>0</v>
      </c>
      <c r="B9" s="204" t="s">
        <v>0</v>
      </c>
      <c r="C9" t="s">
        <v>0</v>
      </c>
      <c r="D9" t="s">
        <v>0</v>
      </c>
      <c r="E9" t="s">
        <v>0</v>
      </c>
      <c r="F9" t="s">
        <v>0</v>
      </c>
      <c r="G9" t="s">
        <v>0</v>
      </c>
      <c r="H9" t="s">
        <v>0</v>
      </c>
      <c r="I9" t="s">
        <v>0</v>
      </c>
      <c r="J9" t="s">
        <v>0</v>
      </c>
      <c r="K9" t="s">
        <v>0</v>
      </c>
      <c r="L9" t="s">
        <v>0</v>
      </c>
      <c r="M9" t="s">
        <v>0</v>
      </c>
      <c r="N9" t="s">
        <v>0</v>
      </c>
      <c r="O9" t="s">
        <v>0</v>
      </c>
      <c r="P9" t="s">
        <v>0</v>
      </c>
      <c r="Q9" t="s">
        <v>0</v>
      </c>
      <c r="R9" t="s">
        <v>0</v>
      </c>
      <c r="S9" t="s">
        <v>0</v>
      </c>
    </row>
    <row r="10" spans="1:19" x14ac:dyDescent="0.25">
      <c r="A10" t="s">
        <v>0</v>
      </c>
      <c r="B10" t="s">
        <v>0</v>
      </c>
      <c r="C10" t="s">
        <v>0</v>
      </c>
      <c r="D10" t="s">
        <v>0</v>
      </c>
      <c r="E10" t="s">
        <v>0</v>
      </c>
      <c r="F10" t="s">
        <v>0</v>
      </c>
      <c r="G10" t="s">
        <v>0</v>
      </c>
      <c r="H10" t="s">
        <v>0</v>
      </c>
      <c r="I10" t="s">
        <v>0</v>
      </c>
      <c r="J10" t="s">
        <v>0</v>
      </c>
      <c r="K10" t="s">
        <v>0</v>
      </c>
      <c r="L10" t="s">
        <v>0</v>
      </c>
      <c r="M10" t="s">
        <v>0</v>
      </c>
      <c r="N10" t="s">
        <v>0</v>
      </c>
      <c r="O10" t="s">
        <v>0</v>
      </c>
      <c r="P10" t="s">
        <v>0</v>
      </c>
      <c r="Q10" t="s">
        <v>0</v>
      </c>
      <c r="R10" t="s">
        <v>0</v>
      </c>
      <c r="S10" t="s">
        <v>0</v>
      </c>
    </row>
    <row r="11" spans="1:19"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row>
    <row r="12" ht="15.75" customHeight="1" spans="1:19" x14ac:dyDescent="0.25">
      <c r="A12" t="s">
        <v>0</v>
      </c>
      <c r="B12" s="39"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
  <sheetViews>
    <sheetView workbookViewId="0" zoomScale="100" zoomScaleNormal="100">
      <selection activeCell="Q10" sqref="Q10"/>
    </sheetView>
  </sheetViews>
  <sheetFormatPr defaultRowHeight="15" outlineLevelRow="0" outlineLevelCol="0" x14ac:dyDescent="0.25"/>
  <cols>
    <col min="1" max="1" width="32.42578125" customWidth="1"/>
    <col min="2" max="2" width="18.7109375" hidden="1" customWidth="1"/>
    <col min="3" max="3" width="16.7109375" hidden="1" customWidth="1"/>
    <col min="4" max="4" width="21.42578125" customWidth="1"/>
    <col min="5" max="5" width="27.42578125" customWidth="1"/>
    <col min="6" max="6" width="16.140625" customWidth="1"/>
    <col min="7" max="7" width="15.28515625" customWidth="1"/>
    <col min="8" max="8" width="13.140625" customWidth="1"/>
    <col min="9" max="9" width="13.42578125" customWidth="1"/>
    <col min="10" max="10" width="10.28515625" customWidth="1"/>
    <col min="11" max="11" width="11.28515625" customWidth="1"/>
    <col min="12" max="14" width="10.28515625" customWidth="1"/>
    <col min="15" max="15" width="12.42578125" customWidth="1"/>
    <col min="16" max="16" width="10.28515625" customWidth="1"/>
    <col min="17" max="17" width="14.28515625" customWidth="1"/>
    <col min="18" max="18" width="11.42578125" customWidth="1"/>
    <col min="19" max="19" width="10.28515625" customWidth="1"/>
    <col min="20" max="20" width="12.140625" customWidth="1"/>
  </cols>
  <sheetData>
    <row r="1" ht="72.75" customHeight="1" spans="1:20" x14ac:dyDescent="0.25">
      <c r="A1" s="1" t="s">
        <v>0</v>
      </c>
      <c r="B1" s="261" t="s">
        <v>728</v>
      </c>
      <c r="C1" s="2" t="s">
        <v>255</v>
      </c>
      <c r="D1" s="3" t="s">
        <v>263</v>
      </c>
      <c r="E1" s="4" t="s">
        <v>921</v>
      </c>
      <c r="F1" s="5" t="s">
        <v>922</v>
      </c>
      <c r="G1" s="452" t="s">
        <v>5</v>
      </c>
      <c r="H1" s="453" t="s">
        <v>6</v>
      </c>
      <c r="I1" s="453" t="s">
        <v>7</v>
      </c>
      <c r="J1" s="453" t="s">
        <v>8</v>
      </c>
      <c r="K1" s="453" t="s">
        <v>9</v>
      </c>
      <c r="L1" s="453" t="s">
        <v>10</v>
      </c>
      <c r="M1" s="453" t="s">
        <v>11</v>
      </c>
      <c r="N1" s="453" t="s">
        <v>12</v>
      </c>
      <c r="O1" s="453" t="s">
        <v>13</v>
      </c>
      <c r="P1" s="453" t="s">
        <v>14</v>
      </c>
      <c r="Q1" s="453" t="s">
        <v>15</v>
      </c>
      <c r="R1" s="454" t="s">
        <v>16</v>
      </c>
      <c r="S1" s="9" t="s">
        <v>0</v>
      </c>
      <c r="T1" s="10" t="s">
        <v>17</v>
      </c>
    </row>
    <row r="2" ht="16.5" customHeight="1" spans="1:20" x14ac:dyDescent="0.25">
      <c r="A2" s="12" t="s">
        <v>1936</v>
      </c>
      <c r="B2" s="103" t="s">
        <v>0</v>
      </c>
      <c r="C2" s="13" t="s">
        <v>0</v>
      </c>
      <c r="D2" s="13"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7" t="s">
        <v>0</v>
      </c>
      <c r="T2" s="16" t="s">
        <v>0</v>
      </c>
    </row>
    <row r="3" ht="15.75" customHeight="1" spans="1:20" x14ac:dyDescent="0.25">
      <c r="A3" s="187" t="s">
        <v>19</v>
      </c>
      <c r="B3" s="263" t="s">
        <v>763</v>
      </c>
      <c r="C3" s="20" t="s">
        <v>0</v>
      </c>
      <c r="D3" s="21" t="s">
        <v>1937</v>
      </c>
      <c r="E3" s="22" t="s">
        <v>1938</v>
      </c>
      <c r="F3" s="23" t="s">
        <v>1939</v>
      </c>
      <c r="G3" s="23" t="s">
        <v>0</v>
      </c>
      <c r="H3" s="23" t="s">
        <v>0</v>
      </c>
      <c r="I3" s="23" t="s">
        <v>0</v>
      </c>
      <c r="J3" s="23" t="s">
        <v>0</v>
      </c>
      <c r="K3" s="23" t="s">
        <v>0</v>
      </c>
      <c r="L3" s="23" t="s">
        <v>0</v>
      </c>
      <c r="M3" s="23" t="s">
        <v>0</v>
      </c>
      <c r="N3" s="23" t="s">
        <v>0</v>
      </c>
      <c r="O3" s="23" t="s">
        <v>1940</v>
      </c>
      <c r="P3" s="23" t="s">
        <v>0</v>
      </c>
      <c r="Q3" s="23" t="s">
        <v>1941</v>
      </c>
      <c r="R3" s="266" t="s">
        <v>0</v>
      </c>
      <c r="S3" s="23" t="s">
        <v>0</v>
      </c>
      <c r="T3" s="24" t="s">
        <v>1938</v>
      </c>
    </row>
    <row r="4" ht="15.75" customHeight="1" spans="1:20" x14ac:dyDescent="0.25">
      <c r="A4" s="19" t="s">
        <v>43</v>
      </c>
      <c r="B4" s="272" t="s">
        <v>769</v>
      </c>
      <c r="C4" s="27" t="s">
        <v>0</v>
      </c>
      <c r="D4" s="188" t="s">
        <v>310</v>
      </c>
      <c r="E4" s="22" t="s">
        <v>1942</v>
      </c>
      <c r="F4" s="23" t="s">
        <v>1943</v>
      </c>
      <c r="G4" s="28" t="s">
        <v>0</v>
      </c>
      <c r="H4" s="28" t="s">
        <v>0</v>
      </c>
      <c r="I4" s="28" t="s">
        <v>0</v>
      </c>
      <c r="J4" s="28" t="s">
        <v>0</v>
      </c>
      <c r="K4" s="28" t="s">
        <v>0</v>
      </c>
      <c r="L4" s="28" t="s">
        <v>0</v>
      </c>
      <c r="M4" s="28" t="s">
        <v>0</v>
      </c>
      <c r="N4" s="28" t="s">
        <v>0</v>
      </c>
      <c r="O4" s="28" t="s">
        <v>1944</v>
      </c>
      <c r="P4" s="28" t="s">
        <v>0</v>
      </c>
      <c r="Q4" s="28" t="s">
        <v>1945</v>
      </c>
      <c r="R4" s="28" t="s">
        <v>0</v>
      </c>
      <c r="S4" s="24" t="s">
        <v>0</v>
      </c>
      <c r="T4" s="24" t="s">
        <v>1942</v>
      </c>
    </row>
    <row r="5" ht="15.75" customHeight="1" spans="1:20" x14ac:dyDescent="0.25">
      <c r="A5" s="26" t="s">
        <v>41</v>
      </c>
      <c r="B5" s="272" t="s">
        <v>0</v>
      </c>
      <c r="C5" s="27" t="s">
        <v>0</v>
      </c>
      <c r="D5" s="188" t="s">
        <v>1946</v>
      </c>
      <c r="E5" s="22" t="s">
        <v>0</v>
      </c>
      <c r="F5" s="23" t="s">
        <v>1946</v>
      </c>
      <c r="G5" s="28" t="s">
        <v>0</v>
      </c>
      <c r="H5" s="28" t="s">
        <v>0</v>
      </c>
      <c r="I5" s="28" t="s">
        <v>0</v>
      </c>
      <c r="J5" s="28" t="s">
        <v>0</v>
      </c>
      <c r="K5" s="28" t="s">
        <v>0</v>
      </c>
      <c r="L5" s="28" t="s">
        <v>0</v>
      </c>
      <c r="M5" s="28" t="s">
        <v>0</v>
      </c>
      <c r="N5" s="28" t="s">
        <v>0</v>
      </c>
      <c r="O5" s="28" t="s">
        <v>0</v>
      </c>
      <c r="P5" s="28" t="s">
        <v>0</v>
      </c>
      <c r="Q5" s="28" t="s">
        <v>0</v>
      </c>
      <c r="R5" s="28" t="s">
        <v>0</v>
      </c>
      <c r="S5" s="33" t="s">
        <v>0</v>
      </c>
      <c r="T5" s="24" t="s">
        <v>0</v>
      </c>
    </row>
    <row r="6" ht="15.75" customHeight="1" spans="1:20" x14ac:dyDescent="0.25">
      <c r="A6" s="26" t="s">
        <v>114</v>
      </c>
      <c r="B6" s="469" t="s">
        <v>0</v>
      </c>
      <c r="C6" s="30" t="s">
        <v>0</v>
      </c>
      <c r="D6" s="188" t="s">
        <v>150</v>
      </c>
      <c r="E6" s="22" t="s">
        <v>1947</v>
      </c>
      <c r="F6" s="23" t="s">
        <v>1948</v>
      </c>
      <c r="G6" s="191" t="s">
        <v>0</v>
      </c>
      <c r="H6" s="191">
        <v>850</v>
      </c>
      <c r="I6" s="191" t="s">
        <v>0</v>
      </c>
      <c r="J6" s="191" t="s">
        <v>0</v>
      </c>
      <c r="K6" s="191" t="s">
        <v>0</v>
      </c>
      <c r="L6" s="191" t="s">
        <v>0</v>
      </c>
      <c r="M6" s="191" t="s">
        <v>0</v>
      </c>
      <c r="N6" s="191" t="s">
        <v>1949</v>
      </c>
      <c r="O6" s="191" t="s">
        <v>119</v>
      </c>
      <c r="P6" s="191" t="s">
        <v>1950</v>
      </c>
      <c r="Q6" s="191" t="s">
        <v>0</v>
      </c>
      <c r="R6" s="191" t="s">
        <v>0</v>
      </c>
      <c r="S6" s="28" t="s">
        <v>0</v>
      </c>
      <c r="T6" s="24" t="s">
        <v>1947</v>
      </c>
    </row>
    <row r="7" ht="15.75" customHeight="1" spans="1:20" x14ac:dyDescent="0.25">
      <c r="A7" s="26" t="s">
        <v>1951</v>
      </c>
      <c r="B7" s="469" t="s">
        <v>0</v>
      </c>
      <c r="C7" s="30" t="s">
        <v>0</v>
      </c>
      <c r="D7" s="188" t="s">
        <v>279</v>
      </c>
      <c r="E7" s="22" t="s">
        <v>0</v>
      </c>
      <c r="F7" s="23" t="s">
        <v>279</v>
      </c>
      <c r="G7" s="191" t="s">
        <v>0</v>
      </c>
      <c r="H7" s="191" t="s">
        <v>0</v>
      </c>
      <c r="I7" s="191" t="s">
        <v>0</v>
      </c>
      <c r="J7" s="191" t="s">
        <v>0</v>
      </c>
      <c r="K7" s="191" t="s">
        <v>0</v>
      </c>
      <c r="L7" s="191" t="s">
        <v>0</v>
      </c>
      <c r="M7" s="191" t="s">
        <v>0</v>
      </c>
      <c r="N7" s="191" t="s">
        <v>0</v>
      </c>
      <c r="O7" s="191" t="s">
        <v>0</v>
      </c>
      <c r="P7" s="191" t="s">
        <v>0</v>
      </c>
      <c r="Q7" s="191" t="s">
        <v>0</v>
      </c>
      <c r="R7" s="191" t="s">
        <v>0</v>
      </c>
      <c r="S7" s="23" t="s">
        <v>0</v>
      </c>
      <c r="T7" s="24" t="s">
        <v>0</v>
      </c>
    </row>
    <row r="8" ht="15.75" customHeight="1" spans="1:20" x14ac:dyDescent="0.25">
      <c r="A8" s="26" t="s">
        <v>1952</v>
      </c>
      <c r="B8" s="469" t="s">
        <v>0</v>
      </c>
      <c r="C8" s="30" t="s">
        <v>0</v>
      </c>
      <c r="D8" s="188" t="s">
        <v>319</v>
      </c>
      <c r="E8" s="22" t="s">
        <v>0</v>
      </c>
      <c r="F8" s="23" t="s">
        <v>319</v>
      </c>
      <c r="G8" s="191" t="s">
        <v>0</v>
      </c>
      <c r="H8" s="191" t="s">
        <v>0</v>
      </c>
      <c r="I8" s="191" t="s">
        <v>0</v>
      </c>
      <c r="J8" s="191" t="s">
        <v>0</v>
      </c>
      <c r="K8" s="191" t="s">
        <v>0</v>
      </c>
      <c r="L8" s="191" t="s">
        <v>0</v>
      </c>
      <c r="M8" s="191" t="s">
        <v>0</v>
      </c>
      <c r="N8" s="191" t="s">
        <v>0</v>
      </c>
      <c r="O8" s="191" t="s">
        <v>0</v>
      </c>
      <c r="P8" s="191" t="s">
        <v>0</v>
      </c>
      <c r="Q8" s="191" t="s">
        <v>0</v>
      </c>
      <c r="R8" s="191" t="s">
        <v>0</v>
      </c>
      <c r="S8" s="23" t="s">
        <v>0</v>
      </c>
      <c r="T8" s="24" t="s">
        <v>0</v>
      </c>
    </row>
    <row r="9" ht="15.75" customHeight="1" spans="1:20" x14ac:dyDescent="0.25">
      <c r="A9" s="26" t="s">
        <v>33</v>
      </c>
      <c r="B9" s="469" t="s">
        <v>0</v>
      </c>
      <c r="C9" s="30" t="s">
        <v>0</v>
      </c>
      <c r="D9" s="188" t="s">
        <v>1953</v>
      </c>
      <c r="E9" s="22" t="s">
        <v>1954</v>
      </c>
      <c r="F9" s="23" t="s">
        <v>1955</v>
      </c>
      <c r="G9" s="191" t="s">
        <v>0</v>
      </c>
      <c r="H9" s="191" t="s">
        <v>0</v>
      </c>
      <c r="I9" s="191" t="s">
        <v>0</v>
      </c>
      <c r="J9" s="191" t="s">
        <v>0</v>
      </c>
      <c r="K9" s="191" t="s">
        <v>0</v>
      </c>
      <c r="L9" s="191" t="s">
        <v>0</v>
      </c>
      <c r="M9" s="191" t="s">
        <v>0</v>
      </c>
      <c r="N9" s="191" t="s">
        <v>1956</v>
      </c>
      <c r="O9" s="191" t="s">
        <v>1957</v>
      </c>
      <c r="P9" s="191" t="s">
        <v>1958</v>
      </c>
      <c r="Q9" s="191" t="s">
        <v>1959</v>
      </c>
      <c r="R9" s="191" t="s">
        <v>0</v>
      </c>
      <c r="S9" s="23" t="s">
        <v>0</v>
      </c>
      <c r="T9" s="24" t="s">
        <v>1954</v>
      </c>
    </row>
    <row r="10" ht="16.5" customHeight="1" spans="1:20" x14ac:dyDescent="0.25">
      <c r="A10" s="34" t="s">
        <v>0</v>
      </c>
      <c r="B10" s="193" t="s">
        <v>96</v>
      </c>
      <c r="C10" s="37" t="s">
        <v>0</v>
      </c>
      <c r="D10" s="37" t="s">
        <v>1960</v>
      </c>
      <c r="E10" s="37" t="s">
        <v>1961</v>
      </c>
      <c r="F10" s="37" t="s">
        <v>1962</v>
      </c>
      <c r="G10" s="37" t="s">
        <v>0</v>
      </c>
      <c r="H10" s="37">
        <v>850</v>
      </c>
      <c r="I10" s="37" t="s">
        <v>0</v>
      </c>
      <c r="J10" s="37" t="s">
        <v>0</v>
      </c>
      <c r="K10" s="37" t="s">
        <v>0</v>
      </c>
      <c r="L10" s="37" t="s">
        <v>0</v>
      </c>
      <c r="M10" s="37" t="s">
        <v>0</v>
      </c>
      <c r="N10" s="37" t="s">
        <v>1963</v>
      </c>
      <c r="O10" s="37" t="s">
        <v>1964</v>
      </c>
      <c r="P10" s="37" t="s">
        <v>1965</v>
      </c>
      <c r="Q10" s="37" t="s">
        <v>1966</v>
      </c>
      <c r="R10" s="37" t="s">
        <v>0</v>
      </c>
      <c r="S10" s="193" t="s">
        <v>73</v>
      </c>
      <c r="T10" s="192" t="s">
        <v>1961</v>
      </c>
    </row>
    <row r="11" spans="1:20"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row>
    <row r="12" ht="15.75" customHeight="1" spans="1:20"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ht="16.5" customHeight="1" spans="1:20" x14ac:dyDescent="0.25">
      <c r="A13" s="40" t="s">
        <v>200</v>
      </c>
      <c r="B13" s="41" t="s">
        <v>1967</v>
      </c>
      <c r="C13" s="42"/>
      <c r="D13" s="42"/>
      <c r="E13" s="43"/>
      <c r="F13" s="41" t="s">
        <v>76</v>
      </c>
      <c r="G13" s="43"/>
      <c r="H13" s="44" t="s">
        <v>77</v>
      </c>
      <c r="I13" s="45"/>
      <c r="J13" t="s">
        <v>0</v>
      </c>
      <c r="K13" t="s">
        <v>0</v>
      </c>
      <c r="L13" t="s">
        <v>0</v>
      </c>
      <c r="M13" t="s">
        <v>0</v>
      </c>
      <c r="N13" t="s">
        <v>0</v>
      </c>
      <c r="O13" t="s">
        <v>0</v>
      </c>
      <c r="P13" t="s">
        <v>0</v>
      </c>
      <c r="Q13" t="s">
        <v>0</v>
      </c>
      <c r="R13" t="s">
        <v>0</v>
      </c>
      <c r="S13" t="s">
        <v>0</v>
      </c>
      <c r="T13" t="s">
        <v>0</v>
      </c>
    </row>
    <row r="14" ht="43.5" customHeight="1" spans="1:20" x14ac:dyDescent="0.25">
      <c r="A14" s="46" t="s">
        <v>205</v>
      </c>
      <c r="B14" s="127" t="s">
        <v>1968</v>
      </c>
      <c r="C14" s="128"/>
      <c r="D14" s="128"/>
      <c r="E14" s="129"/>
      <c r="F14" s="127" t="s">
        <v>222</v>
      </c>
      <c r="G14" s="51"/>
      <c r="H14" s="52">
        <v>8750</v>
      </c>
      <c r="I14" s="53"/>
      <c r="J14" t="s">
        <v>0</v>
      </c>
      <c r="K14" t="s">
        <v>0</v>
      </c>
      <c r="L14" t="s">
        <v>0</v>
      </c>
      <c r="M14" t="s">
        <v>0</v>
      </c>
      <c r="N14" t="s">
        <v>0</v>
      </c>
      <c r="O14" t="s">
        <v>0</v>
      </c>
      <c r="P14" t="s">
        <v>0</v>
      </c>
      <c r="Q14" t="s">
        <v>0</v>
      </c>
      <c r="R14" t="s">
        <v>0</v>
      </c>
      <c r="S14" t="s">
        <v>0</v>
      </c>
      <c r="T14" t="s">
        <v>0</v>
      </c>
    </row>
    <row r="15" ht="30" customHeight="1" spans="1:20" x14ac:dyDescent="0.25">
      <c r="A15" s="54" t="s">
        <v>1969</v>
      </c>
      <c r="B15" s="169" t="s">
        <v>1970</v>
      </c>
      <c r="C15" s="170"/>
      <c r="D15" s="170"/>
      <c r="E15" s="171"/>
      <c r="F15" s="169" t="s">
        <v>1971</v>
      </c>
      <c r="G15" s="255"/>
      <c r="H15" s="356">
        <v>39900</v>
      </c>
      <c r="I15" s="358"/>
      <c r="J15" t="s">
        <v>0</v>
      </c>
      <c r="K15" t="s">
        <v>0</v>
      </c>
      <c r="L15" t="s">
        <v>0</v>
      </c>
      <c r="M15" t="s">
        <v>0</v>
      </c>
      <c r="N15" t="s">
        <v>0</v>
      </c>
      <c r="O15" t="s">
        <v>0</v>
      </c>
      <c r="P15" t="s">
        <v>0</v>
      </c>
      <c r="Q15" t="s">
        <v>0</v>
      </c>
      <c r="R15" t="s">
        <v>0</v>
      </c>
      <c r="S15" t="s">
        <v>0</v>
      </c>
      <c r="T15" t="s">
        <v>0</v>
      </c>
    </row>
    <row r="16" ht="28.5" customHeight="1" spans="1:20" x14ac:dyDescent="0.25">
      <c r="A16" s="60" t="s">
        <v>1631</v>
      </c>
      <c r="B16" s="137" t="s">
        <v>1632</v>
      </c>
      <c r="C16" s="138"/>
      <c r="D16" s="138"/>
      <c r="E16" s="139"/>
      <c r="F16" s="55" t="s">
        <v>1972</v>
      </c>
      <c r="G16" s="65"/>
      <c r="H16" s="66">
        <v>11270</v>
      </c>
      <c r="I16" s="67"/>
      <c r="J16" t="s">
        <v>0</v>
      </c>
      <c r="K16" t="s">
        <v>0</v>
      </c>
      <c r="L16" t="s">
        <v>0</v>
      </c>
      <c r="M16" t="s">
        <v>0</v>
      </c>
      <c r="N16" t="s">
        <v>0</v>
      </c>
      <c r="O16" t="s">
        <v>0</v>
      </c>
      <c r="P16" t="s">
        <v>0</v>
      </c>
      <c r="Q16" t="s">
        <v>0</v>
      </c>
      <c r="R16" t="s">
        <v>0</v>
      </c>
      <c r="S16" t="s">
        <v>0</v>
      </c>
      <c r="T16" t="s">
        <v>0</v>
      </c>
    </row>
    <row r="17" ht="31.5" customHeight="1" spans="1:20" x14ac:dyDescent="0.25">
      <c r="A17" s="256" t="s">
        <v>1631</v>
      </c>
      <c r="B17" s="68" t="s">
        <v>1632</v>
      </c>
      <c r="C17" s="69"/>
      <c r="D17" s="69"/>
      <c r="E17" s="70"/>
      <c r="F17" s="75" t="s">
        <v>1973</v>
      </c>
      <c r="G17" s="70"/>
      <c r="H17" s="71">
        <v>5145</v>
      </c>
      <c r="I17" s="72"/>
      <c r="J17" t="s">
        <v>0</v>
      </c>
      <c r="K17" t="s">
        <v>0</v>
      </c>
      <c r="L17" t="s">
        <v>0</v>
      </c>
      <c r="M17" t="s">
        <v>0</v>
      </c>
      <c r="N17" t="s">
        <v>0</v>
      </c>
      <c r="O17" t="s">
        <v>0</v>
      </c>
      <c r="P17" t="s">
        <v>0</v>
      </c>
      <c r="Q17" t="s">
        <v>0</v>
      </c>
      <c r="R17" t="s">
        <v>0</v>
      </c>
      <c r="S17" t="s">
        <v>0</v>
      </c>
      <c r="T17" t="s">
        <v>0</v>
      </c>
    </row>
    <row r="18" ht="47.25" customHeight="1" spans="1:20" x14ac:dyDescent="0.25">
      <c r="A18" s="256" t="s">
        <v>987</v>
      </c>
      <c r="B18" s="68" t="s">
        <v>0</v>
      </c>
      <c r="C18" s="69" t="s">
        <v>0</v>
      </c>
      <c r="D18" s="76" t="s">
        <v>1974</v>
      </c>
      <c r="E18" s="77"/>
      <c r="F18" s="75" t="s">
        <v>1975</v>
      </c>
      <c r="G18" s="70"/>
      <c r="H18" s="71">
        <v>10250</v>
      </c>
      <c r="I18" s="72"/>
      <c r="J18" t="s">
        <v>0</v>
      </c>
      <c r="K18" t="s">
        <v>0</v>
      </c>
      <c r="L18" t="s">
        <v>0</v>
      </c>
      <c r="M18" t="s">
        <v>0</v>
      </c>
      <c r="N18" t="s">
        <v>0</v>
      </c>
      <c r="O18" t="s">
        <v>0</v>
      </c>
      <c r="P18" t="s">
        <v>0</v>
      </c>
      <c r="Q18" t="s">
        <v>0</v>
      </c>
      <c r="R18" t="s">
        <v>0</v>
      </c>
      <c r="S18" t="s">
        <v>0</v>
      </c>
      <c r="T18" t="s">
        <v>0</v>
      </c>
    </row>
    <row r="19" ht="31.5" customHeight="1" spans="1:20" x14ac:dyDescent="0.25">
      <c r="A19" s="558" t="s">
        <v>844</v>
      </c>
      <c r="B19" s="559" t="s">
        <v>0</v>
      </c>
      <c r="C19" s="560" t="s">
        <v>0</v>
      </c>
      <c r="D19" s="561" t="s">
        <v>1976</v>
      </c>
      <c r="E19" s="562"/>
      <c r="F19" s="563" t="s">
        <v>1977</v>
      </c>
      <c r="G19" s="564"/>
      <c r="H19" s="565">
        <v>1560</v>
      </c>
      <c r="I19" s="566"/>
      <c r="J19" t="s">
        <v>0</v>
      </c>
      <c r="K19" t="s">
        <v>0</v>
      </c>
      <c r="L19" t="s">
        <v>0</v>
      </c>
      <c r="M19" t="s">
        <v>0</v>
      </c>
      <c r="N19" t="s">
        <v>0</v>
      </c>
      <c r="O19" t="s">
        <v>0</v>
      </c>
      <c r="P19" t="s">
        <v>0</v>
      </c>
      <c r="Q19" t="s">
        <v>0</v>
      </c>
      <c r="R19" t="s">
        <v>0</v>
      </c>
      <c r="S19" t="s">
        <v>0</v>
      </c>
      <c r="T19" t="s">
        <v>0</v>
      </c>
    </row>
    <row r="20" ht="32.25" customHeight="1" spans="1:20" x14ac:dyDescent="0.25">
      <c r="A20" s="256" t="s">
        <v>1978</v>
      </c>
      <c r="B20" s="68" t="s">
        <v>0</v>
      </c>
      <c r="C20" s="69" t="s">
        <v>0</v>
      </c>
      <c r="D20" s="69" t="s">
        <v>1979</v>
      </c>
      <c r="E20" s="70"/>
      <c r="F20" s="75" t="s">
        <v>1980</v>
      </c>
      <c r="G20" s="70"/>
      <c r="H20" s="71">
        <v>30000</v>
      </c>
      <c r="I20" s="72"/>
      <c r="J20" t="s">
        <v>0</v>
      </c>
      <c r="K20" t="s">
        <v>0</v>
      </c>
      <c r="L20" t="s">
        <v>0</v>
      </c>
      <c r="M20" t="s">
        <v>0</v>
      </c>
      <c r="N20" t="s">
        <v>0</v>
      </c>
      <c r="O20" t="s">
        <v>0</v>
      </c>
      <c r="P20" t="s">
        <v>0</v>
      </c>
      <c r="Q20" t="s">
        <v>0</v>
      </c>
      <c r="R20" t="s">
        <v>0</v>
      </c>
      <c r="S20" t="s">
        <v>0</v>
      </c>
      <c r="T20" t="s">
        <v>0</v>
      </c>
    </row>
    <row r="21" ht="31.5" customHeight="1" spans="1:20" x14ac:dyDescent="0.25">
      <c r="A21" s="256" t="s">
        <v>208</v>
      </c>
      <c r="B21" s="478" t="s">
        <v>0</v>
      </c>
      <c r="C21" s="276" t="s">
        <v>0</v>
      </c>
      <c r="D21" s="69" t="s">
        <v>215</v>
      </c>
      <c r="E21" s="70"/>
      <c r="F21" s="75" t="s">
        <v>1981</v>
      </c>
      <c r="G21" s="70"/>
      <c r="H21" s="71">
        <v>3243</v>
      </c>
      <c r="I21" s="72"/>
      <c r="J21" t="s">
        <v>0</v>
      </c>
      <c r="K21" t="s">
        <v>0</v>
      </c>
      <c r="L21" t="s">
        <v>0</v>
      </c>
      <c r="M21" t="s">
        <v>0</v>
      </c>
      <c r="N21" t="s">
        <v>0</v>
      </c>
      <c r="O21" t="s">
        <v>0</v>
      </c>
      <c r="P21" t="s">
        <v>0</v>
      </c>
      <c r="Q21" t="s">
        <v>0</v>
      </c>
      <c r="R21" t="s">
        <v>0</v>
      </c>
      <c r="S21" t="s">
        <v>0</v>
      </c>
      <c r="T21" t="s">
        <v>0</v>
      </c>
    </row>
    <row r="22" ht="32.25" customHeight="1" spans="1:20" x14ac:dyDescent="0.25">
      <c r="A22" s="558" t="s">
        <v>1982</v>
      </c>
      <c r="B22" s="559" t="s">
        <v>0</v>
      </c>
      <c r="C22" s="560" t="s">
        <v>0</v>
      </c>
      <c r="D22" s="560" t="s">
        <v>1983</v>
      </c>
      <c r="E22" s="564"/>
      <c r="F22" s="563" t="s">
        <v>1984</v>
      </c>
      <c r="G22" s="564"/>
      <c r="H22" s="565">
        <v>3000</v>
      </c>
      <c r="I22" s="566"/>
      <c r="J22" t="s">
        <v>0</v>
      </c>
      <c r="K22" t="s">
        <v>0</v>
      </c>
      <c r="L22" t="s">
        <v>0</v>
      </c>
      <c r="M22" t="s">
        <v>0</v>
      </c>
      <c r="N22" t="s">
        <v>0</v>
      </c>
      <c r="O22" t="s">
        <v>0</v>
      </c>
      <c r="P22" t="s">
        <v>0</v>
      </c>
      <c r="Q22" t="s">
        <v>0</v>
      </c>
      <c r="R22" t="s">
        <v>0</v>
      </c>
      <c r="S22" t="s">
        <v>0</v>
      </c>
      <c r="T22" t="s">
        <v>0</v>
      </c>
    </row>
    <row r="23" ht="46.5" customHeight="1" spans="1:20" s="80" customFormat="1" x14ac:dyDescent="0.25">
      <c r="A23" s="228" t="s">
        <v>1985</v>
      </c>
      <c r="B23" s="172" t="s">
        <v>0</v>
      </c>
      <c r="C23" s="82" t="s">
        <v>0</v>
      </c>
      <c r="D23" s="134" t="s">
        <v>1986</v>
      </c>
      <c r="E23" s="84"/>
      <c r="F23" s="81" t="s">
        <v>1987</v>
      </c>
      <c r="G23" s="83"/>
      <c r="H23" s="85">
        <v>24500</v>
      </c>
      <c r="I23" s="86"/>
      <c r="J23" s="80" t="s">
        <v>0</v>
      </c>
      <c r="K23" s="80" t="s">
        <v>0</v>
      </c>
      <c r="L23" s="80" t="s">
        <v>0</v>
      </c>
      <c r="M23" s="80" t="s">
        <v>0</v>
      </c>
      <c r="N23" s="80" t="s">
        <v>0</v>
      </c>
      <c r="O23" s="80" t="s">
        <v>0</v>
      </c>
      <c r="P23" s="80" t="s">
        <v>0</v>
      </c>
      <c r="Q23" s="80" t="s">
        <v>0</v>
      </c>
      <c r="R23" s="80" t="s">
        <v>0</v>
      </c>
      <c r="S23" s="80" t="s">
        <v>0</v>
      </c>
      <c r="T23" s="80" t="s">
        <v>0</v>
      </c>
    </row>
    <row r="24" ht="15.75" customHeight="1" spans="1:20" x14ac:dyDescent="0.25">
      <c r="A24" s="256" t="s">
        <v>0</v>
      </c>
      <c r="B24" s="68" t="s">
        <v>0</v>
      </c>
      <c r="C24" s="69" t="s">
        <v>0</v>
      </c>
      <c r="D24" s="197"/>
      <c r="E24" s="159"/>
      <c r="F24" s="68"/>
      <c r="G24" s="70"/>
      <c r="H24" s="71"/>
      <c r="I24" s="72"/>
      <c r="J24" t="s">
        <v>0</v>
      </c>
      <c r="K24" t="s">
        <v>0</v>
      </c>
      <c r="L24" t="s">
        <v>0</v>
      </c>
      <c r="M24" t="s">
        <v>0</v>
      </c>
      <c r="N24" t="s">
        <v>0</v>
      </c>
      <c r="O24" t="s">
        <v>0</v>
      </c>
      <c r="P24" t="s">
        <v>0</v>
      </c>
      <c r="Q24" t="s">
        <v>0</v>
      </c>
      <c r="R24" t="s">
        <v>0</v>
      </c>
      <c r="S24" t="s">
        <v>0</v>
      </c>
      <c r="T24" t="s">
        <v>0</v>
      </c>
    </row>
    <row r="25" ht="15.75" customHeight="1" spans="1:20" x14ac:dyDescent="0.25">
      <c r="A25" s="479" t="s">
        <v>0</v>
      </c>
      <c r="B25" s="478" t="s">
        <v>0</v>
      </c>
      <c r="C25" s="276" t="s">
        <v>0</v>
      </c>
      <c r="D25" s="164"/>
      <c r="E25" s="173"/>
      <c r="F25" s="163"/>
      <c r="G25" s="173"/>
      <c r="H25" s="371"/>
      <c r="I25" s="372"/>
      <c r="J25" t="s">
        <v>0</v>
      </c>
      <c r="K25" t="s">
        <v>0</v>
      </c>
      <c r="L25" t="s">
        <v>0</v>
      </c>
      <c r="M25" t="s">
        <v>0</v>
      </c>
      <c r="N25" t="s">
        <v>0</v>
      </c>
      <c r="O25" t="s">
        <v>0</v>
      </c>
      <c r="P25" t="s">
        <v>0</v>
      </c>
      <c r="Q25" t="s">
        <v>0</v>
      </c>
      <c r="R25" t="s">
        <v>0</v>
      </c>
      <c r="S25" t="s">
        <v>0</v>
      </c>
      <c r="T25" t="s">
        <v>0</v>
      </c>
    </row>
    <row r="26" ht="15.75" customHeight="1" spans="1:20" x14ac:dyDescent="0.25">
      <c r="A26" s="93" t="s">
        <v>0</v>
      </c>
      <c r="B26" s="94"/>
      <c r="C26" s="95"/>
      <c r="D26" s="95"/>
      <c r="E26" s="96"/>
      <c r="F26" s="97" t="s">
        <v>96</v>
      </c>
      <c r="G26" s="98"/>
      <c r="H26" s="99">
        <f>SUM(H14:I17)</f>
        <v>65065</v>
      </c>
      <c r="I26" s="100"/>
      <c r="J26" t="s">
        <v>0</v>
      </c>
      <c r="K26" t="s">
        <v>0</v>
      </c>
      <c r="L26" t="s">
        <v>0</v>
      </c>
      <c r="M26" t="s">
        <v>0</v>
      </c>
      <c r="N26" t="s">
        <v>0</v>
      </c>
      <c r="O26" t="s">
        <v>0</v>
      </c>
      <c r="P26" t="s">
        <v>0</v>
      </c>
      <c r="Q26" t="s">
        <v>0</v>
      </c>
      <c r="R26" t="s">
        <v>0</v>
      </c>
      <c r="S26" t="s">
        <v>0</v>
      </c>
      <c r="T26" t="s">
        <v>0</v>
      </c>
    </row>
    <row r="27" ht="15.75" customHeight="1" spans="1:20" x14ac:dyDescent="0.25">
      <c r="A27" t="s">
        <v>0</v>
      </c>
      <c r="B27" s="102" t="s">
        <v>0</v>
      </c>
      <c r="C27" s="476"/>
      <c r="D27" s="476"/>
      <c r="E27" s="476"/>
      <c r="F27" s="567"/>
      <c r="G27" s="567"/>
      <c r="H27" s="568"/>
      <c r="I27" s="568"/>
      <c r="J27" t="s">
        <v>0</v>
      </c>
      <c r="K27" t="s">
        <v>0</v>
      </c>
      <c r="L27" t="s">
        <v>0</v>
      </c>
      <c r="M27" t="s">
        <v>0</v>
      </c>
      <c r="N27" t="s">
        <v>0</v>
      </c>
      <c r="O27" t="s">
        <v>0</v>
      </c>
      <c r="P27" t="s">
        <v>0</v>
      </c>
      <c r="Q27" t="s">
        <v>0</v>
      </c>
      <c r="R27" t="s">
        <v>0</v>
      </c>
      <c r="S27" t="s">
        <v>0</v>
      </c>
      <c r="T27" t="s">
        <v>0</v>
      </c>
    </row>
    <row r="28" ht="15.75" customHeight="1" spans="1:20" x14ac:dyDescent="0.25">
      <c r="A28" t="s">
        <v>0</v>
      </c>
      <c r="B28" s="102" t="s">
        <v>0</v>
      </c>
      <c r="C28" s="102"/>
      <c r="D28" s="102"/>
      <c r="E28" s="102"/>
      <c r="F28" s="167"/>
      <c r="G28" s="167"/>
      <c r="H28" s="569"/>
      <c r="I28" s="569"/>
      <c r="J28" t="s">
        <v>0</v>
      </c>
      <c r="K28" t="s">
        <v>0</v>
      </c>
      <c r="L28" t="s">
        <v>0</v>
      </c>
      <c r="M28" t="s">
        <v>0</v>
      </c>
      <c r="N28" t="s">
        <v>0</v>
      </c>
      <c r="O28" t="s">
        <v>0</v>
      </c>
      <c r="P28" t="s">
        <v>0</v>
      </c>
      <c r="Q28" t="s">
        <v>0</v>
      </c>
      <c r="R28" t="s">
        <v>0</v>
      </c>
      <c r="S28" t="s">
        <v>0</v>
      </c>
      <c r="T28" t="s">
        <v>0</v>
      </c>
    </row>
    <row r="29" ht="15.75" customHeight="1" spans="1:20" x14ac:dyDescent="0.25">
      <c r="A29" t="s">
        <v>0</v>
      </c>
      <c r="B29" t="s">
        <v>0</v>
      </c>
      <c r="C29" s="179"/>
      <c r="D29" s="179"/>
      <c r="E29" s="179"/>
      <c r="F29" s="179"/>
      <c r="G29" s="179"/>
      <c r="H29" s="179"/>
      <c r="I29" s="179"/>
      <c r="J29" t="s">
        <v>0</v>
      </c>
      <c r="K29" t="s">
        <v>0</v>
      </c>
      <c r="L29" t="s">
        <v>0</v>
      </c>
      <c r="M29" t="s">
        <v>0</v>
      </c>
      <c r="N29" t="s">
        <v>0</v>
      </c>
      <c r="O29" t="s">
        <v>0</v>
      </c>
      <c r="P29" t="s">
        <v>0</v>
      </c>
      <c r="Q29" t="s">
        <v>0</v>
      </c>
      <c r="R29" t="s">
        <v>0</v>
      </c>
      <c r="S29" t="s">
        <v>0</v>
      </c>
      <c r="T29" t="s">
        <v>0</v>
      </c>
    </row>
    <row r="30" ht="16.5" customHeight="1" spans="1:20" x14ac:dyDescent="0.25">
      <c r="A30" s="40" t="s">
        <v>1988</v>
      </c>
      <c r="B30" s="41" t="s">
        <v>437</v>
      </c>
      <c r="C30" s="42"/>
      <c r="D30" s="42"/>
      <c r="E30" s="43"/>
      <c r="F30" s="41" t="s">
        <v>76</v>
      </c>
      <c r="G30" s="43"/>
      <c r="H30" s="44" t="s">
        <v>77</v>
      </c>
      <c r="I30" s="45"/>
      <c r="J30" t="s">
        <v>0</v>
      </c>
      <c r="K30" t="s">
        <v>0</v>
      </c>
      <c r="L30" t="s">
        <v>0</v>
      </c>
      <c r="M30" t="s">
        <v>0</v>
      </c>
      <c r="N30" t="s">
        <v>0</v>
      </c>
      <c r="O30" t="s">
        <v>0</v>
      </c>
      <c r="P30" t="s">
        <v>0</v>
      </c>
      <c r="Q30" t="s">
        <v>0</v>
      </c>
      <c r="R30" t="s">
        <v>0</v>
      </c>
      <c r="S30" t="s">
        <v>0</v>
      </c>
      <c r="T30" t="s">
        <v>0</v>
      </c>
    </row>
    <row r="31" ht="43.5" customHeight="1" spans="1:20" x14ac:dyDescent="0.25">
      <c r="A31" s="46" t="s">
        <v>1989</v>
      </c>
      <c r="B31" s="127" t="s">
        <v>1990</v>
      </c>
      <c r="C31" s="128"/>
      <c r="D31" s="128"/>
      <c r="E31" s="129"/>
      <c r="F31" s="50" t="s">
        <v>1991</v>
      </c>
      <c r="G31" s="51"/>
      <c r="H31" s="52">
        <v>850</v>
      </c>
      <c r="I31" s="53"/>
      <c r="J31" t="s">
        <v>0</v>
      </c>
      <c r="K31" t="s">
        <v>0</v>
      </c>
      <c r="L31" t="s">
        <v>0</v>
      </c>
      <c r="M31" t="s">
        <v>0</v>
      </c>
      <c r="N31" t="s">
        <v>0</v>
      </c>
      <c r="O31" t="s">
        <v>0</v>
      </c>
      <c r="P31" t="s">
        <v>0</v>
      </c>
      <c r="Q31" t="s">
        <v>0</v>
      </c>
      <c r="R31" t="s">
        <v>0</v>
      </c>
      <c r="S31" t="s">
        <v>0</v>
      </c>
      <c r="T31" t="s">
        <v>0</v>
      </c>
    </row>
    <row r="32" ht="30.75" customHeight="1" spans="1:20" x14ac:dyDescent="0.25">
      <c r="A32" s="54" t="s">
        <v>1989</v>
      </c>
      <c r="B32" s="169" t="s">
        <v>1992</v>
      </c>
      <c r="C32" s="170"/>
      <c r="D32" s="170"/>
      <c r="E32" s="171"/>
      <c r="F32" s="169" t="s">
        <v>1993</v>
      </c>
      <c r="G32" s="171"/>
      <c r="H32" s="356">
        <v>30150</v>
      </c>
      <c r="I32" s="358"/>
      <c r="J32" t="s">
        <v>0</v>
      </c>
      <c r="K32" t="s">
        <v>0</v>
      </c>
      <c r="L32" t="s">
        <v>0</v>
      </c>
      <c r="M32" t="s">
        <v>0</v>
      </c>
      <c r="N32" t="s">
        <v>0</v>
      </c>
      <c r="O32" t="s">
        <v>0</v>
      </c>
      <c r="P32" t="s">
        <v>0</v>
      </c>
      <c r="Q32" t="s">
        <v>0</v>
      </c>
      <c r="R32" t="s">
        <v>0</v>
      </c>
      <c r="S32" t="s">
        <v>0</v>
      </c>
      <c r="T32" t="s">
        <v>0</v>
      </c>
    </row>
    <row r="33" ht="29.25" customHeight="1" spans="1:20" x14ac:dyDescent="0.25">
      <c r="A33" s="60" t="s">
        <v>881</v>
      </c>
      <c r="B33" s="61" t="s">
        <v>1994</v>
      </c>
      <c r="C33" s="62"/>
      <c r="D33" s="62"/>
      <c r="E33" s="63"/>
      <c r="F33" s="64" t="s">
        <v>1023</v>
      </c>
      <c r="G33" s="65"/>
      <c r="H33" s="66">
        <v>1000</v>
      </c>
      <c r="I33" s="67"/>
      <c r="J33" t="s">
        <v>0</v>
      </c>
      <c r="K33" t="s">
        <v>0</v>
      </c>
      <c r="L33" t="s">
        <v>0</v>
      </c>
      <c r="M33" t="s">
        <v>0</v>
      </c>
      <c r="N33" t="s">
        <v>0</v>
      </c>
      <c r="O33" t="s">
        <v>0</v>
      </c>
      <c r="P33" t="s">
        <v>0</v>
      </c>
      <c r="Q33" t="s">
        <v>0</v>
      </c>
      <c r="R33" t="s">
        <v>0</v>
      </c>
      <c r="S33" t="s">
        <v>0</v>
      </c>
      <c r="T33" t="s">
        <v>0</v>
      </c>
    </row>
    <row r="34" ht="30" customHeight="1" spans="1:20" x14ac:dyDescent="0.25">
      <c r="A34" s="60" t="s">
        <v>1995</v>
      </c>
      <c r="B34" s="75" t="s">
        <v>1994</v>
      </c>
      <c r="C34" s="76"/>
      <c r="D34" s="76"/>
      <c r="E34" s="77"/>
      <c r="F34" s="68" t="s">
        <v>1023</v>
      </c>
      <c r="G34" s="70"/>
      <c r="H34" s="71">
        <v>850</v>
      </c>
      <c r="I34" s="72"/>
      <c r="J34" t="s">
        <v>0</v>
      </c>
      <c r="K34" t="s">
        <v>0</v>
      </c>
      <c r="L34" t="s">
        <v>0</v>
      </c>
      <c r="M34" t="s">
        <v>0</v>
      </c>
      <c r="N34" t="s">
        <v>0</v>
      </c>
      <c r="O34" t="s">
        <v>0</v>
      </c>
      <c r="P34" t="s">
        <v>0</v>
      </c>
      <c r="Q34" t="s">
        <v>0</v>
      </c>
      <c r="R34" t="s">
        <v>0</v>
      </c>
      <c r="S34" t="s">
        <v>0</v>
      </c>
      <c r="T34" t="s">
        <v>0</v>
      </c>
    </row>
    <row r="35" ht="30.75" customHeight="1" spans="1:20" x14ac:dyDescent="0.25">
      <c r="A35" s="60" t="s">
        <v>1996</v>
      </c>
      <c r="B35" s="68" t="s">
        <v>0</v>
      </c>
      <c r="C35" s="69" t="s">
        <v>0</v>
      </c>
      <c r="D35" s="76" t="s">
        <v>1994</v>
      </c>
      <c r="E35" s="77"/>
      <c r="F35" s="68" t="s">
        <v>1023</v>
      </c>
      <c r="G35" s="70"/>
      <c r="H35" s="71">
        <v>850</v>
      </c>
      <c r="I35" s="72"/>
      <c r="J35" t="s">
        <v>0</v>
      </c>
      <c r="K35" t="s">
        <v>0</v>
      </c>
      <c r="L35" t="s">
        <v>0</v>
      </c>
      <c r="M35" t="s">
        <v>0</v>
      </c>
      <c r="N35" t="s">
        <v>0</v>
      </c>
      <c r="O35" t="s">
        <v>0</v>
      </c>
      <c r="P35" t="s">
        <v>0</v>
      </c>
      <c r="Q35" t="s">
        <v>0</v>
      </c>
      <c r="R35" t="s">
        <v>0</v>
      </c>
      <c r="S35" t="s">
        <v>0</v>
      </c>
      <c r="T35" t="s">
        <v>0</v>
      </c>
    </row>
    <row r="36" ht="30" customHeight="1" spans="1:20" x14ac:dyDescent="0.25">
      <c r="A36" s="60" t="s">
        <v>1997</v>
      </c>
      <c r="B36" s="68" t="s">
        <v>0</v>
      </c>
      <c r="C36" s="69" t="s">
        <v>0</v>
      </c>
      <c r="D36" s="76" t="s">
        <v>1994</v>
      </c>
      <c r="E36" s="77"/>
      <c r="F36" s="68" t="s">
        <v>1023</v>
      </c>
      <c r="G36" s="70"/>
      <c r="H36" s="71">
        <v>850</v>
      </c>
      <c r="I36" s="72"/>
      <c r="J36" t="s">
        <v>0</v>
      </c>
      <c r="K36" t="s">
        <v>0</v>
      </c>
      <c r="L36" t="s">
        <v>0</v>
      </c>
      <c r="M36" t="s">
        <v>0</v>
      </c>
      <c r="N36" t="s">
        <v>0</v>
      </c>
      <c r="O36" t="s">
        <v>0</v>
      </c>
      <c r="P36" t="s">
        <v>0</v>
      </c>
      <c r="Q36" t="s">
        <v>0</v>
      </c>
      <c r="R36" t="s">
        <v>0</v>
      </c>
      <c r="S36" t="s">
        <v>0</v>
      </c>
      <c r="T36" t="s">
        <v>0</v>
      </c>
    </row>
    <row r="37" ht="29.25" customHeight="1" spans="1:20" x14ac:dyDescent="0.25">
      <c r="A37" s="60" t="s">
        <v>1998</v>
      </c>
      <c r="B37" s="68" t="s">
        <v>0</v>
      </c>
      <c r="C37" s="69" t="s">
        <v>0</v>
      </c>
      <c r="D37" s="76" t="s">
        <v>1994</v>
      </c>
      <c r="E37" s="77"/>
      <c r="F37" s="68" t="s">
        <v>1023</v>
      </c>
      <c r="G37" s="70"/>
      <c r="H37" s="71">
        <v>850</v>
      </c>
      <c r="I37" s="72"/>
      <c r="J37" t="s">
        <v>0</v>
      </c>
      <c r="K37" t="s">
        <v>0</v>
      </c>
      <c r="L37" t="s">
        <v>0</v>
      </c>
      <c r="M37" t="s">
        <v>0</v>
      </c>
      <c r="N37" t="s">
        <v>0</v>
      </c>
      <c r="O37" t="s">
        <v>0</v>
      </c>
      <c r="P37" t="s">
        <v>0</v>
      </c>
      <c r="Q37" t="s">
        <v>0</v>
      </c>
      <c r="R37" t="s">
        <v>0</v>
      </c>
      <c r="S37" t="s">
        <v>0</v>
      </c>
      <c r="T37" t="s">
        <v>0</v>
      </c>
    </row>
    <row r="38" ht="30" customHeight="1" spans="1:20" x14ac:dyDescent="0.25">
      <c r="A38" s="60" t="s">
        <v>1999</v>
      </c>
      <c r="B38" s="68" t="s">
        <v>0</v>
      </c>
      <c r="C38" s="69" t="s">
        <v>0</v>
      </c>
      <c r="D38" s="76" t="s">
        <v>1994</v>
      </c>
      <c r="E38" s="77"/>
      <c r="F38" s="68" t="s">
        <v>1023</v>
      </c>
      <c r="G38" s="70"/>
      <c r="H38" s="71">
        <v>850</v>
      </c>
      <c r="I38" s="72"/>
      <c r="J38" t="s">
        <v>0</v>
      </c>
      <c r="K38" t="s">
        <v>0</v>
      </c>
      <c r="L38" t="s">
        <v>0</v>
      </c>
      <c r="M38" t="s">
        <v>0</v>
      </c>
      <c r="N38" t="s">
        <v>0</v>
      </c>
      <c r="O38" t="s">
        <v>0</v>
      </c>
      <c r="P38" t="s">
        <v>0</v>
      </c>
      <c r="Q38" t="s">
        <v>0</v>
      </c>
      <c r="R38" t="s">
        <v>0</v>
      </c>
      <c r="S38" t="s">
        <v>0</v>
      </c>
      <c r="T38" t="s">
        <v>0</v>
      </c>
    </row>
    <row r="39" ht="30" customHeight="1" spans="1:20" x14ac:dyDescent="0.25">
      <c r="A39" s="60" t="s">
        <v>2000</v>
      </c>
      <c r="B39" s="68" t="s">
        <v>0</v>
      </c>
      <c r="C39" s="69" t="s">
        <v>0</v>
      </c>
      <c r="D39" s="76" t="s">
        <v>1994</v>
      </c>
      <c r="E39" s="77"/>
      <c r="F39" s="68" t="s">
        <v>1023</v>
      </c>
      <c r="G39" s="70"/>
      <c r="H39" s="71">
        <v>850</v>
      </c>
      <c r="I39" s="72"/>
      <c r="J39" t="s">
        <v>0</v>
      </c>
      <c r="K39" t="s">
        <v>0</v>
      </c>
      <c r="L39" t="s">
        <v>0</v>
      </c>
      <c r="M39" t="s">
        <v>0</v>
      </c>
      <c r="N39" t="s">
        <v>0</v>
      </c>
      <c r="O39" t="s">
        <v>0</v>
      </c>
      <c r="P39" t="s">
        <v>0</v>
      </c>
      <c r="Q39" t="s">
        <v>0</v>
      </c>
      <c r="R39" t="s">
        <v>0</v>
      </c>
      <c r="S39" t="s">
        <v>0</v>
      </c>
      <c r="T39" t="s">
        <v>0</v>
      </c>
    </row>
    <row r="40" ht="30" customHeight="1" spans="1:20" x14ac:dyDescent="0.25">
      <c r="A40" s="60" t="s">
        <v>2001</v>
      </c>
      <c r="B40" s="68" t="s">
        <v>0</v>
      </c>
      <c r="C40" s="69" t="s">
        <v>0</v>
      </c>
      <c r="D40" s="76" t="s">
        <v>1994</v>
      </c>
      <c r="E40" s="77"/>
      <c r="F40" s="68" t="s">
        <v>1023</v>
      </c>
      <c r="G40" s="70"/>
      <c r="H40" s="71">
        <v>850</v>
      </c>
      <c r="I40" s="72"/>
      <c r="J40" t="s">
        <v>0</v>
      </c>
      <c r="K40" t="s">
        <v>0</v>
      </c>
      <c r="L40" t="s">
        <v>0</v>
      </c>
      <c r="M40" t="s">
        <v>0</v>
      </c>
      <c r="N40" t="s">
        <v>0</v>
      </c>
      <c r="O40" t="s">
        <v>0</v>
      </c>
      <c r="P40" t="s">
        <v>0</v>
      </c>
      <c r="Q40" t="s">
        <v>0</v>
      </c>
      <c r="R40" t="s">
        <v>0</v>
      </c>
      <c r="S40" t="s">
        <v>0</v>
      </c>
      <c r="T40" t="s">
        <v>0</v>
      </c>
    </row>
    <row r="41" ht="31.5" customHeight="1" spans="1:20" x14ac:dyDescent="0.25">
      <c r="A41" s="60" t="s">
        <v>2002</v>
      </c>
      <c r="B41" s="68" t="s">
        <v>0</v>
      </c>
      <c r="C41" s="69" t="s">
        <v>0</v>
      </c>
      <c r="D41" s="76" t="s">
        <v>1994</v>
      </c>
      <c r="E41" s="77"/>
      <c r="F41" s="68" t="s">
        <v>1023</v>
      </c>
      <c r="G41" s="70"/>
      <c r="H41" s="71">
        <v>850</v>
      </c>
      <c r="I41" s="72"/>
      <c r="J41" t="s">
        <v>0</v>
      </c>
      <c r="K41" t="s">
        <v>0</v>
      </c>
      <c r="L41" t="s">
        <v>0</v>
      </c>
      <c r="M41" t="s">
        <v>0</v>
      </c>
      <c r="N41" t="s">
        <v>0</v>
      </c>
      <c r="O41" t="s">
        <v>0</v>
      </c>
      <c r="P41" t="s">
        <v>0</v>
      </c>
      <c r="Q41" t="s">
        <v>0</v>
      </c>
      <c r="R41" t="s">
        <v>0</v>
      </c>
      <c r="S41" t="s">
        <v>0</v>
      </c>
      <c r="T41" t="s">
        <v>0</v>
      </c>
    </row>
    <row r="42" ht="108" customHeight="1" spans="1:20" x14ac:dyDescent="0.25">
      <c r="A42" s="60" t="s">
        <v>1989</v>
      </c>
      <c r="B42" s="68" t="s">
        <v>0</v>
      </c>
      <c r="C42" s="69" t="s">
        <v>0</v>
      </c>
      <c r="D42" s="148" t="s">
        <v>2003</v>
      </c>
      <c r="E42" s="149"/>
      <c r="F42" s="68" t="s">
        <v>2004</v>
      </c>
      <c r="G42" s="70"/>
      <c r="H42" s="71">
        <v>2300</v>
      </c>
      <c r="I42" s="72"/>
      <c r="J42" t="s">
        <v>0</v>
      </c>
      <c r="K42" t="s">
        <v>0</v>
      </c>
      <c r="L42" t="s">
        <v>0</v>
      </c>
      <c r="M42" t="s">
        <v>0</v>
      </c>
      <c r="N42" t="s">
        <v>0</v>
      </c>
      <c r="O42" t="s">
        <v>0</v>
      </c>
      <c r="P42" t="s">
        <v>0</v>
      </c>
      <c r="Q42" t="s">
        <v>0</v>
      </c>
      <c r="R42" t="s">
        <v>0</v>
      </c>
      <c r="S42" t="s">
        <v>0</v>
      </c>
      <c r="T42" t="s">
        <v>0</v>
      </c>
    </row>
    <row r="43" ht="45" customHeight="1" spans="1:20" x14ac:dyDescent="0.25">
      <c r="A43" s="60" t="s">
        <v>2005</v>
      </c>
      <c r="B43" s="68" t="s">
        <v>0</v>
      </c>
      <c r="C43" s="69" t="s">
        <v>0</v>
      </c>
      <c r="D43" s="76" t="s">
        <v>2006</v>
      </c>
      <c r="E43" s="77"/>
      <c r="F43" s="68" t="s">
        <v>2007</v>
      </c>
      <c r="G43" s="70"/>
      <c r="H43" s="71">
        <v>1000</v>
      </c>
      <c r="I43" s="72"/>
      <c r="J43" t="s">
        <v>0</v>
      </c>
      <c r="K43" t="s">
        <v>0</v>
      </c>
      <c r="L43" t="s">
        <v>0</v>
      </c>
      <c r="M43" t="s">
        <v>0</v>
      </c>
      <c r="N43" t="s">
        <v>0</v>
      </c>
      <c r="O43" t="s">
        <v>0</v>
      </c>
      <c r="P43" t="s">
        <v>0</v>
      </c>
      <c r="Q43" t="s">
        <v>0</v>
      </c>
      <c r="R43" t="s">
        <v>0</v>
      </c>
      <c r="S43" t="s">
        <v>0</v>
      </c>
      <c r="T43" t="s">
        <v>0</v>
      </c>
    </row>
    <row r="44" ht="44.25" customHeight="1" spans="1:20" x14ac:dyDescent="0.25">
      <c r="A44" s="60" t="s">
        <v>2008</v>
      </c>
      <c r="B44" s="68" t="s">
        <v>0</v>
      </c>
      <c r="C44" s="69" t="s">
        <v>0</v>
      </c>
      <c r="D44" s="76" t="s">
        <v>2006</v>
      </c>
      <c r="E44" s="77"/>
      <c r="F44" s="68" t="s">
        <v>2007</v>
      </c>
      <c r="G44" s="70"/>
      <c r="H44" s="71">
        <v>1000</v>
      </c>
      <c r="I44" s="72"/>
      <c r="J44" t="s">
        <v>0</v>
      </c>
      <c r="K44" t="s">
        <v>0</v>
      </c>
      <c r="L44" t="s">
        <v>0</v>
      </c>
      <c r="M44" t="s">
        <v>0</v>
      </c>
      <c r="N44" t="s">
        <v>0</v>
      </c>
      <c r="O44" t="s">
        <v>0</v>
      </c>
      <c r="P44" t="s">
        <v>0</v>
      </c>
      <c r="Q44" t="s">
        <v>0</v>
      </c>
      <c r="R44" t="s">
        <v>0</v>
      </c>
      <c r="S44" t="s">
        <v>0</v>
      </c>
      <c r="T44" t="s">
        <v>0</v>
      </c>
    </row>
    <row r="45" spans="1:20" x14ac:dyDescent="0.25">
      <c r="A45" s="60" t="s">
        <v>0</v>
      </c>
      <c r="B45" s="68" t="s">
        <v>0</v>
      </c>
      <c r="C45" s="69" t="s">
        <v>0</v>
      </c>
      <c r="D45" s="76"/>
      <c r="E45" s="77"/>
      <c r="F45" s="68"/>
      <c r="G45" s="70"/>
      <c r="H45" s="71"/>
      <c r="I45" s="72"/>
      <c r="J45" t="s">
        <v>0</v>
      </c>
      <c r="K45" t="s">
        <v>0</v>
      </c>
      <c r="L45" t="s">
        <v>0</v>
      </c>
      <c r="M45" t="s">
        <v>0</v>
      </c>
      <c r="N45" t="s">
        <v>0</v>
      </c>
      <c r="O45" t="s">
        <v>0</v>
      </c>
      <c r="P45" t="s">
        <v>0</v>
      </c>
      <c r="Q45" t="s">
        <v>0</v>
      </c>
      <c r="R45" t="s">
        <v>0</v>
      </c>
      <c r="S45" t="s">
        <v>0</v>
      </c>
      <c r="T45" t="s">
        <v>0</v>
      </c>
    </row>
    <row r="46" spans="1:20" x14ac:dyDescent="0.25">
      <c r="A46" s="60" t="s">
        <v>0</v>
      </c>
      <c r="B46" s="68" t="s">
        <v>0</v>
      </c>
      <c r="C46" s="69" t="s">
        <v>0</v>
      </c>
      <c r="D46" s="76"/>
      <c r="E46" s="77"/>
      <c r="F46" s="68"/>
      <c r="G46" s="70"/>
      <c r="H46" s="71"/>
      <c r="I46" s="72"/>
      <c r="J46" t="s">
        <v>0</v>
      </c>
      <c r="K46" t="s">
        <v>0</v>
      </c>
      <c r="L46" t="s">
        <v>0</v>
      </c>
      <c r="M46" t="s">
        <v>0</v>
      </c>
      <c r="N46" t="s">
        <v>0</v>
      </c>
      <c r="O46" t="s">
        <v>0</v>
      </c>
      <c r="P46" t="s">
        <v>0</v>
      </c>
      <c r="Q46" t="s">
        <v>0</v>
      </c>
      <c r="R46" t="s">
        <v>0</v>
      </c>
      <c r="S46" t="s">
        <v>0</v>
      </c>
      <c r="T46" t="s">
        <v>0</v>
      </c>
    </row>
    <row r="47" spans="1:20" x14ac:dyDescent="0.25">
      <c r="A47" s="60" t="s">
        <v>0</v>
      </c>
      <c r="B47" s="68" t="s">
        <v>0</v>
      </c>
      <c r="C47" s="69" t="s">
        <v>0</v>
      </c>
      <c r="D47" s="76"/>
      <c r="E47" s="77"/>
      <c r="F47" s="68"/>
      <c r="G47" s="70"/>
      <c r="H47" s="71"/>
      <c r="I47" s="72"/>
      <c r="J47" t="s">
        <v>0</v>
      </c>
      <c r="K47" t="s">
        <v>0</v>
      </c>
      <c r="L47" t="s">
        <v>0</v>
      </c>
      <c r="M47" t="s">
        <v>0</v>
      </c>
      <c r="N47" t="s">
        <v>0</v>
      </c>
      <c r="O47" t="s">
        <v>0</v>
      </c>
      <c r="P47" t="s">
        <v>0</v>
      </c>
      <c r="Q47" t="s">
        <v>0</v>
      </c>
      <c r="R47" t="s">
        <v>0</v>
      </c>
      <c r="S47" t="s">
        <v>0</v>
      </c>
      <c r="T47" t="s">
        <v>0</v>
      </c>
    </row>
    <row r="48" spans="1:20" x14ac:dyDescent="0.25">
      <c r="A48" s="60" t="s">
        <v>0</v>
      </c>
      <c r="B48" s="68" t="s">
        <v>0</v>
      </c>
      <c r="C48" s="69" t="s">
        <v>0</v>
      </c>
      <c r="D48" s="76"/>
      <c r="E48" s="77"/>
      <c r="F48" s="68"/>
      <c r="G48" s="70"/>
      <c r="H48" s="71"/>
      <c r="I48" s="72"/>
      <c r="J48" t="s">
        <v>0</v>
      </c>
      <c r="K48" t="s">
        <v>0</v>
      </c>
      <c r="L48" t="s">
        <v>0</v>
      </c>
      <c r="M48" t="s">
        <v>0</v>
      </c>
      <c r="N48" t="s">
        <v>0</v>
      </c>
      <c r="O48" t="s">
        <v>0</v>
      </c>
      <c r="P48" t="s">
        <v>0</v>
      </c>
      <c r="Q48" t="s">
        <v>0</v>
      </c>
      <c r="R48" t="s">
        <v>0</v>
      </c>
      <c r="S48" t="s">
        <v>0</v>
      </c>
      <c r="T48" t="s">
        <v>0</v>
      </c>
    </row>
    <row r="49" spans="1:20" x14ac:dyDescent="0.25">
      <c r="A49" s="60" t="s">
        <v>0</v>
      </c>
      <c r="B49" s="68" t="s">
        <v>0</v>
      </c>
      <c r="C49" s="69" t="s">
        <v>0</v>
      </c>
      <c r="D49" s="76"/>
      <c r="E49" s="77"/>
      <c r="F49" s="68"/>
      <c r="G49" s="70"/>
      <c r="H49" s="71"/>
      <c r="I49" s="72"/>
      <c r="J49" t="s">
        <v>0</v>
      </c>
      <c r="K49" t="s">
        <v>0</v>
      </c>
      <c r="L49" t="s">
        <v>0</v>
      </c>
      <c r="M49" t="s">
        <v>0</v>
      </c>
      <c r="N49" t="s">
        <v>0</v>
      </c>
      <c r="O49" t="s">
        <v>0</v>
      </c>
      <c r="P49" t="s">
        <v>0</v>
      </c>
      <c r="Q49" t="s">
        <v>0</v>
      </c>
      <c r="R49" t="s">
        <v>0</v>
      </c>
      <c r="S49" t="s">
        <v>0</v>
      </c>
      <c r="T49" t="s">
        <v>0</v>
      </c>
    </row>
    <row r="50" ht="15.75" customHeight="1" spans="1:20" x14ac:dyDescent="0.25">
      <c r="A50" s="213" t="s">
        <v>0</v>
      </c>
      <c r="B50" s="478" t="s">
        <v>0</v>
      </c>
      <c r="C50" s="276" t="s">
        <v>0</v>
      </c>
      <c r="D50" s="376"/>
      <c r="E50" s="377"/>
      <c r="F50" s="163"/>
      <c r="G50" s="173"/>
      <c r="H50" s="371"/>
      <c r="I50" s="372"/>
      <c r="J50" t="s">
        <v>0</v>
      </c>
      <c r="K50" t="s">
        <v>0</v>
      </c>
      <c r="L50" t="s">
        <v>0</v>
      </c>
      <c r="M50" t="s">
        <v>0</v>
      </c>
      <c r="N50" t="s">
        <v>0</v>
      </c>
      <c r="O50" t="s">
        <v>0</v>
      </c>
      <c r="P50" t="s">
        <v>0</v>
      </c>
      <c r="Q50" t="s">
        <v>0</v>
      </c>
      <c r="R50" t="s">
        <v>0</v>
      </c>
      <c r="S50" t="s">
        <v>0</v>
      </c>
      <c r="T50" t="s">
        <v>0</v>
      </c>
    </row>
    <row r="51" ht="15.75" customHeight="1" spans="1:20" x14ac:dyDescent="0.25">
      <c r="A51" s="93" t="s">
        <v>0</v>
      </c>
      <c r="B51" s="570"/>
      <c r="C51" s="486"/>
      <c r="D51" s="486"/>
      <c r="E51" s="487"/>
      <c r="F51" s="97" t="s">
        <v>96</v>
      </c>
      <c r="G51" s="98"/>
      <c r="H51" s="99">
        <f>SUM(H31:I34)</f>
        <v>32850</v>
      </c>
      <c r="I51" s="100"/>
      <c r="J51" t="s">
        <v>0</v>
      </c>
      <c r="K51" t="s">
        <v>0</v>
      </c>
      <c r="L51" t="s">
        <v>0</v>
      </c>
      <c r="M51" t="s">
        <v>0</v>
      </c>
      <c r="N51" t="s">
        <v>0</v>
      </c>
      <c r="O51" t="s">
        <v>0</v>
      </c>
      <c r="P51" t="s">
        <v>0</v>
      </c>
      <c r="Q51" t="s">
        <v>0</v>
      </c>
      <c r="R51" t="s">
        <v>0</v>
      </c>
      <c r="S51" t="s">
        <v>0</v>
      </c>
      <c r="T51" t="s">
        <v>0</v>
      </c>
    </row>
  </sheetData>
  <mergeCells count="117">
    <mergeCell ref="B13:E13"/>
    <mergeCell ref="F13:G13"/>
    <mergeCell ref="H13:I13"/>
    <mergeCell ref="B14:E14"/>
    <mergeCell ref="F14:G14"/>
    <mergeCell ref="H14:I14"/>
    <mergeCell ref="B15:E15"/>
    <mergeCell ref="F15:G15"/>
    <mergeCell ref="H15:I15"/>
    <mergeCell ref="B16:E16"/>
    <mergeCell ref="F16:G16"/>
    <mergeCell ref="H16:I16"/>
    <mergeCell ref="B17:E17"/>
    <mergeCell ref="F17:G17"/>
    <mergeCell ref="H17:I17"/>
    <mergeCell ref="D18:E18"/>
    <mergeCell ref="F18:G18"/>
    <mergeCell ref="H18:I18"/>
    <mergeCell ref="D19:E19"/>
    <mergeCell ref="F19:G19"/>
    <mergeCell ref="H19:I19"/>
    <mergeCell ref="D20:E20"/>
    <mergeCell ref="F20:G20"/>
    <mergeCell ref="H20:I20"/>
    <mergeCell ref="D21:E21"/>
    <mergeCell ref="F21:G21"/>
    <mergeCell ref="H21:I21"/>
    <mergeCell ref="D22:E22"/>
    <mergeCell ref="F22:G22"/>
    <mergeCell ref="H22:I22"/>
    <mergeCell ref="D23:E23"/>
    <mergeCell ref="F23:G23"/>
    <mergeCell ref="H23:I23"/>
    <mergeCell ref="D24:E24"/>
    <mergeCell ref="F24:G24"/>
    <mergeCell ref="H24:I24"/>
    <mergeCell ref="D25:E25"/>
    <mergeCell ref="F25:G25"/>
    <mergeCell ref="H25:I25"/>
    <mergeCell ref="B26:E26"/>
    <mergeCell ref="F26:G26"/>
    <mergeCell ref="H26:I26"/>
    <mergeCell ref="C27:E27"/>
    <mergeCell ref="F27:G27"/>
    <mergeCell ref="H27:I27"/>
    <mergeCell ref="C28:E28"/>
    <mergeCell ref="F28:G28"/>
    <mergeCell ref="H28:I28"/>
    <mergeCell ref="C29:E29"/>
    <mergeCell ref="F29:G29"/>
    <mergeCell ref="H29:I29"/>
    <mergeCell ref="B30:E30"/>
    <mergeCell ref="F30:G30"/>
    <mergeCell ref="H30:I30"/>
    <mergeCell ref="B31:E31"/>
    <mergeCell ref="F31:G31"/>
    <mergeCell ref="H31:I31"/>
    <mergeCell ref="B32:E32"/>
    <mergeCell ref="F32:G32"/>
    <mergeCell ref="H32:I32"/>
    <mergeCell ref="B33:E33"/>
    <mergeCell ref="F33:G33"/>
    <mergeCell ref="H33:I33"/>
    <mergeCell ref="B34:E34"/>
    <mergeCell ref="F34:G34"/>
    <mergeCell ref="H34:I34"/>
    <mergeCell ref="D35:E35"/>
    <mergeCell ref="F35:G35"/>
    <mergeCell ref="H35:I35"/>
    <mergeCell ref="D36:E36"/>
    <mergeCell ref="F36:G36"/>
    <mergeCell ref="H36:I36"/>
    <mergeCell ref="D37:E37"/>
    <mergeCell ref="F37:G37"/>
    <mergeCell ref="H37:I37"/>
    <mergeCell ref="D38:E38"/>
    <mergeCell ref="F38:G38"/>
    <mergeCell ref="H38:I38"/>
    <mergeCell ref="D39:E39"/>
    <mergeCell ref="F39:G39"/>
    <mergeCell ref="H39:I39"/>
    <mergeCell ref="D40:E40"/>
    <mergeCell ref="F40:G40"/>
    <mergeCell ref="H40:I40"/>
    <mergeCell ref="D41:E41"/>
    <mergeCell ref="F41:G41"/>
    <mergeCell ref="H41:I41"/>
    <mergeCell ref="D42:E42"/>
    <mergeCell ref="F42:G42"/>
    <mergeCell ref="H42:I42"/>
    <mergeCell ref="D43:E43"/>
    <mergeCell ref="F43:G43"/>
    <mergeCell ref="H43:I43"/>
    <mergeCell ref="D44:E44"/>
    <mergeCell ref="F44:G44"/>
    <mergeCell ref="H44:I44"/>
    <mergeCell ref="D45:E45"/>
    <mergeCell ref="F45:G45"/>
    <mergeCell ref="H45:I45"/>
    <mergeCell ref="D46:E46"/>
    <mergeCell ref="F46:G46"/>
    <mergeCell ref="H46:I46"/>
    <mergeCell ref="D47:E47"/>
    <mergeCell ref="F47:G47"/>
    <mergeCell ref="H47:I47"/>
    <mergeCell ref="D48:E48"/>
    <mergeCell ref="F48:G48"/>
    <mergeCell ref="H48:I48"/>
    <mergeCell ref="D49:E49"/>
    <mergeCell ref="F49:G49"/>
    <mergeCell ref="H49:I49"/>
    <mergeCell ref="D50:E50"/>
    <mergeCell ref="F50:G50"/>
    <mergeCell ref="H50:I50"/>
    <mergeCell ref="B51:E51"/>
    <mergeCell ref="F51:G51"/>
    <mergeCell ref="H51:I5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zoomScale="100" zoomScaleNormal="100">
      <selection activeCell="Q9" sqref="Q9"/>
    </sheetView>
  </sheetViews>
  <sheetFormatPr defaultRowHeight="15" outlineLevelRow="0" outlineLevelCol="0" x14ac:dyDescent="0.25"/>
  <cols>
    <col min="1" max="1" width="36.140625" customWidth="1"/>
    <col min="2" max="2" width="14.42578125" hidden="1" customWidth="1"/>
    <col min="3" max="3" width="16.28515625" customWidth="1"/>
    <col min="4" max="4" width="14.5703125" customWidth="1"/>
    <col min="5" max="5" width="18" customWidth="1"/>
    <col min="6" max="6" width="13.5703125" customWidth="1"/>
    <col min="7" max="7" width="12.140625" customWidth="1"/>
    <col min="8" max="8" width="13.28515625" customWidth="1"/>
    <col min="9" max="9" width="14.7109375" customWidth="1"/>
    <col min="10" max="10" width="11.28515625" customWidth="1"/>
    <col min="11" max="12" width="10.28515625" customWidth="1"/>
    <col min="13" max="13" width="13" customWidth="1"/>
    <col min="14" max="14" width="11.28515625" customWidth="1"/>
    <col min="15" max="15" width="10.5703125" customWidth="1"/>
    <col min="16" max="16" width="11.5703125" customWidth="1"/>
    <col min="17" max="17" width="10.42578125" customWidth="1"/>
    <col min="18" max="18" width="11.140625" customWidth="1"/>
    <col min="19" max="19" width="13.85546875" customWidth="1"/>
  </cols>
  <sheetData>
    <row r="1" ht="72.75" customHeight="1" spans="1:19" x14ac:dyDescent="0.25">
      <c r="A1" s="1" t="s">
        <v>0</v>
      </c>
      <c r="B1" s="2" t="s">
        <v>255</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576" t="s">
        <v>16</v>
      </c>
      <c r="R1" s="577" t="s">
        <v>0</v>
      </c>
      <c r="S1" s="578" t="s">
        <v>17</v>
      </c>
    </row>
    <row r="2" ht="16.5" customHeight="1" spans="1:19" x14ac:dyDescent="0.25">
      <c r="A2" s="12" t="s">
        <v>2012</v>
      </c>
      <c r="B2" s="13" t="s">
        <v>0</v>
      </c>
      <c r="C2" s="186"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579" t="s">
        <v>0</v>
      </c>
      <c r="S2" s="16" t="s">
        <v>0</v>
      </c>
    </row>
    <row r="3" ht="15.75" customHeight="1" spans="1:19" x14ac:dyDescent="0.25">
      <c r="A3" s="19" t="s">
        <v>114</v>
      </c>
      <c r="B3" s="27" t="s">
        <v>0</v>
      </c>
      <c r="C3" s="188" t="s">
        <v>150</v>
      </c>
      <c r="D3" s="22" t="s">
        <v>2013</v>
      </c>
      <c r="E3" s="23" t="s">
        <v>2014</v>
      </c>
      <c r="F3" s="28" t="s">
        <v>0</v>
      </c>
      <c r="G3" s="28" t="s">
        <v>2015</v>
      </c>
      <c r="H3" s="28" t="s">
        <v>0</v>
      </c>
      <c r="I3" s="28" t="s">
        <v>0</v>
      </c>
      <c r="J3" s="28" t="s">
        <v>0</v>
      </c>
      <c r="K3" s="28" t="s">
        <v>0</v>
      </c>
      <c r="L3" s="28" t="s">
        <v>0</v>
      </c>
      <c r="M3" s="28" t="s">
        <v>0</v>
      </c>
      <c r="N3" s="28" t="s">
        <v>0</v>
      </c>
      <c r="O3" s="28" t="s">
        <v>1297</v>
      </c>
      <c r="P3" s="28">
        <v>800</v>
      </c>
      <c r="Q3" s="28" t="s">
        <v>0</v>
      </c>
      <c r="R3" s="580" t="s">
        <v>0</v>
      </c>
      <c r="S3" s="28" t="s">
        <v>2013</v>
      </c>
    </row>
    <row r="4" ht="15.75" customHeight="1" spans="1:19" x14ac:dyDescent="0.25">
      <c r="A4" s="19" t="s">
        <v>123</v>
      </c>
      <c r="B4" s="27" t="s">
        <v>0</v>
      </c>
      <c r="C4" s="188" t="s">
        <v>279</v>
      </c>
      <c r="D4" s="22" t="s">
        <v>118</v>
      </c>
      <c r="E4" s="23" t="s">
        <v>2016</v>
      </c>
      <c r="F4" s="28" t="s">
        <v>0</v>
      </c>
      <c r="G4" s="28" t="s">
        <v>0</v>
      </c>
      <c r="H4" s="28" t="s">
        <v>0</v>
      </c>
      <c r="I4" s="28" t="s">
        <v>0</v>
      </c>
      <c r="J4" s="28" t="s">
        <v>0</v>
      </c>
      <c r="K4" s="28" t="s">
        <v>0</v>
      </c>
      <c r="L4" s="28" t="s">
        <v>0</v>
      </c>
      <c r="M4" s="28" t="s">
        <v>0</v>
      </c>
      <c r="N4" s="28" t="s">
        <v>0</v>
      </c>
      <c r="O4" s="28" t="s">
        <v>118</v>
      </c>
      <c r="P4" s="28" t="s">
        <v>0</v>
      </c>
      <c r="Q4" s="28" t="s">
        <v>0</v>
      </c>
      <c r="R4" s="580" t="s">
        <v>0</v>
      </c>
      <c r="S4" s="28" t="s">
        <v>118</v>
      </c>
    </row>
    <row r="5" ht="15.75" customHeight="1" spans="1:19" x14ac:dyDescent="0.25">
      <c r="A5" s="19" t="s">
        <v>493</v>
      </c>
      <c r="B5" s="27" t="s">
        <v>0</v>
      </c>
      <c r="C5" s="188" t="s">
        <v>2017</v>
      </c>
      <c r="D5" s="22" t="s">
        <v>0</v>
      </c>
      <c r="E5" s="23" t="s">
        <v>2017</v>
      </c>
      <c r="F5" s="28" t="s">
        <v>0</v>
      </c>
      <c r="G5" s="28" t="s">
        <v>0</v>
      </c>
      <c r="H5" s="28" t="s">
        <v>0</v>
      </c>
      <c r="I5" s="28" t="s">
        <v>0</v>
      </c>
      <c r="J5" s="28" t="s">
        <v>0</v>
      </c>
      <c r="K5" s="28" t="s">
        <v>0</v>
      </c>
      <c r="L5" s="28" t="s">
        <v>0</v>
      </c>
      <c r="M5" s="28" t="s">
        <v>0</v>
      </c>
      <c r="N5" s="28" t="s">
        <v>0</v>
      </c>
      <c r="O5" s="28" t="s">
        <v>0</v>
      </c>
      <c r="P5" s="28" t="s">
        <v>0</v>
      </c>
      <c r="Q5" s="28" t="s">
        <v>0</v>
      </c>
      <c r="R5" s="581" t="s">
        <v>0</v>
      </c>
      <c r="S5" s="28" t="s">
        <v>0</v>
      </c>
    </row>
    <row r="6" ht="15.75" customHeight="1" spans="1:19" x14ac:dyDescent="0.25">
      <c r="A6" s="19" t="s">
        <v>2018</v>
      </c>
      <c r="B6" s="27" t="s">
        <v>0</v>
      </c>
      <c r="C6" s="188" t="s">
        <v>2019</v>
      </c>
      <c r="D6" s="22" t="s">
        <v>2020</v>
      </c>
      <c r="E6" s="23" t="s">
        <v>2021</v>
      </c>
      <c r="F6" s="28">
        <v>675</v>
      </c>
      <c r="G6" s="28">
        <v>830</v>
      </c>
      <c r="H6" s="28" t="s">
        <v>0</v>
      </c>
      <c r="I6" s="28" t="s">
        <v>0</v>
      </c>
      <c r="J6" s="28">
        <v>985</v>
      </c>
      <c r="K6" s="28" t="s">
        <v>0</v>
      </c>
      <c r="L6" s="28" t="s">
        <v>0</v>
      </c>
      <c r="M6" s="28" t="s">
        <v>0</v>
      </c>
      <c r="N6" s="28" t="s">
        <v>0</v>
      </c>
      <c r="O6" s="28" t="s">
        <v>0</v>
      </c>
      <c r="P6" s="28" t="s">
        <v>0</v>
      </c>
      <c r="Q6" s="28" t="s">
        <v>0</v>
      </c>
      <c r="R6" s="580" t="s">
        <v>0</v>
      </c>
      <c r="S6" s="28" t="s">
        <v>2020</v>
      </c>
    </row>
    <row r="7" ht="15.75" customHeight="1" spans="1:19" x14ac:dyDescent="0.25">
      <c r="A7" s="26" t="s">
        <v>2022</v>
      </c>
      <c r="B7" s="27" t="s">
        <v>0</v>
      </c>
      <c r="C7" s="188" t="s">
        <v>668</v>
      </c>
      <c r="D7" s="22" t="s">
        <v>0</v>
      </c>
      <c r="E7" s="23" t="s">
        <v>668</v>
      </c>
      <c r="F7" s="28" t="s">
        <v>0</v>
      </c>
      <c r="G7" s="28" t="s">
        <v>0</v>
      </c>
      <c r="H7" s="28" t="s">
        <v>0</v>
      </c>
      <c r="I7" s="28" t="s">
        <v>0</v>
      </c>
      <c r="J7" s="28" t="s">
        <v>0</v>
      </c>
      <c r="K7" s="28" t="s">
        <v>0</v>
      </c>
      <c r="L7" s="28" t="s">
        <v>0</v>
      </c>
      <c r="M7" s="28" t="s">
        <v>0</v>
      </c>
      <c r="N7" s="28" t="s">
        <v>0</v>
      </c>
      <c r="O7" s="28" t="s">
        <v>0</v>
      </c>
      <c r="P7" s="28" t="s">
        <v>0</v>
      </c>
      <c r="Q7" s="28" t="s">
        <v>0</v>
      </c>
      <c r="R7" s="580" t="s">
        <v>0</v>
      </c>
      <c r="S7" s="28" t="s">
        <v>0</v>
      </c>
    </row>
    <row r="8" ht="15.75" customHeight="1" spans="1:19" x14ac:dyDescent="0.25">
      <c r="A8" s="26" t="s">
        <v>45</v>
      </c>
      <c r="B8" s="30" t="s">
        <v>0</v>
      </c>
      <c r="C8" s="188" t="s">
        <v>1088</v>
      </c>
      <c r="D8" s="22" t="s">
        <v>2023</v>
      </c>
      <c r="E8" s="23" t="s">
        <v>2024</v>
      </c>
      <c r="F8" s="191" t="s">
        <v>2025</v>
      </c>
      <c r="G8" s="191" t="s">
        <v>2026</v>
      </c>
      <c r="H8" s="191" t="s">
        <v>2027</v>
      </c>
      <c r="I8" s="191" t="s">
        <v>2028</v>
      </c>
      <c r="J8" s="191" t="s">
        <v>2029</v>
      </c>
      <c r="K8" s="191" t="s">
        <v>2030</v>
      </c>
      <c r="L8" s="191" t="s">
        <v>2031</v>
      </c>
      <c r="M8" s="191" t="s">
        <v>2032</v>
      </c>
      <c r="N8" s="191" t="s">
        <v>2033</v>
      </c>
      <c r="O8" s="191" t="s">
        <v>2034</v>
      </c>
      <c r="P8" s="191" t="s">
        <v>2035</v>
      </c>
      <c r="Q8" s="191" t="s">
        <v>2036</v>
      </c>
      <c r="R8" s="581" t="s">
        <v>0</v>
      </c>
      <c r="S8" s="28" t="s">
        <v>2023</v>
      </c>
    </row>
    <row r="9" ht="15.75" customHeight="1" spans="1:19" x14ac:dyDescent="0.25">
      <c r="A9" s="26" t="s">
        <v>208</v>
      </c>
      <c r="B9" s="30" t="s">
        <v>0</v>
      </c>
      <c r="C9" s="188" t="s">
        <v>0</v>
      </c>
      <c r="D9" s="22">
        <v>816</v>
      </c>
      <c r="E9" s="23">
        <v>-816</v>
      </c>
      <c r="F9" s="191" t="s">
        <v>0</v>
      </c>
      <c r="G9" s="191" t="s">
        <v>0</v>
      </c>
      <c r="H9" s="191" t="s">
        <v>0</v>
      </c>
      <c r="I9" s="191" t="s">
        <v>0</v>
      </c>
      <c r="J9" s="191">
        <v>816</v>
      </c>
      <c r="K9" s="191" t="s">
        <v>0</v>
      </c>
      <c r="L9" s="191" t="s">
        <v>0</v>
      </c>
      <c r="M9" s="191" t="s">
        <v>0</v>
      </c>
      <c r="N9" s="191" t="s">
        <v>0</v>
      </c>
      <c r="O9" s="191" t="s">
        <v>0</v>
      </c>
      <c r="P9" s="191" t="s">
        <v>0</v>
      </c>
      <c r="Q9" s="191" t="s">
        <v>0</v>
      </c>
      <c r="R9" s="581" t="s">
        <v>0</v>
      </c>
      <c r="S9" s="28">
        <v>816</v>
      </c>
    </row>
    <row r="10" ht="15.75" customHeight="1" spans="1:19" x14ac:dyDescent="0.25">
      <c r="A10" s="26" t="s">
        <v>43</v>
      </c>
      <c r="B10" s="30" t="s">
        <v>0</v>
      </c>
      <c r="C10" s="188" t="s">
        <v>0</v>
      </c>
      <c r="D10" s="22" t="s">
        <v>2037</v>
      </c>
      <c r="E10" s="23" t="s">
        <v>2038</v>
      </c>
      <c r="F10" s="191" t="s">
        <v>0</v>
      </c>
      <c r="G10" s="191" t="s">
        <v>0</v>
      </c>
      <c r="H10" s="191" t="s">
        <v>2039</v>
      </c>
      <c r="I10" s="191" t="s">
        <v>0</v>
      </c>
      <c r="J10" s="191" t="s">
        <v>2040</v>
      </c>
      <c r="K10" s="191" t="s">
        <v>0</v>
      </c>
      <c r="L10" s="191" t="s">
        <v>0</v>
      </c>
      <c r="M10" s="191">
        <v>289</v>
      </c>
      <c r="N10" s="191" t="s">
        <v>0</v>
      </c>
      <c r="O10" s="191" t="s">
        <v>0</v>
      </c>
      <c r="P10" s="191" t="s">
        <v>0</v>
      </c>
      <c r="Q10" s="191" t="s">
        <v>0</v>
      </c>
      <c r="R10" s="581" t="s">
        <v>0</v>
      </c>
      <c r="S10" s="28" t="s">
        <v>2037</v>
      </c>
    </row>
    <row r="11" ht="15.75" customHeight="1" spans="1:19" x14ac:dyDescent="0.25">
      <c r="A11" s="26" t="s">
        <v>33</v>
      </c>
      <c r="B11" s="30" t="s">
        <v>0</v>
      </c>
      <c r="C11" s="188" t="s">
        <v>279</v>
      </c>
      <c r="D11" s="22">
        <v>450</v>
      </c>
      <c r="E11" s="23" t="s">
        <v>2041</v>
      </c>
      <c r="F11" s="191" t="s">
        <v>0</v>
      </c>
      <c r="G11" s="191" t="s">
        <v>0</v>
      </c>
      <c r="H11" s="191" t="s">
        <v>0</v>
      </c>
      <c r="I11" s="191" t="s">
        <v>0</v>
      </c>
      <c r="J11" s="191" t="s">
        <v>0</v>
      </c>
      <c r="K11" s="191" t="s">
        <v>0</v>
      </c>
      <c r="L11" s="191" t="s">
        <v>0</v>
      </c>
      <c r="M11" s="191">
        <v>450</v>
      </c>
      <c r="N11" s="191" t="s">
        <v>0</v>
      </c>
      <c r="O11" s="191" t="s">
        <v>0</v>
      </c>
      <c r="P11" s="191" t="s">
        <v>0</v>
      </c>
      <c r="Q11" s="191" t="s">
        <v>0</v>
      </c>
      <c r="R11" s="581" t="s">
        <v>0</v>
      </c>
      <c r="S11" s="28">
        <v>450</v>
      </c>
    </row>
    <row r="12" ht="15.75" customHeight="1" spans="1:19" x14ac:dyDescent="0.25">
      <c r="A12" s="26" t="s">
        <v>129</v>
      </c>
      <c r="B12" s="30" t="s">
        <v>0</v>
      </c>
      <c r="C12" s="190" t="s">
        <v>0</v>
      </c>
      <c r="D12" s="22" t="s">
        <v>2042</v>
      </c>
      <c r="E12" s="23" t="s">
        <v>2043</v>
      </c>
      <c r="F12" s="191" t="s">
        <v>0</v>
      </c>
      <c r="G12" s="191" t="s">
        <v>0</v>
      </c>
      <c r="H12" s="191" t="s">
        <v>0</v>
      </c>
      <c r="I12" s="191" t="s">
        <v>0</v>
      </c>
      <c r="J12" s="191" t="s">
        <v>2042</v>
      </c>
      <c r="K12" s="191" t="s">
        <v>0</v>
      </c>
      <c r="L12" s="191" t="s">
        <v>0</v>
      </c>
      <c r="M12" s="191" t="s">
        <v>0</v>
      </c>
      <c r="N12" s="191" t="s">
        <v>0</v>
      </c>
      <c r="O12" s="191" t="s">
        <v>0</v>
      </c>
      <c r="P12" s="191" t="s">
        <v>0</v>
      </c>
      <c r="Q12" s="191" t="s">
        <v>0</v>
      </c>
      <c r="R12" s="582" t="s">
        <v>0</v>
      </c>
      <c r="S12" s="28" t="s">
        <v>2042</v>
      </c>
    </row>
    <row r="13" ht="16.5" customHeight="1" spans="1:19" x14ac:dyDescent="0.25">
      <c r="A13" s="34" t="s">
        <v>0</v>
      </c>
      <c r="B13" s="37" t="s">
        <v>0</v>
      </c>
      <c r="C13" s="37" t="s">
        <v>2044</v>
      </c>
      <c r="D13" s="37" t="s">
        <v>2045</v>
      </c>
      <c r="E13" s="37" t="s">
        <v>2046</v>
      </c>
      <c r="F13" s="37" t="s">
        <v>2047</v>
      </c>
      <c r="G13" s="37" t="s">
        <v>2048</v>
      </c>
      <c r="H13" s="37" t="s">
        <v>2049</v>
      </c>
      <c r="I13" s="37" t="s">
        <v>2028</v>
      </c>
      <c r="J13" s="37" t="s">
        <v>2050</v>
      </c>
      <c r="K13" s="37" t="s">
        <v>2030</v>
      </c>
      <c r="L13" s="37" t="s">
        <v>2031</v>
      </c>
      <c r="M13" s="37" t="s">
        <v>2051</v>
      </c>
      <c r="N13" s="37" t="s">
        <v>2033</v>
      </c>
      <c r="O13" s="37" t="s">
        <v>2052</v>
      </c>
      <c r="P13" s="37" t="s">
        <v>2053</v>
      </c>
      <c r="Q13" s="37" t="s">
        <v>2036</v>
      </c>
      <c r="R13" s="37" t="s">
        <v>73</v>
      </c>
      <c r="S13" s="117" t="s">
        <v>2045</v>
      </c>
    </row>
    <row r="14" spans="1:19" x14ac:dyDescent="0.25">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row>
    <row r="15" spans="1:19" x14ac:dyDescent="0.25">
      <c r="A15"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row>
    <row r="16" spans="1:19" x14ac:dyDescent="0.25">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row>
    <row r="17" ht="15.75" customHeight="1" spans="1:19" x14ac:dyDescent="0.25">
      <c r="A17" t="s">
        <v>0</v>
      </c>
      <c r="B17" t="s">
        <v>0</v>
      </c>
      <c r="C17" t="s">
        <v>0</v>
      </c>
      <c r="D17" t="s">
        <v>0</v>
      </c>
      <c r="E17" t="s">
        <v>0</v>
      </c>
      <c r="F17" t="s">
        <v>0</v>
      </c>
      <c r="G17" t="s">
        <v>0</v>
      </c>
      <c r="H17" t="s">
        <v>0</v>
      </c>
      <c r="I17" t="s">
        <v>0</v>
      </c>
      <c r="J17" t="s">
        <v>0</v>
      </c>
      <c r="K17" t="s">
        <v>0</v>
      </c>
      <c r="L17" t="s">
        <v>0</v>
      </c>
      <c r="M17" t="s">
        <v>0</v>
      </c>
      <c r="N17" t="s">
        <v>0</v>
      </c>
      <c r="O17" t="s">
        <v>0</v>
      </c>
      <c r="P17" t="s">
        <v>0</v>
      </c>
      <c r="Q17" t="s">
        <v>0</v>
      </c>
      <c r="R17" t="s">
        <v>0</v>
      </c>
      <c r="S17" t="s">
        <v>0</v>
      </c>
    </row>
    <row r="18" ht="16.5" customHeight="1" spans="1:19" x14ac:dyDescent="0.25">
      <c r="A18" s="40" t="s">
        <v>200</v>
      </c>
      <c r="B18" s="41" t="s">
        <v>1967</v>
      </c>
      <c r="C18" s="42"/>
      <c r="D18" s="42"/>
      <c r="E18" s="43"/>
      <c r="F18" s="41" t="s">
        <v>76</v>
      </c>
      <c r="G18" s="43"/>
      <c r="H18" s="44" t="s">
        <v>77</v>
      </c>
      <c r="I18" s="45"/>
      <c r="J18" t="s">
        <v>0</v>
      </c>
      <c r="K18" t="s">
        <v>0</v>
      </c>
      <c r="L18" t="s">
        <v>0</v>
      </c>
      <c r="M18" t="s">
        <v>0</v>
      </c>
      <c r="N18" t="s">
        <v>0</v>
      </c>
      <c r="O18" t="s">
        <v>0</v>
      </c>
      <c r="P18" t="s">
        <v>0</v>
      </c>
      <c r="Q18" t="s">
        <v>0</v>
      </c>
      <c r="R18" t="s">
        <v>0</v>
      </c>
      <c r="S18" t="s">
        <v>0</v>
      </c>
    </row>
    <row r="19" ht="36" customHeight="1" spans="1:19" x14ac:dyDescent="0.25">
      <c r="A19" s="46" t="s">
        <v>129</v>
      </c>
      <c r="B19" s="127" t="s">
        <v>2054</v>
      </c>
      <c r="C19" s="128"/>
      <c r="D19" s="128"/>
      <c r="E19" s="129"/>
      <c r="F19" s="50" t="s">
        <v>2055</v>
      </c>
      <c r="G19" s="51"/>
      <c r="H19" s="52">
        <v>589972.4</v>
      </c>
      <c r="I19" s="53"/>
      <c r="J19" t="s">
        <v>0</v>
      </c>
      <c r="K19" t="s">
        <v>0</v>
      </c>
      <c r="L19" t="s">
        <v>0</v>
      </c>
      <c r="M19" t="s">
        <v>0</v>
      </c>
      <c r="N19" t="s">
        <v>0</v>
      </c>
      <c r="O19" t="s">
        <v>0</v>
      </c>
      <c r="P19" t="s">
        <v>0</v>
      </c>
      <c r="Q19" t="s">
        <v>0</v>
      </c>
      <c r="R19" t="s">
        <v>0</v>
      </c>
      <c r="S19" t="s">
        <v>0</v>
      </c>
    </row>
    <row r="20" ht="18.75" customHeight="1" spans="1:19" x14ac:dyDescent="0.25">
      <c r="A20" s="54" t="s">
        <v>0</v>
      </c>
      <c r="B20" s="169"/>
      <c r="C20" s="170"/>
      <c r="D20" s="170"/>
      <c r="E20" s="171"/>
      <c r="F20" s="216"/>
      <c r="G20" s="255"/>
      <c r="H20" s="356"/>
      <c r="I20" s="358"/>
      <c r="J20" t="s">
        <v>0</v>
      </c>
      <c r="K20" t="s">
        <v>0</v>
      </c>
      <c r="L20" t="s">
        <v>0</v>
      </c>
      <c r="M20" t="s">
        <v>0</v>
      </c>
      <c r="N20" t="s">
        <v>0</v>
      </c>
      <c r="O20" t="s">
        <v>0</v>
      </c>
      <c r="P20" t="s">
        <v>0</v>
      </c>
      <c r="Q20" t="s">
        <v>0</v>
      </c>
      <c r="R20" t="s">
        <v>0</v>
      </c>
      <c r="S20" t="s">
        <v>0</v>
      </c>
    </row>
    <row r="21" spans="1:19" x14ac:dyDescent="0.25">
      <c r="A21" s="60" t="s">
        <v>0</v>
      </c>
      <c r="B21" s="137"/>
      <c r="C21" s="138"/>
      <c r="D21" s="138"/>
      <c r="E21" s="139"/>
      <c r="F21" s="64"/>
      <c r="G21" s="65"/>
      <c r="H21" s="66"/>
      <c r="I21" s="67"/>
      <c r="J21" t="s">
        <v>0</v>
      </c>
      <c r="K21" t="s">
        <v>0</v>
      </c>
      <c r="L21" t="s">
        <v>0</v>
      </c>
      <c r="M21" t="s">
        <v>0</v>
      </c>
      <c r="N21" t="s">
        <v>0</v>
      </c>
      <c r="O21" t="s">
        <v>0</v>
      </c>
      <c r="P21" t="s">
        <v>0</v>
      </c>
      <c r="Q21" t="s">
        <v>0</v>
      </c>
      <c r="R21" t="s">
        <v>0</v>
      </c>
      <c r="S21" t="s">
        <v>0</v>
      </c>
    </row>
    <row r="22" ht="15.75" customHeight="1" spans="1:19" x14ac:dyDescent="0.25">
      <c r="A22" s="60" t="s">
        <v>0</v>
      </c>
      <c r="B22" s="158"/>
      <c r="C22" s="197"/>
      <c r="D22" s="197"/>
      <c r="E22" s="159"/>
      <c r="F22" s="158"/>
      <c r="G22" s="159"/>
      <c r="H22" s="158"/>
      <c r="I22" s="159"/>
      <c r="J22" t="s">
        <v>0</v>
      </c>
      <c r="K22" t="s">
        <v>0</v>
      </c>
      <c r="L22" t="s">
        <v>0</v>
      </c>
      <c r="M22" t="s">
        <v>0</v>
      </c>
      <c r="N22" t="s">
        <v>0</v>
      </c>
      <c r="O22" t="s">
        <v>0</v>
      </c>
      <c r="P22" t="s">
        <v>0</v>
      </c>
      <c r="Q22" t="s">
        <v>0</v>
      </c>
      <c r="R22" t="s">
        <v>0</v>
      </c>
      <c r="S22" t="s">
        <v>0</v>
      </c>
    </row>
    <row r="23" ht="15.75" customHeight="1" spans="1:19" x14ac:dyDescent="0.25">
      <c r="A23" s="93" t="s">
        <v>0</v>
      </c>
      <c r="B23" s="94"/>
      <c r="C23" s="95"/>
      <c r="D23" s="95"/>
      <c r="E23" s="96"/>
      <c r="F23" s="97" t="s">
        <v>96</v>
      </c>
      <c r="G23" s="98"/>
      <c r="H23" s="99">
        <f>SUM(H19:I22)</f>
        <v>589972.4</v>
      </c>
      <c r="I23" s="100"/>
      <c r="J23" t="s">
        <v>0</v>
      </c>
      <c r="K23" t="s">
        <v>0</v>
      </c>
      <c r="L23" t="s">
        <v>0</v>
      </c>
      <c r="M23" t="s">
        <v>0</v>
      </c>
      <c r="N23" t="s">
        <v>0</v>
      </c>
      <c r="O23" t="s">
        <v>0</v>
      </c>
      <c r="P23" t="s">
        <v>0</v>
      </c>
      <c r="Q23" t="s">
        <v>0</v>
      </c>
      <c r="R23" t="s">
        <v>0</v>
      </c>
      <c r="S23" t="s">
        <v>0</v>
      </c>
    </row>
    <row r="24" spans="1:19" x14ac:dyDescent="0.25">
      <c r="A24" t="s">
        <v>0</v>
      </c>
      <c r="B24" t="s">
        <v>0</v>
      </c>
      <c r="C24" t="s">
        <v>0</v>
      </c>
      <c r="D24" t="s">
        <v>0</v>
      </c>
      <c r="E24" t="s">
        <v>0</v>
      </c>
      <c r="F24" t="s">
        <v>0</v>
      </c>
      <c r="G24" t="s">
        <v>0</v>
      </c>
      <c r="H24" t="s">
        <v>0</v>
      </c>
      <c r="I24" t="s">
        <v>0</v>
      </c>
      <c r="J24" t="s">
        <v>0</v>
      </c>
      <c r="K24" t="s">
        <v>0</v>
      </c>
      <c r="L24" t="s">
        <v>0</v>
      </c>
      <c r="M24" t="s">
        <v>0</v>
      </c>
      <c r="N24" t="s">
        <v>0</v>
      </c>
      <c r="O24" t="s">
        <v>0</v>
      </c>
      <c r="P24" t="s">
        <v>0</v>
      </c>
      <c r="Q24" t="s">
        <v>0</v>
      </c>
      <c r="R24" t="s">
        <v>0</v>
      </c>
      <c r="S24" t="s">
        <v>0</v>
      </c>
    </row>
    <row r="25" ht="15.75" customHeight="1" spans="1:19" x14ac:dyDescent="0.25">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row>
    <row r="26" ht="16.5" customHeight="1" spans="1:19" x14ac:dyDescent="0.25">
      <c r="A26" s="40" t="s">
        <v>1988</v>
      </c>
      <c r="B26" s="41" t="s">
        <v>437</v>
      </c>
      <c r="C26" s="42"/>
      <c r="D26" s="42"/>
      <c r="E26" s="43"/>
      <c r="F26" s="41" t="s">
        <v>76</v>
      </c>
      <c r="G26" s="43"/>
      <c r="H26" s="44" t="s">
        <v>77</v>
      </c>
      <c r="I26" s="45"/>
      <c r="J26" t="s">
        <v>0</v>
      </c>
      <c r="K26" t="s">
        <v>0</v>
      </c>
      <c r="L26" t="s">
        <v>0</v>
      </c>
      <c r="M26" t="s">
        <v>0</v>
      </c>
      <c r="N26" t="s">
        <v>0</v>
      </c>
      <c r="O26" t="s">
        <v>0</v>
      </c>
      <c r="P26" t="s">
        <v>0</v>
      </c>
      <c r="Q26" t="s">
        <v>0</v>
      </c>
      <c r="R26" t="s">
        <v>0</v>
      </c>
      <c r="S26" t="s">
        <v>0</v>
      </c>
    </row>
    <row r="27" ht="30" customHeight="1" spans="1:19" x14ac:dyDescent="0.25">
      <c r="A27" s="46" t="s">
        <v>1009</v>
      </c>
      <c r="B27" s="127" t="s">
        <v>2056</v>
      </c>
      <c r="C27" s="128"/>
      <c r="D27" s="128"/>
      <c r="E27" s="129"/>
      <c r="F27" s="50" t="s">
        <v>867</v>
      </c>
      <c r="G27" s="51"/>
      <c r="H27" s="52">
        <v>1150</v>
      </c>
      <c r="I27" s="53"/>
      <c r="J27" t="s">
        <v>0</v>
      </c>
      <c r="K27" t="s">
        <v>0</v>
      </c>
      <c r="L27" t="s">
        <v>0</v>
      </c>
      <c r="M27" t="s">
        <v>0</v>
      </c>
      <c r="N27" t="s">
        <v>0</v>
      </c>
      <c r="O27" t="s">
        <v>0</v>
      </c>
      <c r="P27" t="s">
        <v>0</v>
      </c>
      <c r="Q27" t="s">
        <v>0</v>
      </c>
      <c r="R27" t="s">
        <v>0</v>
      </c>
      <c r="S27" t="s">
        <v>0</v>
      </c>
    </row>
    <row r="28" ht="76.5" customHeight="1" spans="1:19" x14ac:dyDescent="0.25">
      <c r="A28" s="54" t="s">
        <v>2057</v>
      </c>
      <c r="B28" s="169" t="s">
        <v>2058</v>
      </c>
      <c r="C28" s="170"/>
      <c r="D28" s="170"/>
      <c r="E28" s="171"/>
      <c r="F28" s="216" t="s">
        <v>2059</v>
      </c>
      <c r="G28" s="255"/>
      <c r="H28" s="356">
        <v>8150</v>
      </c>
      <c r="I28" s="358"/>
      <c r="J28" t="s">
        <v>0</v>
      </c>
      <c r="K28" t="s">
        <v>0</v>
      </c>
      <c r="L28" t="s">
        <v>0</v>
      </c>
      <c r="M28" t="s">
        <v>0</v>
      </c>
      <c r="N28" t="s">
        <v>0</v>
      </c>
      <c r="O28" t="s">
        <v>0</v>
      </c>
      <c r="P28" t="s">
        <v>0</v>
      </c>
      <c r="Q28" t="s">
        <v>0</v>
      </c>
      <c r="R28" t="s">
        <v>0</v>
      </c>
      <c r="S28" t="s">
        <v>0</v>
      </c>
    </row>
    <row r="29" ht="75" customHeight="1" spans="1:19" x14ac:dyDescent="0.25">
      <c r="A29" s="60" t="s">
        <v>1009</v>
      </c>
      <c r="B29" s="169" t="s">
        <v>2058</v>
      </c>
      <c r="C29" s="170"/>
      <c r="D29" s="170"/>
      <c r="E29" s="171"/>
      <c r="F29" s="216" t="s">
        <v>2059</v>
      </c>
      <c r="G29" s="255"/>
      <c r="H29" s="356">
        <v>8150</v>
      </c>
      <c r="I29" s="358"/>
      <c r="J29" t="s">
        <v>0</v>
      </c>
      <c r="K29" t="s">
        <v>0</v>
      </c>
      <c r="L29" t="s">
        <v>0</v>
      </c>
      <c r="M29" t="s">
        <v>0</v>
      </c>
      <c r="N29" t="s">
        <v>0</v>
      </c>
      <c r="O29" t="s">
        <v>0</v>
      </c>
      <c r="P29" t="s">
        <v>0</v>
      </c>
      <c r="Q29" t="s">
        <v>0</v>
      </c>
      <c r="R29" t="s">
        <v>0</v>
      </c>
      <c r="S29" t="s">
        <v>0</v>
      </c>
    </row>
    <row r="30" spans="1:19" x14ac:dyDescent="0.25">
      <c r="A30" s="60" t="s">
        <v>0</v>
      </c>
      <c r="B30" s="137" t="s">
        <v>0</v>
      </c>
      <c r="C30" s="197"/>
      <c r="D30" s="197"/>
      <c r="E30" s="159"/>
      <c r="F30" s="470"/>
      <c r="G30" s="471"/>
      <c r="H30" s="472"/>
      <c r="I30" s="473"/>
      <c r="J30" t="s">
        <v>0</v>
      </c>
      <c r="K30" t="s">
        <v>0</v>
      </c>
      <c r="L30" t="s">
        <v>0</v>
      </c>
      <c r="M30" t="s">
        <v>0</v>
      </c>
      <c r="N30" t="s">
        <v>0</v>
      </c>
      <c r="O30" t="s">
        <v>0</v>
      </c>
      <c r="P30" t="s">
        <v>0</v>
      </c>
      <c r="Q30" t="s">
        <v>0</v>
      </c>
      <c r="R30" t="s">
        <v>0</v>
      </c>
      <c r="S30" t="s">
        <v>0</v>
      </c>
    </row>
    <row r="31" spans="1:19" x14ac:dyDescent="0.25">
      <c r="A31" s="60" t="s">
        <v>0</v>
      </c>
      <c r="B31" s="137" t="s">
        <v>0</v>
      </c>
      <c r="C31" s="197"/>
      <c r="D31" s="197"/>
      <c r="E31" s="159"/>
      <c r="F31" s="470"/>
      <c r="G31" s="471"/>
      <c r="H31" s="472"/>
      <c r="I31" s="473"/>
      <c r="J31" t="s">
        <v>0</v>
      </c>
      <c r="K31" t="s">
        <v>0</v>
      </c>
      <c r="L31" t="s">
        <v>0</v>
      </c>
      <c r="M31" t="s">
        <v>0</v>
      </c>
      <c r="N31" t="s">
        <v>0</v>
      </c>
      <c r="O31" t="s">
        <v>0</v>
      </c>
      <c r="P31" t="s">
        <v>0</v>
      </c>
      <c r="Q31" t="s">
        <v>0</v>
      </c>
      <c r="R31" t="s">
        <v>0</v>
      </c>
      <c r="S31" t="s">
        <v>0</v>
      </c>
    </row>
    <row r="32" ht="15.75" customHeight="1" spans="1:19" x14ac:dyDescent="0.25">
      <c r="A32" s="60" t="s">
        <v>0</v>
      </c>
      <c r="B32" s="158"/>
      <c r="C32" s="197"/>
      <c r="D32" s="197"/>
      <c r="E32" s="159"/>
      <c r="F32" s="158"/>
      <c r="G32" s="159"/>
      <c r="H32" s="158"/>
      <c r="I32" s="159"/>
      <c r="J32" t="s">
        <v>0</v>
      </c>
      <c r="K32" t="s">
        <v>0</v>
      </c>
      <c r="L32" t="s">
        <v>0</v>
      </c>
      <c r="M32" t="s">
        <v>0</v>
      </c>
      <c r="N32" t="s">
        <v>0</v>
      </c>
      <c r="O32" t="s">
        <v>0</v>
      </c>
      <c r="P32" t="s">
        <v>0</v>
      </c>
      <c r="Q32" t="s">
        <v>0</v>
      </c>
      <c r="R32" t="s">
        <v>0</v>
      </c>
      <c r="S32" t="s">
        <v>0</v>
      </c>
    </row>
    <row r="33" ht="15.75" customHeight="1" spans="1:19" x14ac:dyDescent="0.25">
      <c r="A33" s="93" t="s">
        <v>0</v>
      </c>
      <c r="B33" s="94"/>
      <c r="C33" s="95"/>
      <c r="D33" s="95"/>
      <c r="E33" s="96"/>
      <c r="F33" s="97" t="s">
        <v>96</v>
      </c>
      <c r="G33" s="98"/>
      <c r="H33" s="99">
        <f>SUM(H27:I32)</f>
        <v>17450</v>
      </c>
      <c r="I33" s="100"/>
      <c r="J33" t="s">
        <v>0</v>
      </c>
      <c r="K33" t="s">
        <v>0</v>
      </c>
      <c r="L33" t="s">
        <v>0</v>
      </c>
      <c r="M33" t="s">
        <v>0</v>
      </c>
      <c r="N33" t="s">
        <v>0</v>
      </c>
      <c r="O33" t="s">
        <v>0</v>
      </c>
      <c r="P33" t="s">
        <v>0</v>
      </c>
      <c r="Q33" t="s">
        <v>0</v>
      </c>
      <c r="R33" t="s">
        <v>0</v>
      </c>
      <c r="S33" t="s">
        <v>0</v>
      </c>
    </row>
  </sheetData>
  <mergeCells count="42">
    <mergeCell ref="B18:E18"/>
    <mergeCell ref="F18:G18"/>
    <mergeCell ref="H18:I18"/>
    <mergeCell ref="B19:E19"/>
    <mergeCell ref="F19:G19"/>
    <mergeCell ref="H19:I19"/>
    <mergeCell ref="B20:E20"/>
    <mergeCell ref="F20:G20"/>
    <mergeCell ref="H20:I20"/>
    <mergeCell ref="B21:E21"/>
    <mergeCell ref="F21:G21"/>
    <mergeCell ref="H21:I21"/>
    <mergeCell ref="B22:E22"/>
    <mergeCell ref="F22:G22"/>
    <mergeCell ref="H22:I22"/>
    <mergeCell ref="B23:E23"/>
    <mergeCell ref="F23:G23"/>
    <mergeCell ref="H23:I23"/>
    <mergeCell ref="B26:E26"/>
    <mergeCell ref="F26:G26"/>
    <mergeCell ref="H26:I26"/>
    <mergeCell ref="B27:E27"/>
    <mergeCell ref="F27:G27"/>
    <mergeCell ref="H27:I27"/>
    <mergeCell ref="B28:E28"/>
    <mergeCell ref="F28:G28"/>
    <mergeCell ref="H28:I28"/>
    <mergeCell ref="B29:E29"/>
    <mergeCell ref="F29:G29"/>
    <mergeCell ref="H29:I29"/>
    <mergeCell ref="C30:E30"/>
    <mergeCell ref="F30:G30"/>
    <mergeCell ref="H30:I30"/>
    <mergeCell ref="C31:E31"/>
    <mergeCell ref="F31:G31"/>
    <mergeCell ref="H31:I31"/>
    <mergeCell ref="B32:E32"/>
    <mergeCell ref="F32:G32"/>
    <mergeCell ref="H32:I32"/>
    <mergeCell ref="B33:E33"/>
    <mergeCell ref="F33:G33"/>
    <mergeCell ref="H33:I3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
  <sheetViews>
    <sheetView workbookViewId="0" zoomScale="100" zoomScaleNormal="100">
      <selection activeCell="O7" sqref="O7"/>
    </sheetView>
  </sheetViews>
  <sheetFormatPr defaultRowHeight="15" outlineLevelRow="0" outlineLevelCol="0" x14ac:dyDescent="0.25"/>
  <cols>
    <col min="1" max="1" width="39.7109375" customWidth="1"/>
    <col min="2" max="2" width="16.7109375" hidden="1" customWidth="1"/>
    <col min="3" max="3" width="19.42578125" customWidth="1"/>
    <col min="4" max="4" width="15.42578125" customWidth="1"/>
    <col min="5" max="5" width="15.5703125" customWidth="1"/>
    <col min="6" max="6" width="12.5703125" customWidth="1"/>
    <col min="7" max="7" width="10.28515625" customWidth="1"/>
    <col min="8" max="8" width="11.28515625" customWidth="1"/>
    <col min="9" max="9" width="10.28515625" customWidth="1"/>
    <col min="10" max="10" width="11.28515625" customWidth="1"/>
    <col min="11" max="11" width="12.42578125" customWidth="1"/>
    <col min="12" max="12" width="10.28515625" customWidth="1"/>
    <col min="13" max="13" width="9.28515625" customWidth="1"/>
    <col min="14" max="14" width="11.85546875" customWidth="1"/>
    <col min="15" max="15" width="12.5703125" customWidth="1"/>
    <col min="16" max="16" width="12.28515625" customWidth="1"/>
    <col min="17" max="18" width="12" customWidth="1"/>
    <col min="19" max="19" width="14" customWidth="1"/>
  </cols>
  <sheetData>
    <row r="1" ht="72.75" customHeight="1" spans="1:19" x14ac:dyDescent="0.25">
      <c r="A1" s="1" t="s">
        <v>0</v>
      </c>
      <c r="B1" s="2" t="s">
        <v>601</v>
      </c>
      <c r="C1" s="3" t="s">
        <v>263</v>
      </c>
      <c r="D1" s="4" t="s">
        <v>264</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2" t="s">
        <v>2060</v>
      </c>
      <c r="B2" s="13" t="s">
        <v>0</v>
      </c>
      <c r="C2" s="13" t="s">
        <v>0</v>
      </c>
      <c r="D2" s="14" t="s">
        <v>0</v>
      </c>
      <c r="E2" s="15" t="s">
        <v>0</v>
      </c>
      <c r="F2" s="105" t="s">
        <v>0</v>
      </c>
      <c r="G2" s="16" t="s">
        <v>0</v>
      </c>
      <c r="H2" s="17" t="s">
        <v>0</v>
      </c>
      <c r="I2" s="16" t="s">
        <v>0</v>
      </c>
      <c r="J2" s="17" t="s">
        <v>0</v>
      </c>
      <c r="K2" s="16" t="s">
        <v>0</v>
      </c>
      <c r="L2" s="17" t="s">
        <v>0</v>
      </c>
      <c r="M2" s="16" t="s">
        <v>0</v>
      </c>
      <c r="N2" s="17" t="s">
        <v>0</v>
      </c>
      <c r="O2" s="16" t="s">
        <v>0</v>
      </c>
      <c r="P2" s="17" t="s">
        <v>0</v>
      </c>
      <c r="Q2" s="105" t="s">
        <v>0</v>
      </c>
      <c r="R2" s="16" t="s">
        <v>0</v>
      </c>
      <c r="S2" s="18" t="s">
        <v>0</v>
      </c>
    </row>
    <row r="3" ht="15.75" customHeight="1" spans="1:19" x14ac:dyDescent="0.25">
      <c r="A3" s="187" t="s">
        <v>19</v>
      </c>
      <c r="B3" s="20" t="s">
        <v>0</v>
      </c>
      <c r="C3" s="21" t="s">
        <v>2061</v>
      </c>
      <c r="D3" s="22" t="s">
        <v>2062</v>
      </c>
      <c r="E3" s="23" t="s">
        <v>2063</v>
      </c>
      <c r="F3" s="23" t="s">
        <v>0</v>
      </c>
      <c r="G3" s="23" t="s">
        <v>0</v>
      </c>
      <c r="H3" s="23" t="s">
        <v>0</v>
      </c>
      <c r="I3" s="23" t="s">
        <v>0</v>
      </c>
      <c r="J3" s="23" t="s">
        <v>0</v>
      </c>
      <c r="K3" s="23" t="s">
        <v>0</v>
      </c>
      <c r="L3" s="23" t="s">
        <v>2062</v>
      </c>
      <c r="M3" s="23" t="s">
        <v>0</v>
      </c>
      <c r="N3" s="23" t="s">
        <v>0</v>
      </c>
      <c r="O3" s="23" t="s">
        <v>0</v>
      </c>
      <c r="P3" s="23" t="s">
        <v>0</v>
      </c>
      <c r="Q3" s="266" t="s">
        <v>0</v>
      </c>
      <c r="R3" s="23" t="s">
        <v>0</v>
      </c>
      <c r="S3" s="24" t="s">
        <v>2062</v>
      </c>
    </row>
    <row r="4" ht="15.75" customHeight="1" spans="1:19" x14ac:dyDescent="0.25">
      <c r="A4" s="19" t="s">
        <v>43</v>
      </c>
      <c r="B4" s="27" t="s">
        <v>0</v>
      </c>
      <c r="C4" s="188" t="s">
        <v>2064</v>
      </c>
      <c r="D4" s="22" t="s">
        <v>0</v>
      </c>
      <c r="E4" s="23" t="s">
        <v>2064</v>
      </c>
      <c r="F4" s="28" t="s">
        <v>0</v>
      </c>
      <c r="G4" s="28" t="s">
        <v>0</v>
      </c>
      <c r="H4" s="28" t="s">
        <v>0</v>
      </c>
      <c r="I4" s="28" t="s">
        <v>0</v>
      </c>
      <c r="J4" s="28" t="s">
        <v>0</v>
      </c>
      <c r="K4" s="28" t="s">
        <v>0</v>
      </c>
      <c r="L4" s="28" t="s">
        <v>0</v>
      </c>
      <c r="M4" s="28" t="s">
        <v>0</v>
      </c>
      <c r="N4" s="28" t="s">
        <v>0</v>
      </c>
      <c r="O4" s="28" t="s">
        <v>0</v>
      </c>
      <c r="P4" s="28" t="s">
        <v>0</v>
      </c>
      <c r="Q4" s="191" t="s">
        <v>0</v>
      </c>
      <c r="R4" s="23" t="s">
        <v>0</v>
      </c>
      <c r="S4" s="24" t="s">
        <v>0</v>
      </c>
    </row>
    <row r="5" ht="15.75" customHeight="1" spans="1:19" x14ac:dyDescent="0.25">
      <c r="A5" s="19" t="s">
        <v>281</v>
      </c>
      <c r="B5" s="27" t="s">
        <v>0</v>
      </c>
      <c r="C5" s="188" t="s">
        <v>287</v>
      </c>
      <c r="D5" s="22" t="s">
        <v>107</v>
      </c>
      <c r="E5" s="23" t="s">
        <v>310</v>
      </c>
      <c r="F5" s="28" t="s">
        <v>0</v>
      </c>
      <c r="G5" s="28" t="s">
        <v>0</v>
      </c>
      <c r="H5" s="28" t="s">
        <v>0</v>
      </c>
      <c r="I5" s="28" t="s">
        <v>0</v>
      </c>
      <c r="J5" s="28" t="s">
        <v>0</v>
      </c>
      <c r="K5" s="28" t="s">
        <v>127</v>
      </c>
      <c r="L5" s="28" t="s">
        <v>736</v>
      </c>
      <c r="M5" s="28" t="s">
        <v>0</v>
      </c>
      <c r="N5" s="28" t="s">
        <v>0</v>
      </c>
      <c r="O5" s="28" t="s">
        <v>0</v>
      </c>
      <c r="P5" s="28" t="s">
        <v>0</v>
      </c>
      <c r="Q5" s="191" t="s">
        <v>0</v>
      </c>
      <c r="R5" s="23" t="s">
        <v>0</v>
      </c>
      <c r="S5" s="24" t="s">
        <v>107</v>
      </c>
    </row>
    <row r="6" ht="15.75" customHeight="1" spans="1:19" x14ac:dyDescent="0.25">
      <c r="A6" s="19" t="s">
        <v>278</v>
      </c>
      <c r="B6" s="27" t="s">
        <v>0</v>
      </c>
      <c r="C6" s="188" t="s">
        <v>287</v>
      </c>
      <c r="D6" s="22" t="s">
        <v>2065</v>
      </c>
      <c r="E6" s="23" t="s">
        <v>2066</v>
      </c>
      <c r="F6" s="28" t="s">
        <v>0</v>
      </c>
      <c r="G6" s="28" t="s">
        <v>0</v>
      </c>
      <c r="H6" s="28" t="s">
        <v>0</v>
      </c>
      <c r="I6" s="28" t="s">
        <v>0</v>
      </c>
      <c r="J6" s="28" t="s">
        <v>0</v>
      </c>
      <c r="K6" s="28" t="s">
        <v>2067</v>
      </c>
      <c r="L6" s="28" t="s">
        <v>2068</v>
      </c>
      <c r="M6" s="28" t="s">
        <v>0</v>
      </c>
      <c r="N6" s="28" t="s">
        <v>937</v>
      </c>
      <c r="O6" s="28" t="s">
        <v>1529</v>
      </c>
      <c r="P6" s="28" t="s">
        <v>0</v>
      </c>
      <c r="Q6" s="191" t="s">
        <v>0</v>
      </c>
      <c r="R6" s="23" t="s">
        <v>0</v>
      </c>
      <c r="S6" s="24" t="s">
        <v>2065</v>
      </c>
    </row>
    <row r="7" ht="15.75" customHeight="1" spans="1:19" x14ac:dyDescent="0.25">
      <c r="A7" s="19" t="s">
        <v>2069</v>
      </c>
      <c r="B7" s="27" t="s">
        <v>0</v>
      </c>
      <c r="C7" s="188" t="s">
        <v>280</v>
      </c>
      <c r="D7" s="22" t="s">
        <v>0</v>
      </c>
      <c r="E7" s="23" t="s">
        <v>280</v>
      </c>
      <c r="F7" s="28" t="s">
        <v>0</v>
      </c>
      <c r="G7" s="28" t="s">
        <v>0</v>
      </c>
      <c r="H7" s="28" t="s">
        <v>0</v>
      </c>
      <c r="I7" s="28" t="s">
        <v>0</v>
      </c>
      <c r="J7" s="28" t="s">
        <v>0</v>
      </c>
      <c r="K7" s="28" t="s">
        <v>0</v>
      </c>
      <c r="L7" s="28" t="s">
        <v>0</v>
      </c>
      <c r="M7" s="28" t="s">
        <v>0</v>
      </c>
      <c r="N7" s="28" t="s">
        <v>0</v>
      </c>
      <c r="O7" s="28" t="s">
        <v>0</v>
      </c>
      <c r="P7" s="28" t="s">
        <v>0</v>
      </c>
      <c r="Q7" s="191" t="s">
        <v>0</v>
      </c>
      <c r="R7" s="23" t="s">
        <v>0</v>
      </c>
      <c r="S7" s="24" t="s">
        <v>0</v>
      </c>
    </row>
    <row r="8" ht="15.75" customHeight="1" spans="1:19" x14ac:dyDescent="0.25">
      <c r="A8" s="26" t="s">
        <v>60</v>
      </c>
      <c r="B8" s="27" t="s">
        <v>0</v>
      </c>
      <c r="C8" s="188" t="s">
        <v>1886</v>
      </c>
      <c r="D8" s="22" t="s">
        <v>0</v>
      </c>
      <c r="E8" s="23" t="s">
        <v>1886</v>
      </c>
      <c r="F8" s="28" t="s">
        <v>0</v>
      </c>
      <c r="G8" s="28" t="s">
        <v>0</v>
      </c>
      <c r="H8" s="28" t="s">
        <v>0</v>
      </c>
      <c r="I8" s="28" t="s">
        <v>0</v>
      </c>
      <c r="J8" s="28" t="s">
        <v>0</v>
      </c>
      <c r="K8" s="28" t="s">
        <v>0</v>
      </c>
      <c r="L8" s="28" t="s">
        <v>0</v>
      </c>
      <c r="M8" s="28" t="s">
        <v>0</v>
      </c>
      <c r="N8" s="28" t="s">
        <v>0</v>
      </c>
      <c r="O8" s="28" t="s">
        <v>0</v>
      </c>
      <c r="P8" s="28" t="s">
        <v>0</v>
      </c>
      <c r="Q8" s="191" t="s">
        <v>0</v>
      </c>
      <c r="R8" s="23" t="s">
        <v>0</v>
      </c>
      <c r="S8" s="24" t="s">
        <v>0</v>
      </c>
    </row>
    <row r="9" ht="15.75" customHeight="1" spans="1:19" x14ac:dyDescent="0.25">
      <c r="A9" s="26" t="s">
        <v>33</v>
      </c>
      <c r="B9" s="30" t="s">
        <v>0</v>
      </c>
      <c r="C9" s="190" t="s">
        <v>0</v>
      </c>
      <c r="D9" s="22">
        <v>850</v>
      </c>
      <c r="E9" s="23">
        <v>-850</v>
      </c>
      <c r="F9" s="191" t="s">
        <v>0</v>
      </c>
      <c r="G9" s="191" t="s">
        <v>0</v>
      </c>
      <c r="H9" s="191" t="s">
        <v>0</v>
      </c>
      <c r="I9" s="191" t="s">
        <v>0</v>
      </c>
      <c r="J9" s="191" t="s">
        <v>0</v>
      </c>
      <c r="K9" s="191" t="s">
        <v>0</v>
      </c>
      <c r="L9" s="191" t="s">
        <v>0</v>
      </c>
      <c r="M9" s="191">
        <v>850</v>
      </c>
      <c r="N9" s="191" t="s">
        <v>0</v>
      </c>
      <c r="O9" s="191" t="s">
        <v>0</v>
      </c>
      <c r="P9" s="191" t="s">
        <v>0</v>
      </c>
      <c r="Q9" s="191" t="s">
        <v>0</v>
      </c>
      <c r="R9" s="23" t="s">
        <v>0</v>
      </c>
      <c r="S9" s="24">
        <v>850</v>
      </c>
    </row>
    <row r="10" ht="15.75" customHeight="1" spans="1:19" x14ac:dyDescent="0.25">
      <c r="A10" s="26" t="s">
        <v>1951</v>
      </c>
      <c r="B10" s="30" t="s">
        <v>0</v>
      </c>
      <c r="C10" s="190" t="s">
        <v>1622</v>
      </c>
      <c r="D10" s="22" t="s">
        <v>2070</v>
      </c>
      <c r="E10" s="23" t="s">
        <v>2071</v>
      </c>
      <c r="F10" s="191" t="s">
        <v>2072</v>
      </c>
      <c r="G10" s="191" t="s">
        <v>0</v>
      </c>
      <c r="H10" s="191" t="s">
        <v>0</v>
      </c>
      <c r="I10" s="191" t="s">
        <v>2073</v>
      </c>
      <c r="J10" s="191" t="s">
        <v>0</v>
      </c>
      <c r="K10" s="191" t="s">
        <v>2074</v>
      </c>
      <c r="L10" s="191" t="s">
        <v>0</v>
      </c>
      <c r="M10" s="191" t="s">
        <v>0</v>
      </c>
      <c r="N10" s="191" t="s">
        <v>2075</v>
      </c>
      <c r="O10" s="191" t="s">
        <v>0</v>
      </c>
      <c r="P10" s="191" t="s">
        <v>0</v>
      </c>
      <c r="Q10" s="191" t="s">
        <v>0</v>
      </c>
      <c r="R10" s="28" t="s">
        <v>0</v>
      </c>
      <c r="S10" s="24" t="s">
        <v>2070</v>
      </c>
    </row>
    <row r="11" ht="16.5" customHeight="1" spans="1:19" x14ac:dyDescent="0.25">
      <c r="A11" s="34" t="s">
        <v>0</v>
      </c>
      <c r="B11" s="37" t="s">
        <v>0</v>
      </c>
      <c r="C11" s="37" t="s">
        <v>2076</v>
      </c>
      <c r="D11" s="37" t="s">
        <v>2077</v>
      </c>
      <c r="E11" s="37" t="s">
        <v>2078</v>
      </c>
      <c r="F11" s="37" t="s">
        <v>2072</v>
      </c>
      <c r="G11" s="37" t="s">
        <v>0</v>
      </c>
      <c r="H11" s="37" t="s">
        <v>0</v>
      </c>
      <c r="I11" s="37" t="s">
        <v>2073</v>
      </c>
      <c r="J11" s="37" t="s">
        <v>0</v>
      </c>
      <c r="K11" s="37" t="s">
        <v>2079</v>
      </c>
      <c r="L11" s="37" t="s">
        <v>2080</v>
      </c>
      <c r="M11" s="37" t="s">
        <v>0</v>
      </c>
      <c r="N11" s="37" t="s">
        <v>937</v>
      </c>
      <c r="O11" s="37" t="s">
        <v>1529</v>
      </c>
      <c r="P11" s="37" t="s">
        <v>0</v>
      </c>
      <c r="Q11" s="37" t="s">
        <v>0</v>
      </c>
      <c r="R11" s="118" t="s">
        <v>73</v>
      </c>
      <c r="S11" s="119" t="s">
        <v>2077</v>
      </c>
    </row>
    <row r="12" spans="1:19"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ht="15.75" customHeight="1"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16.5" customHeight="1" spans="1:19" x14ac:dyDescent="0.25">
      <c r="A14" s="40" t="s">
        <v>200</v>
      </c>
      <c r="B14" s="41" t="s">
        <v>1967</v>
      </c>
      <c r="C14" s="42"/>
      <c r="D14" s="42"/>
      <c r="E14" s="43"/>
      <c r="F14" s="41" t="s">
        <v>76</v>
      </c>
      <c r="G14" s="43"/>
      <c r="H14" s="44" t="s">
        <v>77</v>
      </c>
      <c r="I14" s="45"/>
      <c r="J14" t="s">
        <v>0</v>
      </c>
      <c r="K14" t="s">
        <v>0</v>
      </c>
      <c r="L14" t="s">
        <v>0</v>
      </c>
      <c r="M14" t="s">
        <v>0</v>
      </c>
      <c r="N14" t="s">
        <v>0</v>
      </c>
      <c r="O14" t="s">
        <v>0</v>
      </c>
      <c r="P14" t="s">
        <v>0</v>
      </c>
      <c r="Q14" t="s">
        <v>0</v>
      </c>
      <c r="R14" t="s">
        <v>0</v>
      </c>
      <c r="S14" t="s">
        <v>0</v>
      </c>
    </row>
    <row r="15" ht="30.75" customHeight="1" spans="1:19" x14ac:dyDescent="0.25">
      <c r="A15" s="46" t="s">
        <v>208</v>
      </c>
      <c r="B15" s="127" t="s">
        <v>215</v>
      </c>
      <c r="C15" s="128"/>
      <c r="D15" s="128"/>
      <c r="E15" s="129"/>
      <c r="F15" s="127" t="s">
        <v>2081</v>
      </c>
      <c r="G15" s="51"/>
      <c r="H15" s="52">
        <v>16850</v>
      </c>
      <c r="I15" s="53"/>
      <c r="J15" t="s">
        <v>0</v>
      </c>
      <c r="K15" t="s">
        <v>0</v>
      </c>
      <c r="L15" t="s">
        <v>0</v>
      </c>
      <c r="M15" t="s">
        <v>0</v>
      </c>
      <c r="N15" t="s">
        <v>0</v>
      </c>
      <c r="O15" t="s">
        <v>0</v>
      </c>
      <c r="P15" t="s">
        <v>0</v>
      </c>
      <c r="Q15" t="s">
        <v>0</v>
      </c>
      <c r="R15" t="s">
        <v>0</v>
      </c>
      <c r="S15" t="s">
        <v>0</v>
      </c>
    </row>
    <row r="16" ht="33" customHeight="1" spans="1:19" x14ac:dyDescent="0.25">
      <c r="A16" s="168" t="s">
        <v>208</v>
      </c>
      <c r="B16" s="55" t="s">
        <v>215</v>
      </c>
      <c r="C16" s="56"/>
      <c r="D16" s="56"/>
      <c r="E16" s="57"/>
      <c r="F16" s="55" t="s">
        <v>2082</v>
      </c>
      <c r="G16" s="57"/>
      <c r="H16" s="58">
        <v>2880</v>
      </c>
      <c r="I16" s="59"/>
      <c r="J16" t="s">
        <v>0</v>
      </c>
      <c r="K16" t="s">
        <v>0</v>
      </c>
      <c r="L16" t="s">
        <v>0</v>
      </c>
      <c r="M16" t="s">
        <v>0</v>
      </c>
      <c r="N16" t="s">
        <v>0</v>
      </c>
      <c r="O16" t="s">
        <v>0</v>
      </c>
      <c r="P16" t="s">
        <v>0</v>
      </c>
      <c r="Q16" t="s">
        <v>0</v>
      </c>
      <c r="R16" t="s">
        <v>0</v>
      </c>
      <c r="S16" t="s">
        <v>0</v>
      </c>
    </row>
    <row r="17" ht="29.25" customHeight="1" spans="1:19" x14ac:dyDescent="0.25">
      <c r="A17" s="54" t="s">
        <v>2083</v>
      </c>
      <c r="B17" s="426" t="s">
        <v>2084</v>
      </c>
      <c r="C17" s="424"/>
      <c r="D17" s="424"/>
      <c r="E17" s="425"/>
      <c r="F17" s="169" t="s">
        <v>2085</v>
      </c>
      <c r="G17" s="255"/>
      <c r="H17" s="356">
        <v>7600</v>
      </c>
      <c r="I17" s="358"/>
      <c r="J17" t="s">
        <v>0</v>
      </c>
      <c r="K17" t="s">
        <v>0</v>
      </c>
      <c r="L17" t="s">
        <v>0</v>
      </c>
      <c r="M17" t="s">
        <v>0</v>
      </c>
      <c r="N17" t="s">
        <v>0</v>
      </c>
      <c r="O17" t="s">
        <v>0</v>
      </c>
      <c r="P17" t="s">
        <v>0</v>
      </c>
      <c r="Q17" t="s">
        <v>0</v>
      </c>
      <c r="R17" t="s">
        <v>0</v>
      </c>
      <c r="S17" t="s">
        <v>0</v>
      </c>
    </row>
    <row r="18" spans="1:19" x14ac:dyDescent="0.25">
      <c r="A18" s="60" t="s">
        <v>0</v>
      </c>
      <c r="B18" s="137"/>
      <c r="C18" s="138"/>
      <c r="D18" s="138"/>
      <c r="E18" s="139"/>
      <c r="F18" s="64"/>
      <c r="G18" s="65"/>
      <c r="H18" s="66"/>
      <c r="I18" s="67"/>
      <c r="J18" t="s">
        <v>0</v>
      </c>
      <c r="K18" t="s">
        <v>0</v>
      </c>
      <c r="L18" t="s">
        <v>0</v>
      </c>
      <c r="M18" t="s">
        <v>0</v>
      </c>
      <c r="N18" t="s">
        <v>0</v>
      </c>
      <c r="O18" t="s">
        <v>0</v>
      </c>
      <c r="P18" t="s">
        <v>0</v>
      </c>
      <c r="Q18" t="s">
        <v>0</v>
      </c>
      <c r="R18" t="s">
        <v>0</v>
      </c>
      <c r="S18" t="s">
        <v>0</v>
      </c>
    </row>
    <row r="19" ht="15.75" customHeight="1" spans="1:19" x14ac:dyDescent="0.25">
      <c r="A19" s="60" t="s">
        <v>0</v>
      </c>
      <c r="B19" s="158"/>
      <c r="C19" s="197"/>
      <c r="D19" s="197"/>
      <c r="E19" s="159"/>
      <c r="F19" s="158"/>
      <c r="G19" s="159"/>
      <c r="H19" s="158"/>
      <c r="I19" s="159"/>
      <c r="J19" t="s">
        <v>0</v>
      </c>
      <c r="K19" t="s">
        <v>0</v>
      </c>
      <c r="L19" t="s">
        <v>0</v>
      </c>
      <c r="M19" t="s">
        <v>0</v>
      </c>
      <c r="N19" t="s">
        <v>0</v>
      </c>
      <c r="O19" t="s">
        <v>0</v>
      </c>
      <c r="P19" t="s">
        <v>0</v>
      </c>
      <c r="Q19" t="s">
        <v>0</v>
      </c>
      <c r="R19" t="s">
        <v>0</v>
      </c>
      <c r="S19" t="s">
        <v>0</v>
      </c>
    </row>
    <row r="20" ht="15.75" customHeight="1" spans="1:19" x14ac:dyDescent="0.25">
      <c r="A20" s="93" t="s">
        <v>0</v>
      </c>
      <c r="B20" s="94"/>
      <c r="C20" s="95"/>
      <c r="D20" s="95"/>
      <c r="E20" s="96"/>
      <c r="F20" s="97" t="s">
        <v>96</v>
      </c>
      <c r="G20" s="98"/>
      <c r="H20" s="99">
        <f>SUM(H15:I19)</f>
        <v>27330</v>
      </c>
      <c r="I20" s="100"/>
      <c r="J20" t="s">
        <v>0</v>
      </c>
      <c r="K20" t="s">
        <v>0</v>
      </c>
      <c r="L20" t="s">
        <v>0</v>
      </c>
      <c r="M20" t="s">
        <v>0</v>
      </c>
      <c r="N20" t="s">
        <v>0</v>
      </c>
      <c r="O20" t="s">
        <v>0</v>
      </c>
      <c r="P20" t="s">
        <v>0</v>
      </c>
      <c r="Q20" t="s">
        <v>0</v>
      </c>
      <c r="R20" t="s">
        <v>0</v>
      </c>
      <c r="S20" t="s">
        <v>0</v>
      </c>
    </row>
    <row r="21" spans="1:19" x14ac:dyDescent="0.25">
      <c r="A21" t="s">
        <v>0</v>
      </c>
      <c r="B21" t="s">
        <v>0</v>
      </c>
      <c r="C21" t="s">
        <v>0</v>
      </c>
      <c r="D21" t="s">
        <v>0</v>
      </c>
      <c r="E21" t="s">
        <v>0</v>
      </c>
      <c r="F21" t="s">
        <v>0</v>
      </c>
      <c r="G21" t="s">
        <v>0</v>
      </c>
      <c r="H21" t="s">
        <v>0</v>
      </c>
      <c r="I21" t="s">
        <v>0</v>
      </c>
      <c r="J21" t="s">
        <v>0</v>
      </c>
      <c r="K21" t="s">
        <v>0</v>
      </c>
      <c r="L21" t="s">
        <v>0</v>
      </c>
      <c r="M21" t="s">
        <v>0</v>
      </c>
      <c r="N21" t="s">
        <v>0</v>
      </c>
      <c r="O21" t="s">
        <v>0</v>
      </c>
      <c r="P21" t="s">
        <v>0</v>
      </c>
      <c r="Q21" t="s">
        <v>0</v>
      </c>
      <c r="R21" t="s">
        <v>0</v>
      </c>
      <c r="S21" t="s">
        <v>0</v>
      </c>
    </row>
    <row r="22" spans="1:19" x14ac:dyDescent="0.25">
      <c r="A22" t="s">
        <v>0</v>
      </c>
      <c r="B22" t="s">
        <v>0</v>
      </c>
      <c r="C22" t="s">
        <v>0</v>
      </c>
      <c r="D22" t="s">
        <v>0</v>
      </c>
      <c r="E22" t="s">
        <v>0</v>
      </c>
      <c r="F22" t="s">
        <v>0</v>
      </c>
      <c r="G22" t="s">
        <v>0</v>
      </c>
      <c r="H22" t="s">
        <v>0</v>
      </c>
      <c r="I22" t="s">
        <v>0</v>
      </c>
      <c r="J22" t="s">
        <v>0</v>
      </c>
      <c r="K22" t="s">
        <v>0</v>
      </c>
      <c r="L22" t="s">
        <v>0</v>
      </c>
      <c r="M22" t="s">
        <v>0</v>
      </c>
      <c r="N22" t="s">
        <v>0</v>
      </c>
      <c r="O22" t="s">
        <v>0</v>
      </c>
      <c r="P22" t="s">
        <v>0</v>
      </c>
      <c r="Q22" t="s">
        <v>0</v>
      </c>
      <c r="R22" t="s">
        <v>0</v>
      </c>
      <c r="S22" t="s">
        <v>0</v>
      </c>
    </row>
    <row r="23" spans="1:19" x14ac:dyDescent="0.25">
      <c r="A23" t="s">
        <v>0</v>
      </c>
      <c r="B23" t="s">
        <v>0</v>
      </c>
      <c r="C23" t="s">
        <v>0</v>
      </c>
      <c r="D23" t="s">
        <v>0</v>
      </c>
      <c r="E23" t="s">
        <v>0</v>
      </c>
      <c r="F23" t="s">
        <v>0</v>
      </c>
      <c r="G23" t="s">
        <v>0</v>
      </c>
      <c r="H23" t="s">
        <v>0</v>
      </c>
      <c r="I23" t="s">
        <v>0</v>
      </c>
      <c r="J23" t="s">
        <v>0</v>
      </c>
      <c r="K23" t="s">
        <v>0</v>
      </c>
      <c r="L23" t="s">
        <v>0</v>
      </c>
      <c r="M23" t="s">
        <v>0</v>
      </c>
      <c r="N23" t="s">
        <v>0</v>
      </c>
      <c r="O23" t="s">
        <v>0</v>
      </c>
      <c r="P23" t="s">
        <v>0</v>
      </c>
      <c r="Q23" t="s">
        <v>0</v>
      </c>
      <c r="R23" t="s">
        <v>0</v>
      </c>
      <c r="S23" t="s">
        <v>0</v>
      </c>
    </row>
    <row r="24" ht="38.25" customHeight="1" spans="1:19" x14ac:dyDescent="0.25">
      <c r="A24" s="39" t="s">
        <v>0</v>
      </c>
      <c r="B24" s="204" t="s">
        <v>0</v>
      </c>
      <c r="C24" t="s">
        <v>0</v>
      </c>
      <c r="D24" t="s">
        <v>0</v>
      </c>
      <c r="E24" t="s">
        <v>0</v>
      </c>
      <c r="F24" t="s">
        <v>0</v>
      </c>
      <c r="G24" t="s">
        <v>0</v>
      </c>
      <c r="H24" t="s">
        <v>0</v>
      </c>
      <c r="I24" t="s">
        <v>0</v>
      </c>
      <c r="J24" t="s">
        <v>0</v>
      </c>
      <c r="K24" t="s">
        <v>0</v>
      </c>
      <c r="L24" t="s">
        <v>0</v>
      </c>
      <c r="M24" t="s">
        <v>0</v>
      </c>
      <c r="N24" t="s">
        <v>0</v>
      </c>
      <c r="O24" t="s">
        <v>0</v>
      </c>
      <c r="P24" t="s">
        <v>0</v>
      </c>
      <c r="Q24" t="s">
        <v>0</v>
      </c>
      <c r="R24" t="s">
        <v>0</v>
      </c>
      <c r="S24" t="s">
        <v>0</v>
      </c>
    </row>
    <row r="25" ht="16.5" customHeight="1" spans="1:19" x14ac:dyDescent="0.25">
      <c r="A25" s="40" t="s">
        <v>74</v>
      </c>
      <c r="B25" s="41" t="s">
        <v>238</v>
      </c>
      <c r="C25" s="42"/>
      <c r="D25" s="42"/>
      <c r="E25" s="43"/>
      <c r="F25" s="41" t="s">
        <v>76</v>
      </c>
      <c r="G25" s="43"/>
      <c r="H25" s="44" t="s">
        <v>77</v>
      </c>
      <c r="I25" s="45"/>
      <c r="J25" t="s">
        <v>0</v>
      </c>
      <c r="K25" t="s">
        <v>0</v>
      </c>
      <c r="L25" t="s">
        <v>0</v>
      </c>
      <c r="M25" t="s">
        <v>0</v>
      </c>
      <c r="N25" t="s">
        <v>0</v>
      </c>
      <c r="O25" t="s">
        <v>0</v>
      </c>
      <c r="P25" t="s">
        <v>0</v>
      </c>
      <c r="Q25" t="s">
        <v>0</v>
      </c>
      <c r="R25" t="s">
        <v>0</v>
      </c>
      <c r="S25" t="s">
        <v>0</v>
      </c>
    </row>
    <row r="26" ht="31.5" customHeight="1" spans="1:19" x14ac:dyDescent="0.25">
      <c r="A26" s="54" t="s">
        <v>1243</v>
      </c>
      <c r="B26" s="55" t="s">
        <v>2086</v>
      </c>
      <c r="C26" s="56"/>
      <c r="D26" s="56"/>
      <c r="E26" s="57"/>
      <c r="F26" s="55" t="s">
        <v>2087</v>
      </c>
      <c r="G26" s="57"/>
      <c r="H26" s="58">
        <v>14115</v>
      </c>
      <c r="I26" s="59"/>
      <c r="J26" t="s">
        <v>0</v>
      </c>
      <c r="K26" t="s">
        <v>0</v>
      </c>
      <c r="L26" t="s">
        <v>0</v>
      </c>
      <c r="M26" t="s">
        <v>0</v>
      </c>
      <c r="N26" t="s">
        <v>0</v>
      </c>
      <c r="O26" t="s">
        <v>0</v>
      </c>
      <c r="P26" t="s">
        <v>0</v>
      </c>
      <c r="Q26" t="s">
        <v>0</v>
      </c>
      <c r="R26" t="s">
        <v>0</v>
      </c>
      <c r="S26" t="s">
        <v>0</v>
      </c>
    </row>
    <row r="27" ht="30" customHeight="1" spans="1:19" x14ac:dyDescent="0.25">
      <c r="A27" s="60" t="s">
        <v>881</v>
      </c>
      <c r="B27" s="55" t="s">
        <v>2086</v>
      </c>
      <c r="C27" s="56"/>
      <c r="D27" s="56"/>
      <c r="E27" s="57"/>
      <c r="F27" s="55" t="s">
        <v>2087</v>
      </c>
      <c r="G27" s="57"/>
      <c r="H27" s="58">
        <v>14115</v>
      </c>
      <c r="I27" s="59"/>
      <c r="J27" t="s">
        <v>0</v>
      </c>
      <c r="K27" t="s">
        <v>0</v>
      </c>
      <c r="L27" t="s">
        <v>0</v>
      </c>
      <c r="M27" t="s">
        <v>0</v>
      </c>
      <c r="N27" t="s">
        <v>0</v>
      </c>
      <c r="O27" t="s">
        <v>0</v>
      </c>
      <c r="P27" t="s">
        <v>0</v>
      </c>
      <c r="Q27" t="s">
        <v>0</v>
      </c>
      <c r="R27" t="s">
        <v>0</v>
      </c>
      <c r="S27" t="s">
        <v>0</v>
      </c>
    </row>
    <row r="28" ht="30" customHeight="1" spans="1:19" x14ac:dyDescent="0.25">
      <c r="A28" s="60" t="s">
        <v>2088</v>
      </c>
      <c r="B28" s="55" t="s">
        <v>2086</v>
      </c>
      <c r="C28" s="56"/>
      <c r="D28" s="56"/>
      <c r="E28" s="57"/>
      <c r="F28" s="55" t="s">
        <v>2087</v>
      </c>
      <c r="G28" s="57"/>
      <c r="H28" s="58">
        <v>14115</v>
      </c>
      <c r="I28" s="59"/>
      <c r="J28" t="s">
        <v>0</v>
      </c>
      <c r="K28" t="s">
        <v>0</v>
      </c>
      <c r="L28" t="s">
        <v>0</v>
      </c>
      <c r="M28" t="s">
        <v>0</v>
      </c>
      <c r="N28" t="s">
        <v>0</v>
      </c>
      <c r="O28" t="s">
        <v>0</v>
      </c>
      <c r="P28" t="s">
        <v>0</v>
      </c>
      <c r="Q28" t="s">
        <v>0</v>
      </c>
      <c r="R28" t="s">
        <v>0</v>
      </c>
      <c r="S28" t="s">
        <v>0</v>
      </c>
    </row>
    <row r="29" ht="30" customHeight="1" spans="1:19" x14ac:dyDescent="0.25">
      <c r="A29" s="60" t="s">
        <v>2089</v>
      </c>
      <c r="B29" s="55" t="s">
        <v>2086</v>
      </c>
      <c r="C29" s="56"/>
      <c r="D29" s="56"/>
      <c r="E29" s="57"/>
      <c r="F29" s="55" t="s">
        <v>2087</v>
      </c>
      <c r="G29" s="57"/>
      <c r="H29" s="58">
        <v>14115</v>
      </c>
      <c r="I29" s="59"/>
      <c r="J29" t="s">
        <v>0</v>
      </c>
      <c r="K29" t="s">
        <v>0</v>
      </c>
      <c r="L29" t="s">
        <v>0</v>
      </c>
      <c r="M29" t="s">
        <v>0</v>
      </c>
      <c r="N29" t="s">
        <v>0</v>
      </c>
      <c r="O29" t="s">
        <v>0</v>
      </c>
      <c r="P29" t="s">
        <v>0</v>
      </c>
      <c r="Q29" t="s">
        <v>0</v>
      </c>
      <c r="R29" t="s">
        <v>0</v>
      </c>
      <c r="S29" t="s">
        <v>0</v>
      </c>
    </row>
    <row r="30" ht="29.25" customHeight="1" spans="1:19" x14ac:dyDescent="0.25">
      <c r="A30" s="60" t="s">
        <v>2090</v>
      </c>
      <c r="B30" s="75" t="s">
        <v>2086</v>
      </c>
      <c r="C30" s="76"/>
      <c r="D30" s="76"/>
      <c r="E30" s="77"/>
      <c r="F30" s="55" t="s">
        <v>2087</v>
      </c>
      <c r="G30" s="57"/>
      <c r="H30" s="85">
        <v>12614</v>
      </c>
      <c r="I30" s="86"/>
      <c r="J30" t="s">
        <v>0</v>
      </c>
      <c r="K30" t="s">
        <v>0</v>
      </c>
      <c r="L30" t="s">
        <v>0</v>
      </c>
      <c r="M30" t="s">
        <v>0</v>
      </c>
      <c r="N30" t="s">
        <v>0</v>
      </c>
      <c r="O30" t="s">
        <v>0</v>
      </c>
      <c r="P30" t="s">
        <v>0</v>
      </c>
      <c r="Q30" t="s">
        <v>0</v>
      </c>
      <c r="R30" t="s">
        <v>0</v>
      </c>
      <c r="S30" t="s">
        <v>0</v>
      </c>
    </row>
    <row r="31" ht="30" customHeight="1" spans="1:19" x14ac:dyDescent="0.25">
      <c r="A31" s="60" t="s">
        <v>903</v>
      </c>
      <c r="B31" s="75" t="s">
        <v>2091</v>
      </c>
      <c r="C31" s="76"/>
      <c r="D31" s="76"/>
      <c r="E31" s="77"/>
      <c r="F31" s="172" t="s">
        <v>2092</v>
      </c>
      <c r="G31" s="83"/>
      <c r="H31" s="85">
        <v>1000</v>
      </c>
      <c r="I31" s="86"/>
      <c r="J31" t="s">
        <v>0</v>
      </c>
      <c r="K31" t="s">
        <v>0</v>
      </c>
      <c r="L31" t="s">
        <v>0</v>
      </c>
      <c r="M31" t="s">
        <v>0</v>
      </c>
      <c r="N31" t="s">
        <v>0</v>
      </c>
      <c r="O31" t="s">
        <v>0</v>
      </c>
      <c r="P31" t="s">
        <v>0</v>
      </c>
      <c r="Q31" t="s">
        <v>0</v>
      </c>
      <c r="R31" t="s">
        <v>0</v>
      </c>
      <c r="S31" t="s">
        <v>0</v>
      </c>
    </row>
    <row r="32" ht="30.75" customHeight="1" spans="1:19" x14ac:dyDescent="0.25">
      <c r="A32" s="60" t="s">
        <v>881</v>
      </c>
      <c r="B32" s="75" t="s">
        <v>2091</v>
      </c>
      <c r="C32" s="76"/>
      <c r="D32" s="76"/>
      <c r="E32" s="77"/>
      <c r="F32" s="172" t="s">
        <v>2092</v>
      </c>
      <c r="G32" s="83"/>
      <c r="H32" s="85">
        <v>1000</v>
      </c>
      <c r="I32" s="86"/>
      <c r="J32" t="s">
        <v>0</v>
      </c>
      <c r="K32" t="s">
        <v>0</v>
      </c>
      <c r="L32" t="s">
        <v>0</v>
      </c>
      <c r="M32" t="s">
        <v>0</v>
      </c>
      <c r="N32" t="s">
        <v>0</v>
      </c>
      <c r="O32" t="s">
        <v>0</v>
      </c>
      <c r="P32" t="s">
        <v>0</v>
      </c>
      <c r="Q32" t="s">
        <v>0</v>
      </c>
      <c r="R32" t="s">
        <v>0</v>
      </c>
      <c r="S32" t="s">
        <v>0</v>
      </c>
    </row>
    <row r="33" ht="30" customHeight="1" spans="1:19" x14ac:dyDescent="0.25">
      <c r="A33" s="60" t="s">
        <v>599</v>
      </c>
      <c r="B33" s="75" t="s">
        <v>2091</v>
      </c>
      <c r="C33" s="76"/>
      <c r="D33" s="76"/>
      <c r="E33" s="77"/>
      <c r="F33" s="172" t="s">
        <v>2092</v>
      </c>
      <c r="G33" s="83"/>
      <c r="H33" s="85">
        <v>1000</v>
      </c>
      <c r="I33" s="86"/>
      <c r="J33" t="s">
        <v>0</v>
      </c>
      <c r="K33" t="s">
        <v>0</v>
      </c>
      <c r="L33" t="s">
        <v>0</v>
      </c>
      <c r="M33" t="s">
        <v>0</v>
      </c>
      <c r="N33" t="s">
        <v>0</v>
      </c>
      <c r="O33" t="s">
        <v>0</v>
      </c>
      <c r="P33" t="s">
        <v>0</v>
      </c>
      <c r="Q33" t="s">
        <v>0</v>
      </c>
      <c r="R33" t="s">
        <v>0</v>
      </c>
      <c r="S33" t="s">
        <v>0</v>
      </c>
    </row>
    <row r="34" ht="30" customHeight="1" spans="1:19" s="80" customFormat="1" x14ac:dyDescent="0.25">
      <c r="A34" s="54" t="s">
        <v>1243</v>
      </c>
      <c r="B34" s="81" t="s">
        <v>2091</v>
      </c>
      <c r="C34" s="134"/>
      <c r="D34" s="134"/>
      <c r="E34" s="84"/>
      <c r="F34" s="172" t="s">
        <v>2092</v>
      </c>
      <c r="G34" s="83"/>
      <c r="H34" s="85">
        <v>1000</v>
      </c>
      <c r="I34" s="86"/>
      <c r="J34" s="80" t="s">
        <v>0</v>
      </c>
      <c r="K34" s="80" t="s">
        <v>0</v>
      </c>
      <c r="L34" s="80" t="s">
        <v>0</v>
      </c>
      <c r="M34" s="80" t="s">
        <v>0</v>
      </c>
      <c r="N34" s="80" t="s">
        <v>0</v>
      </c>
      <c r="O34" s="80" t="s">
        <v>0</v>
      </c>
      <c r="P34" s="80" t="s">
        <v>0</v>
      </c>
      <c r="Q34" s="80" t="s">
        <v>0</v>
      </c>
      <c r="R34" s="80" t="s">
        <v>0</v>
      </c>
      <c r="S34" s="80" t="s">
        <v>0</v>
      </c>
    </row>
    <row r="35" ht="30.75" customHeight="1" spans="1:19" s="80" customFormat="1" x14ac:dyDescent="0.25">
      <c r="A35" s="54" t="s">
        <v>2088</v>
      </c>
      <c r="B35" s="81" t="s">
        <v>2091</v>
      </c>
      <c r="C35" s="134"/>
      <c r="D35" s="134"/>
      <c r="E35" s="84"/>
      <c r="F35" s="172" t="s">
        <v>2092</v>
      </c>
      <c r="G35" s="83"/>
      <c r="H35" s="85">
        <v>1000</v>
      </c>
      <c r="I35" s="86"/>
      <c r="J35" s="80" t="s">
        <v>0</v>
      </c>
      <c r="K35" s="80" t="s">
        <v>0</v>
      </c>
      <c r="L35" s="80" t="s">
        <v>0</v>
      </c>
      <c r="M35" s="80" t="s">
        <v>0</v>
      </c>
      <c r="N35" s="80" t="s">
        <v>0</v>
      </c>
      <c r="O35" s="80" t="s">
        <v>0</v>
      </c>
      <c r="P35" s="80" t="s">
        <v>0</v>
      </c>
      <c r="Q35" s="80" t="s">
        <v>0</v>
      </c>
      <c r="R35" s="80" t="s">
        <v>0</v>
      </c>
      <c r="S35" s="80" t="s">
        <v>0</v>
      </c>
    </row>
    <row r="36" ht="30" customHeight="1" spans="1:19" x14ac:dyDescent="0.25">
      <c r="A36" s="60" t="s">
        <v>889</v>
      </c>
      <c r="B36" s="81" t="s">
        <v>2091</v>
      </c>
      <c r="C36" s="134"/>
      <c r="D36" s="134"/>
      <c r="E36" s="84"/>
      <c r="F36" s="172" t="s">
        <v>2092</v>
      </c>
      <c r="G36" s="83"/>
      <c r="H36" s="85">
        <v>1000</v>
      </c>
      <c r="I36" s="86"/>
      <c r="J36" t="s">
        <v>0</v>
      </c>
      <c r="K36" t="s">
        <v>0</v>
      </c>
      <c r="L36" t="s">
        <v>0</v>
      </c>
      <c r="M36" t="s">
        <v>0</v>
      </c>
      <c r="N36" t="s">
        <v>0</v>
      </c>
      <c r="O36" t="s">
        <v>0</v>
      </c>
      <c r="P36" t="s">
        <v>0</v>
      </c>
      <c r="Q36" t="s">
        <v>0</v>
      </c>
      <c r="R36" t="s">
        <v>0</v>
      </c>
      <c r="S36" t="s">
        <v>0</v>
      </c>
    </row>
    <row r="37" ht="30.75" customHeight="1" spans="1:19" x14ac:dyDescent="0.25">
      <c r="A37" s="60" t="s">
        <v>2089</v>
      </c>
      <c r="B37" s="81" t="s">
        <v>2091</v>
      </c>
      <c r="C37" s="134"/>
      <c r="D37" s="134"/>
      <c r="E37" s="84"/>
      <c r="F37" s="172" t="s">
        <v>2092</v>
      </c>
      <c r="G37" s="83"/>
      <c r="H37" s="85">
        <v>1000</v>
      </c>
      <c r="I37" s="86"/>
      <c r="J37" t="s">
        <v>0</v>
      </c>
      <c r="K37" t="s">
        <v>0</v>
      </c>
      <c r="L37" t="s">
        <v>0</v>
      </c>
      <c r="M37" t="s">
        <v>0</v>
      </c>
      <c r="N37" t="s">
        <v>0</v>
      </c>
      <c r="O37" t="s">
        <v>0</v>
      </c>
      <c r="P37" t="s">
        <v>0</v>
      </c>
      <c r="Q37" t="s">
        <v>0</v>
      </c>
      <c r="R37" t="s">
        <v>0</v>
      </c>
      <c r="S37" t="s">
        <v>0</v>
      </c>
    </row>
    <row r="38" spans="1:19" x14ac:dyDescent="0.25">
      <c r="A38" s="60" t="s">
        <v>0</v>
      </c>
      <c r="B38" s="158" t="s">
        <v>0</v>
      </c>
      <c r="C38" s="197"/>
      <c r="D38" s="197"/>
      <c r="E38" s="159"/>
      <c r="F38" s="158"/>
      <c r="G38" s="159"/>
      <c r="H38" s="71"/>
      <c r="I38" s="72"/>
      <c r="J38" t="s">
        <v>0</v>
      </c>
      <c r="K38" t="s">
        <v>0</v>
      </c>
      <c r="L38" t="s">
        <v>0</v>
      </c>
      <c r="M38" t="s">
        <v>0</v>
      </c>
      <c r="N38" t="s">
        <v>0</v>
      </c>
      <c r="O38" t="s">
        <v>0</v>
      </c>
      <c r="P38" t="s">
        <v>0</v>
      </c>
      <c r="Q38" t="s">
        <v>0</v>
      </c>
      <c r="R38" t="s">
        <v>0</v>
      </c>
      <c r="S38" t="s">
        <v>0</v>
      </c>
    </row>
    <row r="39" spans="1:19" x14ac:dyDescent="0.25">
      <c r="A39" s="60" t="s">
        <v>0</v>
      </c>
      <c r="B39" s="158" t="s">
        <v>0</v>
      </c>
      <c r="C39" s="197"/>
      <c r="D39" s="197"/>
      <c r="E39" s="159"/>
      <c r="F39" s="158"/>
      <c r="G39" s="159"/>
      <c r="H39" s="71"/>
      <c r="I39" s="72"/>
      <c r="J39" t="s">
        <v>0</v>
      </c>
      <c r="K39" t="s">
        <v>0</v>
      </c>
      <c r="L39" t="s">
        <v>0</v>
      </c>
      <c r="M39" t="s">
        <v>0</v>
      </c>
      <c r="N39" t="s">
        <v>0</v>
      </c>
      <c r="O39" t="s">
        <v>0</v>
      </c>
      <c r="P39" t="s">
        <v>0</v>
      </c>
      <c r="Q39" t="s">
        <v>0</v>
      </c>
      <c r="R39" t="s">
        <v>0</v>
      </c>
      <c r="S39" t="s">
        <v>0</v>
      </c>
    </row>
    <row r="40" spans="1:19" x14ac:dyDescent="0.25">
      <c r="A40" s="60" t="s">
        <v>0</v>
      </c>
      <c r="B40" s="158" t="s">
        <v>0</v>
      </c>
      <c r="C40" s="197"/>
      <c r="D40" s="197"/>
      <c r="E40" s="159"/>
      <c r="F40" s="158"/>
      <c r="G40" s="159"/>
      <c r="H40" s="71"/>
      <c r="I40" s="72"/>
      <c r="J40" t="s">
        <v>0</v>
      </c>
      <c r="K40" t="s">
        <v>0</v>
      </c>
      <c r="L40" t="s">
        <v>0</v>
      </c>
      <c r="M40" t="s">
        <v>0</v>
      </c>
      <c r="N40" t="s">
        <v>0</v>
      </c>
      <c r="O40" t="s">
        <v>0</v>
      </c>
      <c r="P40" t="s">
        <v>0</v>
      </c>
      <c r="Q40" t="s">
        <v>0</v>
      </c>
      <c r="R40" t="s">
        <v>0</v>
      </c>
      <c r="S40" t="s">
        <v>0</v>
      </c>
    </row>
    <row r="41" spans="1:19" x14ac:dyDescent="0.25">
      <c r="A41" s="60" t="s">
        <v>0</v>
      </c>
      <c r="B41" s="158" t="s">
        <v>0</v>
      </c>
      <c r="C41" s="197"/>
      <c r="D41" s="197"/>
      <c r="E41" s="159"/>
      <c r="F41" s="158"/>
      <c r="G41" s="159"/>
      <c r="H41" s="71"/>
      <c r="I41" s="72"/>
      <c r="J41" t="s">
        <v>0</v>
      </c>
      <c r="K41" t="s">
        <v>0</v>
      </c>
      <c r="L41" t="s">
        <v>0</v>
      </c>
      <c r="M41" t="s">
        <v>0</v>
      </c>
      <c r="N41" t="s">
        <v>0</v>
      </c>
      <c r="O41" t="s">
        <v>0</v>
      </c>
      <c r="P41" t="s">
        <v>0</v>
      </c>
      <c r="Q41" t="s">
        <v>0</v>
      </c>
      <c r="R41" t="s">
        <v>0</v>
      </c>
      <c r="S41" t="s">
        <v>0</v>
      </c>
    </row>
    <row r="42" spans="1:19" x14ac:dyDescent="0.25">
      <c r="A42" s="60" t="s">
        <v>0</v>
      </c>
      <c r="B42" s="158" t="s">
        <v>0</v>
      </c>
      <c r="C42" s="197"/>
      <c r="D42" s="197"/>
      <c r="E42" s="159"/>
      <c r="F42" s="158"/>
      <c r="G42" s="159"/>
      <c r="H42" s="71"/>
      <c r="I42" s="72"/>
      <c r="J42" t="s">
        <v>0</v>
      </c>
      <c r="K42" t="s">
        <v>0</v>
      </c>
      <c r="L42" t="s">
        <v>0</v>
      </c>
      <c r="M42" t="s">
        <v>0</v>
      </c>
      <c r="N42" t="s">
        <v>0</v>
      </c>
      <c r="O42" t="s">
        <v>0</v>
      </c>
      <c r="P42" t="s">
        <v>0</v>
      </c>
      <c r="Q42" t="s">
        <v>0</v>
      </c>
      <c r="R42" t="s">
        <v>0</v>
      </c>
      <c r="S42" t="s">
        <v>0</v>
      </c>
    </row>
    <row r="43" spans="1:19" x14ac:dyDescent="0.25">
      <c r="A43" s="60" t="s">
        <v>0</v>
      </c>
      <c r="B43" s="158" t="s">
        <v>0</v>
      </c>
      <c r="C43" s="197"/>
      <c r="D43" s="197"/>
      <c r="E43" s="159"/>
      <c r="F43" s="158"/>
      <c r="G43" s="159"/>
      <c r="H43" s="71"/>
      <c r="I43" s="72"/>
      <c r="J43" t="s">
        <v>0</v>
      </c>
      <c r="K43" t="s">
        <v>0</v>
      </c>
      <c r="L43" t="s">
        <v>0</v>
      </c>
      <c r="M43" t="s">
        <v>0</v>
      </c>
      <c r="N43" t="s">
        <v>0</v>
      </c>
      <c r="O43" t="s">
        <v>0</v>
      </c>
      <c r="P43" t="s">
        <v>0</v>
      </c>
      <c r="Q43" t="s">
        <v>0</v>
      </c>
      <c r="R43" t="s">
        <v>0</v>
      </c>
      <c r="S43" t="s">
        <v>0</v>
      </c>
    </row>
    <row r="44" spans="1:19" x14ac:dyDescent="0.25">
      <c r="A44" s="60" t="s">
        <v>0</v>
      </c>
      <c r="B44" s="158"/>
      <c r="C44" s="197"/>
      <c r="D44" s="197"/>
      <c r="E44" s="159"/>
      <c r="F44" s="158"/>
      <c r="G44" s="159"/>
      <c r="H44" s="71"/>
      <c r="I44" s="72"/>
      <c r="J44" t="s">
        <v>0</v>
      </c>
      <c r="K44" t="s">
        <v>0</v>
      </c>
      <c r="L44" t="s">
        <v>0</v>
      </c>
      <c r="M44" t="s">
        <v>0</v>
      </c>
      <c r="N44" t="s">
        <v>0</v>
      </c>
      <c r="O44" t="s">
        <v>0</v>
      </c>
      <c r="P44" t="s">
        <v>0</v>
      </c>
      <c r="Q44" t="s">
        <v>0</v>
      </c>
      <c r="R44" t="s">
        <v>0</v>
      </c>
      <c r="S44" t="s">
        <v>0</v>
      </c>
    </row>
    <row r="45" spans="1:19" x14ac:dyDescent="0.25">
      <c r="A45" s="60" t="s">
        <v>0</v>
      </c>
      <c r="B45" s="158"/>
      <c r="C45" s="197"/>
      <c r="D45" s="197"/>
      <c r="E45" s="159"/>
      <c r="F45" s="68"/>
      <c r="G45" s="70"/>
      <c r="H45" s="71"/>
      <c r="I45" s="72"/>
      <c r="J45" t="s">
        <v>0</v>
      </c>
      <c r="K45" t="s">
        <v>0</v>
      </c>
      <c r="L45" t="s">
        <v>0</v>
      </c>
      <c r="M45" t="s">
        <v>0</v>
      </c>
      <c r="N45" t="s">
        <v>0</v>
      </c>
      <c r="O45" t="s">
        <v>0</v>
      </c>
      <c r="P45" t="s">
        <v>0</v>
      </c>
      <c r="Q45" t="s">
        <v>0</v>
      </c>
      <c r="R45" t="s">
        <v>0</v>
      </c>
      <c r="S45" t="s">
        <v>0</v>
      </c>
    </row>
    <row r="46" ht="15.75" customHeight="1" spans="1:19" x14ac:dyDescent="0.25">
      <c r="A46" s="87" t="s">
        <v>0</v>
      </c>
      <c r="B46" s="253"/>
      <c r="C46" s="397"/>
      <c r="D46" s="397"/>
      <c r="E46" s="254"/>
      <c r="F46" s="88"/>
      <c r="G46" s="90"/>
      <c r="H46" s="91"/>
      <c r="I46" s="92"/>
      <c r="J46" t="s">
        <v>0</v>
      </c>
      <c r="K46" t="s">
        <v>0</v>
      </c>
      <c r="L46" t="s">
        <v>0</v>
      </c>
      <c r="M46" t="s">
        <v>0</v>
      </c>
      <c r="N46" t="s">
        <v>0</v>
      </c>
      <c r="O46" t="s">
        <v>0</v>
      </c>
      <c r="P46" t="s">
        <v>0</v>
      </c>
      <c r="Q46" t="s">
        <v>0</v>
      </c>
      <c r="R46" t="s">
        <v>0</v>
      </c>
      <c r="S46" t="s">
        <v>0</v>
      </c>
    </row>
    <row r="47" ht="15.75" customHeight="1" spans="1:19" x14ac:dyDescent="0.25">
      <c r="A47" s="93" t="s">
        <v>0</v>
      </c>
      <c r="B47" s="94"/>
      <c r="C47" s="95"/>
      <c r="D47" s="95"/>
      <c r="E47" s="96"/>
      <c r="F47" s="97" t="s">
        <v>96</v>
      </c>
      <c r="G47" s="98"/>
      <c r="H47" s="99">
        <f>SUM(H26:I46)</f>
        <v>76074</v>
      </c>
      <c r="I47" s="100"/>
      <c r="J47" t="s">
        <v>0</v>
      </c>
      <c r="K47" t="s">
        <v>0</v>
      </c>
      <c r="L47" t="s">
        <v>0</v>
      </c>
      <c r="M47" t="s">
        <v>0</v>
      </c>
      <c r="N47" t="s">
        <v>0</v>
      </c>
      <c r="O47" t="s">
        <v>0</v>
      </c>
      <c r="P47" t="s">
        <v>0</v>
      </c>
      <c r="Q47" t="s">
        <v>0</v>
      </c>
      <c r="R47" t="s">
        <v>0</v>
      </c>
      <c r="S47" t="s">
        <v>0</v>
      </c>
    </row>
  </sheetData>
  <mergeCells count="90">
    <mergeCell ref="B14:E14"/>
    <mergeCell ref="F14:G14"/>
    <mergeCell ref="H14:I14"/>
    <mergeCell ref="B15:E15"/>
    <mergeCell ref="F15:G15"/>
    <mergeCell ref="H15:I15"/>
    <mergeCell ref="B16:E16"/>
    <mergeCell ref="F16:G16"/>
    <mergeCell ref="H16:I16"/>
    <mergeCell ref="B17:E17"/>
    <mergeCell ref="F17:G17"/>
    <mergeCell ref="H17:I17"/>
    <mergeCell ref="B18:E18"/>
    <mergeCell ref="F18:G18"/>
    <mergeCell ref="H18:I18"/>
    <mergeCell ref="B19:E19"/>
    <mergeCell ref="F19:G19"/>
    <mergeCell ref="H19:I19"/>
    <mergeCell ref="B20:E20"/>
    <mergeCell ref="F20:G20"/>
    <mergeCell ref="H20:I20"/>
    <mergeCell ref="B25:E25"/>
    <mergeCell ref="F25:G25"/>
    <mergeCell ref="H25:I25"/>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 ref="B31:E31"/>
    <mergeCell ref="F31:G31"/>
    <mergeCell ref="H31:I31"/>
    <mergeCell ref="B32:E32"/>
    <mergeCell ref="F32:G32"/>
    <mergeCell ref="H32:I32"/>
    <mergeCell ref="B33:E33"/>
    <mergeCell ref="F33:G33"/>
    <mergeCell ref="H33:I33"/>
    <mergeCell ref="B34:E34"/>
    <mergeCell ref="F34:G34"/>
    <mergeCell ref="H34:I34"/>
    <mergeCell ref="B35:E35"/>
    <mergeCell ref="F35:G35"/>
    <mergeCell ref="H35:I35"/>
    <mergeCell ref="B36:E36"/>
    <mergeCell ref="F36:G36"/>
    <mergeCell ref="H36:I36"/>
    <mergeCell ref="B37:E37"/>
    <mergeCell ref="F37:G37"/>
    <mergeCell ref="H37:I37"/>
    <mergeCell ref="C38:E38"/>
    <mergeCell ref="F38:G38"/>
    <mergeCell ref="H38:I38"/>
    <mergeCell ref="C39:E39"/>
    <mergeCell ref="F39:G39"/>
    <mergeCell ref="H39:I39"/>
    <mergeCell ref="C40:E40"/>
    <mergeCell ref="F40:G40"/>
    <mergeCell ref="H40:I40"/>
    <mergeCell ref="C41:E41"/>
    <mergeCell ref="F41:G41"/>
    <mergeCell ref="H41:I41"/>
    <mergeCell ref="C42:E42"/>
    <mergeCell ref="F42:G42"/>
    <mergeCell ref="H42:I42"/>
    <mergeCell ref="C43:E43"/>
    <mergeCell ref="F43:G43"/>
    <mergeCell ref="H43:I43"/>
    <mergeCell ref="B44:E44"/>
    <mergeCell ref="F44:G44"/>
    <mergeCell ref="H44:I44"/>
    <mergeCell ref="B45:E45"/>
    <mergeCell ref="F45:G45"/>
    <mergeCell ref="H45:I45"/>
    <mergeCell ref="B46:E46"/>
    <mergeCell ref="F46:G46"/>
    <mergeCell ref="H46:I46"/>
    <mergeCell ref="B47:E47"/>
    <mergeCell ref="F47:G47"/>
    <mergeCell ref="H47:I4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52"/>
  <sheetViews>
    <sheetView workbookViewId="0" zoomScale="100" zoomScaleNormal="100">
      <selection activeCell="Q7" sqref="Q7"/>
    </sheetView>
  </sheetViews>
  <sheetFormatPr defaultRowHeight="15" outlineLevelRow="0" outlineLevelCol="0" x14ac:dyDescent="0.25"/>
  <cols>
    <col min="1" max="1" width="43.7109375" customWidth="1"/>
    <col min="2" max="2" width="16.7109375" hidden="1" customWidth="1"/>
    <col min="3" max="3" width="19.140625" customWidth="1"/>
    <col min="4" max="4" width="16.5703125" customWidth="1"/>
    <col min="5" max="5" width="16.85546875" customWidth="1"/>
    <col min="6" max="6" width="10.140625" customWidth="1"/>
    <col min="7" max="7" width="10.28515625" customWidth="1"/>
    <col min="8" max="8" width="11.85546875" customWidth="1"/>
    <col min="9" max="9" width="10.28515625" customWidth="1"/>
    <col min="10" max="10" width="12.140625" customWidth="1"/>
    <col min="11" max="11" width="13.5703125" customWidth="1"/>
    <col min="12" max="12" width="11.85546875" customWidth="1"/>
    <col min="13" max="14" width="10.28515625" customWidth="1"/>
    <col min="15" max="15" width="10.7109375" customWidth="1"/>
    <col min="16" max="16" width="11.5703125" customWidth="1"/>
    <col min="17" max="17" width="10.42578125" customWidth="1"/>
    <col min="18" max="18" width="11.28515625" customWidth="1"/>
    <col min="19" max="19" width="16" customWidth="1"/>
  </cols>
  <sheetData>
    <row r="1" ht="72.75" customHeight="1" spans="1:19" x14ac:dyDescent="0.25">
      <c r="A1" s="1" t="s">
        <v>0</v>
      </c>
      <c r="B1" s="2" t="s">
        <v>255</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2" t="s">
        <v>2093</v>
      </c>
      <c r="B2" s="13" t="s">
        <v>0</v>
      </c>
      <c r="C2" s="186" t="s">
        <v>0</v>
      </c>
      <c r="D2" s="14" t="s">
        <v>0</v>
      </c>
      <c r="E2" s="15" t="s">
        <v>0</v>
      </c>
      <c r="F2" s="105" t="s">
        <v>0</v>
      </c>
      <c r="G2" s="16" t="s">
        <v>0</v>
      </c>
      <c r="H2" s="17" t="s">
        <v>0</v>
      </c>
      <c r="I2" s="16" t="s">
        <v>0</v>
      </c>
      <c r="J2" s="17" t="s">
        <v>0</v>
      </c>
      <c r="K2" s="16" t="s">
        <v>0</v>
      </c>
      <c r="L2" s="17" t="s">
        <v>0</v>
      </c>
      <c r="M2" s="16" t="s">
        <v>0</v>
      </c>
      <c r="N2" s="17" t="s">
        <v>0</v>
      </c>
      <c r="O2" s="16" t="s">
        <v>0</v>
      </c>
      <c r="P2" s="17" t="s">
        <v>0</v>
      </c>
      <c r="Q2" s="16" t="s">
        <v>0</v>
      </c>
      <c r="R2" s="16" t="s">
        <v>0</v>
      </c>
      <c r="S2" s="16" t="s">
        <v>0</v>
      </c>
    </row>
    <row r="3" ht="15.75" customHeight="1" spans="1:19" x14ac:dyDescent="0.25">
      <c r="A3" s="187" t="s">
        <v>19</v>
      </c>
      <c r="B3" s="20" t="s">
        <v>0</v>
      </c>
      <c r="C3" s="21" t="s">
        <v>2094</v>
      </c>
      <c r="D3" s="22" t="s">
        <v>2095</v>
      </c>
      <c r="E3" s="23" t="s">
        <v>2096</v>
      </c>
      <c r="F3" s="23" t="s">
        <v>0</v>
      </c>
      <c r="G3" s="23" t="s">
        <v>0</v>
      </c>
      <c r="H3" s="23" t="s">
        <v>0</v>
      </c>
      <c r="I3" s="23" t="s">
        <v>0</v>
      </c>
      <c r="J3" s="23" t="s">
        <v>2097</v>
      </c>
      <c r="K3" s="23" t="s">
        <v>0</v>
      </c>
      <c r="L3" s="23" t="s">
        <v>2098</v>
      </c>
      <c r="M3" s="23" t="s">
        <v>0</v>
      </c>
      <c r="N3" s="23" t="s">
        <v>0</v>
      </c>
      <c r="O3" s="23" t="s">
        <v>2099</v>
      </c>
      <c r="P3" s="23" t="s">
        <v>2100</v>
      </c>
      <c r="Q3" s="23" t="s">
        <v>0</v>
      </c>
      <c r="R3" s="25" t="s">
        <v>0</v>
      </c>
      <c r="S3" s="24" t="s">
        <v>2095</v>
      </c>
    </row>
    <row r="4" ht="15.75" customHeight="1" spans="1:19" x14ac:dyDescent="0.25">
      <c r="A4" s="19" t="s">
        <v>43</v>
      </c>
      <c r="B4" s="27" t="s">
        <v>0</v>
      </c>
      <c r="C4" s="188" t="s">
        <v>1177</v>
      </c>
      <c r="D4" s="22" t="s">
        <v>2101</v>
      </c>
      <c r="E4" s="23" t="s">
        <v>2102</v>
      </c>
      <c r="F4" s="28" t="s">
        <v>0</v>
      </c>
      <c r="G4" s="28" t="s">
        <v>0</v>
      </c>
      <c r="H4" s="28" t="s">
        <v>0</v>
      </c>
      <c r="I4" s="28" t="s">
        <v>0</v>
      </c>
      <c r="J4" s="28" t="s">
        <v>0</v>
      </c>
      <c r="K4" s="28" t="s">
        <v>0</v>
      </c>
      <c r="L4" s="28" t="s">
        <v>0</v>
      </c>
      <c r="M4" s="28" t="s">
        <v>0</v>
      </c>
      <c r="N4" s="28" t="s">
        <v>0</v>
      </c>
      <c r="O4" s="28" t="s">
        <v>2103</v>
      </c>
      <c r="P4" s="28" t="s">
        <v>2104</v>
      </c>
      <c r="Q4" s="458" t="s">
        <v>0</v>
      </c>
      <c r="R4" s="28" t="s">
        <v>0</v>
      </c>
      <c r="S4" s="24" t="s">
        <v>2101</v>
      </c>
    </row>
    <row r="5" ht="15.75" customHeight="1" spans="1:19" x14ac:dyDescent="0.25">
      <c r="A5" s="459" t="s">
        <v>114</v>
      </c>
      <c r="B5" s="27" t="s">
        <v>0</v>
      </c>
      <c r="C5" s="188" t="s">
        <v>0</v>
      </c>
      <c r="D5" s="22" t="s">
        <v>1391</v>
      </c>
      <c r="E5" s="23" t="s">
        <v>2105</v>
      </c>
      <c r="F5" s="461" t="s">
        <v>0</v>
      </c>
      <c r="G5" s="461" t="s">
        <v>119</v>
      </c>
      <c r="H5" s="461" t="s">
        <v>0</v>
      </c>
      <c r="I5" s="461" t="s">
        <v>119</v>
      </c>
      <c r="J5" s="461" t="s">
        <v>2106</v>
      </c>
      <c r="K5" s="461" t="s">
        <v>0</v>
      </c>
      <c r="L5" s="461" t="s">
        <v>0</v>
      </c>
      <c r="M5" s="461" t="s">
        <v>0</v>
      </c>
      <c r="N5" s="461" t="s">
        <v>0</v>
      </c>
      <c r="O5" s="461" t="s">
        <v>0</v>
      </c>
      <c r="P5" s="461" t="s">
        <v>0</v>
      </c>
      <c r="Q5" s="458" t="s">
        <v>0</v>
      </c>
      <c r="R5" s="28" t="s">
        <v>0</v>
      </c>
      <c r="S5" s="24" t="s">
        <v>1391</v>
      </c>
    </row>
    <row r="6" ht="15.75" customHeight="1" spans="1:19" x14ac:dyDescent="0.25">
      <c r="A6" s="459" t="s">
        <v>45</v>
      </c>
      <c r="B6" s="27" t="s">
        <v>0</v>
      </c>
      <c r="C6" s="188" t="s">
        <v>319</v>
      </c>
      <c r="D6" s="22" t="s">
        <v>2107</v>
      </c>
      <c r="E6" s="23" t="s">
        <v>2108</v>
      </c>
      <c r="F6" s="461" t="s">
        <v>2109</v>
      </c>
      <c r="G6" s="461">
        <v>503</v>
      </c>
      <c r="H6" s="461" t="s">
        <v>2110</v>
      </c>
      <c r="I6" s="461" t="s">
        <v>2111</v>
      </c>
      <c r="J6" s="461" t="s">
        <v>2112</v>
      </c>
      <c r="K6" s="461" t="s">
        <v>2113</v>
      </c>
      <c r="L6" s="461" t="s">
        <v>2114</v>
      </c>
      <c r="M6" s="461" t="s">
        <v>2115</v>
      </c>
      <c r="N6" s="461" t="s">
        <v>2116</v>
      </c>
      <c r="O6" s="461" t="s">
        <v>2117</v>
      </c>
      <c r="P6" s="461" t="s">
        <v>2118</v>
      </c>
      <c r="Q6" s="458" t="s">
        <v>2119</v>
      </c>
      <c r="R6" s="456" t="s">
        <v>0</v>
      </c>
      <c r="S6" s="24" t="s">
        <v>2107</v>
      </c>
    </row>
    <row r="7" ht="15.75" customHeight="1" spans="1:19" x14ac:dyDescent="0.25">
      <c r="A7" s="462" t="s">
        <v>33</v>
      </c>
      <c r="B7" s="27" t="s">
        <v>0</v>
      </c>
      <c r="C7" s="188" t="s">
        <v>2120</v>
      </c>
      <c r="D7" s="22" t="s">
        <v>2121</v>
      </c>
      <c r="E7" s="23" t="s">
        <v>2122</v>
      </c>
      <c r="F7" s="461" t="s">
        <v>0</v>
      </c>
      <c r="G7" s="461" t="s">
        <v>0</v>
      </c>
      <c r="H7" s="461" t="s">
        <v>0</v>
      </c>
      <c r="I7" s="461" t="s">
        <v>0</v>
      </c>
      <c r="J7" s="461" t="s">
        <v>0</v>
      </c>
      <c r="K7" s="461" t="s">
        <v>2123</v>
      </c>
      <c r="L7" s="461" t="s">
        <v>2124</v>
      </c>
      <c r="M7" s="461" t="s">
        <v>0</v>
      </c>
      <c r="N7" s="461" t="s">
        <v>0</v>
      </c>
      <c r="O7" s="461" t="s">
        <v>2125</v>
      </c>
      <c r="P7" s="461" t="s">
        <v>0</v>
      </c>
      <c r="Q7" s="28" t="s">
        <v>0</v>
      </c>
      <c r="R7" s="458" t="s">
        <v>0</v>
      </c>
      <c r="S7" s="24" t="s">
        <v>2121</v>
      </c>
    </row>
    <row r="8" ht="15.75" customHeight="1" spans="1:148" s="465" customFormat="1" x14ac:dyDescent="0.25">
      <c r="A8" s="466" t="s">
        <v>2126</v>
      </c>
      <c r="B8" s="20" t="s">
        <v>0</v>
      </c>
      <c r="C8" s="188" t="s">
        <v>2127</v>
      </c>
      <c r="D8" s="22" t="s">
        <v>2128</v>
      </c>
      <c r="E8" s="23" t="s">
        <v>2129</v>
      </c>
      <c r="F8" s="111" t="s">
        <v>0</v>
      </c>
      <c r="G8" s="28" t="s">
        <v>0</v>
      </c>
      <c r="H8" s="111" t="s">
        <v>0</v>
      </c>
      <c r="I8" s="28" t="s">
        <v>0</v>
      </c>
      <c r="J8" s="111" t="s">
        <v>2128</v>
      </c>
      <c r="K8" s="28" t="s">
        <v>0</v>
      </c>
      <c r="L8" s="111" t="s">
        <v>0</v>
      </c>
      <c r="M8" s="28" t="s">
        <v>0</v>
      </c>
      <c r="N8" s="111" t="s">
        <v>0</v>
      </c>
      <c r="O8" s="28" t="s">
        <v>0</v>
      </c>
      <c r="P8" s="111" t="s">
        <v>0</v>
      </c>
      <c r="Q8" s="28" t="s">
        <v>0</v>
      </c>
      <c r="R8" s="28" t="s">
        <v>0</v>
      </c>
      <c r="S8" s="24" t="s">
        <v>2128</v>
      </c>
      <c r="T8" s="465"/>
      <c r="U8" s="465"/>
      <c r="V8" s="465"/>
      <c r="W8" s="465"/>
      <c r="X8" s="465"/>
      <c r="Y8" s="465"/>
      <c r="Z8" s="465"/>
      <c r="AA8" s="465"/>
      <c r="AB8" s="465"/>
      <c r="AC8" s="465"/>
      <c r="AD8" s="465"/>
      <c r="AE8" s="465"/>
      <c r="AF8" s="465"/>
      <c r="AG8" s="465"/>
      <c r="AH8" s="465"/>
      <c r="AI8" s="465"/>
      <c r="AJ8" s="465"/>
      <c r="AK8" s="465"/>
      <c r="AL8" s="465"/>
      <c r="AM8" s="465"/>
      <c r="AN8" s="465"/>
      <c r="AO8" s="465"/>
      <c r="AP8" s="465"/>
      <c r="AQ8" s="465"/>
      <c r="AR8" s="465"/>
      <c r="AS8" s="465"/>
      <c r="AT8" s="465"/>
      <c r="AU8" s="465"/>
      <c r="AV8" s="465"/>
      <c r="AW8" s="465"/>
      <c r="AX8" s="465"/>
      <c r="AY8" s="465"/>
      <c r="AZ8" s="465"/>
      <c r="BA8" s="465"/>
      <c r="BB8" s="465"/>
      <c r="BC8" s="465"/>
      <c r="BD8" s="465"/>
      <c r="BE8" s="465"/>
      <c r="BF8" s="465"/>
      <c r="BG8" s="465"/>
      <c r="BH8" s="465"/>
      <c r="BI8" s="465"/>
      <c r="BJ8" s="465"/>
      <c r="BK8" s="465"/>
      <c r="BL8" s="465"/>
      <c r="BM8" s="465"/>
      <c r="BN8" s="465"/>
      <c r="BO8" s="465"/>
      <c r="BP8" s="465"/>
      <c r="BQ8" s="465"/>
      <c r="BR8" s="465"/>
      <c r="BS8" s="465"/>
      <c r="BT8" s="465"/>
      <c r="BU8" s="465"/>
      <c r="BV8" s="465"/>
      <c r="BW8" s="465"/>
      <c r="BX8" s="465"/>
      <c r="BY8" s="465"/>
      <c r="BZ8" s="465"/>
      <c r="CA8" s="465"/>
      <c r="CB8" s="465"/>
      <c r="CC8" s="465"/>
      <c r="CD8" s="465"/>
      <c r="CE8" s="465"/>
      <c r="CF8" s="465"/>
      <c r="CG8" s="465"/>
      <c r="CH8" s="465"/>
      <c r="CI8" s="465"/>
      <c r="CJ8" s="465"/>
      <c r="CK8" s="465"/>
      <c r="CL8" s="465"/>
      <c r="CM8" s="465"/>
      <c r="CN8" s="465"/>
      <c r="CO8" s="465"/>
      <c r="CP8" s="465"/>
      <c r="CQ8" s="465"/>
      <c r="CR8" s="465"/>
      <c r="CS8" s="465"/>
      <c r="CT8" s="465"/>
      <c r="CU8" s="465"/>
      <c r="CV8" s="465"/>
      <c r="CW8" s="465"/>
      <c r="CX8" s="465"/>
      <c r="CY8" s="465"/>
      <c r="CZ8" s="465"/>
      <c r="DA8" s="465"/>
      <c r="DB8" s="465"/>
      <c r="DC8" s="465"/>
      <c r="DD8" s="465"/>
      <c r="DE8" s="465"/>
      <c r="DF8" s="465"/>
      <c r="DG8" s="465"/>
      <c r="DH8" s="465"/>
      <c r="DI8" s="465"/>
      <c r="DJ8" s="465"/>
      <c r="DK8" s="465"/>
      <c r="DL8" s="465"/>
      <c r="DM8" s="465"/>
      <c r="DN8" s="465"/>
      <c r="DO8" s="465"/>
      <c r="DP8" s="465"/>
      <c r="DQ8" s="465"/>
      <c r="DR8" s="465"/>
      <c r="DS8" s="465"/>
      <c r="DT8" s="465"/>
      <c r="DU8" s="465"/>
      <c r="DV8" s="465"/>
      <c r="DW8" s="465"/>
      <c r="DX8" s="465"/>
      <c r="DY8" s="465"/>
      <c r="DZ8" s="465"/>
      <c r="EA8" s="465"/>
      <c r="EB8" s="465"/>
      <c r="EC8" s="465"/>
      <c r="ED8" s="465"/>
      <c r="EE8" s="465"/>
      <c r="EF8" s="465"/>
      <c r="EG8" s="465"/>
      <c r="EH8" s="465"/>
      <c r="EI8" s="465"/>
      <c r="EJ8" s="465"/>
      <c r="EK8" s="465"/>
      <c r="EL8" s="465"/>
      <c r="EM8" s="465"/>
      <c r="EN8" s="465"/>
      <c r="EO8" s="465"/>
      <c r="EP8" s="465"/>
      <c r="EQ8" s="465"/>
      <c r="ER8" s="467"/>
    </row>
    <row r="9" ht="15.75" customHeight="1" spans="1:148" s="465" customFormat="1" x14ac:dyDescent="0.25">
      <c r="A9" s="466" t="s">
        <v>493</v>
      </c>
      <c r="B9" s="27" t="s">
        <v>0</v>
      </c>
      <c r="C9" s="188" t="s">
        <v>268</v>
      </c>
      <c r="D9" s="22" t="s">
        <v>0</v>
      </c>
      <c r="E9" s="23" t="s">
        <v>268</v>
      </c>
      <c r="F9" s="111" t="s">
        <v>0</v>
      </c>
      <c r="G9" s="28" t="s">
        <v>0</v>
      </c>
      <c r="H9" s="111" t="s">
        <v>0</v>
      </c>
      <c r="I9" s="28" t="s">
        <v>0</v>
      </c>
      <c r="J9" s="111" t="s">
        <v>0</v>
      </c>
      <c r="K9" s="28" t="s">
        <v>0</v>
      </c>
      <c r="L9" s="111" t="s">
        <v>0</v>
      </c>
      <c r="M9" s="28" t="s">
        <v>0</v>
      </c>
      <c r="N9" s="111" t="s">
        <v>0</v>
      </c>
      <c r="O9" s="28" t="s">
        <v>0</v>
      </c>
      <c r="P9" s="111" t="s">
        <v>0</v>
      </c>
      <c r="Q9" s="28" t="s">
        <v>0</v>
      </c>
      <c r="R9" s="28" t="s">
        <v>0</v>
      </c>
      <c r="S9" s="24" t="s">
        <v>0</v>
      </c>
      <c r="T9" s="465"/>
      <c r="U9" s="465"/>
      <c r="V9" s="465"/>
      <c r="W9" s="465"/>
      <c r="X9" s="465"/>
      <c r="Y9" s="465"/>
      <c r="Z9" s="465"/>
      <c r="AA9" s="465"/>
      <c r="AB9" s="465"/>
      <c r="AC9" s="465"/>
      <c r="AD9" s="465"/>
      <c r="AE9" s="465"/>
      <c r="AF9" s="465"/>
      <c r="AG9" s="465"/>
      <c r="AH9" s="465"/>
      <c r="AI9" s="465"/>
      <c r="AJ9" s="465"/>
      <c r="AK9" s="465"/>
      <c r="AL9" s="465"/>
      <c r="AM9" s="465"/>
      <c r="AN9" s="465"/>
      <c r="AO9" s="465"/>
      <c r="AP9" s="465"/>
      <c r="AQ9" s="465"/>
      <c r="AR9" s="465"/>
      <c r="AS9" s="465"/>
      <c r="AT9" s="465"/>
      <c r="AU9" s="465"/>
      <c r="AV9" s="465"/>
      <c r="AW9" s="465"/>
      <c r="AX9" s="465"/>
      <c r="AY9" s="465"/>
      <c r="AZ9" s="465"/>
      <c r="BA9" s="465"/>
      <c r="BB9" s="465"/>
      <c r="BC9" s="465"/>
      <c r="BD9" s="465"/>
      <c r="BE9" s="465"/>
      <c r="BF9" s="465"/>
      <c r="BG9" s="465"/>
      <c r="BH9" s="465"/>
      <c r="BI9" s="465"/>
      <c r="BJ9" s="465"/>
      <c r="BK9" s="465"/>
      <c r="BL9" s="465"/>
      <c r="BM9" s="465"/>
      <c r="BN9" s="465"/>
      <c r="BO9" s="465"/>
      <c r="BP9" s="465"/>
      <c r="BQ9" s="465"/>
      <c r="BR9" s="465"/>
      <c r="BS9" s="465"/>
      <c r="BT9" s="465"/>
      <c r="BU9" s="465"/>
      <c r="BV9" s="465"/>
      <c r="BW9" s="465"/>
      <c r="BX9" s="465"/>
      <c r="BY9" s="465"/>
      <c r="BZ9" s="465"/>
      <c r="CA9" s="465"/>
      <c r="CB9" s="465"/>
      <c r="CC9" s="465"/>
      <c r="CD9" s="465"/>
      <c r="CE9" s="465"/>
      <c r="CF9" s="465"/>
      <c r="CG9" s="465"/>
      <c r="CH9" s="465"/>
      <c r="CI9" s="465"/>
      <c r="CJ9" s="465"/>
      <c r="CK9" s="465"/>
      <c r="CL9" s="465"/>
      <c r="CM9" s="465"/>
      <c r="CN9" s="465"/>
      <c r="CO9" s="465"/>
      <c r="CP9" s="465"/>
      <c r="CQ9" s="465"/>
      <c r="CR9" s="465"/>
      <c r="CS9" s="465"/>
      <c r="CT9" s="465"/>
      <c r="CU9" s="465"/>
      <c r="CV9" s="465"/>
      <c r="CW9" s="465"/>
      <c r="CX9" s="465"/>
      <c r="CY9" s="465"/>
      <c r="CZ9" s="465"/>
      <c r="DA9" s="465"/>
      <c r="DB9" s="465"/>
      <c r="DC9" s="465"/>
      <c r="DD9" s="465"/>
      <c r="DE9" s="465"/>
      <c r="DF9" s="465"/>
      <c r="DG9" s="465"/>
      <c r="DH9" s="465"/>
      <c r="DI9" s="465"/>
      <c r="DJ9" s="465"/>
      <c r="DK9" s="465"/>
      <c r="DL9" s="465"/>
      <c r="DM9" s="465"/>
      <c r="DN9" s="465"/>
      <c r="DO9" s="465"/>
      <c r="DP9" s="465"/>
      <c r="DQ9" s="465"/>
      <c r="DR9" s="465"/>
      <c r="DS9" s="465"/>
      <c r="DT9" s="465"/>
      <c r="DU9" s="465"/>
      <c r="DV9" s="465"/>
      <c r="DW9" s="465"/>
      <c r="DX9" s="465"/>
      <c r="DY9" s="465"/>
      <c r="DZ9" s="465"/>
      <c r="EA9" s="465"/>
      <c r="EB9" s="465"/>
      <c r="EC9" s="465"/>
      <c r="ED9" s="465"/>
      <c r="EE9" s="465"/>
      <c r="EF9" s="465"/>
      <c r="EG9" s="465"/>
      <c r="EH9" s="465"/>
      <c r="EI9" s="465"/>
      <c r="EJ9" s="465"/>
      <c r="EK9" s="465"/>
      <c r="EL9" s="465"/>
      <c r="EM9" s="465"/>
      <c r="EN9" s="465"/>
      <c r="EO9" s="465"/>
      <c r="EP9" s="465"/>
      <c r="EQ9" s="465"/>
      <c r="ER9" s="467"/>
    </row>
    <row r="10" ht="15.75" customHeight="1" spans="1:148" s="465" customFormat="1" x14ac:dyDescent="0.25">
      <c r="A10" s="466" t="s">
        <v>2130</v>
      </c>
      <c r="B10" s="27" t="s">
        <v>0</v>
      </c>
      <c r="C10" s="188" t="s">
        <v>293</v>
      </c>
      <c r="D10" s="22" t="s">
        <v>0</v>
      </c>
      <c r="E10" s="23" t="s">
        <v>293</v>
      </c>
      <c r="F10" s="111" t="s">
        <v>0</v>
      </c>
      <c r="G10" s="28" t="s">
        <v>0</v>
      </c>
      <c r="H10" s="111" t="s">
        <v>0</v>
      </c>
      <c r="I10" s="28" t="s">
        <v>0</v>
      </c>
      <c r="J10" s="111" t="s">
        <v>0</v>
      </c>
      <c r="K10" s="28" t="s">
        <v>0</v>
      </c>
      <c r="L10" s="111" t="s">
        <v>0</v>
      </c>
      <c r="M10" s="28" t="s">
        <v>0</v>
      </c>
      <c r="N10" s="111" t="s">
        <v>0</v>
      </c>
      <c r="O10" s="28" t="s">
        <v>0</v>
      </c>
      <c r="P10" s="111" t="s">
        <v>0</v>
      </c>
      <c r="Q10" s="28" t="s">
        <v>0</v>
      </c>
      <c r="R10" s="28" t="s">
        <v>0</v>
      </c>
      <c r="S10" s="24" t="s">
        <v>0</v>
      </c>
      <c r="T10" s="465"/>
      <c r="U10" s="465"/>
      <c r="V10" s="465"/>
      <c r="W10" s="465"/>
      <c r="X10" s="465"/>
      <c r="Y10" s="465"/>
      <c r="Z10" s="465"/>
      <c r="AA10" s="465"/>
      <c r="AB10" s="465"/>
      <c r="AC10" s="465"/>
      <c r="AD10" s="465"/>
      <c r="AE10" s="465"/>
      <c r="AF10" s="465"/>
      <c r="AG10" s="465"/>
      <c r="AH10" s="465"/>
      <c r="AI10" s="465"/>
      <c r="AJ10" s="465"/>
      <c r="AK10" s="465"/>
      <c r="AL10" s="465"/>
      <c r="AM10" s="465"/>
      <c r="AN10" s="465"/>
      <c r="AO10" s="465"/>
      <c r="AP10" s="465"/>
      <c r="AQ10" s="465"/>
      <c r="AR10" s="465"/>
      <c r="AS10" s="465"/>
      <c r="AT10" s="465"/>
      <c r="AU10" s="465"/>
      <c r="AV10" s="465"/>
      <c r="AW10" s="465"/>
      <c r="AX10" s="465"/>
      <c r="AY10" s="465"/>
      <c r="AZ10" s="465"/>
      <c r="BA10" s="465"/>
      <c r="BB10" s="465"/>
      <c r="BC10" s="465"/>
      <c r="BD10" s="465"/>
      <c r="BE10" s="465"/>
      <c r="BF10" s="465"/>
      <c r="BG10" s="465"/>
      <c r="BH10" s="465"/>
      <c r="BI10" s="465"/>
      <c r="BJ10" s="465"/>
      <c r="BK10" s="465"/>
      <c r="BL10" s="465"/>
      <c r="BM10" s="465"/>
      <c r="BN10" s="465"/>
      <c r="BO10" s="465"/>
      <c r="BP10" s="465"/>
      <c r="BQ10" s="465"/>
      <c r="BR10" s="465"/>
      <c r="BS10" s="465"/>
      <c r="BT10" s="465"/>
      <c r="BU10" s="465"/>
      <c r="BV10" s="465"/>
      <c r="BW10" s="465"/>
      <c r="BX10" s="465"/>
      <c r="BY10" s="465"/>
      <c r="BZ10" s="465"/>
      <c r="CA10" s="465"/>
      <c r="CB10" s="465"/>
      <c r="CC10" s="465"/>
      <c r="CD10" s="465"/>
      <c r="CE10" s="465"/>
      <c r="CF10" s="465"/>
      <c r="CG10" s="465"/>
      <c r="CH10" s="465"/>
      <c r="CI10" s="465"/>
      <c r="CJ10" s="465"/>
      <c r="CK10" s="465"/>
      <c r="CL10" s="465"/>
      <c r="CM10" s="465"/>
      <c r="CN10" s="465"/>
      <c r="CO10" s="465"/>
      <c r="CP10" s="465"/>
      <c r="CQ10" s="465"/>
      <c r="CR10" s="465"/>
      <c r="CS10" s="465"/>
      <c r="CT10" s="465"/>
      <c r="CU10" s="465"/>
      <c r="CV10" s="465"/>
      <c r="CW10" s="465"/>
      <c r="CX10" s="465"/>
      <c r="CY10" s="465"/>
      <c r="CZ10" s="465"/>
      <c r="DA10" s="465"/>
      <c r="DB10" s="465"/>
      <c r="DC10" s="465"/>
      <c r="DD10" s="465"/>
      <c r="DE10" s="465"/>
      <c r="DF10" s="465"/>
      <c r="DG10" s="465"/>
      <c r="DH10" s="465"/>
      <c r="DI10" s="465"/>
      <c r="DJ10" s="465"/>
      <c r="DK10" s="465"/>
      <c r="DL10" s="465"/>
      <c r="DM10" s="465"/>
      <c r="DN10" s="465"/>
      <c r="DO10" s="465"/>
      <c r="DP10" s="465"/>
      <c r="DQ10" s="465"/>
      <c r="DR10" s="465"/>
      <c r="DS10" s="465"/>
      <c r="DT10" s="465"/>
      <c r="DU10" s="465"/>
      <c r="DV10" s="465"/>
      <c r="DW10" s="465"/>
      <c r="DX10" s="465"/>
      <c r="DY10" s="465"/>
      <c r="DZ10" s="465"/>
      <c r="EA10" s="465"/>
      <c r="EB10" s="465"/>
      <c r="EC10" s="465"/>
      <c r="ED10" s="465"/>
      <c r="EE10" s="465"/>
      <c r="EF10" s="465"/>
      <c r="EG10" s="465"/>
      <c r="EH10" s="465"/>
      <c r="EI10" s="465"/>
      <c r="EJ10" s="465"/>
      <c r="EK10" s="465"/>
      <c r="EL10" s="465"/>
      <c r="EM10" s="465"/>
      <c r="EN10" s="465"/>
      <c r="EO10" s="465"/>
      <c r="EP10" s="465"/>
      <c r="EQ10" s="465"/>
      <c r="ER10" s="467"/>
    </row>
    <row r="11" ht="15.75" customHeight="1" spans="1:148" s="465" customFormat="1" x14ac:dyDescent="0.25">
      <c r="A11" s="466" t="s">
        <v>2131</v>
      </c>
      <c r="B11" s="27" t="s">
        <v>0</v>
      </c>
      <c r="C11" s="188" t="s">
        <v>2132</v>
      </c>
      <c r="D11" s="22" t="s">
        <v>0</v>
      </c>
      <c r="E11" s="23" t="s">
        <v>2132</v>
      </c>
      <c r="F11" s="111" t="s">
        <v>0</v>
      </c>
      <c r="G11" s="28" t="s">
        <v>0</v>
      </c>
      <c r="H11" s="111" t="s">
        <v>0</v>
      </c>
      <c r="I11" s="28" t="s">
        <v>0</v>
      </c>
      <c r="J11" s="111" t="s">
        <v>0</v>
      </c>
      <c r="K11" s="28" t="s">
        <v>0</v>
      </c>
      <c r="L11" s="111" t="s">
        <v>0</v>
      </c>
      <c r="M11" s="28" t="s">
        <v>0</v>
      </c>
      <c r="N11" s="111" t="s">
        <v>0</v>
      </c>
      <c r="O11" s="28" t="s">
        <v>0</v>
      </c>
      <c r="P11" s="111" t="s">
        <v>0</v>
      </c>
      <c r="Q11" s="28" t="s">
        <v>0</v>
      </c>
      <c r="R11" s="28" t="s">
        <v>0</v>
      </c>
      <c r="S11" s="24" t="s">
        <v>0</v>
      </c>
      <c r="T11" s="465"/>
      <c r="U11" s="465"/>
      <c r="V11" s="465"/>
      <c r="W11" s="465"/>
      <c r="X11" s="465"/>
      <c r="Y11" s="465"/>
      <c r="Z11" s="465"/>
      <c r="AA11" s="465"/>
      <c r="AB11" s="465"/>
      <c r="AC11" s="465"/>
      <c r="AD11" s="465"/>
      <c r="AE11" s="465"/>
      <c r="AF11" s="465"/>
      <c r="AG11" s="465"/>
      <c r="AH11" s="465"/>
      <c r="AI11" s="465"/>
      <c r="AJ11" s="465"/>
      <c r="AK11" s="465"/>
      <c r="AL11" s="465"/>
      <c r="AM11" s="465"/>
      <c r="AN11" s="465"/>
      <c r="AO11" s="465"/>
      <c r="AP11" s="465"/>
      <c r="AQ11" s="465"/>
      <c r="AR11" s="465"/>
      <c r="AS11" s="465"/>
      <c r="AT11" s="465"/>
      <c r="AU11" s="465"/>
      <c r="AV11" s="465"/>
      <c r="AW11" s="465"/>
      <c r="AX11" s="465"/>
      <c r="AY11" s="465"/>
      <c r="AZ11" s="465"/>
      <c r="BA11" s="465"/>
      <c r="BB11" s="465"/>
      <c r="BC11" s="465"/>
      <c r="BD11" s="465"/>
      <c r="BE11" s="465"/>
      <c r="BF11" s="465"/>
      <c r="BG11" s="465"/>
      <c r="BH11" s="465"/>
      <c r="BI11" s="465"/>
      <c r="BJ11" s="465"/>
      <c r="BK11" s="465"/>
      <c r="BL11" s="465"/>
      <c r="BM11" s="465"/>
      <c r="BN11" s="465"/>
      <c r="BO11" s="465"/>
      <c r="BP11" s="465"/>
      <c r="BQ11" s="465"/>
      <c r="BR11" s="465"/>
      <c r="BS11" s="465"/>
      <c r="BT11" s="465"/>
      <c r="BU11" s="465"/>
      <c r="BV11" s="465"/>
      <c r="BW11" s="465"/>
      <c r="BX11" s="465"/>
      <c r="BY11" s="465"/>
      <c r="BZ11" s="465"/>
      <c r="CA11" s="465"/>
      <c r="CB11" s="465"/>
      <c r="CC11" s="465"/>
      <c r="CD11" s="465"/>
      <c r="CE11" s="465"/>
      <c r="CF11" s="465"/>
      <c r="CG11" s="465"/>
      <c r="CH11" s="465"/>
      <c r="CI11" s="465"/>
      <c r="CJ11" s="465"/>
      <c r="CK11" s="465"/>
      <c r="CL11" s="465"/>
      <c r="CM11" s="465"/>
      <c r="CN11" s="465"/>
      <c r="CO11" s="465"/>
      <c r="CP11" s="465"/>
      <c r="CQ11" s="465"/>
      <c r="CR11" s="465"/>
      <c r="CS11" s="465"/>
      <c r="CT11" s="465"/>
      <c r="CU11" s="465"/>
      <c r="CV11" s="465"/>
      <c r="CW11" s="465"/>
      <c r="CX11" s="465"/>
      <c r="CY11" s="465"/>
      <c r="CZ11" s="465"/>
      <c r="DA11" s="465"/>
      <c r="DB11" s="465"/>
      <c r="DC11" s="465"/>
      <c r="DD11" s="465"/>
      <c r="DE11" s="465"/>
      <c r="DF11" s="465"/>
      <c r="DG11" s="465"/>
      <c r="DH11" s="465"/>
      <c r="DI11" s="465"/>
      <c r="DJ11" s="465"/>
      <c r="DK11" s="465"/>
      <c r="DL11" s="465"/>
      <c r="DM11" s="465"/>
      <c r="DN11" s="465"/>
      <c r="DO11" s="465"/>
      <c r="DP11" s="465"/>
      <c r="DQ11" s="465"/>
      <c r="DR11" s="465"/>
      <c r="DS11" s="465"/>
      <c r="DT11" s="465"/>
      <c r="DU11" s="465"/>
      <c r="DV11" s="465"/>
      <c r="DW11" s="465"/>
      <c r="DX11" s="465"/>
      <c r="DY11" s="465"/>
      <c r="DZ11" s="465"/>
      <c r="EA11" s="465"/>
      <c r="EB11" s="465"/>
      <c r="EC11" s="465"/>
      <c r="ED11" s="465"/>
      <c r="EE11" s="465"/>
      <c r="EF11" s="465"/>
      <c r="EG11" s="465"/>
      <c r="EH11" s="465"/>
      <c r="EI11" s="465"/>
      <c r="EJ11" s="465"/>
      <c r="EK11" s="465"/>
      <c r="EL11" s="465"/>
      <c r="EM11" s="465"/>
      <c r="EN11" s="465"/>
      <c r="EO11" s="465"/>
      <c r="EP11" s="465"/>
      <c r="EQ11" s="465"/>
      <c r="ER11" s="467"/>
    </row>
    <row r="12" ht="15.75" customHeight="1" spans="1:148" s="465" customFormat="1" x14ac:dyDescent="0.25">
      <c r="A12" s="466" t="s">
        <v>2133</v>
      </c>
      <c r="B12" s="27" t="s">
        <v>0</v>
      </c>
      <c r="C12" s="188" t="s">
        <v>2134</v>
      </c>
      <c r="D12" s="22" t="s">
        <v>0</v>
      </c>
      <c r="E12" s="23" t="s">
        <v>2134</v>
      </c>
      <c r="F12" s="111" t="s">
        <v>0</v>
      </c>
      <c r="G12" s="28" t="s">
        <v>0</v>
      </c>
      <c r="H12" s="111" t="s">
        <v>0</v>
      </c>
      <c r="I12" s="28" t="s">
        <v>0</v>
      </c>
      <c r="J12" s="111" t="s">
        <v>0</v>
      </c>
      <c r="K12" s="28" t="s">
        <v>0</v>
      </c>
      <c r="L12" s="111" t="s">
        <v>0</v>
      </c>
      <c r="M12" s="28" t="s">
        <v>0</v>
      </c>
      <c r="N12" s="111" t="s">
        <v>0</v>
      </c>
      <c r="O12" s="28" t="s">
        <v>0</v>
      </c>
      <c r="P12" s="111" t="s">
        <v>0</v>
      </c>
      <c r="Q12" s="28" t="s">
        <v>0</v>
      </c>
      <c r="R12" s="28" t="s">
        <v>0</v>
      </c>
      <c r="S12" s="24" t="s">
        <v>0</v>
      </c>
      <c r="T12" s="465"/>
      <c r="U12" s="465"/>
      <c r="V12" s="465"/>
      <c r="W12" s="465"/>
      <c r="X12" s="465"/>
      <c r="Y12" s="465"/>
      <c r="Z12" s="465"/>
      <c r="AA12" s="465"/>
      <c r="AB12" s="465"/>
      <c r="AC12" s="465"/>
      <c r="AD12" s="465"/>
      <c r="AE12" s="465"/>
      <c r="AF12" s="465"/>
      <c r="AG12" s="465"/>
      <c r="AH12" s="465"/>
      <c r="AI12" s="465"/>
      <c r="AJ12" s="465"/>
      <c r="AK12" s="465"/>
      <c r="AL12" s="465"/>
      <c r="AM12" s="465"/>
      <c r="AN12" s="465"/>
      <c r="AO12" s="465"/>
      <c r="AP12" s="465"/>
      <c r="AQ12" s="465"/>
      <c r="AR12" s="465"/>
      <c r="AS12" s="465"/>
      <c r="AT12" s="465"/>
      <c r="AU12" s="465"/>
      <c r="AV12" s="465"/>
      <c r="AW12" s="465"/>
      <c r="AX12" s="465"/>
      <c r="AY12" s="465"/>
      <c r="AZ12" s="465"/>
      <c r="BA12" s="465"/>
      <c r="BB12" s="465"/>
      <c r="BC12" s="465"/>
      <c r="BD12" s="465"/>
      <c r="BE12" s="465"/>
      <c r="BF12" s="465"/>
      <c r="BG12" s="465"/>
      <c r="BH12" s="465"/>
      <c r="BI12" s="465"/>
      <c r="BJ12" s="465"/>
      <c r="BK12" s="465"/>
      <c r="BL12" s="465"/>
      <c r="BM12" s="465"/>
      <c r="BN12" s="465"/>
      <c r="BO12" s="465"/>
      <c r="BP12" s="465"/>
      <c r="BQ12" s="465"/>
      <c r="BR12" s="465"/>
      <c r="BS12" s="465"/>
      <c r="BT12" s="465"/>
      <c r="BU12" s="465"/>
      <c r="BV12" s="465"/>
      <c r="BW12" s="465"/>
      <c r="BX12" s="465"/>
      <c r="BY12" s="465"/>
      <c r="BZ12" s="465"/>
      <c r="CA12" s="465"/>
      <c r="CB12" s="465"/>
      <c r="CC12" s="465"/>
      <c r="CD12" s="465"/>
      <c r="CE12" s="465"/>
      <c r="CF12" s="465"/>
      <c r="CG12" s="465"/>
      <c r="CH12" s="465"/>
      <c r="CI12" s="465"/>
      <c r="CJ12" s="465"/>
      <c r="CK12" s="465"/>
      <c r="CL12" s="465"/>
      <c r="CM12" s="465"/>
      <c r="CN12" s="465"/>
      <c r="CO12" s="465"/>
      <c r="CP12" s="465"/>
      <c r="CQ12" s="465"/>
      <c r="CR12" s="465"/>
      <c r="CS12" s="465"/>
      <c r="CT12" s="465"/>
      <c r="CU12" s="465"/>
      <c r="CV12" s="465"/>
      <c r="CW12" s="465"/>
      <c r="CX12" s="465"/>
      <c r="CY12" s="465"/>
      <c r="CZ12" s="465"/>
      <c r="DA12" s="465"/>
      <c r="DB12" s="465"/>
      <c r="DC12" s="465"/>
      <c r="DD12" s="465"/>
      <c r="DE12" s="465"/>
      <c r="DF12" s="465"/>
      <c r="DG12" s="465"/>
      <c r="DH12" s="465"/>
      <c r="DI12" s="465"/>
      <c r="DJ12" s="465"/>
      <c r="DK12" s="465"/>
      <c r="DL12" s="465"/>
      <c r="DM12" s="465"/>
      <c r="DN12" s="465"/>
      <c r="DO12" s="465"/>
      <c r="DP12" s="465"/>
      <c r="DQ12" s="465"/>
      <c r="DR12" s="465"/>
      <c r="DS12" s="465"/>
      <c r="DT12" s="465"/>
      <c r="DU12" s="465"/>
      <c r="DV12" s="465"/>
      <c r="DW12" s="465"/>
      <c r="DX12" s="465"/>
      <c r="DY12" s="465"/>
      <c r="DZ12" s="465"/>
      <c r="EA12" s="465"/>
      <c r="EB12" s="465"/>
      <c r="EC12" s="465"/>
      <c r="ED12" s="465"/>
      <c r="EE12" s="465"/>
      <c r="EF12" s="465"/>
      <c r="EG12" s="465"/>
      <c r="EH12" s="465"/>
      <c r="EI12" s="465"/>
      <c r="EJ12" s="465"/>
      <c r="EK12" s="465"/>
      <c r="EL12" s="465"/>
      <c r="EM12" s="465"/>
      <c r="EN12" s="465"/>
      <c r="EO12" s="465"/>
      <c r="EP12" s="465"/>
      <c r="EQ12" s="465"/>
      <c r="ER12" s="467"/>
    </row>
    <row r="13" ht="15.75" customHeight="1" spans="1:148" s="465" customFormat="1" x14ac:dyDescent="0.25">
      <c r="A13" s="466" t="s">
        <v>2135</v>
      </c>
      <c r="B13" s="27" t="s">
        <v>0</v>
      </c>
      <c r="C13" s="188" t="s">
        <v>2132</v>
      </c>
      <c r="D13" s="22" t="s">
        <v>0</v>
      </c>
      <c r="E13" s="23" t="s">
        <v>2132</v>
      </c>
      <c r="F13" s="111" t="s">
        <v>0</v>
      </c>
      <c r="G13" s="28" t="s">
        <v>0</v>
      </c>
      <c r="H13" s="111" t="s">
        <v>0</v>
      </c>
      <c r="I13" s="28" t="s">
        <v>0</v>
      </c>
      <c r="J13" s="111" t="s">
        <v>0</v>
      </c>
      <c r="K13" s="28" t="s">
        <v>0</v>
      </c>
      <c r="L13" s="111" t="s">
        <v>0</v>
      </c>
      <c r="M13" s="28" t="s">
        <v>0</v>
      </c>
      <c r="N13" s="111" t="s">
        <v>0</v>
      </c>
      <c r="O13" s="28" t="s">
        <v>0</v>
      </c>
      <c r="P13" s="111" t="s">
        <v>0</v>
      </c>
      <c r="Q13" s="28" t="s">
        <v>0</v>
      </c>
      <c r="R13" s="28" t="s">
        <v>0</v>
      </c>
      <c r="S13" s="24" t="s">
        <v>0</v>
      </c>
      <c r="T13" s="465"/>
      <c r="U13" s="465"/>
      <c r="V13" s="465"/>
      <c r="W13" s="465"/>
      <c r="X13" s="465"/>
      <c r="Y13" s="465"/>
      <c r="Z13" s="465"/>
      <c r="AA13" s="465"/>
      <c r="AB13" s="465"/>
      <c r="AC13" s="465"/>
      <c r="AD13" s="465"/>
      <c r="AE13" s="465"/>
      <c r="AF13" s="465"/>
      <c r="AG13" s="465"/>
      <c r="AH13" s="465"/>
      <c r="AI13" s="465"/>
      <c r="AJ13" s="465"/>
      <c r="AK13" s="465"/>
      <c r="AL13" s="465"/>
      <c r="AM13" s="465"/>
      <c r="AN13" s="465"/>
      <c r="AO13" s="465"/>
      <c r="AP13" s="465"/>
      <c r="AQ13" s="465"/>
      <c r="AR13" s="465"/>
      <c r="AS13" s="465"/>
      <c r="AT13" s="465"/>
      <c r="AU13" s="465"/>
      <c r="AV13" s="465"/>
      <c r="AW13" s="465"/>
      <c r="AX13" s="465"/>
      <c r="AY13" s="465"/>
      <c r="AZ13" s="465"/>
      <c r="BA13" s="465"/>
      <c r="BB13" s="465"/>
      <c r="BC13" s="465"/>
      <c r="BD13" s="465"/>
      <c r="BE13" s="465"/>
      <c r="BF13" s="465"/>
      <c r="BG13" s="465"/>
      <c r="BH13" s="465"/>
      <c r="BI13" s="465"/>
      <c r="BJ13" s="465"/>
      <c r="BK13" s="465"/>
      <c r="BL13" s="465"/>
      <c r="BM13" s="465"/>
      <c r="BN13" s="465"/>
      <c r="BO13" s="465"/>
      <c r="BP13" s="465"/>
      <c r="BQ13" s="465"/>
      <c r="BR13" s="465"/>
      <c r="BS13" s="465"/>
      <c r="BT13" s="465"/>
      <c r="BU13" s="465"/>
      <c r="BV13" s="465"/>
      <c r="BW13" s="465"/>
      <c r="BX13" s="465"/>
      <c r="BY13" s="465"/>
      <c r="BZ13" s="465"/>
      <c r="CA13" s="465"/>
      <c r="CB13" s="465"/>
      <c r="CC13" s="465"/>
      <c r="CD13" s="465"/>
      <c r="CE13" s="465"/>
      <c r="CF13" s="465"/>
      <c r="CG13" s="465"/>
      <c r="CH13" s="465"/>
      <c r="CI13" s="465"/>
      <c r="CJ13" s="465"/>
      <c r="CK13" s="465"/>
      <c r="CL13" s="465"/>
      <c r="CM13" s="465"/>
      <c r="CN13" s="465"/>
      <c r="CO13" s="465"/>
      <c r="CP13" s="465"/>
      <c r="CQ13" s="465"/>
      <c r="CR13" s="465"/>
      <c r="CS13" s="465"/>
      <c r="CT13" s="465"/>
      <c r="CU13" s="465"/>
      <c r="CV13" s="465"/>
      <c r="CW13" s="465"/>
      <c r="CX13" s="465"/>
      <c r="CY13" s="465"/>
      <c r="CZ13" s="465"/>
      <c r="DA13" s="465"/>
      <c r="DB13" s="465"/>
      <c r="DC13" s="465"/>
      <c r="DD13" s="465"/>
      <c r="DE13" s="465"/>
      <c r="DF13" s="465"/>
      <c r="DG13" s="465"/>
      <c r="DH13" s="465"/>
      <c r="DI13" s="465"/>
      <c r="DJ13" s="465"/>
      <c r="DK13" s="465"/>
      <c r="DL13" s="465"/>
      <c r="DM13" s="465"/>
      <c r="DN13" s="465"/>
      <c r="DO13" s="465"/>
      <c r="DP13" s="465"/>
      <c r="DQ13" s="465"/>
      <c r="DR13" s="465"/>
      <c r="DS13" s="465"/>
      <c r="DT13" s="465"/>
      <c r="DU13" s="465"/>
      <c r="DV13" s="465"/>
      <c r="DW13" s="465"/>
      <c r="DX13" s="465"/>
      <c r="DY13" s="465"/>
      <c r="DZ13" s="465"/>
      <c r="EA13" s="465"/>
      <c r="EB13" s="465"/>
      <c r="EC13" s="465"/>
      <c r="ED13" s="465"/>
      <c r="EE13" s="465"/>
      <c r="EF13" s="465"/>
      <c r="EG13" s="465"/>
      <c r="EH13" s="465"/>
      <c r="EI13" s="465"/>
      <c r="EJ13" s="465"/>
      <c r="EK13" s="465"/>
      <c r="EL13" s="465"/>
      <c r="EM13" s="465"/>
      <c r="EN13" s="465"/>
      <c r="EO13" s="465"/>
      <c r="EP13" s="465"/>
      <c r="EQ13" s="465"/>
      <c r="ER13" s="467"/>
    </row>
    <row r="14" ht="16.5" customHeight="1" spans="1:19" x14ac:dyDescent="0.25">
      <c r="A14" s="34" t="s">
        <v>0</v>
      </c>
      <c r="B14" s="37" t="s">
        <v>0</v>
      </c>
      <c r="C14" s="37" t="s">
        <v>2136</v>
      </c>
      <c r="D14" s="37" t="s">
        <v>2137</v>
      </c>
      <c r="E14" s="37" t="s">
        <v>2138</v>
      </c>
      <c r="F14" s="37" t="s">
        <v>2109</v>
      </c>
      <c r="G14" s="37" t="s">
        <v>2139</v>
      </c>
      <c r="H14" s="37" t="s">
        <v>2110</v>
      </c>
      <c r="I14" s="37" t="s">
        <v>2140</v>
      </c>
      <c r="J14" s="37" t="s">
        <v>2141</v>
      </c>
      <c r="K14" s="37" t="s">
        <v>2142</v>
      </c>
      <c r="L14" s="37" t="s">
        <v>2143</v>
      </c>
      <c r="M14" s="37" t="s">
        <v>2115</v>
      </c>
      <c r="N14" s="37" t="s">
        <v>2116</v>
      </c>
      <c r="O14" s="37" t="s">
        <v>2144</v>
      </c>
      <c r="P14" s="37" t="s">
        <v>2145</v>
      </c>
      <c r="Q14" s="37" t="s">
        <v>2119</v>
      </c>
      <c r="R14" s="118" t="s">
        <v>73</v>
      </c>
      <c r="S14" s="119" t="s">
        <v>2137</v>
      </c>
    </row>
    <row r="15" spans="1:19" x14ac:dyDescent="0.25">
      <c r="A15"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row>
    <row r="16" ht="15.75" customHeight="1" spans="1:19" x14ac:dyDescent="0.25">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row>
    <row r="17" ht="16.5" customHeight="1" spans="1:19" x14ac:dyDescent="0.25">
      <c r="A17" s="40" t="s">
        <v>200</v>
      </c>
      <c r="B17" s="41" t="s">
        <v>201</v>
      </c>
      <c r="C17" s="42"/>
      <c r="D17" s="42"/>
      <c r="E17" s="43"/>
      <c r="F17" s="41" t="s">
        <v>76</v>
      </c>
      <c r="G17" s="42"/>
      <c r="H17" s="43"/>
      <c r="I17" s="44" t="s">
        <v>77</v>
      </c>
      <c r="J17" s="45" t="s">
        <v>0</v>
      </c>
      <c r="K17" t="s">
        <v>0</v>
      </c>
      <c r="L17" t="s">
        <v>0</v>
      </c>
      <c r="M17" t="s">
        <v>0</v>
      </c>
      <c r="N17" t="s">
        <v>0</v>
      </c>
      <c r="O17" t="s">
        <v>0</v>
      </c>
      <c r="P17" t="s">
        <v>0</v>
      </c>
      <c r="Q17" t="s">
        <v>0</v>
      </c>
      <c r="R17" t="s">
        <v>0</v>
      </c>
      <c r="S17" t="s">
        <v>0</v>
      </c>
    </row>
    <row r="18" ht="33.75" customHeight="1" spans="1:19" x14ac:dyDescent="0.25">
      <c r="A18" s="54" t="s">
        <v>208</v>
      </c>
      <c r="B18" s="127" t="s">
        <v>2146</v>
      </c>
      <c r="C18" s="128"/>
      <c r="D18" s="128"/>
      <c r="E18" s="129"/>
      <c r="F18" s="127" t="s">
        <v>2147</v>
      </c>
      <c r="G18" s="130"/>
      <c r="H18" s="51"/>
      <c r="I18" s="224">
        <v>24347</v>
      </c>
      <c r="J18" s="225"/>
      <c r="K18" t="s">
        <v>0</v>
      </c>
      <c r="L18" t="s">
        <v>0</v>
      </c>
      <c r="M18" t="s">
        <v>0</v>
      </c>
      <c r="N18" t="s">
        <v>0</v>
      </c>
      <c r="O18" t="s">
        <v>0</v>
      </c>
      <c r="P18" t="s">
        <v>0</v>
      </c>
      <c r="Q18" t="s">
        <v>0</v>
      </c>
      <c r="R18" t="s">
        <v>0</v>
      </c>
      <c r="S18" t="s">
        <v>0</v>
      </c>
    </row>
    <row r="19" ht="34.5" customHeight="1" spans="1:19" x14ac:dyDescent="0.25">
      <c r="A19" s="60" t="s">
        <v>208</v>
      </c>
      <c r="B19" s="61" t="s">
        <v>2148</v>
      </c>
      <c r="C19" s="138"/>
      <c r="D19" s="138"/>
      <c r="E19" s="139"/>
      <c r="F19" s="55" t="s">
        <v>2149</v>
      </c>
      <c r="G19" s="140"/>
      <c r="H19" s="65"/>
      <c r="I19" s="85">
        <v>8013</v>
      </c>
      <c r="J19" s="86"/>
      <c r="K19" t="s">
        <v>0</v>
      </c>
      <c r="L19" t="s">
        <v>0</v>
      </c>
      <c r="M19" t="s">
        <v>0</v>
      </c>
      <c r="N19" t="s">
        <v>0</v>
      </c>
      <c r="O19" t="s">
        <v>0</v>
      </c>
      <c r="P19" t="s">
        <v>0</v>
      </c>
      <c r="Q19" t="s">
        <v>0</v>
      </c>
      <c r="R19" t="s">
        <v>0</v>
      </c>
      <c r="S19" t="s">
        <v>0</v>
      </c>
    </row>
    <row r="20" ht="30.75" customHeight="1" spans="1:19" x14ac:dyDescent="0.25">
      <c r="A20" s="60" t="s">
        <v>850</v>
      </c>
      <c r="B20" s="68" t="s">
        <v>2150</v>
      </c>
      <c r="C20" s="69"/>
      <c r="D20" s="69"/>
      <c r="E20" s="70"/>
      <c r="F20" s="75" t="s">
        <v>2151</v>
      </c>
      <c r="G20" s="69"/>
      <c r="H20" s="70"/>
      <c r="I20" s="71">
        <v>10000</v>
      </c>
      <c r="J20" s="72"/>
      <c r="K20" t="s">
        <v>0</v>
      </c>
      <c r="L20" t="s">
        <v>0</v>
      </c>
      <c r="M20" t="s">
        <v>0</v>
      </c>
      <c r="N20" t="s">
        <v>0</v>
      </c>
      <c r="O20" t="s">
        <v>0</v>
      </c>
      <c r="P20" t="s">
        <v>0</v>
      </c>
      <c r="Q20" t="s">
        <v>0</v>
      </c>
      <c r="R20" t="s">
        <v>0</v>
      </c>
      <c r="S20" t="s">
        <v>0</v>
      </c>
    </row>
    <row r="21" ht="30.75" customHeight="1" spans="1:19" x14ac:dyDescent="0.25">
      <c r="A21" s="60" t="s">
        <v>33</v>
      </c>
      <c r="B21" s="68" t="s">
        <v>2152</v>
      </c>
      <c r="C21" s="69"/>
      <c r="D21" s="69"/>
      <c r="E21" s="70"/>
      <c r="F21" s="75" t="s">
        <v>2153</v>
      </c>
      <c r="G21" s="76"/>
      <c r="H21" s="77"/>
      <c r="I21" s="71">
        <v>39230</v>
      </c>
      <c r="J21" s="72"/>
      <c r="K21" t="s">
        <v>0</v>
      </c>
      <c r="L21" t="s">
        <v>0</v>
      </c>
      <c r="M21" t="s">
        <v>0</v>
      </c>
      <c r="N21" t="s">
        <v>0</v>
      </c>
      <c r="O21" t="s">
        <v>0</v>
      </c>
      <c r="P21" t="s">
        <v>0</v>
      </c>
      <c r="Q21" t="s">
        <v>0</v>
      </c>
      <c r="R21" t="s">
        <v>0</v>
      </c>
      <c r="S21" t="s">
        <v>0</v>
      </c>
    </row>
    <row r="22" ht="30.75" customHeight="1" spans="1:19" x14ac:dyDescent="0.25">
      <c r="A22" s="60" t="s">
        <v>33</v>
      </c>
      <c r="B22" s="68" t="s">
        <v>2154</v>
      </c>
      <c r="C22" s="69"/>
      <c r="D22" s="69"/>
      <c r="E22" s="70"/>
      <c r="F22" s="75" t="s">
        <v>2155</v>
      </c>
      <c r="G22" s="76"/>
      <c r="H22" s="77"/>
      <c r="I22" s="71">
        <v>9180</v>
      </c>
      <c r="J22" s="72"/>
      <c r="K22" t="s">
        <v>0</v>
      </c>
      <c r="L22" t="s">
        <v>0</v>
      </c>
      <c r="M22" t="s">
        <v>0</v>
      </c>
      <c r="N22" t="s">
        <v>0</v>
      </c>
      <c r="O22" t="s">
        <v>0</v>
      </c>
      <c r="P22" t="s">
        <v>0</v>
      </c>
      <c r="Q22" t="s">
        <v>0</v>
      </c>
      <c r="R22" t="s">
        <v>0</v>
      </c>
      <c r="S22" t="s">
        <v>0</v>
      </c>
    </row>
    <row r="23" ht="45" customHeight="1" spans="1:19" x14ac:dyDescent="0.25">
      <c r="A23" s="60" t="s">
        <v>33</v>
      </c>
      <c r="B23" s="75" t="s">
        <v>2156</v>
      </c>
      <c r="C23" s="76"/>
      <c r="D23" s="76"/>
      <c r="E23" s="77"/>
      <c r="F23" s="81" t="s">
        <v>2157</v>
      </c>
      <c r="G23" s="82"/>
      <c r="H23" s="83"/>
      <c r="I23" s="71">
        <v>190000</v>
      </c>
      <c r="J23" s="72"/>
      <c r="K23" t="s">
        <v>0</v>
      </c>
      <c r="L23" t="s">
        <v>0</v>
      </c>
      <c r="M23" t="s">
        <v>0</v>
      </c>
      <c r="N23" t="s">
        <v>0</v>
      </c>
      <c r="O23" t="s">
        <v>0</v>
      </c>
      <c r="P23" t="s">
        <v>0</v>
      </c>
      <c r="Q23" t="s">
        <v>0</v>
      </c>
      <c r="R23" t="s">
        <v>0</v>
      </c>
      <c r="S23" t="s">
        <v>0</v>
      </c>
    </row>
    <row r="24" ht="30" customHeight="1" spans="1:19" x14ac:dyDescent="0.25">
      <c r="A24" s="60" t="s">
        <v>33</v>
      </c>
      <c r="B24" s="68" t="s">
        <v>2158</v>
      </c>
      <c r="C24" s="69"/>
      <c r="D24" s="69"/>
      <c r="E24" s="70"/>
      <c r="F24" s="75" t="s">
        <v>2159</v>
      </c>
      <c r="G24" s="69"/>
      <c r="H24" s="70"/>
      <c r="I24" s="145">
        <v>64500</v>
      </c>
      <c r="J24" s="146"/>
      <c r="K24" t="s">
        <v>0</v>
      </c>
      <c r="L24" t="s">
        <v>0</v>
      </c>
      <c r="M24" t="s">
        <v>0</v>
      </c>
      <c r="N24" t="s">
        <v>0</v>
      </c>
      <c r="O24" t="s">
        <v>0</v>
      </c>
      <c r="P24" t="s">
        <v>0</v>
      </c>
      <c r="Q24" t="s">
        <v>0</v>
      </c>
      <c r="R24" t="s">
        <v>0</v>
      </c>
      <c r="S24" t="s">
        <v>0</v>
      </c>
    </row>
    <row r="25" ht="30" customHeight="1" spans="1:19" x14ac:dyDescent="0.25">
      <c r="A25" s="60" t="s">
        <v>33</v>
      </c>
      <c r="B25" s="75" t="s">
        <v>2160</v>
      </c>
      <c r="C25" s="76"/>
      <c r="D25" s="76"/>
      <c r="E25" s="77"/>
      <c r="F25" s="75" t="s">
        <v>2161</v>
      </c>
      <c r="G25" s="69"/>
      <c r="H25" s="70"/>
      <c r="I25" s="145">
        <v>77800</v>
      </c>
      <c r="J25" s="146"/>
      <c r="K25" t="s">
        <v>0</v>
      </c>
      <c r="L25" t="s">
        <v>0</v>
      </c>
      <c r="M25" t="s">
        <v>0</v>
      </c>
      <c r="N25" t="s">
        <v>0</v>
      </c>
      <c r="O25" t="s">
        <v>0</v>
      </c>
      <c r="P25" t="s">
        <v>0</v>
      </c>
      <c r="Q25" t="s">
        <v>0</v>
      </c>
      <c r="R25" t="s">
        <v>0</v>
      </c>
      <c r="S25" t="s">
        <v>0</v>
      </c>
    </row>
    <row r="26" ht="30" customHeight="1" spans="1:19" x14ac:dyDescent="0.25">
      <c r="A26" s="60" t="s">
        <v>33</v>
      </c>
      <c r="B26" s="68" t="s">
        <v>2162</v>
      </c>
      <c r="C26" s="69"/>
      <c r="D26" s="69"/>
      <c r="E26" s="70"/>
      <c r="F26" s="75" t="s">
        <v>2163</v>
      </c>
      <c r="G26" s="69"/>
      <c r="H26" s="70"/>
      <c r="I26" s="145">
        <v>76705</v>
      </c>
      <c r="J26" s="146"/>
      <c r="K26" t="s">
        <v>0</v>
      </c>
      <c r="L26" t="s">
        <v>0</v>
      </c>
      <c r="M26" t="s">
        <v>0</v>
      </c>
      <c r="N26" t="s">
        <v>0</v>
      </c>
      <c r="O26" t="s">
        <v>0</v>
      </c>
      <c r="P26" t="s">
        <v>0</v>
      </c>
      <c r="Q26" t="s">
        <v>0</v>
      </c>
      <c r="R26" t="s">
        <v>0</v>
      </c>
      <c r="S26" t="s">
        <v>0</v>
      </c>
    </row>
    <row r="27" ht="30" customHeight="1" spans="1:19" x14ac:dyDescent="0.25">
      <c r="A27" s="60" t="s">
        <v>33</v>
      </c>
      <c r="B27" s="68" t="s">
        <v>2164</v>
      </c>
      <c r="C27" s="69"/>
      <c r="D27" s="69"/>
      <c r="E27" s="70"/>
      <c r="F27" s="75" t="s">
        <v>2165</v>
      </c>
      <c r="G27" s="69"/>
      <c r="H27" s="70"/>
      <c r="I27" s="145">
        <v>54500</v>
      </c>
      <c r="J27" s="146"/>
      <c r="K27" t="s">
        <v>0</v>
      </c>
      <c r="L27" t="s">
        <v>0</v>
      </c>
      <c r="M27" t="s">
        <v>0</v>
      </c>
      <c r="N27" t="s">
        <v>0</v>
      </c>
      <c r="O27" t="s">
        <v>0</v>
      </c>
      <c r="P27" t="s">
        <v>0</v>
      </c>
      <c r="Q27" t="s">
        <v>0</v>
      </c>
      <c r="R27" t="s">
        <v>0</v>
      </c>
      <c r="S27" t="s">
        <v>0</v>
      </c>
    </row>
    <row r="28" ht="30.75" customHeight="1" spans="1:19" x14ac:dyDescent="0.25">
      <c r="A28" s="482" t="s">
        <v>33</v>
      </c>
      <c r="B28" s="68" t="s">
        <v>2166</v>
      </c>
      <c r="C28" s="69"/>
      <c r="D28" s="69"/>
      <c r="E28" s="70"/>
      <c r="F28" s="75" t="s">
        <v>2167</v>
      </c>
      <c r="G28" s="69"/>
      <c r="H28" s="70"/>
      <c r="I28" s="145">
        <v>48000</v>
      </c>
      <c r="J28" s="146"/>
      <c r="K28" t="s">
        <v>0</v>
      </c>
      <c r="L28" t="s">
        <v>0</v>
      </c>
      <c r="M28" t="s">
        <v>0</v>
      </c>
      <c r="N28" t="s">
        <v>0</v>
      </c>
      <c r="O28" t="s">
        <v>0</v>
      </c>
      <c r="P28" t="s">
        <v>0</v>
      </c>
      <c r="Q28" t="s">
        <v>0</v>
      </c>
      <c r="R28" t="s">
        <v>0</v>
      </c>
      <c r="S28" t="s">
        <v>0</v>
      </c>
    </row>
    <row r="29" ht="42.75" customHeight="1" spans="1:19" x14ac:dyDescent="0.25">
      <c r="A29" s="60" t="s">
        <v>33</v>
      </c>
      <c r="B29" s="75" t="s">
        <v>2168</v>
      </c>
      <c r="C29" s="76"/>
      <c r="D29" s="76"/>
      <c r="E29" s="77"/>
      <c r="F29" s="81" t="s">
        <v>2169</v>
      </c>
      <c r="G29" s="82"/>
      <c r="H29" s="83"/>
      <c r="I29" s="145">
        <v>66998.5</v>
      </c>
      <c r="J29" s="146"/>
      <c r="K29" t="s">
        <v>0</v>
      </c>
      <c r="L29" t="s">
        <v>0</v>
      </c>
      <c r="M29" t="s">
        <v>0</v>
      </c>
      <c r="N29" t="s">
        <v>0</v>
      </c>
      <c r="O29" t="s">
        <v>0</v>
      </c>
      <c r="P29" t="s">
        <v>0</v>
      </c>
      <c r="Q29" t="s">
        <v>0</v>
      </c>
      <c r="R29" t="s">
        <v>0</v>
      </c>
      <c r="S29" t="s">
        <v>0</v>
      </c>
    </row>
    <row r="30" ht="29.25" customHeight="1" spans="1:19" x14ac:dyDescent="0.25">
      <c r="A30" s="60" t="s">
        <v>208</v>
      </c>
      <c r="B30" s="81" t="s">
        <v>2170</v>
      </c>
      <c r="C30" s="134"/>
      <c r="D30" s="134"/>
      <c r="E30" s="84"/>
      <c r="F30" s="75" t="s">
        <v>2171</v>
      </c>
      <c r="G30" s="76"/>
      <c r="H30" s="77"/>
      <c r="I30" s="71">
        <v>2000</v>
      </c>
      <c r="J30" s="72"/>
      <c r="K30" t="s">
        <v>0</v>
      </c>
      <c r="L30" t="s">
        <v>0</v>
      </c>
      <c r="M30" t="s">
        <v>0</v>
      </c>
      <c r="N30" t="s">
        <v>0</v>
      </c>
      <c r="O30" t="s">
        <v>0</v>
      </c>
      <c r="P30" t="s">
        <v>0</v>
      </c>
      <c r="Q30" t="s">
        <v>0</v>
      </c>
      <c r="R30" t="s">
        <v>0</v>
      </c>
      <c r="S30" t="s">
        <v>0</v>
      </c>
    </row>
    <row r="31" ht="30" customHeight="1" spans="1:19" x14ac:dyDescent="0.25">
      <c r="A31" s="60" t="s">
        <v>208</v>
      </c>
      <c r="B31" s="68" t="s">
        <v>2172</v>
      </c>
      <c r="C31" s="69"/>
      <c r="D31" s="69"/>
      <c r="E31" s="70"/>
      <c r="F31" s="75" t="s">
        <v>2173</v>
      </c>
      <c r="G31" s="69"/>
      <c r="H31" s="70"/>
      <c r="I31" s="71">
        <v>800</v>
      </c>
      <c r="J31" s="72"/>
      <c r="K31" t="s">
        <v>0</v>
      </c>
      <c r="L31" t="s">
        <v>0</v>
      </c>
      <c r="M31" t="s">
        <v>0</v>
      </c>
      <c r="N31" t="s">
        <v>0</v>
      </c>
      <c r="O31" t="s">
        <v>0</v>
      </c>
      <c r="P31" t="s">
        <v>0</v>
      </c>
      <c r="Q31" t="s">
        <v>0</v>
      </c>
      <c r="R31" t="s">
        <v>0</v>
      </c>
      <c r="S31" t="s">
        <v>0</v>
      </c>
    </row>
    <row r="32" ht="30" customHeight="1" spans="1:19" x14ac:dyDescent="0.25">
      <c r="A32" s="60" t="s">
        <v>2174</v>
      </c>
      <c r="B32" s="75" t="s">
        <v>2175</v>
      </c>
      <c r="C32" s="69"/>
      <c r="D32" s="69"/>
      <c r="E32" s="70"/>
      <c r="F32" s="75" t="s">
        <v>2176</v>
      </c>
      <c r="G32" s="69"/>
      <c r="H32" s="70"/>
      <c r="I32" s="71">
        <v>1690</v>
      </c>
      <c r="J32" s="72"/>
      <c r="K32" t="s">
        <v>0</v>
      </c>
      <c r="L32" t="s">
        <v>0</v>
      </c>
      <c r="M32" t="s">
        <v>0</v>
      </c>
      <c r="N32" t="s">
        <v>0</v>
      </c>
      <c r="O32" t="s">
        <v>0</v>
      </c>
      <c r="P32" t="s">
        <v>0</v>
      </c>
      <c r="Q32" t="s">
        <v>0</v>
      </c>
      <c r="R32" t="s">
        <v>0</v>
      </c>
      <c r="S32" t="s">
        <v>0</v>
      </c>
    </row>
    <row r="33" ht="29.25" customHeight="1" spans="1:19" x14ac:dyDescent="0.25">
      <c r="A33" s="60" t="s">
        <v>2177</v>
      </c>
      <c r="B33" s="68" t="s">
        <v>2178</v>
      </c>
      <c r="C33" s="69"/>
      <c r="D33" s="69"/>
      <c r="E33" s="70"/>
      <c r="F33" s="75" t="s">
        <v>2179</v>
      </c>
      <c r="G33" s="69"/>
      <c r="H33" s="70"/>
      <c r="I33" s="71">
        <v>206</v>
      </c>
      <c r="J33" s="72"/>
      <c r="K33" t="s">
        <v>0</v>
      </c>
      <c r="L33" t="s">
        <v>0</v>
      </c>
      <c r="M33" t="s">
        <v>0</v>
      </c>
      <c r="N33" t="s">
        <v>0</v>
      </c>
      <c r="O33" t="s">
        <v>0</v>
      </c>
      <c r="P33" t="s">
        <v>0</v>
      </c>
      <c r="Q33" t="s">
        <v>0</v>
      </c>
      <c r="R33" t="s">
        <v>0</v>
      </c>
      <c r="S33" t="s">
        <v>0</v>
      </c>
    </row>
    <row r="34" ht="30" customHeight="1" spans="1:19" x14ac:dyDescent="0.25">
      <c r="A34" s="60" t="s">
        <v>2180</v>
      </c>
      <c r="B34" s="75" t="s">
        <v>2181</v>
      </c>
      <c r="C34" s="76"/>
      <c r="D34" s="76"/>
      <c r="E34" s="77"/>
      <c r="F34" s="75" t="s">
        <v>2182</v>
      </c>
      <c r="G34" s="69"/>
      <c r="H34" s="70"/>
      <c r="I34" s="71">
        <v>5050</v>
      </c>
      <c r="J34" s="72"/>
      <c r="K34" t="s">
        <v>0</v>
      </c>
      <c r="L34" t="s">
        <v>0</v>
      </c>
      <c r="M34" t="s">
        <v>0</v>
      </c>
      <c r="N34" t="s">
        <v>0</v>
      </c>
      <c r="O34" t="s">
        <v>0</v>
      </c>
      <c r="P34" t="s">
        <v>0</v>
      </c>
      <c r="Q34" t="s">
        <v>0</v>
      </c>
      <c r="R34" t="s">
        <v>0</v>
      </c>
      <c r="S34" t="s">
        <v>0</v>
      </c>
    </row>
    <row r="35" ht="30.75" customHeight="1" spans="1:19" x14ac:dyDescent="0.25">
      <c r="A35" s="60" t="s">
        <v>2183</v>
      </c>
      <c r="B35" s="75" t="s">
        <v>2184</v>
      </c>
      <c r="C35" s="76"/>
      <c r="D35" s="76"/>
      <c r="E35" s="77"/>
      <c r="F35" s="75" t="s">
        <v>2185</v>
      </c>
      <c r="G35" s="69"/>
      <c r="H35" s="70"/>
      <c r="I35" s="71">
        <v>3900</v>
      </c>
      <c r="J35" s="72"/>
      <c r="K35" t="s">
        <v>0</v>
      </c>
      <c r="L35" t="s">
        <v>0</v>
      </c>
      <c r="M35" t="s">
        <v>0</v>
      </c>
      <c r="N35" t="s">
        <v>0</v>
      </c>
      <c r="O35" t="s">
        <v>0</v>
      </c>
      <c r="P35" t="s">
        <v>0</v>
      </c>
      <c r="Q35" t="s">
        <v>0</v>
      </c>
      <c r="R35" t="s">
        <v>0</v>
      </c>
      <c r="S35" t="s">
        <v>0</v>
      </c>
    </row>
    <row r="36" ht="30.75" customHeight="1" spans="1:19" x14ac:dyDescent="0.25">
      <c r="A36" s="60" t="s">
        <v>2186</v>
      </c>
      <c r="B36" s="75" t="s">
        <v>0</v>
      </c>
      <c r="C36" s="76" t="s">
        <v>2187</v>
      </c>
      <c r="D36" s="76"/>
      <c r="E36" s="77"/>
      <c r="F36" s="75" t="s">
        <v>2188</v>
      </c>
      <c r="G36" s="69"/>
      <c r="H36" s="70"/>
      <c r="I36" s="71">
        <v>2529</v>
      </c>
      <c r="J36" s="72"/>
      <c r="K36" t="s">
        <v>0</v>
      </c>
      <c r="L36" t="s">
        <v>0</v>
      </c>
      <c r="M36" t="s">
        <v>0</v>
      </c>
      <c r="N36" t="s">
        <v>0</v>
      </c>
      <c r="O36" t="s">
        <v>0</v>
      </c>
      <c r="P36" t="s">
        <v>0</v>
      </c>
      <c r="Q36" t="s">
        <v>0</v>
      </c>
      <c r="R36" t="s">
        <v>0</v>
      </c>
      <c r="S36" t="s">
        <v>0</v>
      </c>
    </row>
    <row r="37" ht="30" customHeight="1" spans="1:19" x14ac:dyDescent="0.25">
      <c r="A37" s="60" t="s">
        <v>1570</v>
      </c>
      <c r="B37" s="75" t="s">
        <v>0</v>
      </c>
      <c r="C37" s="76" t="s">
        <v>2189</v>
      </c>
      <c r="D37" s="76"/>
      <c r="E37" s="77"/>
      <c r="F37" s="75" t="s">
        <v>2190</v>
      </c>
      <c r="G37" s="69"/>
      <c r="H37" s="70"/>
      <c r="I37" s="71">
        <v>5200</v>
      </c>
      <c r="J37" s="72"/>
      <c r="K37" t="s">
        <v>0</v>
      </c>
      <c r="L37" t="s">
        <v>0</v>
      </c>
      <c r="M37" t="s">
        <v>0</v>
      </c>
      <c r="N37" t="s">
        <v>0</v>
      </c>
      <c r="O37" t="s">
        <v>0</v>
      </c>
      <c r="P37" t="s">
        <v>0</v>
      </c>
      <c r="Q37" t="s">
        <v>0</v>
      </c>
      <c r="R37" t="s">
        <v>0</v>
      </c>
      <c r="S37" t="s">
        <v>0</v>
      </c>
    </row>
    <row r="38" spans="1:19" x14ac:dyDescent="0.25">
      <c r="A38" s="60" t="s">
        <v>0</v>
      </c>
      <c r="B38" s="75" t="s">
        <v>0</v>
      </c>
      <c r="C38" s="76"/>
      <c r="D38" s="76"/>
      <c r="E38" s="77"/>
      <c r="F38" s="68"/>
      <c r="G38" s="69"/>
      <c r="H38" s="70"/>
      <c r="I38" s="71"/>
      <c r="J38" s="72"/>
      <c r="K38" t="s">
        <v>0</v>
      </c>
      <c r="L38" t="s">
        <v>0</v>
      </c>
      <c r="M38" t="s">
        <v>0</v>
      </c>
      <c r="N38" t="s">
        <v>0</v>
      </c>
      <c r="O38" t="s">
        <v>0</v>
      </c>
      <c r="P38" t="s">
        <v>0</v>
      </c>
      <c r="Q38" t="s">
        <v>0</v>
      </c>
      <c r="R38" t="s">
        <v>0</v>
      </c>
      <c r="S38" t="s">
        <v>0</v>
      </c>
    </row>
    <row r="39" spans="1:19" x14ac:dyDescent="0.25">
      <c r="A39" s="60" t="s">
        <v>0</v>
      </c>
      <c r="B39" s="75" t="s">
        <v>0</v>
      </c>
      <c r="C39" s="76"/>
      <c r="D39" s="76"/>
      <c r="E39" s="77"/>
      <c r="F39" s="68"/>
      <c r="G39" s="69"/>
      <c r="H39" s="70"/>
      <c r="I39" s="71"/>
      <c r="J39" s="72"/>
      <c r="K39" t="s">
        <v>0</v>
      </c>
      <c r="L39" t="s">
        <v>0</v>
      </c>
      <c r="M39" t="s">
        <v>0</v>
      </c>
      <c r="N39" t="s">
        <v>0</v>
      </c>
      <c r="O39" t="s">
        <v>0</v>
      </c>
      <c r="P39" t="s">
        <v>0</v>
      </c>
      <c r="Q39" t="s">
        <v>0</v>
      </c>
      <c r="R39" t="s">
        <v>0</v>
      </c>
      <c r="S39" t="s">
        <v>0</v>
      </c>
    </row>
    <row r="40" spans="1:19" x14ac:dyDescent="0.25">
      <c r="A40" s="60" t="s">
        <v>0</v>
      </c>
      <c r="B40" s="75"/>
      <c r="C40" s="76"/>
      <c r="D40" s="76"/>
      <c r="E40" s="77"/>
      <c r="F40" s="68"/>
      <c r="G40" s="69"/>
      <c r="H40" s="70"/>
      <c r="I40" s="145"/>
      <c r="J40" s="146"/>
      <c r="K40" t="s">
        <v>0</v>
      </c>
      <c r="L40" t="s">
        <v>0</v>
      </c>
      <c r="M40" t="s">
        <v>0</v>
      </c>
      <c r="N40" t="s">
        <v>0</v>
      </c>
      <c r="O40" t="s">
        <v>0</v>
      </c>
      <c r="P40" t="s">
        <v>0</v>
      </c>
      <c r="Q40" t="s">
        <v>0</v>
      </c>
      <c r="R40" t="s">
        <v>0</v>
      </c>
      <c r="S40" t="s">
        <v>0</v>
      </c>
    </row>
    <row r="41" ht="15.75" customHeight="1" spans="1:19" x14ac:dyDescent="0.25">
      <c r="A41" s="87" t="s">
        <v>0</v>
      </c>
      <c r="B41" s="583"/>
      <c r="C41" s="584"/>
      <c r="D41" s="584"/>
      <c r="E41" s="585"/>
      <c r="F41" s="88"/>
      <c r="G41" s="89"/>
      <c r="H41" s="90"/>
      <c r="I41" s="214"/>
      <c r="J41" s="215"/>
      <c r="K41" t="s">
        <v>0</v>
      </c>
      <c r="L41" t="s">
        <v>0</v>
      </c>
      <c r="M41" t="s">
        <v>0</v>
      </c>
      <c r="N41" t="s">
        <v>0</v>
      </c>
      <c r="O41" t="s">
        <v>0</v>
      </c>
      <c r="P41" t="s">
        <v>0</v>
      </c>
      <c r="Q41" t="s">
        <v>0</v>
      </c>
      <c r="R41" t="s">
        <v>0</v>
      </c>
      <c r="S41" t="s">
        <v>0</v>
      </c>
    </row>
    <row r="42" ht="15.75" customHeight="1" spans="1:19" x14ac:dyDescent="0.25">
      <c r="A42" s="93" t="s">
        <v>0</v>
      </c>
      <c r="B42" s="94"/>
      <c r="C42" s="95"/>
      <c r="D42" s="95"/>
      <c r="E42" s="96"/>
      <c r="F42" s="97" t="s">
        <v>96</v>
      </c>
      <c r="G42" s="98"/>
      <c r="H42" s="233"/>
      <c r="I42" s="99">
        <f>SUM(I18:K41)</f>
        <v>690648.5</v>
      </c>
      <c r="J42" s="100"/>
      <c r="K42" t="s">
        <v>0</v>
      </c>
      <c r="L42" t="s">
        <v>0</v>
      </c>
      <c r="M42" t="s">
        <v>0</v>
      </c>
      <c r="N42" t="s">
        <v>0</v>
      </c>
      <c r="O42" t="s">
        <v>0</v>
      </c>
      <c r="P42" t="s">
        <v>0</v>
      </c>
      <c r="Q42" t="s">
        <v>0</v>
      </c>
      <c r="R42" t="s">
        <v>0</v>
      </c>
      <c r="S42" t="s">
        <v>0</v>
      </c>
    </row>
    <row r="43" spans="1:19" x14ac:dyDescent="0.25">
      <c r="A43" t="s">
        <v>0</v>
      </c>
      <c r="B43" t="s">
        <v>0</v>
      </c>
      <c r="C43" t="s">
        <v>0</v>
      </c>
      <c r="D43" t="s">
        <v>0</v>
      </c>
      <c r="E43" t="s">
        <v>0</v>
      </c>
      <c r="F43" t="s">
        <v>0</v>
      </c>
      <c r="G43" t="s">
        <v>0</v>
      </c>
      <c r="H43" t="s">
        <v>0</v>
      </c>
      <c r="I43" t="s">
        <v>0</v>
      </c>
      <c r="J43" t="s">
        <v>0</v>
      </c>
      <c r="K43" t="s">
        <v>0</v>
      </c>
      <c r="L43" t="s">
        <v>0</v>
      </c>
      <c r="M43" t="s">
        <v>0</v>
      </c>
      <c r="N43" t="s">
        <v>0</v>
      </c>
      <c r="O43" t="s">
        <v>0</v>
      </c>
      <c r="P43" t="s">
        <v>0</v>
      </c>
      <c r="Q43" t="s">
        <v>0</v>
      </c>
      <c r="R43" t="s">
        <v>0</v>
      </c>
      <c r="S43" t="s">
        <v>0</v>
      </c>
    </row>
    <row r="44" ht="15.75" customHeight="1" spans="1:19" x14ac:dyDescent="0.25">
      <c r="A44" t="s">
        <v>0</v>
      </c>
      <c r="B44" t="s">
        <v>0</v>
      </c>
      <c r="C44" t="s">
        <v>0</v>
      </c>
      <c r="D44" t="s">
        <v>0</v>
      </c>
      <c r="E44" t="s">
        <v>0</v>
      </c>
      <c r="F44" t="s">
        <v>0</v>
      </c>
      <c r="G44" t="s">
        <v>0</v>
      </c>
      <c r="H44" t="s">
        <v>0</v>
      </c>
      <c r="I44" t="s">
        <v>0</v>
      </c>
      <c r="J44" t="s">
        <v>0</v>
      </c>
      <c r="K44" t="s">
        <v>0</v>
      </c>
      <c r="L44" t="s">
        <v>0</v>
      </c>
      <c r="M44" t="s">
        <v>0</v>
      </c>
      <c r="N44" t="s">
        <v>0</v>
      </c>
      <c r="O44" t="s">
        <v>0</v>
      </c>
      <c r="P44" t="s">
        <v>0</v>
      </c>
      <c r="Q44" t="s">
        <v>0</v>
      </c>
      <c r="R44" t="s">
        <v>0</v>
      </c>
      <c r="S44" t="s">
        <v>0</v>
      </c>
    </row>
    <row r="45" ht="16.5" customHeight="1" spans="1:19" x14ac:dyDescent="0.25">
      <c r="A45" s="40" t="s">
        <v>74</v>
      </c>
      <c r="B45" s="41" t="s">
        <v>437</v>
      </c>
      <c r="C45" s="42"/>
      <c r="D45" s="42"/>
      <c r="E45" s="43"/>
      <c r="F45" s="41" t="s">
        <v>76</v>
      </c>
      <c r="G45" s="42"/>
      <c r="H45" s="43"/>
      <c r="I45" s="44" t="s">
        <v>77</v>
      </c>
      <c r="J45" s="45" t="s">
        <v>0</v>
      </c>
      <c r="K45" t="s">
        <v>0</v>
      </c>
      <c r="L45" t="s">
        <v>0</v>
      </c>
      <c r="M45" t="s">
        <v>0</v>
      </c>
      <c r="N45" t="s">
        <v>0</v>
      </c>
      <c r="O45" t="s">
        <v>0</v>
      </c>
      <c r="P45" t="s">
        <v>0</v>
      </c>
      <c r="Q45" t="s">
        <v>0</v>
      </c>
      <c r="R45" t="s">
        <v>0</v>
      </c>
      <c r="S45" t="s">
        <v>0</v>
      </c>
    </row>
    <row r="46" ht="33.75" customHeight="1" spans="1:19" x14ac:dyDescent="0.25">
      <c r="A46" s="54" t="s">
        <v>2191</v>
      </c>
      <c r="B46" s="127" t="s">
        <v>2192</v>
      </c>
      <c r="C46" s="128"/>
      <c r="D46" s="128"/>
      <c r="E46" s="129"/>
      <c r="F46" s="127" t="s">
        <v>1484</v>
      </c>
      <c r="G46" s="130"/>
      <c r="H46" s="51"/>
      <c r="I46" s="224">
        <v>1000</v>
      </c>
      <c r="J46" s="225"/>
      <c r="K46" t="s">
        <v>0</v>
      </c>
      <c r="L46" t="s">
        <v>0</v>
      </c>
      <c r="M46" t="s">
        <v>0</v>
      </c>
      <c r="N46" t="s">
        <v>0</v>
      </c>
      <c r="O46" t="s">
        <v>0</v>
      </c>
      <c r="P46" t="s">
        <v>0</v>
      </c>
      <c r="Q46" t="s">
        <v>0</v>
      </c>
      <c r="R46" t="s">
        <v>0</v>
      </c>
      <c r="S46" t="s">
        <v>0</v>
      </c>
    </row>
    <row r="47" ht="47.25" customHeight="1" spans="1:19" x14ac:dyDescent="0.25">
      <c r="A47" s="60" t="s">
        <v>2191</v>
      </c>
      <c r="B47" s="61" t="s">
        <v>2193</v>
      </c>
      <c r="C47" s="62"/>
      <c r="D47" s="62"/>
      <c r="E47" s="63"/>
      <c r="F47" s="55" t="s">
        <v>2194</v>
      </c>
      <c r="G47" s="140"/>
      <c r="H47" s="65"/>
      <c r="I47" s="85">
        <v>1000</v>
      </c>
      <c r="J47" s="86"/>
      <c r="K47" t="s">
        <v>0</v>
      </c>
      <c r="L47" t="s">
        <v>0</v>
      </c>
      <c r="M47" t="s">
        <v>0</v>
      </c>
      <c r="N47" t="s">
        <v>0</v>
      </c>
      <c r="O47" t="s">
        <v>0</v>
      </c>
      <c r="P47" t="s">
        <v>0</v>
      </c>
      <c r="Q47" t="s">
        <v>0</v>
      </c>
      <c r="R47" t="s">
        <v>0</v>
      </c>
      <c r="S47" t="s">
        <v>0</v>
      </c>
    </row>
    <row r="48" ht="31.5" customHeight="1" spans="1:19" x14ac:dyDescent="0.25">
      <c r="A48" s="60" t="s">
        <v>2191</v>
      </c>
      <c r="B48" s="75" t="s">
        <v>2195</v>
      </c>
      <c r="C48" s="76"/>
      <c r="D48" s="76"/>
      <c r="E48" s="77"/>
      <c r="F48" s="75" t="s">
        <v>2196</v>
      </c>
      <c r="G48" s="69"/>
      <c r="H48" s="70"/>
      <c r="I48" s="71">
        <v>1600</v>
      </c>
      <c r="J48" s="72"/>
      <c r="K48" t="s">
        <v>0</v>
      </c>
      <c r="L48" t="s">
        <v>0</v>
      </c>
      <c r="M48" t="s">
        <v>0</v>
      </c>
      <c r="N48" t="s">
        <v>0</v>
      </c>
      <c r="O48" t="s">
        <v>0</v>
      </c>
      <c r="P48" t="s">
        <v>0</v>
      </c>
      <c r="Q48" t="s">
        <v>0</v>
      </c>
      <c r="R48" t="s">
        <v>0</v>
      </c>
      <c r="S48" t="s">
        <v>0</v>
      </c>
    </row>
    <row r="49" ht="15" customHeight="1" spans="1:19" x14ac:dyDescent="0.25">
      <c r="A49" s="60" t="s">
        <v>0</v>
      </c>
      <c r="B49" s="158"/>
      <c r="C49" s="197"/>
      <c r="D49" s="197"/>
      <c r="E49" s="159"/>
      <c r="F49" s="586"/>
      <c r="G49" s="373"/>
      <c r="H49" s="374"/>
      <c r="I49" s="71"/>
      <c r="J49" s="72"/>
      <c r="K49" t="s">
        <v>0</v>
      </c>
      <c r="L49" t="s">
        <v>0</v>
      </c>
      <c r="M49" t="s">
        <v>0</v>
      </c>
      <c r="N49" t="s">
        <v>0</v>
      </c>
      <c r="O49" t="s">
        <v>0</v>
      </c>
      <c r="P49" t="s">
        <v>0</v>
      </c>
      <c r="Q49" t="s">
        <v>0</v>
      </c>
      <c r="R49" t="s">
        <v>0</v>
      </c>
      <c r="S49" t="s">
        <v>0</v>
      </c>
    </row>
    <row r="50" ht="15" customHeight="1" spans="1:19" x14ac:dyDescent="0.25">
      <c r="A50" s="60" t="s">
        <v>0</v>
      </c>
      <c r="B50" s="158"/>
      <c r="C50" s="197"/>
      <c r="D50" s="197"/>
      <c r="E50" s="159"/>
      <c r="F50" s="586"/>
      <c r="G50" s="373"/>
      <c r="H50" s="374"/>
      <c r="I50" s="71"/>
      <c r="J50" s="72"/>
      <c r="K50" t="s">
        <v>0</v>
      </c>
      <c r="L50" t="s">
        <v>0</v>
      </c>
      <c r="M50" t="s">
        <v>0</v>
      </c>
      <c r="N50" t="s">
        <v>0</v>
      </c>
      <c r="O50" t="s">
        <v>0</v>
      </c>
      <c r="P50" t="s">
        <v>0</v>
      </c>
      <c r="Q50" t="s">
        <v>0</v>
      </c>
      <c r="R50" t="s">
        <v>0</v>
      </c>
      <c r="S50" t="s">
        <v>0</v>
      </c>
    </row>
    <row r="51" ht="14.25" customHeight="1" spans="1:19" x14ac:dyDescent="0.25">
      <c r="A51" s="60" t="s">
        <v>0</v>
      </c>
      <c r="B51" s="68"/>
      <c r="C51" s="69"/>
      <c r="D51" s="69"/>
      <c r="E51" s="70"/>
      <c r="F51" s="75"/>
      <c r="G51" s="76"/>
      <c r="H51" s="77"/>
      <c r="I51" s="71"/>
      <c r="J51" s="72"/>
      <c r="K51" t="s">
        <v>0</v>
      </c>
      <c r="L51" t="s">
        <v>0</v>
      </c>
      <c r="M51" t="s">
        <v>0</v>
      </c>
      <c r="N51" t="s">
        <v>0</v>
      </c>
      <c r="O51" t="s">
        <v>0</v>
      </c>
      <c r="P51" t="s">
        <v>0</v>
      </c>
      <c r="Q51" t="s">
        <v>0</v>
      </c>
      <c r="R51" t="s">
        <v>0</v>
      </c>
      <c r="S51" t="s">
        <v>0</v>
      </c>
    </row>
    <row r="52" ht="15.75" customHeight="1" spans="1:19" x14ac:dyDescent="0.25">
      <c r="A52" s="93" t="s">
        <v>0</v>
      </c>
      <c r="B52" s="94"/>
      <c r="C52" s="95"/>
      <c r="D52" s="95"/>
      <c r="E52" s="96"/>
      <c r="F52" s="97" t="s">
        <v>96</v>
      </c>
      <c r="G52" s="98"/>
      <c r="H52" s="233"/>
      <c r="I52" s="99">
        <f>SUM(I46:K51)</f>
        <v>3600</v>
      </c>
      <c r="J52" s="100"/>
      <c r="K52" t="s">
        <v>0</v>
      </c>
      <c r="L52" t="s">
        <v>0</v>
      </c>
      <c r="M52" t="s">
        <v>0</v>
      </c>
      <c r="N52" t="s">
        <v>0</v>
      </c>
      <c r="O52" t="s">
        <v>0</v>
      </c>
      <c r="P52" t="s">
        <v>0</v>
      </c>
      <c r="Q52" t="s">
        <v>0</v>
      </c>
      <c r="R52" t="s">
        <v>0</v>
      </c>
      <c r="S52" t="s">
        <v>0</v>
      </c>
    </row>
  </sheetData>
  <mergeCells count="100">
    <mergeCell ref="B17:E17"/>
    <mergeCell ref="F17:H17"/>
    <mergeCell ref="B18:E18"/>
    <mergeCell ref="F18:H18"/>
    <mergeCell ref="I18:J18"/>
    <mergeCell ref="B19:E19"/>
    <mergeCell ref="F19:H19"/>
    <mergeCell ref="I19:J19"/>
    <mergeCell ref="B20:E20"/>
    <mergeCell ref="F20:H20"/>
    <mergeCell ref="I20:J20"/>
    <mergeCell ref="B21:E21"/>
    <mergeCell ref="F21:H21"/>
    <mergeCell ref="I21:J21"/>
    <mergeCell ref="B22:E22"/>
    <mergeCell ref="F22:H22"/>
    <mergeCell ref="I22:J22"/>
    <mergeCell ref="B23:E23"/>
    <mergeCell ref="F23:H23"/>
    <mergeCell ref="I23:J23"/>
    <mergeCell ref="B24:E24"/>
    <mergeCell ref="F24:H24"/>
    <mergeCell ref="I24:J24"/>
    <mergeCell ref="B25:E25"/>
    <mergeCell ref="F25:H25"/>
    <mergeCell ref="I25:J25"/>
    <mergeCell ref="B26:E26"/>
    <mergeCell ref="F26:H26"/>
    <mergeCell ref="I26:J26"/>
    <mergeCell ref="B27:E27"/>
    <mergeCell ref="F27:H27"/>
    <mergeCell ref="I27:J27"/>
    <mergeCell ref="B28:E28"/>
    <mergeCell ref="F28:H28"/>
    <mergeCell ref="I28:J28"/>
    <mergeCell ref="B29:E29"/>
    <mergeCell ref="F29:H29"/>
    <mergeCell ref="I29:J29"/>
    <mergeCell ref="B30:E30"/>
    <mergeCell ref="F30:H30"/>
    <mergeCell ref="I30:J30"/>
    <mergeCell ref="B31:E31"/>
    <mergeCell ref="F31:H31"/>
    <mergeCell ref="I31:J31"/>
    <mergeCell ref="B32:E32"/>
    <mergeCell ref="F32:H32"/>
    <mergeCell ref="I32:J32"/>
    <mergeCell ref="B33:E33"/>
    <mergeCell ref="F33:H33"/>
    <mergeCell ref="I33:J33"/>
    <mergeCell ref="B34:E34"/>
    <mergeCell ref="F34:H34"/>
    <mergeCell ref="I34:J34"/>
    <mergeCell ref="B35:E35"/>
    <mergeCell ref="F35:H35"/>
    <mergeCell ref="I35:J35"/>
    <mergeCell ref="C36:E36"/>
    <mergeCell ref="F36:H36"/>
    <mergeCell ref="I36:J36"/>
    <mergeCell ref="C37:E37"/>
    <mergeCell ref="F37:H37"/>
    <mergeCell ref="I37:J37"/>
    <mergeCell ref="C38:E38"/>
    <mergeCell ref="F38:H38"/>
    <mergeCell ref="I38:J38"/>
    <mergeCell ref="C39:E39"/>
    <mergeCell ref="F39:H39"/>
    <mergeCell ref="I39:J39"/>
    <mergeCell ref="B40:E40"/>
    <mergeCell ref="F40:H40"/>
    <mergeCell ref="I40:J40"/>
    <mergeCell ref="B41:E41"/>
    <mergeCell ref="F41:H41"/>
    <mergeCell ref="I41:J41"/>
    <mergeCell ref="B42:E42"/>
    <mergeCell ref="F42:H42"/>
    <mergeCell ref="I42:J42"/>
    <mergeCell ref="B45:E45"/>
    <mergeCell ref="F45:H45"/>
    <mergeCell ref="B46:E46"/>
    <mergeCell ref="F46:H46"/>
    <mergeCell ref="I46:J46"/>
    <mergeCell ref="B47:E47"/>
    <mergeCell ref="F47:H47"/>
    <mergeCell ref="I47:J47"/>
    <mergeCell ref="B48:E48"/>
    <mergeCell ref="F48:H48"/>
    <mergeCell ref="I48:J48"/>
    <mergeCell ref="B49:E49"/>
    <mergeCell ref="F49:H49"/>
    <mergeCell ref="I49:J49"/>
    <mergeCell ref="B50:E50"/>
    <mergeCell ref="F50:H50"/>
    <mergeCell ref="I50:J50"/>
    <mergeCell ref="B51:E51"/>
    <mergeCell ref="F51:H51"/>
    <mergeCell ref="I51:J51"/>
    <mergeCell ref="B52:E52"/>
    <mergeCell ref="F52:H52"/>
    <mergeCell ref="I52:J5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40"/>
  <sheetViews>
    <sheetView workbookViewId="0" zoomScale="100" zoomScaleNormal="100">
      <selection activeCell="Q11" sqref="Q11"/>
    </sheetView>
  </sheetViews>
  <sheetFormatPr defaultRowHeight="15" outlineLevelRow="0" outlineLevelCol="0" x14ac:dyDescent="0.25"/>
  <cols>
    <col min="1" max="1" width="35.5703125" customWidth="1"/>
    <col min="2" max="2" width="16.7109375" hidden="1" customWidth="1"/>
    <col min="3" max="3" width="19" customWidth="1"/>
    <col min="4" max="4" width="18.42578125" customWidth="1"/>
    <col min="5" max="5" width="15.85546875" customWidth="1"/>
    <col min="6" max="6" width="9.7109375" customWidth="1"/>
    <col min="7" max="9" width="10.28515625" customWidth="1"/>
    <col min="10" max="10" width="11.7109375" customWidth="1"/>
    <col min="11" max="12" width="10.28515625" customWidth="1"/>
    <col min="13" max="13" width="9.28515625" customWidth="1"/>
    <col min="14" max="14" width="11.85546875" customWidth="1"/>
    <col min="15" max="15" width="10.28515625" customWidth="1"/>
    <col min="16" max="16" width="12.7109375" customWidth="1"/>
    <col min="17" max="18" width="12.28515625" customWidth="1"/>
    <col min="19" max="19" width="15.28515625" customWidth="1"/>
  </cols>
  <sheetData>
    <row r="1" ht="72.75" customHeight="1" spans="1:19" x14ac:dyDescent="0.25">
      <c r="A1" s="1" t="s">
        <v>0</v>
      </c>
      <c r="B1" s="2" t="s">
        <v>601</v>
      </c>
      <c r="C1" s="3" t="s">
        <v>263</v>
      </c>
      <c r="D1" s="4" t="s">
        <v>921</v>
      </c>
      <c r="E1" s="5" t="s">
        <v>922</v>
      </c>
      <c r="F1" s="452" t="s">
        <v>5</v>
      </c>
      <c r="G1" s="453" t="s">
        <v>6</v>
      </c>
      <c r="H1" s="453" t="s">
        <v>7</v>
      </c>
      <c r="I1" s="453" t="s">
        <v>8</v>
      </c>
      <c r="J1" s="453" t="s">
        <v>9</v>
      </c>
      <c r="K1" s="453" t="s">
        <v>10</v>
      </c>
      <c r="L1" s="453" t="s">
        <v>11</v>
      </c>
      <c r="M1" s="453" t="s">
        <v>12</v>
      </c>
      <c r="N1" s="453" t="s">
        <v>13</v>
      </c>
      <c r="O1" s="453" t="s">
        <v>14</v>
      </c>
      <c r="P1" s="453" t="s">
        <v>15</v>
      </c>
      <c r="Q1" s="454" t="s">
        <v>16</v>
      </c>
      <c r="R1" s="9" t="s">
        <v>0</v>
      </c>
      <c r="S1" s="10" t="s">
        <v>17</v>
      </c>
    </row>
    <row r="2" ht="16.5" customHeight="1" spans="1:19" x14ac:dyDescent="0.25">
      <c r="A2" s="12" t="s">
        <v>2197</v>
      </c>
      <c r="B2" s="13" t="s">
        <v>0</v>
      </c>
      <c r="C2" s="13" t="s">
        <v>0</v>
      </c>
      <c r="D2" s="14" t="s">
        <v>0</v>
      </c>
      <c r="E2" s="15" t="s">
        <v>0</v>
      </c>
      <c r="F2" s="105" t="s">
        <v>0</v>
      </c>
      <c r="G2" s="105" t="s">
        <v>0</v>
      </c>
      <c r="H2" s="16" t="s">
        <v>0</v>
      </c>
      <c r="I2" s="16" t="s">
        <v>0</v>
      </c>
      <c r="J2" s="17" t="s">
        <v>0</v>
      </c>
      <c r="K2" s="16" t="s">
        <v>0</v>
      </c>
      <c r="L2" s="17" t="s">
        <v>0</v>
      </c>
      <c r="M2" s="16" t="s">
        <v>0</v>
      </c>
      <c r="N2" s="17" t="s">
        <v>0</v>
      </c>
      <c r="O2" s="16" t="s">
        <v>0</v>
      </c>
      <c r="P2" s="16" t="s">
        <v>0</v>
      </c>
      <c r="Q2" s="18" t="s">
        <v>0</v>
      </c>
      <c r="R2" s="105" t="s">
        <v>0</v>
      </c>
      <c r="S2" s="16" t="s">
        <v>0</v>
      </c>
    </row>
    <row r="3" ht="15.75" customHeight="1" spans="1:19" x14ac:dyDescent="0.25">
      <c r="A3" s="187" t="s">
        <v>19</v>
      </c>
      <c r="B3" s="20" t="s">
        <v>0</v>
      </c>
      <c r="C3" s="21" t="s">
        <v>2198</v>
      </c>
      <c r="D3" s="22" t="s">
        <v>2199</v>
      </c>
      <c r="E3" s="25" t="s">
        <v>2200</v>
      </c>
      <c r="F3" s="24" t="s">
        <v>0</v>
      </c>
      <c r="G3" s="266" t="s">
        <v>0</v>
      </c>
      <c r="H3" s="23" t="s">
        <v>0</v>
      </c>
      <c r="I3" s="266" t="s">
        <v>0</v>
      </c>
      <c r="J3" s="25" t="s">
        <v>2199</v>
      </c>
      <c r="K3" s="266" t="s">
        <v>0</v>
      </c>
      <c r="L3" s="25" t="s">
        <v>0</v>
      </c>
      <c r="M3" s="266" t="s">
        <v>0</v>
      </c>
      <c r="N3" s="25" t="s">
        <v>0</v>
      </c>
      <c r="O3" s="266" t="s">
        <v>0</v>
      </c>
      <c r="P3" s="25" t="s">
        <v>0</v>
      </c>
      <c r="Q3" s="266" t="s">
        <v>0</v>
      </c>
      <c r="R3" s="25" t="s">
        <v>0</v>
      </c>
      <c r="S3" s="23" t="s">
        <v>2199</v>
      </c>
    </row>
    <row r="4" ht="15.75" customHeight="1" spans="1:19" x14ac:dyDescent="0.25">
      <c r="A4" s="587" t="s">
        <v>1951</v>
      </c>
      <c r="B4" s="32" t="s">
        <v>0</v>
      </c>
      <c r="C4" s="21" t="s">
        <v>944</v>
      </c>
      <c r="D4" s="22" t="s">
        <v>2201</v>
      </c>
      <c r="E4" s="28" t="s">
        <v>2202</v>
      </c>
      <c r="F4" s="189" t="s">
        <v>0</v>
      </c>
      <c r="G4" s="588" t="s">
        <v>0</v>
      </c>
      <c r="H4" s="456" t="s">
        <v>0</v>
      </c>
      <c r="I4" s="588" t="s">
        <v>0</v>
      </c>
      <c r="J4" s="456" t="s">
        <v>0</v>
      </c>
      <c r="K4" s="588" t="s">
        <v>0</v>
      </c>
      <c r="L4" s="456" t="s">
        <v>0</v>
      </c>
      <c r="M4" s="588" t="s">
        <v>0</v>
      </c>
      <c r="N4" s="456" t="s">
        <v>0</v>
      </c>
      <c r="O4" s="588" t="s">
        <v>0</v>
      </c>
      <c r="P4" s="456" t="s">
        <v>2201</v>
      </c>
      <c r="Q4" s="266" t="s">
        <v>0</v>
      </c>
      <c r="R4" s="456" t="s">
        <v>0</v>
      </c>
      <c r="S4" s="23" t="s">
        <v>2201</v>
      </c>
    </row>
    <row r="5" ht="15.75" customHeight="1" spans="1:19" x14ac:dyDescent="0.25">
      <c r="A5" s="459" t="s">
        <v>114</v>
      </c>
      <c r="B5" s="589" t="s">
        <v>0</v>
      </c>
      <c r="C5" s="188" t="s">
        <v>736</v>
      </c>
      <c r="D5" s="22" t="s">
        <v>2203</v>
      </c>
      <c r="E5" s="28" t="s">
        <v>2204</v>
      </c>
      <c r="F5" s="463" t="s">
        <v>0</v>
      </c>
      <c r="G5" s="461" t="s">
        <v>0</v>
      </c>
      <c r="H5" s="458" t="s">
        <v>0</v>
      </c>
      <c r="I5" s="461" t="s">
        <v>2205</v>
      </c>
      <c r="J5" s="458">
        <v>200</v>
      </c>
      <c r="K5" s="461" t="s">
        <v>0</v>
      </c>
      <c r="L5" s="458" t="s">
        <v>0</v>
      </c>
      <c r="M5" s="461" t="s">
        <v>0</v>
      </c>
      <c r="N5" s="458">
        <v>400</v>
      </c>
      <c r="O5" s="461" t="s">
        <v>0</v>
      </c>
      <c r="P5" s="458" t="s">
        <v>0</v>
      </c>
      <c r="Q5" s="191" t="s">
        <v>0</v>
      </c>
      <c r="R5" s="28" t="s">
        <v>0</v>
      </c>
      <c r="S5" s="23" t="s">
        <v>2203</v>
      </c>
    </row>
    <row r="6" ht="15.75" customHeight="1" spans="1:19" x14ac:dyDescent="0.25">
      <c r="A6" s="459" t="s">
        <v>281</v>
      </c>
      <c r="B6" s="589" t="s">
        <v>0</v>
      </c>
      <c r="C6" s="188" t="s">
        <v>292</v>
      </c>
      <c r="D6" s="22" t="s">
        <v>2016</v>
      </c>
      <c r="E6" s="28" t="s">
        <v>937</v>
      </c>
      <c r="F6" s="463" t="s">
        <v>0</v>
      </c>
      <c r="G6" s="461" t="s">
        <v>0</v>
      </c>
      <c r="H6" s="458" t="s">
        <v>0</v>
      </c>
      <c r="I6" s="461" t="s">
        <v>312</v>
      </c>
      <c r="J6" s="458" t="s">
        <v>0</v>
      </c>
      <c r="K6" s="461" t="s">
        <v>0</v>
      </c>
      <c r="L6" s="458" t="s">
        <v>0</v>
      </c>
      <c r="M6" s="461" t="s">
        <v>0</v>
      </c>
      <c r="N6" s="458" t="s">
        <v>924</v>
      </c>
      <c r="O6" s="461" t="s">
        <v>0</v>
      </c>
      <c r="P6" s="458" t="s">
        <v>0</v>
      </c>
      <c r="Q6" s="191" t="s">
        <v>0</v>
      </c>
      <c r="R6" s="28" t="s">
        <v>0</v>
      </c>
      <c r="S6" s="23" t="s">
        <v>2016</v>
      </c>
    </row>
    <row r="7" ht="15.75" customHeight="1" spans="1:19" x14ac:dyDescent="0.25">
      <c r="A7" s="459" t="s">
        <v>1432</v>
      </c>
      <c r="B7" s="589" t="s">
        <v>0</v>
      </c>
      <c r="C7" s="188" t="s">
        <v>25</v>
      </c>
      <c r="D7" s="22" t="s">
        <v>2206</v>
      </c>
      <c r="E7" s="28" t="s">
        <v>2207</v>
      </c>
      <c r="F7" s="463" t="s">
        <v>0</v>
      </c>
      <c r="G7" s="461" t="s">
        <v>0</v>
      </c>
      <c r="H7" s="458" t="s">
        <v>0</v>
      </c>
      <c r="I7" s="461" t="s">
        <v>0</v>
      </c>
      <c r="J7" s="458" t="s">
        <v>2208</v>
      </c>
      <c r="K7" s="461" t="s">
        <v>0</v>
      </c>
      <c r="L7" s="458" t="s">
        <v>0</v>
      </c>
      <c r="M7" s="461" t="s">
        <v>0</v>
      </c>
      <c r="N7" s="458" t="s">
        <v>1157</v>
      </c>
      <c r="O7" s="461" t="s">
        <v>2209</v>
      </c>
      <c r="P7" s="590" t="s">
        <v>2210</v>
      </c>
      <c r="Q7" s="191" t="s">
        <v>0</v>
      </c>
      <c r="R7" s="456" t="s">
        <v>0</v>
      </c>
      <c r="S7" s="23" t="s">
        <v>2206</v>
      </c>
    </row>
    <row r="8" ht="15.75" customHeight="1" spans="1:19" x14ac:dyDescent="0.25">
      <c r="A8" s="462" t="s">
        <v>33</v>
      </c>
      <c r="B8" s="589" t="s">
        <v>0</v>
      </c>
      <c r="C8" s="188" t="s">
        <v>2211</v>
      </c>
      <c r="D8" s="22" t="s">
        <v>312</v>
      </c>
      <c r="E8" s="28" t="s">
        <v>156</v>
      </c>
      <c r="F8" s="463" t="s">
        <v>0</v>
      </c>
      <c r="G8" s="461" t="s">
        <v>0</v>
      </c>
      <c r="H8" s="458" t="s">
        <v>0</v>
      </c>
      <c r="I8" s="461" t="s">
        <v>0</v>
      </c>
      <c r="J8" s="458" t="s">
        <v>0</v>
      </c>
      <c r="K8" s="461" t="s">
        <v>0</v>
      </c>
      <c r="L8" s="458" t="s">
        <v>0</v>
      </c>
      <c r="M8" s="461" t="s">
        <v>0</v>
      </c>
      <c r="N8" s="458" t="s">
        <v>0</v>
      </c>
      <c r="O8" s="461" t="s">
        <v>312</v>
      </c>
      <c r="P8" s="458" t="s">
        <v>0</v>
      </c>
      <c r="Q8" s="191" t="s">
        <v>0</v>
      </c>
      <c r="R8" s="458" t="s">
        <v>0</v>
      </c>
      <c r="S8" s="23" t="s">
        <v>312</v>
      </c>
    </row>
    <row r="9" ht="15.75" customHeight="1" spans="1:148" s="465" customFormat="1" x14ac:dyDescent="0.25">
      <c r="A9" s="466" t="s">
        <v>60</v>
      </c>
      <c r="B9" s="27" t="s">
        <v>0</v>
      </c>
      <c r="C9" s="188" t="s">
        <v>2212</v>
      </c>
      <c r="D9" s="22" t="s">
        <v>0</v>
      </c>
      <c r="E9" s="28" t="s">
        <v>2212</v>
      </c>
      <c r="F9" s="111" t="s">
        <v>0</v>
      </c>
      <c r="G9" s="191" t="s">
        <v>0</v>
      </c>
      <c r="H9" s="28" t="s">
        <v>0</v>
      </c>
      <c r="I9" s="191" t="s">
        <v>0</v>
      </c>
      <c r="J9" s="28" t="s">
        <v>0</v>
      </c>
      <c r="K9" s="191" t="s">
        <v>0</v>
      </c>
      <c r="L9" s="28" t="s">
        <v>0</v>
      </c>
      <c r="M9" s="191" t="s">
        <v>0</v>
      </c>
      <c r="N9" s="28" t="s">
        <v>0</v>
      </c>
      <c r="O9" s="191" t="s">
        <v>0</v>
      </c>
      <c r="P9" s="28" t="s">
        <v>0</v>
      </c>
      <c r="Q9" s="191" t="s">
        <v>0</v>
      </c>
      <c r="R9" s="28" t="s">
        <v>0</v>
      </c>
      <c r="S9" s="23" t="s">
        <v>0</v>
      </c>
      <c r="T9" s="465"/>
      <c r="U9" s="465"/>
      <c r="V9" s="465"/>
      <c r="W9" s="465"/>
      <c r="X9" s="465"/>
      <c r="Y9" s="465"/>
      <c r="Z9" s="465"/>
      <c r="AA9" s="465"/>
      <c r="AB9" s="465"/>
      <c r="AC9" s="465"/>
      <c r="AD9" s="465"/>
      <c r="AE9" s="465"/>
      <c r="AF9" s="465"/>
      <c r="AG9" s="465"/>
      <c r="AH9" s="465"/>
      <c r="AI9" s="465"/>
      <c r="AJ9" s="465"/>
      <c r="AK9" s="465"/>
      <c r="AL9" s="465"/>
      <c r="AM9" s="465"/>
      <c r="AN9" s="465"/>
      <c r="AO9" s="465"/>
      <c r="AP9" s="465"/>
      <c r="AQ9" s="465"/>
      <c r="AR9" s="465"/>
      <c r="AS9" s="465"/>
      <c r="AT9" s="465"/>
      <c r="AU9" s="465"/>
      <c r="AV9" s="465"/>
      <c r="AW9" s="465"/>
      <c r="AX9" s="465"/>
      <c r="AY9" s="465"/>
      <c r="AZ9" s="465"/>
      <c r="BA9" s="465"/>
      <c r="BB9" s="465"/>
      <c r="BC9" s="465"/>
      <c r="BD9" s="465"/>
      <c r="BE9" s="465"/>
      <c r="BF9" s="465"/>
      <c r="BG9" s="465"/>
      <c r="BH9" s="465"/>
      <c r="BI9" s="465"/>
      <c r="BJ9" s="465"/>
      <c r="BK9" s="465"/>
      <c r="BL9" s="465"/>
      <c r="BM9" s="465"/>
      <c r="BN9" s="465"/>
      <c r="BO9" s="465"/>
      <c r="BP9" s="465"/>
      <c r="BQ9" s="465"/>
      <c r="BR9" s="465"/>
      <c r="BS9" s="465"/>
      <c r="BT9" s="465"/>
      <c r="BU9" s="465"/>
      <c r="BV9" s="465"/>
      <c r="BW9" s="465"/>
      <c r="BX9" s="465"/>
      <c r="BY9" s="465"/>
      <c r="BZ9" s="465"/>
      <c r="CA9" s="465"/>
      <c r="CB9" s="465"/>
      <c r="CC9" s="465"/>
      <c r="CD9" s="465"/>
      <c r="CE9" s="465"/>
      <c r="CF9" s="465"/>
      <c r="CG9" s="465"/>
      <c r="CH9" s="465"/>
      <c r="CI9" s="465"/>
      <c r="CJ9" s="465"/>
      <c r="CK9" s="465"/>
      <c r="CL9" s="465"/>
      <c r="CM9" s="465"/>
      <c r="CN9" s="465"/>
      <c r="CO9" s="465"/>
      <c r="CP9" s="465"/>
      <c r="CQ9" s="465"/>
      <c r="CR9" s="465"/>
      <c r="CS9" s="465"/>
      <c r="CT9" s="465"/>
      <c r="CU9" s="465"/>
      <c r="CV9" s="465"/>
      <c r="CW9" s="465"/>
      <c r="CX9" s="465"/>
      <c r="CY9" s="465"/>
      <c r="CZ9" s="465"/>
      <c r="DA9" s="465"/>
      <c r="DB9" s="465"/>
      <c r="DC9" s="465"/>
      <c r="DD9" s="465"/>
      <c r="DE9" s="465"/>
      <c r="DF9" s="465"/>
      <c r="DG9" s="465"/>
      <c r="DH9" s="465"/>
      <c r="DI9" s="465"/>
      <c r="DJ9" s="465"/>
      <c r="DK9" s="465"/>
      <c r="DL9" s="465"/>
      <c r="DM9" s="465"/>
      <c r="DN9" s="465"/>
      <c r="DO9" s="465"/>
      <c r="DP9" s="465"/>
      <c r="DQ9" s="465"/>
      <c r="DR9" s="465"/>
      <c r="DS9" s="465"/>
      <c r="DT9" s="465"/>
      <c r="DU9" s="465"/>
      <c r="DV9" s="465"/>
      <c r="DW9" s="465"/>
      <c r="DX9" s="465"/>
      <c r="DY9" s="465"/>
      <c r="DZ9" s="465"/>
      <c r="EA9" s="465"/>
      <c r="EB9" s="465"/>
      <c r="EC9" s="465"/>
      <c r="ED9" s="465"/>
      <c r="EE9" s="465"/>
      <c r="EF9" s="465"/>
      <c r="EG9" s="465"/>
      <c r="EH9" s="465"/>
      <c r="EI9" s="465"/>
      <c r="EJ9" s="465"/>
      <c r="EK9" s="465"/>
      <c r="EL9" s="465"/>
      <c r="EM9" s="465"/>
      <c r="EN9" s="465"/>
      <c r="EO9" s="465"/>
      <c r="EP9" s="465"/>
      <c r="EQ9" s="465"/>
      <c r="ER9" s="467"/>
    </row>
    <row r="10" ht="15.75" customHeight="1" spans="1:19" x14ac:dyDescent="0.25">
      <c r="A10" s="468" t="s">
        <v>45</v>
      </c>
      <c r="B10" s="30" t="s">
        <v>0</v>
      </c>
      <c r="C10" s="190" t="s">
        <v>319</v>
      </c>
      <c r="D10" s="22" t="s">
        <v>2213</v>
      </c>
      <c r="E10" s="23" t="s">
        <v>2214</v>
      </c>
      <c r="F10" s="111" t="s">
        <v>2215</v>
      </c>
      <c r="G10" s="191" t="s">
        <v>2216</v>
      </c>
      <c r="H10" s="28" t="s">
        <v>2217</v>
      </c>
      <c r="I10" s="191" t="s">
        <v>2218</v>
      </c>
      <c r="J10" s="28" t="s">
        <v>2219</v>
      </c>
      <c r="K10" s="191" t="s">
        <v>2220</v>
      </c>
      <c r="L10" s="28" t="s">
        <v>2221</v>
      </c>
      <c r="M10" s="191" t="s">
        <v>2222</v>
      </c>
      <c r="N10" s="28" t="s">
        <v>508</v>
      </c>
      <c r="O10" s="191" t="s">
        <v>172</v>
      </c>
      <c r="P10" s="28" t="s">
        <v>167</v>
      </c>
      <c r="Q10" s="191" t="s">
        <v>508</v>
      </c>
      <c r="R10" s="28" t="s">
        <v>0</v>
      </c>
      <c r="S10" s="23" t="s">
        <v>2213</v>
      </c>
    </row>
    <row r="11" ht="16.5" customHeight="1" spans="1:19" x14ac:dyDescent="0.25">
      <c r="A11" s="34" t="s">
        <v>0</v>
      </c>
      <c r="B11" s="37" t="s">
        <v>0</v>
      </c>
      <c r="C11" s="37" t="s">
        <v>2223</v>
      </c>
      <c r="D11" s="37" t="s">
        <v>2224</v>
      </c>
      <c r="E11" s="117" t="s">
        <v>2225</v>
      </c>
      <c r="F11" s="37" t="s">
        <v>2215</v>
      </c>
      <c r="G11" s="37" t="s">
        <v>2216</v>
      </c>
      <c r="H11" s="37" t="s">
        <v>2217</v>
      </c>
      <c r="I11" s="37" t="s">
        <v>2226</v>
      </c>
      <c r="J11" s="117" t="s">
        <v>2227</v>
      </c>
      <c r="K11" s="117" t="s">
        <v>2220</v>
      </c>
      <c r="L11" s="117" t="s">
        <v>2221</v>
      </c>
      <c r="M11" s="117" t="s">
        <v>2222</v>
      </c>
      <c r="N11" s="117" t="s">
        <v>2228</v>
      </c>
      <c r="O11" s="117" t="s">
        <v>2229</v>
      </c>
      <c r="P11" s="117" t="s">
        <v>2230</v>
      </c>
      <c r="Q11" s="117" t="s">
        <v>508</v>
      </c>
      <c r="R11" s="118" t="s">
        <v>73</v>
      </c>
      <c r="S11" s="38" t="s">
        <v>2224</v>
      </c>
    </row>
    <row r="12" spans="1:19"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row>
    <row r="13" ht="15.75" customHeight="1" spans="1:19"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row>
    <row r="14" ht="16.5" customHeight="1" spans="1:19" x14ac:dyDescent="0.25">
      <c r="A14" s="41" t="s">
        <v>200</v>
      </c>
      <c r="B14" s="43"/>
      <c r="C14" s="41" t="s">
        <v>201</v>
      </c>
      <c r="D14" s="42"/>
      <c r="E14" s="42"/>
      <c r="F14" s="42"/>
      <c r="G14" s="43"/>
      <c r="H14" s="41" t="s">
        <v>76</v>
      </c>
      <c r="I14" s="42"/>
      <c r="J14" s="43"/>
      <c r="K14" s="222" t="s">
        <v>77</v>
      </c>
      <c r="L14" s="394"/>
      <c r="M14" s="223"/>
      <c r="N14" t="s">
        <v>0</v>
      </c>
      <c r="O14" t="s">
        <v>0</v>
      </c>
      <c r="P14" t="s">
        <v>0</v>
      </c>
      <c r="Q14" t="s">
        <v>0</v>
      </c>
      <c r="R14" t="s">
        <v>0</v>
      </c>
      <c r="S14" t="s">
        <v>0</v>
      </c>
    </row>
    <row r="15" spans="1:19" x14ac:dyDescent="0.25">
      <c r="A15" s="416" t="s">
        <v>1230</v>
      </c>
      <c r="B15" s="417"/>
      <c r="C15" s="447" t="s">
        <v>2231</v>
      </c>
      <c r="D15" s="448"/>
      <c r="E15" s="448"/>
      <c r="F15" s="448"/>
      <c r="G15" s="449"/>
      <c r="H15" s="447" t="s">
        <v>2232</v>
      </c>
      <c r="I15" s="591"/>
      <c r="J15" s="417"/>
      <c r="K15" s="421">
        <v>600</v>
      </c>
      <c r="L15" s="422"/>
      <c r="M15" s="423"/>
      <c r="N15" t="s">
        <v>0</v>
      </c>
      <c r="O15" t="s">
        <v>0</v>
      </c>
      <c r="P15" t="s">
        <v>0</v>
      </c>
      <c r="Q15" t="s">
        <v>0</v>
      </c>
      <c r="R15" t="s">
        <v>0</v>
      </c>
      <c r="S15" t="s">
        <v>0</v>
      </c>
    </row>
    <row r="16" spans="1:19" x14ac:dyDescent="0.25">
      <c r="A16" s="216"/>
      <c r="B16" s="255"/>
      <c r="C16" s="169"/>
      <c r="D16" s="170"/>
      <c r="E16" s="170"/>
      <c r="F16" s="170"/>
      <c r="G16" s="171"/>
      <c r="H16" s="216"/>
      <c r="I16" s="206"/>
      <c r="J16" s="255"/>
      <c r="K16" s="249"/>
      <c r="L16" s="395"/>
      <c r="M16" s="250"/>
      <c r="N16" t="s">
        <v>0</v>
      </c>
      <c r="O16" t="s">
        <v>0</v>
      </c>
      <c r="P16" t="s">
        <v>0</v>
      </c>
      <c r="Q16" t="s">
        <v>0</v>
      </c>
      <c r="R16" t="s">
        <v>0</v>
      </c>
      <c r="S16" t="s">
        <v>0</v>
      </c>
    </row>
    <row r="17" spans="1:19" x14ac:dyDescent="0.25">
      <c r="A17" s="481" t="s">
        <v>208</v>
      </c>
      <c r="B17" s="592"/>
      <c r="C17" s="483" t="s">
        <v>2233</v>
      </c>
      <c r="D17" s="409"/>
      <c r="E17" s="409"/>
      <c r="F17" s="409"/>
      <c r="G17" s="593"/>
      <c r="H17" s="483" t="s">
        <v>2234</v>
      </c>
      <c r="I17" s="80"/>
      <c r="J17" s="592"/>
      <c r="K17" s="594">
        <v>1500</v>
      </c>
      <c r="L17" s="132"/>
      <c r="M17" s="595"/>
      <c r="N17" t="s">
        <v>0</v>
      </c>
      <c r="O17" t="s">
        <v>0</v>
      </c>
      <c r="P17" t="s">
        <v>0</v>
      </c>
      <c r="Q17" t="s">
        <v>0</v>
      </c>
      <c r="R17" t="s">
        <v>0</v>
      </c>
      <c r="S17" t="s">
        <v>0</v>
      </c>
    </row>
    <row r="18" spans="1:19" x14ac:dyDescent="0.25">
      <c r="A18" s="216"/>
      <c r="B18" s="255"/>
      <c r="C18" s="169"/>
      <c r="D18" s="170"/>
      <c r="E18" s="170"/>
      <c r="F18" s="170"/>
      <c r="G18" s="171"/>
      <c r="H18" s="216"/>
      <c r="I18" s="206"/>
      <c r="J18" s="255"/>
      <c r="K18" s="249"/>
      <c r="L18" s="395"/>
      <c r="M18" s="250"/>
      <c r="N18" t="s">
        <v>0</v>
      </c>
      <c r="O18" t="s">
        <v>0</v>
      </c>
      <c r="P18" t="s">
        <v>0</v>
      </c>
      <c r="Q18" t="s">
        <v>0</v>
      </c>
      <c r="R18" t="s">
        <v>0</v>
      </c>
      <c r="S18" t="s">
        <v>0</v>
      </c>
    </row>
    <row r="19" ht="30.75" customHeight="1" spans="1:19" x14ac:dyDescent="0.25">
      <c r="A19" s="137" t="s">
        <v>208</v>
      </c>
      <c r="B19" s="139"/>
      <c r="C19" s="596" t="s">
        <v>2235</v>
      </c>
      <c r="D19" s="597"/>
      <c r="E19" s="597"/>
      <c r="F19" s="597"/>
      <c r="G19" s="598"/>
      <c r="H19" s="596" t="s">
        <v>2236</v>
      </c>
      <c r="I19" s="599"/>
      <c r="J19" s="600"/>
      <c r="K19" s="601">
        <v>1657</v>
      </c>
      <c r="L19" s="602"/>
      <c r="M19" s="603"/>
      <c r="N19" t="s">
        <v>0</v>
      </c>
      <c r="O19" t="s">
        <v>0</v>
      </c>
      <c r="P19" t="s">
        <v>0</v>
      </c>
      <c r="Q19" t="s">
        <v>0</v>
      </c>
      <c r="R19" t="s">
        <v>0</v>
      </c>
      <c r="S19" t="s">
        <v>0</v>
      </c>
    </row>
    <row r="20" ht="30.75" customHeight="1" spans="1:19" x14ac:dyDescent="0.25">
      <c r="A20" s="137" t="s">
        <v>1230</v>
      </c>
      <c r="B20" s="139"/>
      <c r="C20" s="61" t="s">
        <v>2237</v>
      </c>
      <c r="D20" s="62"/>
      <c r="E20" s="62"/>
      <c r="F20" s="62"/>
      <c r="G20" s="63"/>
      <c r="H20" s="596" t="s">
        <v>2238</v>
      </c>
      <c r="I20" s="599"/>
      <c r="J20" s="600"/>
      <c r="K20" s="143">
        <v>530</v>
      </c>
      <c r="L20" s="431"/>
      <c r="M20" s="144"/>
      <c r="N20" t="s">
        <v>0</v>
      </c>
      <c r="O20" t="s">
        <v>0</v>
      </c>
      <c r="P20" t="s">
        <v>0</v>
      </c>
      <c r="Q20" t="s">
        <v>0</v>
      </c>
      <c r="R20" t="s">
        <v>0</v>
      </c>
      <c r="S20" t="s">
        <v>0</v>
      </c>
    </row>
    <row r="21" ht="30.75" customHeight="1" spans="1:19" x14ac:dyDescent="0.25">
      <c r="A21" s="68" t="s">
        <v>208</v>
      </c>
      <c r="B21" s="70"/>
      <c r="C21" s="75" t="s">
        <v>215</v>
      </c>
      <c r="D21" s="76"/>
      <c r="E21" s="76"/>
      <c r="F21" s="76"/>
      <c r="G21" s="77"/>
      <c r="H21" s="75" t="s">
        <v>2239</v>
      </c>
      <c r="I21" s="76"/>
      <c r="J21" s="77"/>
      <c r="K21" s="71">
        <v>4039</v>
      </c>
      <c r="L21" s="209"/>
      <c r="M21" s="72"/>
      <c r="N21" t="s">
        <v>0</v>
      </c>
      <c r="O21" t="s">
        <v>0</v>
      </c>
      <c r="P21" t="s">
        <v>0</v>
      </c>
      <c r="Q21" t="s">
        <v>0</v>
      </c>
      <c r="R21" t="s">
        <v>0</v>
      </c>
      <c r="S21" t="s">
        <v>0</v>
      </c>
    </row>
    <row r="22" ht="31.5" customHeight="1" spans="1:19" x14ac:dyDescent="0.25">
      <c r="A22" s="68" t="s">
        <v>208</v>
      </c>
      <c r="B22" s="70"/>
      <c r="C22" s="75" t="s">
        <v>2240</v>
      </c>
      <c r="D22" s="76"/>
      <c r="E22" s="76"/>
      <c r="F22" s="76"/>
      <c r="G22" s="77"/>
      <c r="H22" s="75" t="s">
        <v>2241</v>
      </c>
      <c r="I22" s="76"/>
      <c r="J22" s="77"/>
      <c r="K22" s="71">
        <v>1628</v>
      </c>
      <c r="L22" s="209"/>
      <c r="M22" s="72"/>
      <c r="N22" t="s">
        <v>0</v>
      </c>
      <c r="O22" t="s">
        <v>0</v>
      </c>
      <c r="P22" t="s">
        <v>0</v>
      </c>
      <c r="Q22" t="s">
        <v>0</v>
      </c>
      <c r="R22" t="s">
        <v>0</v>
      </c>
      <c r="S22" t="s">
        <v>0</v>
      </c>
    </row>
    <row r="23" ht="28.5" customHeight="1" spans="1:19" x14ac:dyDescent="0.25">
      <c r="A23" s="68" t="s">
        <v>2242</v>
      </c>
      <c r="B23" s="70"/>
      <c r="C23" s="75" t="s">
        <v>2243</v>
      </c>
      <c r="D23" s="76"/>
      <c r="E23" s="76"/>
      <c r="F23" s="76"/>
      <c r="G23" s="77"/>
      <c r="H23" s="75" t="s">
        <v>2244</v>
      </c>
      <c r="I23" s="76"/>
      <c r="J23" s="77"/>
      <c r="K23" s="71">
        <v>49900</v>
      </c>
      <c r="L23" s="209"/>
      <c r="M23" s="72"/>
      <c r="N23" t="s">
        <v>0</v>
      </c>
      <c r="O23" t="s">
        <v>0</v>
      </c>
      <c r="P23" t="s">
        <v>0</v>
      </c>
      <c r="Q23" t="s">
        <v>0</v>
      </c>
      <c r="R23" t="s">
        <v>0</v>
      </c>
      <c r="S23" t="s">
        <v>0</v>
      </c>
    </row>
    <row r="24" ht="29.25" customHeight="1" spans="1:19" x14ac:dyDescent="0.25">
      <c r="A24" s="68" t="s">
        <v>2245</v>
      </c>
      <c r="B24" s="70"/>
      <c r="C24" s="75" t="s">
        <v>2246</v>
      </c>
      <c r="D24" s="76"/>
      <c r="E24" s="76"/>
      <c r="F24" s="76"/>
      <c r="G24" s="77"/>
      <c r="H24" s="75" t="s">
        <v>2247</v>
      </c>
      <c r="I24" s="76"/>
      <c r="J24" s="77"/>
      <c r="K24" s="71">
        <v>18500</v>
      </c>
      <c r="L24" s="209"/>
      <c r="M24" s="72"/>
      <c r="N24" t="s">
        <v>0</v>
      </c>
      <c r="O24" t="s">
        <v>0</v>
      </c>
      <c r="P24" t="s">
        <v>0</v>
      </c>
      <c r="Q24" t="s">
        <v>0</v>
      </c>
      <c r="R24" t="s">
        <v>0</v>
      </c>
      <c r="S24" t="s">
        <v>0</v>
      </c>
    </row>
    <row r="25" ht="30" customHeight="1" spans="1:19" x14ac:dyDescent="0.25">
      <c r="A25" s="68" t="s">
        <v>2248</v>
      </c>
      <c r="B25" s="70"/>
      <c r="C25" s="75" t="s">
        <v>1450</v>
      </c>
      <c r="D25" s="76"/>
      <c r="E25" s="76"/>
      <c r="F25" s="76"/>
      <c r="G25" s="77"/>
      <c r="H25" s="75" t="s">
        <v>2249</v>
      </c>
      <c r="I25" s="76"/>
      <c r="J25" s="77"/>
      <c r="K25" s="71">
        <v>7298</v>
      </c>
      <c r="L25" s="209"/>
      <c r="M25" s="72"/>
      <c r="N25" t="s">
        <v>0</v>
      </c>
      <c r="O25" t="s">
        <v>0</v>
      </c>
      <c r="P25" t="s">
        <v>0</v>
      </c>
      <c r="Q25" t="s">
        <v>0</v>
      </c>
      <c r="R25" t="s">
        <v>0</v>
      </c>
      <c r="S25" t="s">
        <v>0</v>
      </c>
    </row>
    <row r="26" ht="30.75" customHeight="1" spans="1:19" x14ac:dyDescent="0.25">
      <c r="A26" s="68" t="s">
        <v>1447</v>
      </c>
      <c r="B26" s="70"/>
      <c r="C26" s="75" t="s">
        <v>2250</v>
      </c>
      <c r="D26" s="76"/>
      <c r="E26" s="76"/>
      <c r="F26" s="76"/>
      <c r="G26" s="77"/>
      <c r="H26" s="75" t="s">
        <v>2251</v>
      </c>
      <c r="I26" s="76"/>
      <c r="J26" s="77"/>
      <c r="K26" s="71">
        <v>3495</v>
      </c>
      <c r="L26" s="209"/>
      <c r="M26" s="72"/>
      <c r="N26" t="s">
        <v>0</v>
      </c>
      <c r="O26" t="s">
        <v>0</v>
      </c>
      <c r="P26" t="s">
        <v>0</v>
      </c>
      <c r="Q26" t="s">
        <v>0</v>
      </c>
      <c r="R26" t="s">
        <v>0</v>
      </c>
      <c r="S26" t="s">
        <v>0</v>
      </c>
    </row>
    <row r="27" ht="31.5" customHeight="1" spans="1:19" x14ac:dyDescent="0.25">
      <c r="A27" s="68" t="s">
        <v>2252</v>
      </c>
      <c r="B27" s="70"/>
      <c r="C27" s="75" t="s">
        <v>2253</v>
      </c>
      <c r="D27" s="76"/>
      <c r="E27" s="76"/>
      <c r="F27" s="76"/>
      <c r="G27" s="77"/>
      <c r="H27" s="75" t="s">
        <v>2254</v>
      </c>
      <c r="I27" s="76"/>
      <c r="J27" s="77"/>
      <c r="K27" s="71">
        <v>5500</v>
      </c>
      <c r="L27" s="209"/>
      <c r="M27" s="72"/>
      <c r="N27" t="s">
        <v>0</v>
      </c>
      <c r="O27" t="s">
        <v>0</v>
      </c>
      <c r="P27" t="s">
        <v>0</v>
      </c>
      <c r="Q27" t="s">
        <v>0</v>
      </c>
      <c r="R27" t="s">
        <v>0</v>
      </c>
      <c r="S27" t="s">
        <v>0</v>
      </c>
    </row>
    <row r="28" ht="20.25" customHeight="1" spans="1:19" x14ac:dyDescent="0.25">
      <c r="A28" s="604" t="s">
        <v>0</v>
      </c>
      <c r="B28" s="605" t="s">
        <v>0</v>
      </c>
      <c r="C28" s="586"/>
      <c r="D28" s="373"/>
      <c r="E28" s="373"/>
      <c r="F28" s="373"/>
      <c r="G28" s="374"/>
      <c r="H28" s="586"/>
      <c r="I28" s="373"/>
      <c r="J28" s="374"/>
      <c r="K28" s="71"/>
      <c r="L28" s="209"/>
      <c r="M28" s="72"/>
      <c r="N28" t="s">
        <v>0</v>
      </c>
      <c r="O28" t="s">
        <v>0</v>
      </c>
      <c r="P28" t="s">
        <v>0</v>
      </c>
      <c r="Q28" t="s">
        <v>0</v>
      </c>
      <c r="R28" t="s">
        <v>0</v>
      </c>
      <c r="S28" t="s">
        <v>0</v>
      </c>
    </row>
    <row r="29" ht="17.25" customHeight="1" spans="1:19" x14ac:dyDescent="0.25">
      <c r="A29" s="604" t="s">
        <v>0</v>
      </c>
      <c r="B29" s="605" t="s">
        <v>0</v>
      </c>
      <c r="C29" s="586"/>
      <c r="D29" s="373"/>
      <c r="E29" s="373"/>
      <c r="F29" s="373"/>
      <c r="G29" s="374"/>
      <c r="H29" s="586"/>
      <c r="I29" s="373"/>
      <c r="J29" s="374"/>
      <c r="K29" s="71"/>
      <c r="L29" s="209"/>
      <c r="M29" s="72"/>
      <c r="N29" t="s">
        <v>0</v>
      </c>
      <c r="O29" t="s">
        <v>0</v>
      </c>
      <c r="P29" t="s">
        <v>0</v>
      </c>
      <c r="Q29" t="s">
        <v>0</v>
      </c>
      <c r="R29" t="s">
        <v>0</v>
      </c>
      <c r="S29" t="s">
        <v>0</v>
      </c>
    </row>
    <row r="30" ht="15.75" customHeight="1" spans="1:19" x14ac:dyDescent="0.25">
      <c r="A30" s="88"/>
      <c r="B30" s="90"/>
      <c r="C30" s="88"/>
      <c r="D30" s="89"/>
      <c r="E30" s="89"/>
      <c r="F30" s="89"/>
      <c r="G30" s="90"/>
      <c r="H30" s="88"/>
      <c r="I30" s="89"/>
      <c r="J30" s="90"/>
      <c r="K30" s="253"/>
      <c r="L30" s="397"/>
      <c r="M30" s="254"/>
      <c r="N30" t="s">
        <v>0</v>
      </c>
      <c r="O30" t="s">
        <v>0</v>
      </c>
      <c r="P30" t="s">
        <v>0</v>
      </c>
      <c r="Q30" t="s">
        <v>0</v>
      </c>
      <c r="R30" t="s">
        <v>0</v>
      </c>
      <c r="S30" t="s">
        <v>0</v>
      </c>
    </row>
    <row r="31" ht="15.75" customHeight="1" spans="1:19" x14ac:dyDescent="0.25">
      <c r="A31" s="328"/>
      <c r="B31" s="330"/>
      <c r="C31" s="94"/>
      <c r="D31" s="95"/>
      <c r="E31" s="95"/>
      <c r="F31" s="95"/>
      <c r="G31" s="96"/>
      <c r="H31" s="97" t="s">
        <v>2255</v>
      </c>
      <c r="I31" s="98"/>
      <c r="J31" s="233"/>
      <c r="K31" s="606">
        <f>SUM(K15:M30)</f>
        <v>94647</v>
      </c>
      <c r="L31" s="607"/>
      <c r="M31" s="608"/>
      <c r="N31" t="s">
        <v>0</v>
      </c>
      <c r="O31" t="s">
        <v>0</v>
      </c>
      <c r="P31" t="s">
        <v>0</v>
      </c>
      <c r="Q31" t="s">
        <v>0</v>
      </c>
      <c r="R31" t="s">
        <v>0</v>
      </c>
      <c r="S31" t="s">
        <v>0</v>
      </c>
    </row>
    <row r="32" spans="1:19" x14ac:dyDescent="0.25">
      <c r="A32" t="s">
        <v>0</v>
      </c>
      <c r="B32" t="s">
        <v>0</v>
      </c>
      <c r="C32" t="s">
        <v>0</v>
      </c>
      <c r="D32" t="s">
        <v>0</v>
      </c>
      <c r="E32" t="s">
        <v>0</v>
      </c>
      <c r="F32" t="s">
        <v>0</v>
      </c>
      <c r="G32" t="s">
        <v>0</v>
      </c>
      <c r="H32" t="s">
        <v>0</v>
      </c>
      <c r="I32" t="s">
        <v>0</v>
      </c>
      <c r="J32" t="s">
        <v>0</v>
      </c>
      <c r="K32" t="s">
        <v>0</v>
      </c>
      <c r="L32" t="s">
        <v>0</v>
      </c>
      <c r="M32" t="s">
        <v>0</v>
      </c>
      <c r="N32" t="s">
        <v>0</v>
      </c>
      <c r="O32" t="s">
        <v>0</v>
      </c>
      <c r="P32" t="s">
        <v>0</v>
      </c>
      <c r="Q32" t="s">
        <v>0</v>
      </c>
      <c r="R32" t="s">
        <v>0</v>
      </c>
      <c r="S32" t="s">
        <v>0</v>
      </c>
    </row>
    <row r="33" ht="15.75" customHeight="1" spans="1:19" x14ac:dyDescent="0.25">
      <c r="A33" t="s">
        <v>0</v>
      </c>
      <c r="B33" t="s">
        <v>0</v>
      </c>
      <c r="C33" t="s">
        <v>0</v>
      </c>
      <c r="D33" t="s">
        <v>0</v>
      </c>
      <c r="E33" t="s">
        <v>0</v>
      </c>
      <c r="F33" t="s">
        <v>0</v>
      </c>
      <c r="G33" t="s">
        <v>0</v>
      </c>
      <c r="H33" t="s">
        <v>0</v>
      </c>
      <c r="I33" t="s">
        <v>0</v>
      </c>
      <c r="J33" t="s">
        <v>0</v>
      </c>
      <c r="K33" t="s">
        <v>0</v>
      </c>
      <c r="L33" t="s">
        <v>0</v>
      </c>
      <c r="M33" t="s">
        <v>0</v>
      </c>
      <c r="N33" t="s">
        <v>0</v>
      </c>
      <c r="O33" t="s">
        <v>0</v>
      </c>
      <c r="P33" t="s">
        <v>0</v>
      </c>
      <c r="Q33" t="s">
        <v>0</v>
      </c>
      <c r="R33" t="s">
        <v>0</v>
      </c>
      <c r="S33" t="s">
        <v>0</v>
      </c>
    </row>
    <row r="34" ht="18" customHeight="1" spans="1:19" x14ac:dyDescent="0.25">
      <c r="A34" s="41" t="s">
        <v>200</v>
      </c>
      <c r="B34" s="43"/>
      <c r="C34" s="41" t="s">
        <v>238</v>
      </c>
      <c r="D34" s="42"/>
      <c r="E34" s="42"/>
      <c r="F34" s="42"/>
      <c r="G34" s="43"/>
      <c r="H34" s="41" t="s">
        <v>76</v>
      </c>
      <c r="I34" s="42"/>
      <c r="J34" s="43"/>
      <c r="K34" s="222" t="s">
        <v>77</v>
      </c>
      <c r="L34" s="394"/>
      <c r="M34" s="223"/>
      <c r="N34" t="s">
        <v>0</v>
      </c>
      <c r="O34" t="s">
        <v>0</v>
      </c>
      <c r="P34" t="s">
        <v>0</v>
      </c>
      <c r="Q34" t="s">
        <v>0</v>
      </c>
      <c r="R34" t="s">
        <v>0</v>
      </c>
      <c r="S34" t="s">
        <v>0</v>
      </c>
    </row>
    <row r="35" ht="32.25" customHeight="1" spans="1:19" x14ac:dyDescent="0.25">
      <c r="A35" s="216" t="s">
        <v>2256</v>
      </c>
      <c r="B35" s="255"/>
      <c r="C35" s="169" t="s">
        <v>2257</v>
      </c>
      <c r="D35" s="170"/>
      <c r="E35" s="170"/>
      <c r="F35" s="170"/>
      <c r="G35" s="171"/>
      <c r="H35" s="216" t="s">
        <v>2194</v>
      </c>
      <c r="I35" s="206"/>
      <c r="J35" s="255"/>
      <c r="K35" s="249">
        <v>9813</v>
      </c>
      <c r="L35" s="395"/>
      <c r="M35" s="250"/>
      <c r="N35" t="s">
        <v>0</v>
      </c>
      <c r="O35" t="s">
        <v>0</v>
      </c>
      <c r="P35" t="s">
        <v>0</v>
      </c>
      <c r="Q35" t="s">
        <v>0</v>
      </c>
      <c r="R35" t="s">
        <v>0</v>
      </c>
      <c r="S35" t="s">
        <v>0</v>
      </c>
    </row>
    <row r="36" spans="1:19" x14ac:dyDescent="0.25">
      <c r="A36" s="172" t="s">
        <v>2256</v>
      </c>
      <c r="B36" s="83"/>
      <c r="C36" s="81" t="s">
        <v>2258</v>
      </c>
      <c r="D36" s="134"/>
      <c r="E36" s="134"/>
      <c r="F36" s="134"/>
      <c r="G36" s="84"/>
      <c r="H36" s="81" t="s">
        <v>2259</v>
      </c>
      <c r="I36" s="134"/>
      <c r="J36" s="84"/>
      <c r="K36" s="85">
        <v>200</v>
      </c>
      <c r="L36" s="355"/>
      <c r="M36" s="86"/>
      <c r="N36" t="s">
        <v>0</v>
      </c>
      <c r="O36" t="s">
        <v>0</v>
      </c>
      <c r="P36" t="s">
        <v>0</v>
      </c>
      <c r="Q36" t="s">
        <v>0</v>
      </c>
      <c r="R36" t="s">
        <v>0</v>
      </c>
      <c r="S36" t="s">
        <v>0</v>
      </c>
    </row>
    <row r="37" ht="44.25" customHeight="1" spans="1:19" x14ac:dyDescent="0.25">
      <c r="A37" s="172" t="s">
        <v>2256</v>
      </c>
      <c r="B37" s="83"/>
      <c r="C37" s="47" t="s">
        <v>2260</v>
      </c>
      <c r="D37" s="48"/>
      <c r="E37" s="48"/>
      <c r="F37" s="48"/>
      <c r="G37" s="49"/>
      <c r="H37" s="226" t="s">
        <v>2261</v>
      </c>
      <c r="I37" s="227"/>
      <c r="J37" s="556"/>
      <c r="K37" s="207">
        <v>6900</v>
      </c>
      <c r="L37" s="609"/>
      <c r="M37" s="208"/>
      <c r="N37" t="s">
        <v>0</v>
      </c>
      <c r="O37" t="s">
        <v>0</v>
      </c>
      <c r="P37" t="s">
        <v>0</v>
      </c>
      <c r="Q37" t="s">
        <v>0</v>
      </c>
      <c r="R37" t="s">
        <v>0</v>
      </c>
      <c r="S37" t="s">
        <v>0</v>
      </c>
    </row>
    <row r="38" spans="1:19" x14ac:dyDescent="0.25">
      <c r="A38" s="137"/>
      <c r="B38" s="139"/>
      <c r="C38" s="610"/>
      <c r="D38" s="611"/>
      <c r="E38" s="611"/>
      <c r="F38" s="611"/>
      <c r="G38" s="612"/>
      <c r="H38" s="610"/>
      <c r="I38" s="613"/>
      <c r="J38" s="605"/>
      <c r="K38" s="601"/>
      <c r="L38" s="602"/>
      <c r="M38" s="603"/>
      <c r="N38" t="s">
        <v>0</v>
      </c>
      <c r="O38" t="s">
        <v>0</v>
      </c>
      <c r="P38" t="s">
        <v>0</v>
      </c>
      <c r="Q38" t="s">
        <v>0</v>
      </c>
      <c r="R38" t="s">
        <v>0</v>
      </c>
      <c r="S38" t="s">
        <v>0</v>
      </c>
    </row>
    <row r="39" ht="15.75" customHeight="1" spans="1:19" x14ac:dyDescent="0.25">
      <c r="A39" s="137"/>
      <c r="B39" s="139"/>
      <c r="C39" s="583"/>
      <c r="D39" s="584"/>
      <c r="E39" s="584"/>
      <c r="F39" s="584"/>
      <c r="G39" s="585"/>
      <c r="H39" s="610"/>
      <c r="I39" s="613"/>
      <c r="J39" s="605"/>
      <c r="K39" s="143"/>
      <c r="L39" s="431"/>
      <c r="M39" s="144"/>
      <c r="N39" t="s">
        <v>0</v>
      </c>
      <c r="O39" t="s">
        <v>0</v>
      </c>
      <c r="P39" t="s">
        <v>0</v>
      </c>
      <c r="Q39" t="s">
        <v>0</v>
      </c>
      <c r="R39" t="s">
        <v>0</v>
      </c>
      <c r="S39" t="s">
        <v>0</v>
      </c>
    </row>
    <row r="40" ht="15.75" customHeight="1" spans="1:19" x14ac:dyDescent="0.25">
      <c r="A40" s="328"/>
      <c r="B40" s="330"/>
      <c r="C40" s="94"/>
      <c r="D40" s="95"/>
      <c r="E40" s="95"/>
      <c r="F40" s="95"/>
      <c r="G40" s="96"/>
      <c r="H40" s="97" t="s">
        <v>2255</v>
      </c>
      <c r="I40" s="98"/>
      <c r="J40" s="233"/>
      <c r="K40" s="606">
        <f>SUM(K35:M39)</f>
        <v>16913</v>
      </c>
      <c r="L40" s="607"/>
      <c r="M40" s="608"/>
      <c r="N40" t="s">
        <v>0</v>
      </c>
      <c r="O40" t="s">
        <v>0</v>
      </c>
      <c r="P40" t="s">
        <v>0</v>
      </c>
      <c r="Q40" t="s">
        <v>0</v>
      </c>
      <c r="R40" t="s">
        <v>0</v>
      </c>
      <c r="S40" t="s">
        <v>0</v>
      </c>
    </row>
  </sheetData>
  <mergeCells count="90">
    <mergeCell ref="A14:B14"/>
    <mergeCell ref="C14:G14"/>
    <mergeCell ref="H14:J14"/>
    <mergeCell ref="K14:M14"/>
    <mergeCell ref="A15:B16"/>
    <mergeCell ref="C15:G16"/>
    <mergeCell ref="H15:J16"/>
    <mergeCell ref="K15:M16"/>
    <mergeCell ref="A17:B18"/>
    <mergeCell ref="C17:G18"/>
    <mergeCell ref="H17:J18"/>
    <mergeCell ref="K17:M18"/>
    <mergeCell ref="A19:B19"/>
    <mergeCell ref="C19:G19"/>
    <mergeCell ref="H19:J19"/>
    <mergeCell ref="K19:M19"/>
    <mergeCell ref="A20:B20"/>
    <mergeCell ref="C20:G20"/>
    <mergeCell ref="H20:J20"/>
    <mergeCell ref="K20:M20"/>
    <mergeCell ref="A21:B21"/>
    <mergeCell ref="C21:G21"/>
    <mergeCell ref="H21:J21"/>
    <mergeCell ref="K21:M21"/>
    <mergeCell ref="A22:B22"/>
    <mergeCell ref="C22:G22"/>
    <mergeCell ref="H22:J22"/>
    <mergeCell ref="K22:M22"/>
    <mergeCell ref="A23:B23"/>
    <mergeCell ref="C23:G23"/>
    <mergeCell ref="H23:J23"/>
    <mergeCell ref="K23:M23"/>
    <mergeCell ref="A24:B24"/>
    <mergeCell ref="C24:G24"/>
    <mergeCell ref="H24:J24"/>
    <mergeCell ref="K24:M24"/>
    <mergeCell ref="A25:B25"/>
    <mergeCell ref="C25:G25"/>
    <mergeCell ref="H25:J25"/>
    <mergeCell ref="K25:M25"/>
    <mergeCell ref="A26:B26"/>
    <mergeCell ref="C26:G26"/>
    <mergeCell ref="H26:J26"/>
    <mergeCell ref="K26:M26"/>
    <mergeCell ref="A27:B27"/>
    <mergeCell ref="C27:G27"/>
    <mergeCell ref="H27:J27"/>
    <mergeCell ref="K27:M27"/>
    <mergeCell ref="C28:G28"/>
    <mergeCell ref="H28:J28"/>
    <mergeCell ref="K28:M28"/>
    <mergeCell ref="C29:G29"/>
    <mergeCell ref="H29:J29"/>
    <mergeCell ref="K29:M29"/>
    <mergeCell ref="A30:B30"/>
    <mergeCell ref="C30:G30"/>
    <mergeCell ref="H30:J30"/>
    <mergeCell ref="K30:M30"/>
    <mergeCell ref="A31:B31"/>
    <mergeCell ref="C31:G31"/>
    <mergeCell ref="H31:J31"/>
    <mergeCell ref="K31:M31"/>
    <mergeCell ref="A34:B34"/>
    <mergeCell ref="C34:G34"/>
    <mergeCell ref="H34:J34"/>
    <mergeCell ref="K34:M34"/>
    <mergeCell ref="A35:B35"/>
    <mergeCell ref="C35:G35"/>
    <mergeCell ref="H35:J35"/>
    <mergeCell ref="K35:M35"/>
    <mergeCell ref="A36:B36"/>
    <mergeCell ref="C36:G36"/>
    <mergeCell ref="H36:J36"/>
    <mergeCell ref="K36:M36"/>
    <mergeCell ref="A37:B37"/>
    <mergeCell ref="C37:G37"/>
    <mergeCell ref="H37:J37"/>
    <mergeCell ref="K37:M37"/>
    <mergeCell ref="A38:B38"/>
    <mergeCell ref="C38:G38"/>
    <mergeCell ref="H38:J38"/>
    <mergeCell ref="K38:M38"/>
    <mergeCell ref="A39:B39"/>
    <mergeCell ref="C39:G39"/>
    <mergeCell ref="H39:J39"/>
    <mergeCell ref="K39:M39"/>
    <mergeCell ref="A40:B40"/>
    <mergeCell ref="C40:G40"/>
    <mergeCell ref="H40:J40"/>
    <mergeCell ref="K40:M4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51"/>
  <sheetViews>
    <sheetView workbookViewId="0" zoomScale="100" zoomScaleNormal="100">
      <selection activeCell="R14" sqref="R14"/>
    </sheetView>
  </sheetViews>
  <sheetFormatPr defaultRowHeight="15" outlineLevelRow="0" outlineLevelCol="0" x14ac:dyDescent="0.25"/>
  <cols>
    <col min="1" max="1" width="39.28515625" customWidth="1"/>
    <col min="2" max="2" width="18.7109375" hidden="1" customWidth="1"/>
    <col min="3" max="3" width="16.7109375" customWidth="1"/>
    <col min="4" max="4" width="17.42578125" customWidth="1"/>
    <col min="5" max="5" width="17.85546875" customWidth="1"/>
    <col min="6" max="6" width="15.28515625" customWidth="1"/>
    <col min="7" max="8" width="10.28515625" customWidth="1"/>
    <col min="9" max="9" width="11.28515625" customWidth="1"/>
    <col min="10" max="10" width="10.28515625" customWidth="1"/>
    <col min="11" max="11" width="11.28515625" customWidth="1"/>
    <col min="12" max="13" width="10.28515625" customWidth="1"/>
    <col min="14" max="14" width="9.28515625" customWidth="1"/>
    <col min="15" max="15" width="11.28515625" customWidth="1"/>
    <col min="16" max="16" width="12.5703125" customWidth="1"/>
    <col min="17" max="17" width="10.85546875" customWidth="1"/>
    <col min="18" max="19" width="11.28515625" customWidth="1"/>
    <col min="20" max="20" width="15.140625" customWidth="1"/>
  </cols>
  <sheetData>
    <row r="1" ht="72.75" customHeight="1" spans="1:20" x14ac:dyDescent="0.25">
      <c r="A1" s="1" t="s">
        <v>0</v>
      </c>
      <c r="B1" s="261" t="s">
        <v>728</v>
      </c>
      <c r="C1" s="2" t="s">
        <v>255</v>
      </c>
      <c r="D1" s="3" t="s">
        <v>263</v>
      </c>
      <c r="E1" s="4" t="s">
        <v>921</v>
      </c>
      <c r="F1" s="5" t="s">
        <v>922</v>
      </c>
      <c r="G1" s="452" t="s">
        <v>5</v>
      </c>
      <c r="H1" s="453" t="s">
        <v>6</v>
      </c>
      <c r="I1" s="453" t="s">
        <v>7</v>
      </c>
      <c r="J1" s="453" t="s">
        <v>8</v>
      </c>
      <c r="K1" s="453" t="s">
        <v>9</v>
      </c>
      <c r="L1" s="453" t="s">
        <v>10</v>
      </c>
      <c r="M1" s="453" t="s">
        <v>11</v>
      </c>
      <c r="N1" s="453" t="s">
        <v>12</v>
      </c>
      <c r="O1" s="453" t="s">
        <v>13</v>
      </c>
      <c r="P1" s="453" t="s">
        <v>14</v>
      </c>
      <c r="Q1" s="453" t="s">
        <v>15</v>
      </c>
      <c r="R1" s="454" t="s">
        <v>16</v>
      </c>
      <c r="S1" s="9" t="s">
        <v>0</v>
      </c>
      <c r="T1" s="10" t="s">
        <v>17</v>
      </c>
    </row>
    <row r="2" ht="16.5" customHeight="1" spans="1:20" x14ac:dyDescent="0.25">
      <c r="A2" s="12" t="s">
        <v>1283</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6" t="s">
        <v>0</v>
      </c>
      <c r="T2" s="18" t="s">
        <v>0</v>
      </c>
    </row>
    <row r="3" ht="15.75" customHeight="1" spans="1:20" x14ac:dyDescent="0.25">
      <c r="A3" s="187" t="s">
        <v>19</v>
      </c>
      <c r="B3" s="263" t="s">
        <v>763</v>
      </c>
      <c r="C3" s="20" t="s">
        <v>0</v>
      </c>
      <c r="D3" s="21" t="s">
        <v>1284</v>
      </c>
      <c r="E3" s="22" t="s">
        <v>1285</v>
      </c>
      <c r="F3" s="23" t="s">
        <v>1286</v>
      </c>
      <c r="G3" s="23" t="s">
        <v>0</v>
      </c>
      <c r="H3" s="23" t="s">
        <v>0</v>
      </c>
      <c r="I3" s="23" t="s">
        <v>0</v>
      </c>
      <c r="J3" s="23" t="s">
        <v>0</v>
      </c>
      <c r="K3" s="23" t="s">
        <v>0</v>
      </c>
      <c r="L3" s="23" t="s">
        <v>0</v>
      </c>
      <c r="M3" s="23" t="s">
        <v>1285</v>
      </c>
      <c r="N3" s="23" t="s">
        <v>0</v>
      </c>
      <c r="O3" s="23" t="s">
        <v>0</v>
      </c>
      <c r="P3" s="23" t="s">
        <v>0</v>
      </c>
      <c r="Q3" s="23" t="s">
        <v>0</v>
      </c>
      <c r="R3" s="23" t="s">
        <v>0</v>
      </c>
      <c r="S3" s="110" t="s">
        <v>0</v>
      </c>
      <c r="T3" s="25" t="s">
        <v>1285</v>
      </c>
    </row>
    <row r="4" ht="15.75" customHeight="1" spans="1:20" x14ac:dyDescent="0.25">
      <c r="A4" s="187" t="s">
        <v>43</v>
      </c>
      <c r="B4" s="263" t="s">
        <v>0</v>
      </c>
      <c r="C4" s="455" t="s">
        <v>0</v>
      </c>
      <c r="D4" s="21" t="s">
        <v>0</v>
      </c>
      <c r="E4" s="22" t="s">
        <v>0</v>
      </c>
      <c r="F4" s="23" t="s">
        <v>0</v>
      </c>
      <c r="G4" s="23" t="s">
        <v>0</v>
      </c>
      <c r="H4" s="23" t="s">
        <v>0</v>
      </c>
      <c r="I4" s="23">
        <v>916</v>
      </c>
      <c r="J4" s="23" t="s">
        <v>0</v>
      </c>
      <c r="K4" s="23" t="s">
        <v>0</v>
      </c>
      <c r="L4" s="23" t="s">
        <v>1287</v>
      </c>
      <c r="M4" s="23" t="s">
        <v>0</v>
      </c>
      <c r="N4" s="23" t="s">
        <v>0</v>
      </c>
      <c r="O4" s="23" t="s">
        <v>0</v>
      </c>
      <c r="P4" s="23" t="s">
        <v>1288</v>
      </c>
      <c r="Q4" s="23" t="s">
        <v>0</v>
      </c>
      <c r="R4" s="456" t="s">
        <v>0</v>
      </c>
      <c r="S4" s="191" t="s">
        <v>0</v>
      </c>
      <c r="T4" s="23" t="s">
        <v>1289</v>
      </c>
    </row>
    <row r="5" ht="15.75" customHeight="1" spans="1:20" x14ac:dyDescent="0.25">
      <c r="A5" s="19" t="s">
        <v>1290</v>
      </c>
      <c r="B5" s="272" t="s">
        <v>0</v>
      </c>
      <c r="C5" s="457" t="s">
        <v>0</v>
      </c>
      <c r="D5" s="188" t="s">
        <v>1291</v>
      </c>
      <c r="E5" s="22" t="s">
        <v>1292</v>
      </c>
      <c r="F5" s="23" t="s">
        <v>1293</v>
      </c>
      <c r="G5" s="28" t="s">
        <v>0</v>
      </c>
      <c r="H5" s="28" t="s">
        <v>0</v>
      </c>
      <c r="I5" s="28" t="s">
        <v>0</v>
      </c>
      <c r="J5" s="28" t="s">
        <v>0</v>
      </c>
      <c r="K5" s="28" t="s">
        <v>1294</v>
      </c>
      <c r="L5" s="28" t="s">
        <v>0</v>
      </c>
      <c r="M5" s="28" t="s">
        <v>0</v>
      </c>
      <c r="N5" s="28" t="s">
        <v>0</v>
      </c>
      <c r="O5" s="28" t="s">
        <v>0</v>
      </c>
      <c r="P5" s="28" t="s">
        <v>1295</v>
      </c>
      <c r="Q5" s="28" t="s">
        <v>0</v>
      </c>
      <c r="R5" s="458" t="s">
        <v>0</v>
      </c>
      <c r="S5" s="191" t="s">
        <v>0</v>
      </c>
      <c r="T5" s="28" t="s">
        <v>1292</v>
      </c>
    </row>
    <row r="6" ht="15.75" customHeight="1" spans="1:20" x14ac:dyDescent="0.25">
      <c r="A6" s="459" t="s">
        <v>114</v>
      </c>
      <c r="B6" s="460" t="s">
        <v>0</v>
      </c>
      <c r="C6" s="457" t="s">
        <v>0</v>
      </c>
      <c r="D6" s="188" t="s">
        <v>0</v>
      </c>
      <c r="E6" s="22" t="s">
        <v>0</v>
      </c>
      <c r="F6" s="23" t="s">
        <v>0</v>
      </c>
      <c r="G6" s="461" t="s">
        <v>1294</v>
      </c>
      <c r="H6" s="461" t="s">
        <v>1296</v>
      </c>
      <c r="I6" s="461" t="s">
        <v>1297</v>
      </c>
      <c r="J6" s="461" t="s">
        <v>1294</v>
      </c>
      <c r="K6" s="461" t="s">
        <v>0</v>
      </c>
      <c r="L6" s="461" t="s">
        <v>1298</v>
      </c>
      <c r="M6" s="461" t="s">
        <v>0</v>
      </c>
      <c r="N6" s="461" t="s">
        <v>0</v>
      </c>
      <c r="O6" s="461" t="s">
        <v>0</v>
      </c>
      <c r="P6" s="461" t="s">
        <v>0</v>
      </c>
      <c r="Q6" s="461" t="s">
        <v>0</v>
      </c>
      <c r="R6" s="458" t="s">
        <v>0</v>
      </c>
      <c r="S6" s="189" t="s">
        <v>0</v>
      </c>
      <c r="T6" s="28" t="s">
        <v>1299</v>
      </c>
    </row>
    <row r="7" ht="15.75" customHeight="1" spans="1:20" x14ac:dyDescent="0.25">
      <c r="A7" s="462" t="s">
        <v>1300</v>
      </c>
      <c r="B7" s="460" t="s">
        <v>0</v>
      </c>
      <c r="C7" s="27" t="s">
        <v>0</v>
      </c>
      <c r="D7" s="188" t="s">
        <v>1301</v>
      </c>
      <c r="E7" s="22" t="s">
        <v>0</v>
      </c>
      <c r="F7" s="23" t="s">
        <v>1301</v>
      </c>
      <c r="G7" s="461" t="s">
        <v>0</v>
      </c>
      <c r="H7" s="461" t="s">
        <v>0</v>
      </c>
      <c r="I7" s="461" t="s">
        <v>0</v>
      </c>
      <c r="J7" s="461" t="s">
        <v>0</v>
      </c>
      <c r="K7" s="461" t="s">
        <v>0</v>
      </c>
      <c r="L7" s="461" t="s">
        <v>0</v>
      </c>
      <c r="M7" s="461" t="s">
        <v>0</v>
      </c>
      <c r="N7" s="461" t="s">
        <v>0</v>
      </c>
      <c r="O7" s="461" t="s">
        <v>0</v>
      </c>
      <c r="P7" s="461" t="s">
        <v>0</v>
      </c>
      <c r="Q7" s="461" t="s">
        <v>0</v>
      </c>
      <c r="R7" s="28" t="s">
        <v>0</v>
      </c>
      <c r="S7" s="463" t="s">
        <v>0</v>
      </c>
      <c r="T7" s="28" t="s">
        <v>0</v>
      </c>
    </row>
    <row r="8" ht="15.75" customHeight="1" spans="1:20" x14ac:dyDescent="0.25">
      <c r="A8" s="464" t="s">
        <v>1302</v>
      </c>
      <c r="B8" s="460" t="s">
        <v>0</v>
      </c>
      <c r="C8" s="27" t="s">
        <v>0</v>
      </c>
      <c r="D8" s="188" t="s">
        <v>1303</v>
      </c>
      <c r="E8" s="22" t="s">
        <v>0</v>
      </c>
      <c r="F8" s="23" t="s">
        <v>1303</v>
      </c>
      <c r="G8" s="463" t="s">
        <v>0</v>
      </c>
      <c r="H8" s="28" t="s">
        <v>0</v>
      </c>
      <c r="I8" s="28" t="s">
        <v>0</v>
      </c>
      <c r="J8" s="28" t="s">
        <v>0</v>
      </c>
      <c r="K8" s="28" t="s">
        <v>0</v>
      </c>
      <c r="L8" s="191" t="s">
        <v>0</v>
      </c>
      <c r="M8" s="28" t="s">
        <v>0</v>
      </c>
      <c r="N8" s="28" t="s">
        <v>0</v>
      </c>
      <c r="O8" s="28" t="s">
        <v>0</v>
      </c>
      <c r="P8" s="28" t="s">
        <v>0</v>
      </c>
      <c r="Q8" s="463" t="s">
        <v>0</v>
      </c>
      <c r="R8" s="28" t="s">
        <v>0</v>
      </c>
      <c r="S8" s="463" t="s">
        <v>0</v>
      </c>
      <c r="T8" s="23" t="s">
        <v>0</v>
      </c>
    </row>
    <row r="9" ht="15.75" customHeight="1" spans="1:149" s="465" customFormat="1" x14ac:dyDescent="0.25">
      <c r="A9" s="466" t="s">
        <v>41</v>
      </c>
      <c r="B9" s="272" t="s">
        <v>0</v>
      </c>
      <c r="C9" s="27" t="s">
        <v>0</v>
      </c>
      <c r="D9" s="188" t="s">
        <v>292</v>
      </c>
      <c r="E9" s="22" t="s">
        <v>0</v>
      </c>
      <c r="F9" s="23" t="s">
        <v>292</v>
      </c>
      <c r="G9" s="111" t="s">
        <v>0</v>
      </c>
      <c r="H9" s="23" t="s">
        <v>0</v>
      </c>
      <c r="I9" s="110" t="s">
        <v>0</v>
      </c>
      <c r="J9" s="23" t="s">
        <v>0</v>
      </c>
      <c r="K9" s="110" t="s">
        <v>0</v>
      </c>
      <c r="L9" s="23" t="s">
        <v>0</v>
      </c>
      <c r="M9" s="110" t="s">
        <v>0</v>
      </c>
      <c r="N9" s="23" t="s">
        <v>0</v>
      </c>
      <c r="O9" s="110" t="s">
        <v>0</v>
      </c>
      <c r="P9" s="23" t="s">
        <v>0</v>
      </c>
      <c r="Q9" s="111" t="s">
        <v>0</v>
      </c>
      <c r="R9" s="28" t="s">
        <v>0</v>
      </c>
      <c r="S9" s="111" t="s">
        <v>0</v>
      </c>
      <c r="T9" s="23" t="s">
        <v>0</v>
      </c>
      <c r="U9" s="465"/>
      <c r="V9" s="465"/>
      <c r="W9" s="465"/>
      <c r="X9" s="465"/>
      <c r="Y9" s="465"/>
      <c r="Z9" s="465"/>
      <c r="AA9" s="465"/>
      <c r="AB9" s="465"/>
      <c r="AC9" s="465"/>
      <c r="AD9" s="465"/>
      <c r="AE9" s="465"/>
      <c r="AF9" s="465"/>
      <c r="AG9" s="465"/>
      <c r="AH9" s="465"/>
      <c r="AI9" s="465"/>
      <c r="AJ9" s="465"/>
      <c r="AK9" s="465"/>
      <c r="AL9" s="465"/>
      <c r="AM9" s="465"/>
      <c r="AN9" s="465"/>
      <c r="AO9" s="465"/>
      <c r="AP9" s="465"/>
      <c r="AQ9" s="465"/>
      <c r="AR9" s="465"/>
      <c r="AS9" s="465"/>
      <c r="AT9" s="465"/>
      <c r="AU9" s="465"/>
      <c r="AV9" s="465"/>
      <c r="AW9" s="465"/>
      <c r="AX9" s="465"/>
      <c r="AY9" s="465"/>
      <c r="AZ9" s="465"/>
      <c r="BA9" s="465"/>
      <c r="BB9" s="465"/>
      <c r="BC9" s="465"/>
      <c r="BD9" s="465"/>
      <c r="BE9" s="465"/>
      <c r="BF9" s="465"/>
      <c r="BG9" s="465"/>
      <c r="BH9" s="465"/>
      <c r="BI9" s="465"/>
      <c r="BJ9" s="465"/>
      <c r="BK9" s="465"/>
      <c r="BL9" s="465"/>
      <c r="BM9" s="465"/>
      <c r="BN9" s="465"/>
      <c r="BO9" s="465"/>
      <c r="BP9" s="465"/>
      <c r="BQ9" s="465"/>
      <c r="BR9" s="465"/>
      <c r="BS9" s="465"/>
      <c r="BT9" s="465"/>
      <c r="BU9" s="465"/>
      <c r="BV9" s="465"/>
      <c r="BW9" s="465"/>
      <c r="BX9" s="465"/>
      <c r="BY9" s="465"/>
      <c r="BZ9" s="465"/>
      <c r="CA9" s="465"/>
      <c r="CB9" s="465"/>
      <c r="CC9" s="465"/>
      <c r="CD9" s="465"/>
      <c r="CE9" s="465"/>
      <c r="CF9" s="465"/>
      <c r="CG9" s="465"/>
      <c r="CH9" s="465"/>
      <c r="CI9" s="465"/>
      <c r="CJ9" s="465"/>
      <c r="CK9" s="465"/>
      <c r="CL9" s="465"/>
      <c r="CM9" s="465"/>
      <c r="CN9" s="465"/>
      <c r="CO9" s="465"/>
      <c r="CP9" s="465"/>
      <c r="CQ9" s="465"/>
      <c r="CR9" s="465"/>
      <c r="CS9" s="465"/>
      <c r="CT9" s="465"/>
      <c r="CU9" s="465"/>
      <c r="CV9" s="465"/>
      <c r="CW9" s="465"/>
      <c r="CX9" s="465"/>
      <c r="CY9" s="465"/>
      <c r="CZ9" s="465"/>
      <c r="DA9" s="465"/>
      <c r="DB9" s="465"/>
      <c r="DC9" s="465"/>
      <c r="DD9" s="465"/>
      <c r="DE9" s="465"/>
      <c r="DF9" s="465"/>
      <c r="DG9" s="465"/>
      <c r="DH9" s="465"/>
      <c r="DI9" s="465"/>
      <c r="DJ9" s="465"/>
      <c r="DK9" s="465"/>
      <c r="DL9" s="465"/>
      <c r="DM9" s="465"/>
      <c r="DN9" s="465"/>
      <c r="DO9" s="465"/>
      <c r="DP9" s="465"/>
      <c r="DQ9" s="465"/>
      <c r="DR9" s="465"/>
      <c r="DS9" s="465"/>
      <c r="DT9" s="465"/>
      <c r="DU9" s="465"/>
      <c r="DV9" s="465"/>
      <c r="DW9" s="465"/>
      <c r="DX9" s="465"/>
      <c r="DY9" s="465"/>
      <c r="DZ9" s="465"/>
      <c r="EA9" s="465"/>
      <c r="EB9" s="465"/>
      <c r="EC9" s="465"/>
      <c r="ED9" s="465"/>
      <c r="EE9" s="465"/>
      <c r="EF9" s="465"/>
      <c r="EG9" s="465"/>
      <c r="EH9" s="465"/>
      <c r="EI9" s="465"/>
      <c r="EJ9" s="465"/>
      <c r="EK9" s="465"/>
      <c r="EL9" s="465"/>
      <c r="EM9" s="465"/>
      <c r="EN9" s="465"/>
      <c r="EO9" s="465"/>
      <c r="EP9" s="465"/>
      <c r="EQ9" s="465"/>
      <c r="ER9" s="465"/>
      <c r="ES9" s="467"/>
    </row>
    <row r="10" ht="15.75" customHeight="1" spans="1:149" s="465" customFormat="1" x14ac:dyDescent="0.25">
      <c r="A10" s="466" t="s">
        <v>1304</v>
      </c>
      <c r="B10" s="272" t="s">
        <v>0</v>
      </c>
      <c r="C10" s="27" t="s">
        <v>0</v>
      </c>
      <c r="D10" s="188" t="s">
        <v>107</v>
      </c>
      <c r="E10" s="22" t="s">
        <v>0</v>
      </c>
      <c r="F10" s="23" t="s">
        <v>107</v>
      </c>
      <c r="G10" s="111" t="s">
        <v>0</v>
      </c>
      <c r="H10" s="28" t="s">
        <v>0</v>
      </c>
      <c r="I10" s="111" t="s">
        <v>0</v>
      </c>
      <c r="J10" s="28" t="s">
        <v>0</v>
      </c>
      <c r="K10" s="111" t="s">
        <v>0</v>
      </c>
      <c r="L10" s="28" t="s">
        <v>0</v>
      </c>
      <c r="M10" s="111" t="s">
        <v>0</v>
      </c>
      <c r="N10" s="28" t="s">
        <v>0</v>
      </c>
      <c r="O10" s="111" t="s">
        <v>0</v>
      </c>
      <c r="P10" s="28" t="s">
        <v>0</v>
      </c>
      <c r="Q10" s="111" t="s">
        <v>0</v>
      </c>
      <c r="R10" s="28" t="s">
        <v>0</v>
      </c>
      <c r="S10" s="111" t="s">
        <v>0</v>
      </c>
      <c r="T10" s="23" t="s">
        <v>0</v>
      </c>
      <c r="U10" s="465"/>
      <c r="V10" s="465"/>
      <c r="W10" s="465"/>
      <c r="X10" s="465"/>
      <c r="Y10" s="465"/>
      <c r="Z10" s="465"/>
      <c r="AA10" s="465"/>
      <c r="AB10" s="465"/>
      <c r="AC10" s="465"/>
      <c r="AD10" s="465"/>
      <c r="AE10" s="465"/>
      <c r="AF10" s="465"/>
      <c r="AG10" s="465"/>
      <c r="AH10" s="465"/>
      <c r="AI10" s="465"/>
      <c r="AJ10" s="465"/>
      <c r="AK10" s="465"/>
      <c r="AL10" s="465"/>
      <c r="AM10" s="465"/>
      <c r="AN10" s="465"/>
      <c r="AO10" s="465"/>
      <c r="AP10" s="465"/>
      <c r="AQ10" s="465"/>
      <c r="AR10" s="465"/>
      <c r="AS10" s="465"/>
      <c r="AT10" s="465"/>
      <c r="AU10" s="465"/>
      <c r="AV10" s="465"/>
      <c r="AW10" s="465"/>
      <c r="AX10" s="465"/>
      <c r="AY10" s="465"/>
      <c r="AZ10" s="465"/>
      <c r="BA10" s="465"/>
      <c r="BB10" s="465"/>
      <c r="BC10" s="465"/>
      <c r="BD10" s="465"/>
      <c r="BE10" s="465"/>
      <c r="BF10" s="465"/>
      <c r="BG10" s="465"/>
      <c r="BH10" s="465"/>
      <c r="BI10" s="465"/>
      <c r="BJ10" s="465"/>
      <c r="BK10" s="465"/>
      <c r="BL10" s="465"/>
      <c r="BM10" s="465"/>
      <c r="BN10" s="465"/>
      <c r="BO10" s="465"/>
      <c r="BP10" s="465"/>
      <c r="BQ10" s="465"/>
      <c r="BR10" s="465"/>
      <c r="BS10" s="465"/>
      <c r="BT10" s="465"/>
      <c r="BU10" s="465"/>
      <c r="BV10" s="465"/>
      <c r="BW10" s="465"/>
      <c r="BX10" s="465"/>
      <c r="BY10" s="465"/>
      <c r="BZ10" s="465"/>
      <c r="CA10" s="465"/>
      <c r="CB10" s="465"/>
      <c r="CC10" s="465"/>
      <c r="CD10" s="465"/>
      <c r="CE10" s="465"/>
      <c r="CF10" s="465"/>
      <c r="CG10" s="465"/>
      <c r="CH10" s="465"/>
      <c r="CI10" s="465"/>
      <c r="CJ10" s="465"/>
      <c r="CK10" s="465"/>
      <c r="CL10" s="465"/>
      <c r="CM10" s="465"/>
      <c r="CN10" s="465"/>
      <c r="CO10" s="465"/>
      <c r="CP10" s="465"/>
      <c r="CQ10" s="465"/>
      <c r="CR10" s="465"/>
      <c r="CS10" s="465"/>
      <c r="CT10" s="465"/>
      <c r="CU10" s="465"/>
      <c r="CV10" s="465"/>
      <c r="CW10" s="465"/>
      <c r="CX10" s="465"/>
      <c r="CY10" s="465"/>
      <c r="CZ10" s="465"/>
      <c r="DA10" s="465"/>
      <c r="DB10" s="465"/>
      <c r="DC10" s="465"/>
      <c r="DD10" s="465"/>
      <c r="DE10" s="465"/>
      <c r="DF10" s="465"/>
      <c r="DG10" s="465"/>
      <c r="DH10" s="465"/>
      <c r="DI10" s="465"/>
      <c r="DJ10" s="465"/>
      <c r="DK10" s="465"/>
      <c r="DL10" s="465"/>
      <c r="DM10" s="465"/>
      <c r="DN10" s="465"/>
      <c r="DO10" s="465"/>
      <c r="DP10" s="465"/>
      <c r="DQ10" s="465"/>
      <c r="DR10" s="465"/>
      <c r="DS10" s="465"/>
      <c r="DT10" s="465"/>
      <c r="DU10" s="465"/>
      <c r="DV10" s="465"/>
      <c r="DW10" s="465"/>
      <c r="DX10" s="465"/>
      <c r="DY10" s="465"/>
      <c r="DZ10" s="465"/>
      <c r="EA10" s="465"/>
      <c r="EB10" s="465"/>
      <c r="EC10" s="465"/>
      <c r="ED10" s="465"/>
      <c r="EE10" s="465"/>
      <c r="EF10" s="465"/>
      <c r="EG10" s="465"/>
      <c r="EH10" s="465"/>
      <c r="EI10" s="465"/>
      <c r="EJ10" s="465"/>
      <c r="EK10" s="465"/>
      <c r="EL10" s="465"/>
      <c r="EM10" s="465"/>
      <c r="EN10" s="465"/>
      <c r="EO10" s="465"/>
      <c r="EP10" s="465"/>
      <c r="EQ10" s="465"/>
      <c r="ER10" s="465"/>
      <c r="ES10" s="467"/>
    </row>
    <row r="11" ht="15.75" customHeight="1" spans="1:149" s="465" customFormat="1" x14ac:dyDescent="0.25">
      <c r="A11" s="466" t="s">
        <v>1305</v>
      </c>
      <c r="B11" s="272" t="s">
        <v>0</v>
      </c>
      <c r="C11" s="27" t="s">
        <v>0</v>
      </c>
      <c r="D11" s="188" t="s">
        <v>1078</v>
      </c>
      <c r="E11" s="22" t="s">
        <v>0</v>
      </c>
      <c r="F11" s="23" t="s">
        <v>1078</v>
      </c>
      <c r="G11" s="463" t="s">
        <v>0</v>
      </c>
      <c r="H11" s="28" t="s">
        <v>0</v>
      </c>
      <c r="I11" s="463" t="s">
        <v>0</v>
      </c>
      <c r="J11" s="28" t="s">
        <v>0</v>
      </c>
      <c r="K11" s="463" t="s">
        <v>0</v>
      </c>
      <c r="L11" s="28" t="s">
        <v>0</v>
      </c>
      <c r="M11" s="463" t="s">
        <v>0</v>
      </c>
      <c r="N11" s="28" t="s">
        <v>0</v>
      </c>
      <c r="O11" s="463" t="s">
        <v>0</v>
      </c>
      <c r="P11" s="28" t="s">
        <v>0</v>
      </c>
      <c r="Q11" s="463" t="s">
        <v>0</v>
      </c>
      <c r="R11" s="28" t="s">
        <v>0</v>
      </c>
      <c r="S11" s="463" t="s">
        <v>0</v>
      </c>
      <c r="T11" s="23" t="s">
        <v>0</v>
      </c>
      <c r="U11" s="465"/>
      <c r="V11" s="465"/>
      <c r="W11" s="465"/>
      <c r="X11" s="465"/>
      <c r="Y11" s="465"/>
      <c r="Z11" s="465"/>
      <c r="AA11" s="465"/>
      <c r="AB11" s="465"/>
      <c r="AC11" s="465"/>
      <c r="AD11" s="465"/>
      <c r="AE11" s="465"/>
      <c r="AF11" s="465"/>
      <c r="AG11" s="465"/>
      <c r="AH11" s="465"/>
      <c r="AI11" s="465"/>
      <c r="AJ11" s="465"/>
      <c r="AK11" s="465"/>
      <c r="AL11" s="465"/>
      <c r="AM11" s="465"/>
      <c r="AN11" s="465"/>
      <c r="AO11" s="465"/>
      <c r="AP11" s="465"/>
      <c r="AQ11" s="465"/>
      <c r="AR11" s="465"/>
      <c r="AS11" s="465"/>
      <c r="AT11" s="465"/>
      <c r="AU11" s="465"/>
      <c r="AV11" s="465"/>
      <c r="AW11" s="465"/>
      <c r="AX11" s="465"/>
      <c r="AY11" s="465"/>
      <c r="AZ11" s="465"/>
      <c r="BA11" s="465"/>
      <c r="BB11" s="465"/>
      <c r="BC11" s="465"/>
      <c r="BD11" s="465"/>
      <c r="BE11" s="465"/>
      <c r="BF11" s="465"/>
      <c r="BG11" s="465"/>
      <c r="BH11" s="465"/>
      <c r="BI11" s="465"/>
      <c r="BJ11" s="465"/>
      <c r="BK11" s="465"/>
      <c r="BL11" s="465"/>
      <c r="BM11" s="465"/>
      <c r="BN11" s="465"/>
      <c r="BO11" s="465"/>
      <c r="BP11" s="465"/>
      <c r="BQ11" s="465"/>
      <c r="BR11" s="465"/>
      <c r="BS11" s="465"/>
      <c r="BT11" s="465"/>
      <c r="BU11" s="465"/>
      <c r="BV11" s="465"/>
      <c r="BW11" s="465"/>
      <c r="BX11" s="465"/>
      <c r="BY11" s="465"/>
      <c r="BZ11" s="465"/>
      <c r="CA11" s="465"/>
      <c r="CB11" s="465"/>
      <c r="CC11" s="465"/>
      <c r="CD11" s="465"/>
      <c r="CE11" s="465"/>
      <c r="CF11" s="465"/>
      <c r="CG11" s="465"/>
      <c r="CH11" s="465"/>
      <c r="CI11" s="465"/>
      <c r="CJ11" s="465"/>
      <c r="CK11" s="465"/>
      <c r="CL11" s="465"/>
      <c r="CM11" s="465"/>
      <c r="CN11" s="465"/>
      <c r="CO11" s="465"/>
      <c r="CP11" s="465"/>
      <c r="CQ11" s="465"/>
      <c r="CR11" s="465"/>
      <c r="CS11" s="465"/>
      <c r="CT11" s="465"/>
      <c r="CU11" s="465"/>
      <c r="CV11" s="465"/>
      <c r="CW11" s="465"/>
      <c r="CX11" s="465"/>
      <c r="CY11" s="465"/>
      <c r="CZ11" s="465"/>
      <c r="DA11" s="465"/>
      <c r="DB11" s="465"/>
      <c r="DC11" s="465"/>
      <c r="DD11" s="465"/>
      <c r="DE11" s="465"/>
      <c r="DF11" s="465"/>
      <c r="DG11" s="465"/>
      <c r="DH11" s="465"/>
      <c r="DI11" s="465"/>
      <c r="DJ11" s="465"/>
      <c r="DK11" s="465"/>
      <c r="DL11" s="465"/>
      <c r="DM11" s="465"/>
      <c r="DN11" s="465"/>
      <c r="DO11" s="465"/>
      <c r="DP11" s="465"/>
      <c r="DQ11" s="465"/>
      <c r="DR11" s="465"/>
      <c r="DS11" s="465"/>
      <c r="DT11" s="465"/>
      <c r="DU11" s="465"/>
      <c r="DV11" s="465"/>
      <c r="DW11" s="465"/>
      <c r="DX11" s="465"/>
      <c r="DY11" s="465"/>
      <c r="DZ11" s="465"/>
      <c r="EA11" s="465"/>
      <c r="EB11" s="465"/>
      <c r="EC11" s="465"/>
      <c r="ED11" s="465"/>
      <c r="EE11" s="465"/>
      <c r="EF11" s="465"/>
      <c r="EG11" s="465"/>
      <c r="EH11" s="465"/>
      <c r="EI11" s="465"/>
      <c r="EJ11" s="465"/>
      <c r="EK11" s="465"/>
      <c r="EL11" s="465"/>
      <c r="EM11" s="465"/>
      <c r="EN11" s="465"/>
      <c r="EO11" s="465"/>
      <c r="EP11" s="465"/>
      <c r="EQ11" s="465"/>
      <c r="ER11" s="465"/>
      <c r="ES11" s="467"/>
    </row>
    <row r="12" ht="15.75" customHeight="1" spans="1:20" x14ac:dyDescent="0.25">
      <c r="A12" s="468" t="s">
        <v>33</v>
      </c>
      <c r="B12" s="469" t="s">
        <v>0</v>
      </c>
      <c r="C12" s="27" t="s">
        <v>0</v>
      </c>
      <c r="D12" s="190" t="s">
        <v>1306</v>
      </c>
      <c r="E12" s="22" t="s">
        <v>937</v>
      </c>
      <c r="F12" s="23" t="s">
        <v>1307</v>
      </c>
      <c r="G12" s="28" t="s">
        <v>0</v>
      </c>
      <c r="H12" s="191" t="s">
        <v>0</v>
      </c>
      <c r="I12" s="28" t="s">
        <v>937</v>
      </c>
      <c r="J12" s="191" t="s">
        <v>0</v>
      </c>
      <c r="K12" s="28" t="s">
        <v>0</v>
      </c>
      <c r="L12" s="191" t="s">
        <v>0</v>
      </c>
      <c r="M12" s="28" t="s">
        <v>0</v>
      </c>
      <c r="N12" s="191" t="s">
        <v>0</v>
      </c>
      <c r="O12" s="28" t="s">
        <v>0</v>
      </c>
      <c r="P12" s="191" t="s">
        <v>0</v>
      </c>
      <c r="Q12" s="28" t="s">
        <v>0</v>
      </c>
      <c r="R12" s="191" t="s">
        <v>0</v>
      </c>
      <c r="S12" s="191" t="s">
        <v>0</v>
      </c>
      <c r="T12" s="28" t="s">
        <v>937</v>
      </c>
    </row>
    <row r="13" ht="15.75" customHeight="1" spans="1:20" x14ac:dyDescent="0.25">
      <c r="A13" s="468" t="s">
        <v>45</v>
      </c>
      <c r="B13" s="469" t="s">
        <v>0</v>
      </c>
      <c r="C13" s="27" t="s">
        <v>0</v>
      </c>
      <c r="D13" s="190" t="s">
        <v>319</v>
      </c>
      <c r="E13" s="22" t="s">
        <v>1308</v>
      </c>
      <c r="F13" s="23" t="s">
        <v>1309</v>
      </c>
      <c r="G13" s="191" t="s">
        <v>1310</v>
      </c>
      <c r="H13" s="191" t="s">
        <v>1311</v>
      </c>
      <c r="I13" s="191" t="s">
        <v>1312</v>
      </c>
      <c r="J13" s="191" t="s">
        <v>1313</v>
      </c>
      <c r="K13" s="191" t="s">
        <v>1314</v>
      </c>
      <c r="L13" s="191" t="s">
        <v>1315</v>
      </c>
      <c r="M13" s="191" t="s">
        <v>1316</v>
      </c>
      <c r="N13" s="191" t="s">
        <v>1317</v>
      </c>
      <c r="O13" s="191" t="s">
        <v>1318</v>
      </c>
      <c r="P13" s="191" t="s">
        <v>1319</v>
      </c>
      <c r="Q13" s="191" t="s">
        <v>1320</v>
      </c>
      <c r="R13" s="191" t="s">
        <v>1321</v>
      </c>
      <c r="S13" s="191" t="s">
        <v>0</v>
      </c>
      <c r="T13" s="28" t="s">
        <v>1308</v>
      </c>
    </row>
    <row r="14" ht="16.5" customHeight="1" spans="1:20" x14ac:dyDescent="0.25">
      <c r="A14" s="34" t="s">
        <v>0</v>
      </c>
      <c r="B14" s="193" t="s">
        <v>96</v>
      </c>
      <c r="C14" s="117" t="s">
        <v>0</v>
      </c>
      <c r="D14" s="37" t="s">
        <v>1322</v>
      </c>
      <c r="E14" s="37" t="s">
        <v>1323</v>
      </c>
      <c r="F14" s="37" t="s">
        <v>1324</v>
      </c>
      <c r="G14" s="37" t="s">
        <v>1325</v>
      </c>
      <c r="H14" s="37" t="s">
        <v>1326</v>
      </c>
      <c r="I14" s="37" t="s">
        <v>1327</v>
      </c>
      <c r="J14" s="37" t="s">
        <v>1328</v>
      </c>
      <c r="K14" s="37" t="s">
        <v>1329</v>
      </c>
      <c r="L14" s="37" t="s">
        <v>1330</v>
      </c>
      <c r="M14" s="37" t="s">
        <v>1331</v>
      </c>
      <c r="N14" s="37" t="s">
        <v>1317</v>
      </c>
      <c r="O14" s="37" t="s">
        <v>1318</v>
      </c>
      <c r="P14" s="37" t="s">
        <v>1332</v>
      </c>
      <c r="Q14" s="37" t="s">
        <v>1320</v>
      </c>
      <c r="R14" s="37" t="s">
        <v>1321</v>
      </c>
      <c r="S14" s="193" t="s">
        <v>73</v>
      </c>
      <c r="T14" s="38" t="s">
        <v>1333</v>
      </c>
    </row>
    <row r="15" spans="1:20" x14ac:dyDescent="0.25">
      <c r="A15"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c r="T15" t="s">
        <v>0</v>
      </c>
    </row>
    <row r="16" ht="15.75" customHeight="1" spans="1:20" x14ac:dyDescent="0.25">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c r="T16" t="s">
        <v>0</v>
      </c>
    </row>
    <row r="17" ht="16.5" customHeight="1" spans="1:20" x14ac:dyDescent="0.25">
      <c r="A17" s="40" t="s">
        <v>200</v>
      </c>
      <c r="B17" s="41" t="s">
        <v>201</v>
      </c>
      <c r="C17" s="42"/>
      <c r="D17" s="42"/>
      <c r="E17" s="43"/>
      <c r="F17" s="41" t="s">
        <v>76</v>
      </c>
      <c r="G17" s="43"/>
      <c r="H17" s="44" t="s">
        <v>77</v>
      </c>
      <c r="I17" s="45"/>
      <c r="J17" t="s">
        <v>0</v>
      </c>
      <c r="K17" t="s">
        <v>0</v>
      </c>
      <c r="L17" t="s">
        <v>0</v>
      </c>
      <c r="M17" t="s">
        <v>0</v>
      </c>
      <c r="N17" t="s">
        <v>0</v>
      </c>
      <c r="O17" t="s">
        <v>0</v>
      </c>
      <c r="P17" t="s">
        <v>0</v>
      </c>
      <c r="Q17" t="s">
        <v>0</v>
      </c>
      <c r="R17" t="s">
        <v>0</v>
      </c>
      <c r="S17" t="s">
        <v>0</v>
      </c>
      <c r="T17" t="s">
        <v>0</v>
      </c>
    </row>
    <row r="18" ht="28.5" customHeight="1" spans="1:20" x14ac:dyDescent="0.25">
      <c r="A18" s="46" t="s">
        <v>1334</v>
      </c>
      <c r="B18" s="127" t="s">
        <v>1335</v>
      </c>
      <c r="C18" s="128"/>
      <c r="D18" s="128"/>
      <c r="E18" s="129"/>
      <c r="F18" s="127" t="s">
        <v>1336</v>
      </c>
      <c r="G18" s="51"/>
      <c r="H18" s="52">
        <v>14500</v>
      </c>
      <c r="I18" s="53"/>
      <c r="J18" t="s">
        <v>0</v>
      </c>
      <c r="K18" t="s">
        <v>0</v>
      </c>
      <c r="L18" t="s">
        <v>0</v>
      </c>
      <c r="M18" t="s">
        <v>0</v>
      </c>
      <c r="N18" t="s">
        <v>0</v>
      </c>
      <c r="O18" t="s">
        <v>0</v>
      </c>
      <c r="P18" t="s">
        <v>0</v>
      </c>
      <c r="Q18" t="s">
        <v>0</v>
      </c>
      <c r="R18" t="s">
        <v>0</v>
      </c>
      <c r="S18" t="s">
        <v>0</v>
      </c>
      <c r="T18" t="s">
        <v>0</v>
      </c>
    </row>
    <row r="19" ht="31.5" customHeight="1" spans="1:20" x14ac:dyDescent="0.25">
      <c r="A19" s="54" t="s">
        <v>232</v>
      </c>
      <c r="B19" s="169" t="s">
        <v>232</v>
      </c>
      <c r="C19" s="170"/>
      <c r="D19" s="170"/>
      <c r="E19" s="171"/>
      <c r="F19" s="169" t="s">
        <v>1337</v>
      </c>
      <c r="G19" s="255"/>
      <c r="H19" s="356">
        <v>9998</v>
      </c>
      <c r="I19" s="358"/>
      <c r="J19" t="s">
        <v>0</v>
      </c>
      <c r="K19" t="s">
        <v>0</v>
      </c>
      <c r="L19" t="s">
        <v>0</v>
      </c>
      <c r="M19" t="s">
        <v>0</v>
      </c>
      <c r="N19" t="s">
        <v>0</v>
      </c>
      <c r="O19" t="s">
        <v>0</v>
      </c>
      <c r="P19" t="s">
        <v>0</v>
      </c>
      <c r="Q19" t="s">
        <v>0</v>
      </c>
      <c r="R19" t="s">
        <v>0</v>
      </c>
      <c r="S19" t="s">
        <v>0</v>
      </c>
      <c r="T19" t="s">
        <v>0</v>
      </c>
    </row>
    <row r="20" ht="31.5" customHeight="1" spans="1:20" x14ac:dyDescent="0.25">
      <c r="A20" s="60" t="s">
        <v>537</v>
      </c>
      <c r="B20" s="137" t="s">
        <v>1338</v>
      </c>
      <c r="C20" s="138"/>
      <c r="D20" s="138"/>
      <c r="E20" s="139"/>
      <c r="F20" s="55" t="s">
        <v>1339</v>
      </c>
      <c r="G20" s="65"/>
      <c r="H20" s="66">
        <v>164</v>
      </c>
      <c r="I20" s="67"/>
      <c r="J20" t="s">
        <v>0</v>
      </c>
      <c r="K20" t="s">
        <v>0</v>
      </c>
      <c r="L20" t="s">
        <v>0</v>
      </c>
      <c r="M20" t="s">
        <v>0</v>
      </c>
      <c r="N20" t="s">
        <v>0</v>
      </c>
      <c r="O20" t="s">
        <v>0</v>
      </c>
      <c r="P20" t="s">
        <v>0</v>
      </c>
      <c r="Q20" t="s">
        <v>0</v>
      </c>
      <c r="R20" t="s">
        <v>0</v>
      </c>
      <c r="S20" t="s">
        <v>0</v>
      </c>
      <c r="T20" t="s">
        <v>0</v>
      </c>
    </row>
    <row r="21" ht="30.75" customHeight="1" spans="1:20" x14ac:dyDescent="0.25">
      <c r="A21" s="60" t="s">
        <v>537</v>
      </c>
      <c r="B21" s="68" t="s">
        <v>1340</v>
      </c>
      <c r="C21" s="69"/>
      <c r="D21" s="69"/>
      <c r="E21" s="70"/>
      <c r="F21" s="61" t="s">
        <v>1341</v>
      </c>
      <c r="G21" s="139"/>
      <c r="H21" s="71">
        <v>1172</v>
      </c>
      <c r="I21" s="72"/>
      <c r="J21" t="s">
        <v>0</v>
      </c>
      <c r="K21" t="s">
        <v>0</v>
      </c>
      <c r="L21" t="s">
        <v>0</v>
      </c>
      <c r="M21" t="s">
        <v>0</v>
      </c>
      <c r="N21" t="s">
        <v>0</v>
      </c>
      <c r="O21" t="s">
        <v>0</v>
      </c>
      <c r="P21" t="s">
        <v>0</v>
      </c>
      <c r="Q21" t="s">
        <v>0</v>
      </c>
      <c r="R21" t="s">
        <v>0</v>
      </c>
      <c r="S21" t="s">
        <v>0</v>
      </c>
      <c r="T21" t="s">
        <v>0</v>
      </c>
    </row>
    <row r="22" ht="30" customHeight="1" spans="1:20" x14ac:dyDescent="0.25">
      <c r="A22" s="60" t="s">
        <v>1342</v>
      </c>
      <c r="B22" s="68" t="s">
        <v>0</v>
      </c>
      <c r="C22" s="69" t="s">
        <v>1343</v>
      </c>
      <c r="D22" s="69"/>
      <c r="E22" s="70"/>
      <c r="F22" s="61" t="s">
        <v>1344</v>
      </c>
      <c r="G22" s="139"/>
      <c r="H22" s="71">
        <v>13000</v>
      </c>
      <c r="I22" s="72"/>
      <c r="J22" t="s">
        <v>0</v>
      </c>
      <c r="K22" t="s">
        <v>0</v>
      </c>
      <c r="L22" t="s">
        <v>0</v>
      </c>
      <c r="M22" t="s">
        <v>0</v>
      </c>
      <c r="N22" t="s">
        <v>0</v>
      </c>
      <c r="O22" t="s">
        <v>0</v>
      </c>
      <c r="P22" t="s">
        <v>0</v>
      </c>
      <c r="Q22" t="s">
        <v>0</v>
      </c>
      <c r="R22" t="s">
        <v>0</v>
      </c>
      <c r="S22" t="s">
        <v>0</v>
      </c>
      <c r="T22" t="s">
        <v>0</v>
      </c>
    </row>
    <row r="23" ht="30" customHeight="1" spans="1:20" x14ac:dyDescent="0.25">
      <c r="A23" s="60" t="s">
        <v>1345</v>
      </c>
      <c r="B23" s="68" t="s">
        <v>0</v>
      </c>
      <c r="C23" s="69" t="s">
        <v>1346</v>
      </c>
      <c r="D23" s="69"/>
      <c r="E23" s="70"/>
      <c r="F23" s="61" t="s">
        <v>1347</v>
      </c>
      <c r="G23" s="139"/>
      <c r="H23" s="71">
        <v>149596.75</v>
      </c>
      <c r="I23" s="72"/>
      <c r="J23" t="s">
        <v>0</v>
      </c>
      <c r="K23" t="s">
        <v>0</v>
      </c>
      <c r="L23" t="s">
        <v>0</v>
      </c>
      <c r="M23" t="s">
        <v>0</v>
      </c>
      <c r="N23" t="s">
        <v>0</v>
      </c>
      <c r="O23" t="s">
        <v>0</v>
      </c>
      <c r="P23" t="s">
        <v>0</v>
      </c>
      <c r="Q23" t="s">
        <v>0</v>
      </c>
      <c r="R23" t="s">
        <v>0</v>
      </c>
      <c r="S23" t="s">
        <v>0</v>
      </c>
      <c r="T23" t="s">
        <v>0</v>
      </c>
    </row>
    <row r="24" spans="1:20" x14ac:dyDescent="0.25">
      <c r="A24" s="60" t="s">
        <v>0</v>
      </c>
      <c r="B24" s="68" t="s">
        <v>0</v>
      </c>
      <c r="C24" s="69"/>
      <c r="D24" s="69"/>
      <c r="E24" s="70"/>
      <c r="F24" s="137"/>
      <c r="G24" s="139"/>
      <c r="H24" s="71"/>
      <c r="I24" s="72"/>
      <c r="J24" t="s">
        <v>0</v>
      </c>
      <c r="K24" t="s">
        <v>0</v>
      </c>
      <c r="L24" t="s">
        <v>0</v>
      </c>
      <c r="M24" t="s">
        <v>0</v>
      </c>
      <c r="N24" t="s">
        <v>0</v>
      </c>
      <c r="O24" t="s">
        <v>0</v>
      </c>
      <c r="P24" t="s">
        <v>0</v>
      </c>
      <c r="Q24" t="s">
        <v>0</v>
      </c>
      <c r="R24" t="s">
        <v>0</v>
      </c>
      <c r="S24" t="s">
        <v>0</v>
      </c>
      <c r="T24" t="s">
        <v>0</v>
      </c>
    </row>
    <row r="25" spans="1:20" x14ac:dyDescent="0.25">
      <c r="A25" s="60" t="s">
        <v>0</v>
      </c>
      <c r="B25" s="68" t="s">
        <v>0</v>
      </c>
      <c r="C25" s="69"/>
      <c r="D25" s="69"/>
      <c r="E25" s="70"/>
      <c r="F25" s="137"/>
      <c r="G25" s="139"/>
      <c r="H25" s="71"/>
      <c r="I25" s="72"/>
      <c r="J25" t="s">
        <v>0</v>
      </c>
      <c r="K25" t="s">
        <v>0</v>
      </c>
      <c r="L25" t="s">
        <v>0</v>
      </c>
      <c r="M25" t="s">
        <v>0</v>
      </c>
      <c r="N25" t="s">
        <v>0</v>
      </c>
      <c r="O25" t="s">
        <v>0</v>
      </c>
      <c r="P25" t="s">
        <v>0</v>
      </c>
      <c r="Q25" t="s">
        <v>0</v>
      </c>
      <c r="R25" t="s">
        <v>0</v>
      </c>
      <c r="S25" t="s">
        <v>0</v>
      </c>
      <c r="T25" t="s">
        <v>0</v>
      </c>
    </row>
    <row r="26" ht="15.75" customHeight="1" spans="1:20" x14ac:dyDescent="0.25">
      <c r="A26" s="60" t="s">
        <v>0</v>
      </c>
      <c r="B26" s="68"/>
      <c r="C26" s="69"/>
      <c r="D26" s="69"/>
      <c r="E26" s="70"/>
      <c r="F26" s="137"/>
      <c r="G26" s="139"/>
      <c r="H26" s="71"/>
      <c r="I26" s="72"/>
      <c r="J26" t="s">
        <v>0</v>
      </c>
      <c r="K26" t="s">
        <v>0</v>
      </c>
      <c r="L26" t="s">
        <v>0</v>
      </c>
      <c r="M26" t="s">
        <v>0</v>
      </c>
      <c r="N26" t="s">
        <v>0</v>
      </c>
      <c r="O26" t="s">
        <v>0</v>
      </c>
      <c r="P26" t="s">
        <v>0</v>
      </c>
      <c r="Q26" t="s">
        <v>0</v>
      </c>
      <c r="R26" t="s">
        <v>0</v>
      </c>
      <c r="S26" t="s">
        <v>0</v>
      </c>
      <c r="T26" t="s">
        <v>0</v>
      </c>
    </row>
    <row r="27" ht="15.75" customHeight="1" spans="1:20" x14ac:dyDescent="0.25">
      <c r="A27" s="93" t="s">
        <v>0</v>
      </c>
      <c r="B27" s="94"/>
      <c r="C27" s="95"/>
      <c r="D27" s="95"/>
      <c r="E27" s="96"/>
      <c r="F27" s="97" t="s">
        <v>96</v>
      </c>
      <c r="G27" s="98"/>
      <c r="H27" s="99">
        <f>SUM(H18:I26)</f>
        <v>188430.75</v>
      </c>
      <c r="I27" s="100"/>
      <c r="J27" t="s">
        <v>0</v>
      </c>
      <c r="K27" t="s">
        <v>0</v>
      </c>
      <c r="L27" t="s">
        <v>0</v>
      </c>
      <c r="M27" t="s">
        <v>0</v>
      </c>
      <c r="N27" t="s">
        <v>0</v>
      </c>
      <c r="O27" t="s">
        <v>0</v>
      </c>
      <c r="P27" t="s">
        <v>0</v>
      </c>
      <c r="Q27" t="s">
        <v>0</v>
      </c>
      <c r="R27" t="s">
        <v>0</v>
      </c>
      <c r="S27" t="s">
        <v>0</v>
      </c>
      <c r="T27" t="s">
        <v>0</v>
      </c>
    </row>
    <row r="28" spans="1:20" x14ac:dyDescent="0.25">
      <c r="A28" t="s">
        <v>0</v>
      </c>
      <c r="B28" t="s">
        <v>0</v>
      </c>
      <c r="C28" t="s">
        <v>0</v>
      </c>
      <c r="D28" t="s">
        <v>0</v>
      </c>
      <c r="E28" t="s">
        <v>0</v>
      </c>
      <c r="F28" t="s">
        <v>0</v>
      </c>
      <c r="G28" t="s">
        <v>0</v>
      </c>
      <c r="H28" t="s">
        <v>0</v>
      </c>
      <c r="I28" t="s">
        <v>0</v>
      </c>
      <c r="J28" t="s">
        <v>0</v>
      </c>
      <c r="K28" t="s">
        <v>0</v>
      </c>
      <c r="L28" t="s">
        <v>0</v>
      </c>
      <c r="M28" t="s">
        <v>0</v>
      </c>
      <c r="N28" t="s">
        <v>0</v>
      </c>
      <c r="O28" t="s">
        <v>0</v>
      </c>
      <c r="P28" t="s">
        <v>0</v>
      </c>
      <c r="Q28" t="s">
        <v>0</v>
      </c>
      <c r="R28" t="s">
        <v>0</v>
      </c>
      <c r="S28" t="s">
        <v>0</v>
      </c>
      <c r="T28" t="s">
        <v>0</v>
      </c>
    </row>
    <row r="29" ht="15.75" customHeight="1" spans="1:20" x14ac:dyDescent="0.25">
      <c r="A29" t="s">
        <v>0</v>
      </c>
      <c r="B29" t="s">
        <v>0</v>
      </c>
      <c r="C29" t="s">
        <v>0</v>
      </c>
      <c r="D29" t="s">
        <v>0</v>
      </c>
      <c r="E29" t="s">
        <v>0</v>
      </c>
      <c r="F29" t="s">
        <v>0</v>
      </c>
      <c r="G29" t="s">
        <v>0</v>
      </c>
      <c r="H29" t="s">
        <v>0</v>
      </c>
      <c r="I29" t="s">
        <v>0</v>
      </c>
      <c r="J29" t="s">
        <v>0</v>
      </c>
      <c r="K29" t="s">
        <v>0</v>
      </c>
      <c r="L29" t="s">
        <v>0</v>
      </c>
      <c r="M29" t="s">
        <v>0</v>
      </c>
      <c r="N29" t="s">
        <v>0</v>
      </c>
      <c r="O29" t="s">
        <v>0</v>
      </c>
      <c r="P29" t="s">
        <v>0</v>
      </c>
      <c r="Q29" t="s">
        <v>0</v>
      </c>
      <c r="R29" t="s">
        <v>0</v>
      </c>
      <c r="S29" t="s">
        <v>0</v>
      </c>
      <c r="T29" t="s">
        <v>0</v>
      </c>
    </row>
    <row r="30" ht="16.5" customHeight="1" spans="1:20" x14ac:dyDescent="0.25">
      <c r="A30" s="40" t="s">
        <v>74</v>
      </c>
      <c r="B30" s="41" t="s">
        <v>564</v>
      </c>
      <c r="C30" s="42"/>
      <c r="D30" s="42"/>
      <c r="E30" s="43"/>
      <c r="F30" s="41" t="s">
        <v>76</v>
      </c>
      <c r="G30" s="43"/>
      <c r="H30" s="44" t="s">
        <v>77</v>
      </c>
      <c r="I30" s="45"/>
      <c r="J30" t="s">
        <v>0</v>
      </c>
      <c r="K30" t="s">
        <v>0</v>
      </c>
      <c r="L30" t="s">
        <v>0</v>
      </c>
      <c r="M30" t="s">
        <v>0</v>
      </c>
      <c r="N30" t="s">
        <v>0</v>
      </c>
      <c r="O30" t="s">
        <v>0</v>
      </c>
      <c r="P30" t="s">
        <v>0</v>
      </c>
      <c r="Q30" t="s">
        <v>0</v>
      </c>
      <c r="R30" t="s">
        <v>0</v>
      </c>
      <c r="S30" t="s">
        <v>0</v>
      </c>
      <c r="T30" t="s">
        <v>0</v>
      </c>
    </row>
    <row r="31" spans="1:20" x14ac:dyDescent="0.25">
      <c r="A31" s="46" t="s">
        <v>1348</v>
      </c>
      <c r="B31" s="127" t="s">
        <v>1349</v>
      </c>
      <c r="C31" s="128"/>
      <c r="D31" s="128"/>
      <c r="E31" s="129"/>
      <c r="F31" s="50" t="s">
        <v>1350</v>
      </c>
      <c r="G31" s="51"/>
      <c r="H31" s="52">
        <v>4150</v>
      </c>
      <c r="I31" s="53"/>
      <c r="J31" t="s">
        <v>0</v>
      </c>
      <c r="K31" t="s">
        <v>0</v>
      </c>
      <c r="L31" t="s">
        <v>0</v>
      </c>
      <c r="M31" t="s">
        <v>0</v>
      </c>
      <c r="N31" t="s">
        <v>0</v>
      </c>
      <c r="O31" t="s">
        <v>0</v>
      </c>
      <c r="P31" t="s">
        <v>0</v>
      </c>
      <c r="Q31" t="s">
        <v>0</v>
      </c>
      <c r="R31" t="s">
        <v>0</v>
      </c>
      <c r="S31" t="s">
        <v>0</v>
      </c>
      <c r="T31" t="s">
        <v>0</v>
      </c>
    </row>
    <row r="32" ht="60" customHeight="1" spans="1:20" x14ac:dyDescent="0.25">
      <c r="A32" s="54" t="s">
        <v>1351</v>
      </c>
      <c r="B32" s="169" t="s">
        <v>1352</v>
      </c>
      <c r="C32" s="170"/>
      <c r="D32" s="170"/>
      <c r="E32" s="171"/>
      <c r="F32" s="216" t="s">
        <v>573</v>
      </c>
      <c r="G32" s="255"/>
      <c r="H32" s="356">
        <v>1150</v>
      </c>
      <c r="I32" s="358"/>
      <c r="J32" t="s">
        <v>0</v>
      </c>
      <c r="K32" t="s">
        <v>0</v>
      </c>
      <c r="L32" t="s">
        <v>0</v>
      </c>
      <c r="M32" t="s">
        <v>0</v>
      </c>
      <c r="N32" t="s">
        <v>0</v>
      </c>
      <c r="O32" t="s">
        <v>0</v>
      </c>
      <c r="P32" t="s">
        <v>0</v>
      </c>
      <c r="Q32" t="s">
        <v>0</v>
      </c>
      <c r="R32" t="s">
        <v>0</v>
      </c>
      <c r="S32" t="s">
        <v>0</v>
      </c>
      <c r="T32" t="s">
        <v>0</v>
      </c>
    </row>
    <row r="33" ht="15.75" customHeight="1" spans="1:20" x14ac:dyDescent="0.25">
      <c r="A33" s="60" t="s">
        <v>1351</v>
      </c>
      <c r="B33" s="137" t="s">
        <v>1353</v>
      </c>
      <c r="C33" s="138"/>
      <c r="D33" s="138"/>
      <c r="E33" s="139"/>
      <c r="F33" s="64" t="s">
        <v>1354</v>
      </c>
      <c r="G33" s="65"/>
      <c r="H33" s="66">
        <v>1150</v>
      </c>
      <c r="I33" s="67"/>
      <c r="J33" t="s">
        <v>0</v>
      </c>
      <c r="K33" t="s">
        <v>0</v>
      </c>
      <c r="L33" t="s">
        <v>0</v>
      </c>
      <c r="M33" t="s">
        <v>0</v>
      </c>
      <c r="N33" t="s">
        <v>0</v>
      </c>
      <c r="O33" t="s">
        <v>0</v>
      </c>
      <c r="P33" t="s">
        <v>0</v>
      </c>
      <c r="Q33" t="s">
        <v>0</v>
      </c>
      <c r="R33" t="s">
        <v>0</v>
      </c>
      <c r="S33" t="s">
        <v>0</v>
      </c>
      <c r="T33" t="s">
        <v>0</v>
      </c>
    </row>
    <row r="34" ht="62.25" customHeight="1" spans="1:20" x14ac:dyDescent="0.25">
      <c r="A34" s="60" t="s">
        <v>1351</v>
      </c>
      <c r="B34" s="137" t="s">
        <v>0</v>
      </c>
      <c r="C34" s="76" t="s">
        <v>1355</v>
      </c>
      <c r="D34" s="76"/>
      <c r="E34" s="77"/>
      <c r="F34" s="172" t="s">
        <v>1356</v>
      </c>
      <c r="G34" s="83"/>
      <c r="H34" s="141">
        <v>1150</v>
      </c>
      <c r="I34" s="142"/>
      <c r="J34" t="s">
        <v>0</v>
      </c>
      <c r="K34" t="s">
        <v>0</v>
      </c>
      <c r="L34" t="s">
        <v>0</v>
      </c>
      <c r="M34" t="s">
        <v>0</v>
      </c>
      <c r="N34" t="s">
        <v>0</v>
      </c>
      <c r="O34" t="s">
        <v>0</v>
      </c>
      <c r="P34" t="s">
        <v>0</v>
      </c>
      <c r="Q34" t="s">
        <v>0</v>
      </c>
      <c r="R34" t="s">
        <v>0</v>
      </c>
      <c r="S34" t="s">
        <v>0</v>
      </c>
      <c r="T34" t="s">
        <v>0</v>
      </c>
    </row>
    <row r="35" ht="15.75" customHeight="1" spans="1:20" x14ac:dyDescent="0.25">
      <c r="A35" s="60" t="s">
        <v>1357</v>
      </c>
      <c r="B35" s="137" t="s">
        <v>0</v>
      </c>
      <c r="C35" s="69" t="s">
        <v>1358</v>
      </c>
      <c r="D35" s="69"/>
      <c r="E35" s="70"/>
      <c r="F35" s="172" t="s">
        <v>1359</v>
      </c>
      <c r="G35" s="83"/>
      <c r="H35" s="85">
        <v>4150</v>
      </c>
      <c r="I35" s="86"/>
      <c r="J35" t="s">
        <v>0</v>
      </c>
      <c r="K35" t="s">
        <v>0</v>
      </c>
      <c r="L35" t="s">
        <v>0</v>
      </c>
      <c r="M35" t="s">
        <v>0</v>
      </c>
      <c r="N35" t="s">
        <v>0</v>
      </c>
      <c r="O35" t="s">
        <v>0</v>
      </c>
      <c r="P35" t="s">
        <v>0</v>
      </c>
      <c r="Q35" t="s">
        <v>0</v>
      </c>
      <c r="R35" t="s">
        <v>0</v>
      </c>
      <c r="S35" t="s">
        <v>0</v>
      </c>
      <c r="T35" t="s">
        <v>0</v>
      </c>
    </row>
    <row r="36" ht="15.75" customHeight="1" spans="1:20" x14ac:dyDescent="0.25">
      <c r="A36" s="60" t="s">
        <v>1348</v>
      </c>
      <c r="B36" s="137" t="s">
        <v>0</v>
      </c>
      <c r="C36" s="69" t="s">
        <v>1358</v>
      </c>
      <c r="D36" s="69"/>
      <c r="E36" s="70"/>
      <c r="F36" s="172" t="s">
        <v>1359</v>
      </c>
      <c r="G36" s="83"/>
      <c r="H36" s="85">
        <v>4150</v>
      </c>
      <c r="I36" s="86"/>
      <c r="J36" t="s">
        <v>0</v>
      </c>
      <c r="K36" t="s">
        <v>0</v>
      </c>
      <c r="L36" t="s">
        <v>0</v>
      </c>
      <c r="M36" t="s">
        <v>0</v>
      </c>
      <c r="N36" t="s">
        <v>0</v>
      </c>
      <c r="O36" t="s">
        <v>0</v>
      </c>
      <c r="P36" t="s">
        <v>0</v>
      </c>
      <c r="Q36" t="s">
        <v>0</v>
      </c>
      <c r="R36" t="s">
        <v>0</v>
      </c>
      <c r="S36" t="s">
        <v>0</v>
      </c>
      <c r="T36" t="s">
        <v>0</v>
      </c>
    </row>
    <row r="37" ht="15.75" customHeight="1" spans="1:20" x14ac:dyDescent="0.25">
      <c r="A37" s="60" t="s">
        <v>1348</v>
      </c>
      <c r="B37" s="137" t="s">
        <v>0</v>
      </c>
      <c r="C37" s="69" t="s">
        <v>1358</v>
      </c>
      <c r="D37" s="69"/>
      <c r="E37" s="70"/>
      <c r="F37" s="172" t="s">
        <v>1360</v>
      </c>
      <c r="G37" s="83"/>
      <c r="H37" s="141">
        <v>4150</v>
      </c>
      <c r="I37" s="142"/>
      <c r="J37" t="s">
        <v>0</v>
      </c>
      <c r="K37" t="s">
        <v>0</v>
      </c>
      <c r="L37" t="s">
        <v>0</v>
      </c>
      <c r="M37" t="s">
        <v>0</v>
      </c>
      <c r="N37" t="s">
        <v>0</v>
      </c>
      <c r="O37" t="s">
        <v>0</v>
      </c>
      <c r="P37" t="s">
        <v>0</v>
      </c>
      <c r="Q37" t="s">
        <v>0</v>
      </c>
      <c r="R37" t="s">
        <v>0</v>
      </c>
      <c r="S37" t="s">
        <v>0</v>
      </c>
      <c r="T37" t="s">
        <v>0</v>
      </c>
    </row>
    <row r="38" ht="15.75" customHeight="1" spans="1:20" x14ac:dyDescent="0.25">
      <c r="A38" s="60" t="s">
        <v>1357</v>
      </c>
      <c r="B38" s="137" t="s">
        <v>0</v>
      </c>
      <c r="C38" s="69" t="s">
        <v>1358</v>
      </c>
      <c r="D38" s="69"/>
      <c r="E38" s="70"/>
      <c r="F38" s="172" t="s">
        <v>1360</v>
      </c>
      <c r="G38" s="83"/>
      <c r="H38" s="141">
        <v>4150</v>
      </c>
      <c r="I38" s="142"/>
      <c r="J38" t="s">
        <v>0</v>
      </c>
      <c r="K38" t="s">
        <v>0</v>
      </c>
      <c r="L38" t="s">
        <v>0</v>
      </c>
      <c r="M38" t="s">
        <v>0</v>
      </c>
      <c r="N38" t="s">
        <v>0</v>
      </c>
      <c r="O38" t="s">
        <v>0</v>
      </c>
      <c r="P38" t="s">
        <v>0</v>
      </c>
      <c r="Q38" t="s">
        <v>0</v>
      </c>
      <c r="R38" t="s">
        <v>0</v>
      </c>
      <c r="S38" t="s">
        <v>0</v>
      </c>
      <c r="T38" t="s">
        <v>0</v>
      </c>
    </row>
    <row r="39" ht="15.75" customHeight="1" spans="1:20" x14ac:dyDescent="0.25">
      <c r="A39" s="60" t="s">
        <v>1357</v>
      </c>
      <c r="B39" s="137" t="s">
        <v>0</v>
      </c>
      <c r="C39" s="69" t="s">
        <v>1358</v>
      </c>
      <c r="D39" s="69"/>
      <c r="E39" s="70"/>
      <c r="F39" s="172" t="s">
        <v>580</v>
      </c>
      <c r="G39" s="83"/>
      <c r="H39" s="141">
        <v>4150</v>
      </c>
      <c r="I39" s="142"/>
      <c r="J39" t="s">
        <v>0</v>
      </c>
      <c r="K39" t="s">
        <v>0</v>
      </c>
      <c r="L39" t="s">
        <v>0</v>
      </c>
      <c r="M39" t="s">
        <v>0</v>
      </c>
      <c r="N39" t="s">
        <v>0</v>
      </c>
      <c r="O39" t="s">
        <v>0</v>
      </c>
      <c r="P39" t="s">
        <v>0</v>
      </c>
      <c r="Q39" t="s">
        <v>0</v>
      </c>
      <c r="R39" t="s">
        <v>0</v>
      </c>
      <c r="S39" t="s">
        <v>0</v>
      </c>
      <c r="T39" t="s">
        <v>0</v>
      </c>
    </row>
    <row r="40" ht="15.75" customHeight="1" spans="1:20" x14ac:dyDescent="0.25">
      <c r="A40" s="60" t="s">
        <v>1348</v>
      </c>
      <c r="B40" s="137" t="s">
        <v>0</v>
      </c>
      <c r="C40" s="69" t="s">
        <v>1358</v>
      </c>
      <c r="D40" s="69"/>
      <c r="E40" s="70"/>
      <c r="F40" s="172" t="s">
        <v>580</v>
      </c>
      <c r="G40" s="83"/>
      <c r="H40" s="141">
        <v>4150</v>
      </c>
      <c r="I40" s="142"/>
      <c r="J40" t="s">
        <v>0</v>
      </c>
      <c r="K40" t="s">
        <v>0</v>
      </c>
      <c r="L40" t="s">
        <v>0</v>
      </c>
      <c r="M40" t="s">
        <v>0</v>
      </c>
      <c r="N40" t="s">
        <v>0</v>
      </c>
      <c r="O40" t="s">
        <v>0</v>
      </c>
      <c r="P40" t="s">
        <v>0</v>
      </c>
      <c r="Q40" t="s">
        <v>0</v>
      </c>
      <c r="R40" t="s">
        <v>0</v>
      </c>
      <c r="S40" t="s">
        <v>0</v>
      </c>
      <c r="T40" t="s">
        <v>0</v>
      </c>
    </row>
    <row r="41" ht="15.75" customHeight="1" spans="1:20" x14ac:dyDescent="0.25">
      <c r="A41" s="60" t="s">
        <v>1357</v>
      </c>
      <c r="B41" s="137" t="s">
        <v>0</v>
      </c>
      <c r="C41" s="69" t="s">
        <v>1358</v>
      </c>
      <c r="D41" s="69"/>
      <c r="E41" s="70"/>
      <c r="F41" s="172" t="s">
        <v>1361</v>
      </c>
      <c r="G41" s="83"/>
      <c r="H41" s="141">
        <v>4150</v>
      </c>
      <c r="I41" s="142"/>
      <c r="J41" t="s">
        <v>0</v>
      </c>
      <c r="K41" t="s">
        <v>0</v>
      </c>
      <c r="L41" t="s">
        <v>0</v>
      </c>
      <c r="M41" t="s">
        <v>0</v>
      </c>
      <c r="N41" t="s">
        <v>0</v>
      </c>
      <c r="O41" t="s">
        <v>0</v>
      </c>
      <c r="P41" t="s">
        <v>0</v>
      </c>
      <c r="Q41" t="s">
        <v>0</v>
      </c>
      <c r="R41" t="s">
        <v>0</v>
      </c>
      <c r="S41" t="s">
        <v>0</v>
      </c>
      <c r="T41" t="s">
        <v>0</v>
      </c>
    </row>
    <row r="42" ht="15.75" customHeight="1" spans="1:20" x14ac:dyDescent="0.25">
      <c r="A42" s="60" t="s">
        <v>1357</v>
      </c>
      <c r="B42" s="68" t="s">
        <v>0</v>
      </c>
      <c r="C42" s="69" t="s">
        <v>1358</v>
      </c>
      <c r="D42" s="69"/>
      <c r="E42" s="70"/>
      <c r="F42" s="172" t="s">
        <v>1362</v>
      </c>
      <c r="G42" s="83"/>
      <c r="H42" s="141">
        <v>4150</v>
      </c>
      <c r="I42" s="142"/>
      <c r="J42" t="s">
        <v>0</v>
      </c>
      <c r="K42" t="s">
        <v>0</v>
      </c>
      <c r="L42" t="s">
        <v>0</v>
      </c>
      <c r="M42" t="s">
        <v>0</v>
      </c>
      <c r="N42" t="s">
        <v>0</v>
      </c>
      <c r="O42" t="s">
        <v>0</v>
      </c>
      <c r="P42" t="s">
        <v>0</v>
      </c>
      <c r="Q42" t="s">
        <v>0</v>
      </c>
      <c r="R42" t="s">
        <v>0</v>
      </c>
      <c r="S42" t="s">
        <v>0</v>
      </c>
      <c r="T42" t="s">
        <v>0</v>
      </c>
    </row>
    <row r="43" ht="31.5" customHeight="1" spans="1:20" x14ac:dyDescent="0.25">
      <c r="A43" s="60" t="s">
        <v>1348</v>
      </c>
      <c r="B43" s="68" t="s">
        <v>0</v>
      </c>
      <c r="C43" s="69" t="s">
        <v>1358</v>
      </c>
      <c r="D43" s="69"/>
      <c r="E43" s="70"/>
      <c r="F43" s="81" t="s">
        <v>1363</v>
      </c>
      <c r="G43" s="84"/>
      <c r="H43" s="141">
        <v>8300</v>
      </c>
      <c r="I43" s="142"/>
      <c r="J43" t="s">
        <v>0</v>
      </c>
      <c r="K43" t="s">
        <v>0</v>
      </c>
      <c r="L43" t="s">
        <v>0</v>
      </c>
      <c r="M43" t="s">
        <v>0</v>
      </c>
      <c r="N43" t="s">
        <v>0</v>
      </c>
      <c r="O43" t="s">
        <v>0</v>
      </c>
      <c r="P43" t="s">
        <v>0</v>
      </c>
      <c r="Q43" t="s">
        <v>0</v>
      </c>
      <c r="R43" t="s">
        <v>0</v>
      </c>
      <c r="S43" t="s">
        <v>0</v>
      </c>
      <c r="T43" t="s">
        <v>0</v>
      </c>
    </row>
    <row r="44" ht="15.75" customHeight="1" spans="1:20" x14ac:dyDescent="0.25">
      <c r="A44" s="60" t="s">
        <v>0</v>
      </c>
      <c r="B44" s="68" t="s">
        <v>0</v>
      </c>
      <c r="C44" s="69"/>
      <c r="D44" s="69"/>
      <c r="E44" s="70"/>
      <c r="F44" s="470"/>
      <c r="G44" s="471"/>
      <c r="H44" s="472"/>
      <c r="I44" s="473"/>
      <c r="J44" t="s">
        <v>0</v>
      </c>
      <c r="K44" t="s">
        <v>0</v>
      </c>
      <c r="L44" t="s">
        <v>0</v>
      </c>
      <c r="M44" t="s">
        <v>0</v>
      </c>
      <c r="N44" t="s">
        <v>0</v>
      </c>
      <c r="O44" t="s">
        <v>0</v>
      </c>
      <c r="P44" t="s">
        <v>0</v>
      </c>
      <c r="Q44" t="s">
        <v>0</v>
      </c>
      <c r="R44" t="s">
        <v>0</v>
      </c>
      <c r="S44" t="s">
        <v>0</v>
      </c>
      <c r="T44" t="s">
        <v>0</v>
      </c>
    </row>
    <row r="45" ht="15.75" customHeight="1" spans="1:20" x14ac:dyDescent="0.25">
      <c r="A45" s="60" t="s">
        <v>0</v>
      </c>
      <c r="B45" s="68" t="s">
        <v>0</v>
      </c>
      <c r="C45" s="197"/>
      <c r="D45" s="197"/>
      <c r="E45" s="159"/>
      <c r="F45" s="470"/>
      <c r="G45" s="471"/>
      <c r="H45" s="472"/>
      <c r="I45" s="473"/>
      <c r="J45" t="s">
        <v>0</v>
      </c>
      <c r="K45" t="s">
        <v>0</v>
      </c>
      <c r="L45" t="s">
        <v>0</v>
      </c>
      <c r="M45" t="s">
        <v>0</v>
      </c>
      <c r="N45" t="s">
        <v>0</v>
      </c>
      <c r="O45" t="s">
        <v>0</v>
      </c>
      <c r="P45" t="s">
        <v>0</v>
      </c>
      <c r="Q45" t="s">
        <v>0</v>
      </c>
      <c r="R45" t="s">
        <v>0</v>
      </c>
      <c r="S45" t="s">
        <v>0</v>
      </c>
      <c r="T45" t="s">
        <v>0</v>
      </c>
    </row>
    <row r="46" ht="15.75" customHeight="1" spans="1:20" x14ac:dyDescent="0.25">
      <c r="A46" s="60" t="s">
        <v>0</v>
      </c>
      <c r="B46" s="68" t="s">
        <v>0</v>
      </c>
      <c r="C46" s="197"/>
      <c r="D46" s="197"/>
      <c r="E46" s="159"/>
      <c r="F46" s="470"/>
      <c r="G46" s="471"/>
      <c r="H46" s="472"/>
      <c r="I46" s="473"/>
      <c r="J46" t="s">
        <v>0</v>
      </c>
      <c r="K46" t="s">
        <v>0</v>
      </c>
      <c r="L46" t="s">
        <v>0</v>
      </c>
      <c r="M46" t="s">
        <v>0</v>
      </c>
      <c r="N46" t="s">
        <v>0</v>
      </c>
      <c r="O46" t="s">
        <v>0</v>
      </c>
      <c r="P46" t="s">
        <v>0</v>
      </c>
      <c r="Q46" t="s">
        <v>0</v>
      </c>
      <c r="R46" t="s">
        <v>0</v>
      </c>
      <c r="S46" t="s">
        <v>0</v>
      </c>
      <c r="T46" t="s">
        <v>0</v>
      </c>
    </row>
    <row r="47" ht="15.75" customHeight="1" spans="1:20" x14ac:dyDescent="0.25">
      <c r="A47" s="60" t="s">
        <v>0</v>
      </c>
      <c r="B47" s="68" t="s">
        <v>0</v>
      </c>
      <c r="C47" s="197"/>
      <c r="D47" s="197"/>
      <c r="E47" s="159"/>
      <c r="F47" s="470"/>
      <c r="G47" s="471"/>
      <c r="H47" s="472"/>
      <c r="I47" s="473"/>
      <c r="J47" t="s">
        <v>0</v>
      </c>
      <c r="K47" t="s">
        <v>0</v>
      </c>
      <c r="L47" t="s">
        <v>0</v>
      </c>
      <c r="M47" t="s">
        <v>0</v>
      </c>
      <c r="N47" t="s">
        <v>0</v>
      </c>
      <c r="O47" t="s">
        <v>0</v>
      </c>
      <c r="P47" t="s">
        <v>0</v>
      </c>
      <c r="Q47" t="s">
        <v>0</v>
      </c>
      <c r="R47" t="s">
        <v>0</v>
      </c>
      <c r="S47" t="s">
        <v>0</v>
      </c>
      <c r="T47" t="s">
        <v>0</v>
      </c>
    </row>
    <row r="48" ht="15.75" customHeight="1" spans="1:20" x14ac:dyDescent="0.25">
      <c r="A48" s="60" t="s">
        <v>0</v>
      </c>
      <c r="B48" s="68" t="s">
        <v>0</v>
      </c>
      <c r="C48" s="197"/>
      <c r="D48" s="197"/>
      <c r="E48" s="159"/>
      <c r="F48" s="470"/>
      <c r="G48" s="471"/>
      <c r="H48" s="472"/>
      <c r="I48" s="473"/>
      <c r="J48" t="s">
        <v>0</v>
      </c>
      <c r="K48" t="s">
        <v>0</v>
      </c>
      <c r="L48" t="s">
        <v>0</v>
      </c>
      <c r="M48" t="s">
        <v>0</v>
      </c>
      <c r="N48" t="s">
        <v>0</v>
      </c>
      <c r="O48" t="s">
        <v>0</v>
      </c>
      <c r="P48" t="s">
        <v>0</v>
      </c>
      <c r="Q48" t="s">
        <v>0</v>
      </c>
      <c r="R48" t="s">
        <v>0</v>
      </c>
      <c r="S48" t="s">
        <v>0</v>
      </c>
      <c r="T48" t="s">
        <v>0</v>
      </c>
    </row>
    <row r="49" spans="1:20" x14ac:dyDescent="0.25">
      <c r="A49" s="60" t="s">
        <v>0</v>
      </c>
      <c r="B49" s="68"/>
      <c r="C49" s="69"/>
      <c r="D49" s="69"/>
      <c r="E49" s="70"/>
      <c r="F49" s="68"/>
      <c r="G49" s="70"/>
      <c r="H49" s="474"/>
      <c r="I49" s="475"/>
      <c r="J49" t="s">
        <v>0</v>
      </c>
      <c r="K49" t="s">
        <v>0</v>
      </c>
      <c r="L49" t="s">
        <v>0</v>
      </c>
      <c r="M49" t="s">
        <v>0</v>
      </c>
      <c r="N49" t="s">
        <v>0</v>
      </c>
      <c r="O49" t="s">
        <v>0</v>
      </c>
      <c r="P49" t="s">
        <v>0</v>
      </c>
      <c r="Q49" t="s">
        <v>0</v>
      </c>
      <c r="R49" t="s">
        <v>0</v>
      </c>
      <c r="S49" t="s">
        <v>0</v>
      </c>
      <c r="T49" t="s">
        <v>0</v>
      </c>
    </row>
    <row r="50" ht="15.75" customHeight="1" spans="1:20" x14ac:dyDescent="0.25">
      <c r="A50" s="60" t="s">
        <v>0</v>
      </c>
      <c r="B50" s="68"/>
      <c r="C50" s="69"/>
      <c r="D50" s="69"/>
      <c r="E50" s="70"/>
      <c r="F50" s="68"/>
      <c r="G50" s="70"/>
      <c r="H50" s="474"/>
      <c r="I50" s="475"/>
      <c r="J50" t="s">
        <v>0</v>
      </c>
      <c r="K50" t="s">
        <v>0</v>
      </c>
      <c r="L50" t="s">
        <v>0</v>
      </c>
      <c r="M50" t="s">
        <v>0</v>
      </c>
      <c r="N50" t="s">
        <v>0</v>
      </c>
      <c r="O50" t="s">
        <v>0</v>
      </c>
      <c r="P50" t="s">
        <v>0</v>
      </c>
      <c r="Q50" t="s">
        <v>0</v>
      </c>
      <c r="R50" t="s">
        <v>0</v>
      </c>
      <c r="S50" t="s">
        <v>0</v>
      </c>
      <c r="T50" t="s">
        <v>0</v>
      </c>
    </row>
    <row r="51" ht="15.75" customHeight="1" spans="1:20" x14ac:dyDescent="0.25">
      <c r="A51" s="93" t="s">
        <v>0</v>
      </c>
      <c r="B51" s="94"/>
      <c r="C51" s="95"/>
      <c r="D51" s="95"/>
      <c r="E51" s="96"/>
      <c r="F51" s="97" t="s">
        <v>96</v>
      </c>
      <c r="G51" s="98"/>
      <c r="H51" s="99">
        <f>SUM(H31:I50)</f>
        <v>49100</v>
      </c>
      <c r="I51" s="100"/>
      <c r="J51" t="s">
        <v>0</v>
      </c>
      <c r="K51" t="s">
        <v>0</v>
      </c>
      <c r="L51" t="s">
        <v>0</v>
      </c>
      <c r="M51" t="s">
        <v>0</v>
      </c>
      <c r="N51" t="s">
        <v>0</v>
      </c>
      <c r="O51" t="s">
        <v>0</v>
      </c>
      <c r="P51" t="s">
        <v>0</v>
      </c>
      <c r="Q51" t="s">
        <v>0</v>
      </c>
      <c r="R51" t="s">
        <v>0</v>
      </c>
      <c r="S51" t="s">
        <v>0</v>
      </c>
      <c r="T51" t="s">
        <v>0</v>
      </c>
    </row>
  </sheetData>
  <mergeCells count="99">
    <mergeCell ref="B17:E17"/>
    <mergeCell ref="F17:G17"/>
    <mergeCell ref="H17:I17"/>
    <mergeCell ref="B18:E18"/>
    <mergeCell ref="F18:G18"/>
    <mergeCell ref="H18:I18"/>
    <mergeCell ref="B19:E19"/>
    <mergeCell ref="F19:G19"/>
    <mergeCell ref="H19:I19"/>
    <mergeCell ref="B20:E20"/>
    <mergeCell ref="F20:G20"/>
    <mergeCell ref="H20:I20"/>
    <mergeCell ref="B21:E21"/>
    <mergeCell ref="F21:G21"/>
    <mergeCell ref="H21:I21"/>
    <mergeCell ref="C22:E22"/>
    <mergeCell ref="F22:G22"/>
    <mergeCell ref="H22:I22"/>
    <mergeCell ref="C23:E23"/>
    <mergeCell ref="F23:G23"/>
    <mergeCell ref="H23:I23"/>
    <mergeCell ref="C24:E24"/>
    <mergeCell ref="F24:G24"/>
    <mergeCell ref="H24:I24"/>
    <mergeCell ref="C25:E25"/>
    <mergeCell ref="F25:G25"/>
    <mergeCell ref="H25:I25"/>
    <mergeCell ref="B26:E26"/>
    <mergeCell ref="F26:G26"/>
    <mergeCell ref="H26:I26"/>
    <mergeCell ref="B27:E27"/>
    <mergeCell ref="F27:G27"/>
    <mergeCell ref="H27:I27"/>
    <mergeCell ref="B30:E30"/>
    <mergeCell ref="F30:G30"/>
    <mergeCell ref="H30:I30"/>
    <mergeCell ref="B31:E31"/>
    <mergeCell ref="F31:G31"/>
    <mergeCell ref="H31:I31"/>
    <mergeCell ref="B32:E32"/>
    <mergeCell ref="F32:G32"/>
    <mergeCell ref="H32:I32"/>
    <mergeCell ref="B33:E33"/>
    <mergeCell ref="F33:G33"/>
    <mergeCell ref="H33:I33"/>
    <mergeCell ref="C34:E34"/>
    <mergeCell ref="F34:G34"/>
    <mergeCell ref="H34:I34"/>
    <mergeCell ref="C35:E35"/>
    <mergeCell ref="F35:G35"/>
    <mergeCell ref="H35:I35"/>
    <mergeCell ref="C36:E36"/>
    <mergeCell ref="F36:G36"/>
    <mergeCell ref="H36:I36"/>
    <mergeCell ref="C37:E37"/>
    <mergeCell ref="F37:G37"/>
    <mergeCell ref="H37:I37"/>
    <mergeCell ref="C38:E38"/>
    <mergeCell ref="F38:G38"/>
    <mergeCell ref="H38:I38"/>
    <mergeCell ref="C39:E39"/>
    <mergeCell ref="F39:G39"/>
    <mergeCell ref="H39:I39"/>
    <mergeCell ref="C40:E40"/>
    <mergeCell ref="F40:G40"/>
    <mergeCell ref="H40:I40"/>
    <mergeCell ref="C41:E41"/>
    <mergeCell ref="F41:G41"/>
    <mergeCell ref="H41:I41"/>
    <mergeCell ref="C42:E42"/>
    <mergeCell ref="F42:G42"/>
    <mergeCell ref="H42:I42"/>
    <mergeCell ref="C43:E43"/>
    <mergeCell ref="F43:G43"/>
    <mergeCell ref="H43:I43"/>
    <mergeCell ref="C44:E44"/>
    <mergeCell ref="F44:G44"/>
    <mergeCell ref="H44:I44"/>
    <mergeCell ref="C45:E45"/>
    <mergeCell ref="F45:G45"/>
    <mergeCell ref="H45:I45"/>
    <mergeCell ref="C46:E46"/>
    <mergeCell ref="F46:G46"/>
    <mergeCell ref="H46:I46"/>
    <mergeCell ref="C47:E47"/>
    <mergeCell ref="F47:G47"/>
    <mergeCell ref="H47:I47"/>
    <mergeCell ref="C48:E48"/>
    <mergeCell ref="F48:G48"/>
    <mergeCell ref="H48:I48"/>
    <mergeCell ref="B49:E49"/>
    <mergeCell ref="F49:G49"/>
    <mergeCell ref="H49:I49"/>
    <mergeCell ref="B50:E50"/>
    <mergeCell ref="F50:G50"/>
    <mergeCell ref="H50:I50"/>
    <mergeCell ref="B51:E51"/>
    <mergeCell ref="F51:G51"/>
    <mergeCell ref="H51:I5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7"/>
  <sheetViews>
    <sheetView workbookViewId="0" zoomScale="100" zoomScaleNormal="100">
      <selection activeCell="Q10" sqref="Q10"/>
    </sheetView>
  </sheetViews>
  <sheetFormatPr defaultRowHeight="15" outlineLevelRow="0" outlineLevelCol="0" x14ac:dyDescent="0.25"/>
  <cols>
    <col min="1" max="1" width="45.5703125" customWidth="1"/>
    <col min="2" max="2" width="3.42578125" hidden="1" customWidth="1"/>
    <col min="3" max="3" width="14.42578125" hidden="1" customWidth="1"/>
    <col min="4" max="4" width="18.28515625" customWidth="1"/>
    <col min="5" max="5" width="15.7109375" customWidth="1"/>
    <col min="6" max="6" width="16.85546875" customWidth="1"/>
    <col min="7" max="7" width="10" customWidth="1"/>
    <col min="8" max="8" width="10.28515625" customWidth="1"/>
    <col min="9" max="9" width="13.28515625" customWidth="1"/>
    <col min="10" max="10" width="10.28515625" customWidth="1"/>
    <col min="11" max="11" width="11.28515625" customWidth="1"/>
    <col min="12" max="14" width="10.28515625" customWidth="1"/>
    <col min="15" max="15" width="11.7109375" customWidth="1"/>
    <col min="16" max="16" width="10.7109375" customWidth="1"/>
    <col min="17" max="17" width="11.28515625" customWidth="1"/>
    <col min="18" max="18" width="13.5703125" customWidth="1"/>
    <col min="19" max="19" width="11" customWidth="1"/>
    <col min="20" max="20" width="15.140625" customWidth="1"/>
  </cols>
  <sheetData>
    <row r="1" ht="72.75" customHeight="1" spans="1:20" x14ac:dyDescent="0.25">
      <c r="A1" s="1" t="s">
        <v>0</v>
      </c>
      <c r="B1" s="261" t="s">
        <v>728</v>
      </c>
      <c r="C1" s="2" t="s">
        <v>255</v>
      </c>
      <c r="D1" s="3" t="s">
        <v>263</v>
      </c>
      <c r="E1" s="4" t="s">
        <v>921</v>
      </c>
      <c r="F1" s="5" t="s">
        <v>922</v>
      </c>
      <c r="G1" s="452" t="s">
        <v>5</v>
      </c>
      <c r="H1" s="453" t="s">
        <v>6</v>
      </c>
      <c r="I1" s="453" t="s">
        <v>7</v>
      </c>
      <c r="J1" s="453" t="s">
        <v>8</v>
      </c>
      <c r="K1" s="453" t="s">
        <v>9</v>
      </c>
      <c r="L1" s="453" t="s">
        <v>10</v>
      </c>
      <c r="M1" s="453" t="s">
        <v>11</v>
      </c>
      <c r="N1" s="453" t="s">
        <v>12</v>
      </c>
      <c r="O1" s="453" t="s">
        <v>13</v>
      </c>
      <c r="P1" s="453" t="s">
        <v>14</v>
      </c>
      <c r="Q1" s="453" t="s">
        <v>15</v>
      </c>
      <c r="R1" s="454" t="s">
        <v>16</v>
      </c>
      <c r="S1" s="9" t="s">
        <v>0</v>
      </c>
      <c r="T1" s="10" t="s">
        <v>17</v>
      </c>
    </row>
    <row r="2" ht="16.5" customHeight="1" spans="1:20" x14ac:dyDescent="0.25">
      <c r="A2" s="12" t="s">
        <v>2262</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05" t="s">
        <v>0</v>
      </c>
      <c r="T2" s="16" t="s">
        <v>0</v>
      </c>
    </row>
    <row r="3" ht="15.75" customHeight="1" spans="1:20" x14ac:dyDescent="0.25">
      <c r="A3" s="187" t="s">
        <v>19</v>
      </c>
      <c r="B3" s="263" t="s">
        <v>763</v>
      </c>
      <c r="C3" s="20" t="s">
        <v>0</v>
      </c>
      <c r="D3" s="21" t="s">
        <v>2263</v>
      </c>
      <c r="E3" s="22" t="s">
        <v>2264</v>
      </c>
      <c r="F3" s="23" t="s">
        <v>2265</v>
      </c>
      <c r="G3" s="23" t="s">
        <v>0</v>
      </c>
      <c r="H3" s="23" t="s">
        <v>0</v>
      </c>
      <c r="I3" s="23" t="s">
        <v>0</v>
      </c>
      <c r="J3" s="23" t="s">
        <v>0</v>
      </c>
      <c r="K3" s="23" t="s">
        <v>0</v>
      </c>
      <c r="L3" s="23" t="s">
        <v>0</v>
      </c>
      <c r="M3" s="23" t="s">
        <v>0</v>
      </c>
      <c r="N3" s="23" t="s">
        <v>0</v>
      </c>
      <c r="O3" s="23" t="s">
        <v>2264</v>
      </c>
      <c r="P3" s="23" t="s">
        <v>0</v>
      </c>
      <c r="Q3" s="23" t="s">
        <v>0</v>
      </c>
      <c r="R3" s="23" t="s">
        <v>0</v>
      </c>
      <c r="S3" s="24" t="s">
        <v>0</v>
      </c>
      <c r="T3" s="23" t="s">
        <v>2264</v>
      </c>
    </row>
    <row r="4" ht="15.75" customHeight="1" spans="1:20" x14ac:dyDescent="0.25">
      <c r="A4" s="459" t="s">
        <v>43</v>
      </c>
      <c r="B4" s="614" t="s">
        <v>0</v>
      </c>
      <c r="C4" s="589" t="s">
        <v>0</v>
      </c>
      <c r="D4" s="188" t="s">
        <v>2266</v>
      </c>
      <c r="E4" s="22" t="s">
        <v>0</v>
      </c>
      <c r="F4" s="23" t="s">
        <v>2266</v>
      </c>
      <c r="G4" s="461" t="s">
        <v>0</v>
      </c>
      <c r="H4" s="461" t="s">
        <v>0</v>
      </c>
      <c r="I4" s="461" t="s">
        <v>0</v>
      </c>
      <c r="J4" s="461" t="s">
        <v>0</v>
      </c>
      <c r="K4" s="461" t="s">
        <v>0</v>
      </c>
      <c r="L4" s="461" t="s">
        <v>0</v>
      </c>
      <c r="M4" s="461" t="s">
        <v>0</v>
      </c>
      <c r="N4" s="461" t="s">
        <v>0</v>
      </c>
      <c r="O4" s="461" t="s">
        <v>0</v>
      </c>
      <c r="P4" s="461" t="s">
        <v>0</v>
      </c>
      <c r="Q4" s="461" t="s">
        <v>0</v>
      </c>
      <c r="R4" s="28" t="s">
        <v>0</v>
      </c>
      <c r="S4" s="28" t="s">
        <v>0</v>
      </c>
      <c r="T4" s="33" t="s">
        <v>0</v>
      </c>
    </row>
    <row r="5" ht="15.75" customHeight="1" spans="1:20" x14ac:dyDescent="0.25">
      <c r="A5" s="459" t="s">
        <v>114</v>
      </c>
      <c r="B5" s="614" t="s">
        <v>0</v>
      </c>
      <c r="C5" s="589" t="s">
        <v>0</v>
      </c>
      <c r="D5" s="188" t="s">
        <v>0</v>
      </c>
      <c r="E5" s="22" t="s">
        <v>2267</v>
      </c>
      <c r="F5" s="23" t="s">
        <v>2268</v>
      </c>
      <c r="G5" s="461" t="s">
        <v>0</v>
      </c>
      <c r="H5" s="461" t="s">
        <v>0</v>
      </c>
      <c r="I5" s="461" t="s">
        <v>0</v>
      </c>
      <c r="J5" s="461" t="s">
        <v>2267</v>
      </c>
      <c r="K5" s="461" t="s">
        <v>0</v>
      </c>
      <c r="L5" s="461" t="s">
        <v>0</v>
      </c>
      <c r="M5" s="461" t="s">
        <v>0</v>
      </c>
      <c r="N5" s="461" t="s">
        <v>0</v>
      </c>
      <c r="O5" s="461" t="s">
        <v>0</v>
      </c>
      <c r="P5" s="461" t="s">
        <v>0</v>
      </c>
      <c r="Q5" s="461" t="s">
        <v>0</v>
      </c>
      <c r="R5" s="28" t="s">
        <v>0</v>
      </c>
      <c r="S5" s="189" t="s">
        <v>0</v>
      </c>
      <c r="T5" s="458" t="s">
        <v>2267</v>
      </c>
    </row>
    <row r="6" ht="15.75" customHeight="1" spans="1:20" x14ac:dyDescent="0.25">
      <c r="A6" s="462" t="s">
        <v>2269</v>
      </c>
      <c r="B6" s="460" t="s">
        <v>0</v>
      </c>
      <c r="C6" s="589" t="s">
        <v>0</v>
      </c>
      <c r="D6" s="188" t="s">
        <v>2270</v>
      </c>
      <c r="E6" s="22" t="s">
        <v>0</v>
      </c>
      <c r="F6" s="23" t="s">
        <v>2270</v>
      </c>
      <c r="G6" s="461" t="s">
        <v>0</v>
      </c>
      <c r="H6" s="461" t="s">
        <v>0</v>
      </c>
      <c r="I6" s="461" t="s">
        <v>0</v>
      </c>
      <c r="J6" s="461" t="s">
        <v>0</v>
      </c>
      <c r="K6" s="461" t="s">
        <v>0</v>
      </c>
      <c r="L6" s="461" t="s">
        <v>0</v>
      </c>
      <c r="M6" s="461" t="s">
        <v>0</v>
      </c>
      <c r="N6" s="461" t="s">
        <v>0</v>
      </c>
      <c r="O6" s="461" t="s">
        <v>0</v>
      </c>
      <c r="P6" s="461" t="s">
        <v>0</v>
      </c>
      <c r="Q6" s="461" t="s">
        <v>0</v>
      </c>
      <c r="R6" s="28" t="s">
        <v>0</v>
      </c>
      <c r="S6" s="463" t="s">
        <v>0</v>
      </c>
      <c r="T6" s="458" t="s">
        <v>0</v>
      </c>
    </row>
    <row r="7" ht="15.75" customHeight="1" spans="1:149" s="465" customFormat="1" x14ac:dyDescent="0.25">
      <c r="A7" s="26" t="s">
        <v>493</v>
      </c>
      <c r="B7" s="272" t="s">
        <v>0</v>
      </c>
      <c r="C7" s="615" t="s">
        <v>0</v>
      </c>
      <c r="D7" s="188" t="s">
        <v>0</v>
      </c>
      <c r="E7" s="22" t="s">
        <v>0</v>
      </c>
      <c r="F7" s="23" t="s">
        <v>0</v>
      </c>
      <c r="G7" s="111" t="s">
        <v>0</v>
      </c>
      <c r="H7" s="28" t="s">
        <v>0</v>
      </c>
      <c r="I7" s="111" t="s">
        <v>0</v>
      </c>
      <c r="J7" s="28" t="s">
        <v>0</v>
      </c>
      <c r="K7" s="111" t="s">
        <v>0</v>
      </c>
      <c r="L7" s="28" t="s">
        <v>0</v>
      </c>
      <c r="M7" s="111" t="s">
        <v>0</v>
      </c>
      <c r="N7" s="28" t="s">
        <v>0</v>
      </c>
      <c r="O7" s="111" t="s">
        <v>0</v>
      </c>
      <c r="P7" s="28" t="s">
        <v>0</v>
      </c>
      <c r="Q7" s="111" t="s">
        <v>0</v>
      </c>
      <c r="R7" s="28" t="s">
        <v>0</v>
      </c>
      <c r="S7" s="111" t="s">
        <v>0</v>
      </c>
      <c r="T7" s="458" t="s">
        <v>0</v>
      </c>
      <c r="U7" s="465"/>
      <c r="V7" s="465"/>
      <c r="W7" s="465"/>
      <c r="X7" s="465"/>
      <c r="Y7" s="465"/>
      <c r="Z7" s="465"/>
      <c r="AA7" s="465"/>
      <c r="AB7" s="465"/>
      <c r="AC7" s="465"/>
      <c r="AD7" s="465"/>
      <c r="AE7" s="465"/>
      <c r="AF7" s="465"/>
      <c r="AG7" s="465"/>
      <c r="AH7" s="465"/>
      <c r="AI7" s="465"/>
      <c r="AJ7" s="465"/>
      <c r="AK7" s="465"/>
      <c r="AL7" s="465"/>
      <c r="AM7" s="465"/>
      <c r="AN7" s="465"/>
      <c r="AO7" s="465"/>
      <c r="AP7" s="465"/>
      <c r="AQ7" s="465"/>
      <c r="AR7" s="465"/>
      <c r="AS7" s="465"/>
      <c r="AT7" s="465"/>
      <c r="AU7" s="465"/>
      <c r="AV7" s="465"/>
      <c r="AW7" s="465"/>
      <c r="AX7" s="465"/>
      <c r="AY7" s="465"/>
      <c r="AZ7" s="465"/>
      <c r="BA7" s="465"/>
      <c r="BB7" s="465"/>
      <c r="BC7" s="465"/>
      <c r="BD7" s="465"/>
      <c r="BE7" s="465"/>
      <c r="BF7" s="465"/>
      <c r="BG7" s="465"/>
      <c r="BH7" s="465"/>
      <c r="BI7" s="465"/>
      <c r="BJ7" s="465"/>
      <c r="BK7" s="465"/>
      <c r="BL7" s="465"/>
      <c r="BM7" s="465"/>
      <c r="BN7" s="465"/>
      <c r="BO7" s="465"/>
      <c r="BP7" s="465"/>
      <c r="BQ7" s="465"/>
      <c r="BR7" s="465"/>
      <c r="BS7" s="465"/>
      <c r="BT7" s="465"/>
      <c r="BU7" s="465"/>
      <c r="BV7" s="465"/>
      <c r="BW7" s="465"/>
      <c r="BX7" s="465"/>
      <c r="BY7" s="465"/>
      <c r="BZ7" s="465"/>
      <c r="CA7" s="465"/>
      <c r="CB7" s="465"/>
      <c r="CC7" s="465"/>
      <c r="CD7" s="465"/>
      <c r="CE7" s="465"/>
      <c r="CF7" s="465"/>
      <c r="CG7" s="465"/>
      <c r="CH7" s="465"/>
      <c r="CI7" s="465"/>
      <c r="CJ7" s="465"/>
      <c r="CK7" s="465"/>
      <c r="CL7" s="465"/>
      <c r="CM7" s="465"/>
      <c r="CN7" s="465"/>
      <c r="CO7" s="465"/>
      <c r="CP7" s="465"/>
      <c r="CQ7" s="465"/>
      <c r="CR7" s="465"/>
      <c r="CS7" s="465"/>
      <c r="CT7" s="465"/>
      <c r="CU7" s="465"/>
      <c r="CV7" s="465"/>
      <c r="CW7" s="465"/>
      <c r="CX7" s="465"/>
      <c r="CY7" s="465"/>
      <c r="CZ7" s="465"/>
      <c r="DA7" s="465"/>
      <c r="DB7" s="465"/>
      <c r="DC7" s="465"/>
      <c r="DD7" s="465"/>
      <c r="DE7" s="465"/>
      <c r="DF7" s="465"/>
      <c r="DG7" s="465"/>
      <c r="DH7" s="465"/>
      <c r="DI7" s="465"/>
      <c r="DJ7" s="465"/>
      <c r="DK7" s="465"/>
      <c r="DL7" s="465"/>
      <c r="DM7" s="465"/>
      <c r="DN7" s="465"/>
      <c r="DO7" s="465"/>
      <c r="DP7" s="465"/>
      <c r="DQ7" s="465"/>
      <c r="DR7" s="465"/>
      <c r="DS7" s="465"/>
      <c r="DT7" s="465"/>
      <c r="DU7" s="465"/>
      <c r="DV7" s="465"/>
      <c r="DW7" s="465"/>
      <c r="DX7" s="465"/>
      <c r="DY7" s="465"/>
      <c r="DZ7" s="465"/>
      <c r="EA7" s="465"/>
      <c r="EB7" s="465"/>
      <c r="EC7" s="465"/>
      <c r="ED7" s="465"/>
      <c r="EE7" s="465"/>
      <c r="EF7" s="465"/>
      <c r="EG7" s="465"/>
      <c r="EH7" s="465"/>
      <c r="EI7" s="465"/>
      <c r="EJ7" s="465"/>
      <c r="EK7" s="465"/>
      <c r="EL7" s="465"/>
      <c r="EM7" s="465"/>
      <c r="EN7" s="465"/>
      <c r="EO7" s="465"/>
      <c r="EP7" s="465"/>
      <c r="EQ7" s="465"/>
      <c r="ER7" s="465"/>
      <c r="ES7" s="467"/>
    </row>
    <row r="8" ht="15.75" customHeight="1" spans="1:149" s="465" customFormat="1" x14ac:dyDescent="0.25">
      <c r="A8" s="26" t="s">
        <v>31</v>
      </c>
      <c r="B8" s="272" t="s">
        <v>0</v>
      </c>
      <c r="C8" s="615" t="s">
        <v>0</v>
      </c>
      <c r="D8" s="188" t="s">
        <v>287</v>
      </c>
      <c r="E8" s="22" t="s">
        <v>2271</v>
      </c>
      <c r="F8" s="23" t="s">
        <v>101</v>
      </c>
      <c r="G8" s="463" t="s">
        <v>0</v>
      </c>
      <c r="H8" s="28" t="s">
        <v>0</v>
      </c>
      <c r="I8" s="463" t="s">
        <v>0</v>
      </c>
      <c r="J8" s="28" t="s">
        <v>2271</v>
      </c>
      <c r="K8" s="463" t="s">
        <v>0</v>
      </c>
      <c r="L8" s="28" t="s">
        <v>0</v>
      </c>
      <c r="M8" s="463" t="s">
        <v>0</v>
      </c>
      <c r="N8" s="28" t="s">
        <v>0</v>
      </c>
      <c r="O8" s="463" t="s">
        <v>0</v>
      </c>
      <c r="P8" s="28" t="s">
        <v>0</v>
      </c>
      <c r="Q8" s="463" t="s">
        <v>0</v>
      </c>
      <c r="R8" s="28" t="s">
        <v>0</v>
      </c>
      <c r="S8" s="28" t="s">
        <v>0</v>
      </c>
      <c r="T8" s="28" t="s">
        <v>2271</v>
      </c>
      <c r="U8" s="465"/>
      <c r="V8" s="465"/>
      <c r="W8" s="465"/>
      <c r="X8" s="465"/>
      <c r="Y8" s="465"/>
      <c r="Z8" s="465"/>
      <c r="AA8" s="465"/>
      <c r="AB8" s="465"/>
      <c r="AC8" s="465"/>
      <c r="AD8" s="465"/>
      <c r="AE8" s="465"/>
      <c r="AF8" s="465"/>
      <c r="AG8" s="465"/>
      <c r="AH8" s="465"/>
      <c r="AI8" s="465"/>
      <c r="AJ8" s="465"/>
      <c r="AK8" s="465"/>
      <c r="AL8" s="465"/>
      <c r="AM8" s="465"/>
      <c r="AN8" s="465"/>
      <c r="AO8" s="465"/>
      <c r="AP8" s="465"/>
      <c r="AQ8" s="465"/>
      <c r="AR8" s="465"/>
      <c r="AS8" s="465"/>
      <c r="AT8" s="465"/>
      <c r="AU8" s="465"/>
      <c r="AV8" s="465"/>
      <c r="AW8" s="465"/>
      <c r="AX8" s="465"/>
      <c r="AY8" s="465"/>
      <c r="AZ8" s="465"/>
      <c r="BA8" s="465"/>
      <c r="BB8" s="465"/>
      <c r="BC8" s="465"/>
      <c r="BD8" s="465"/>
      <c r="BE8" s="465"/>
      <c r="BF8" s="465"/>
      <c r="BG8" s="465"/>
      <c r="BH8" s="465"/>
      <c r="BI8" s="465"/>
      <c r="BJ8" s="465"/>
      <c r="BK8" s="465"/>
      <c r="BL8" s="465"/>
      <c r="BM8" s="465"/>
      <c r="BN8" s="465"/>
      <c r="BO8" s="465"/>
      <c r="BP8" s="465"/>
      <c r="BQ8" s="465"/>
      <c r="BR8" s="465"/>
      <c r="BS8" s="465"/>
      <c r="BT8" s="465"/>
      <c r="BU8" s="465"/>
      <c r="BV8" s="465"/>
      <c r="BW8" s="465"/>
      <c r="BX8" s="465"/>
      <c r="BY8" s="465"/>
      <c r="BZ8" s="465"/>
      <c r="CA8" s="465"/>
      <c r="CB8" s="465"/>
      <c r="CC8" s="465"/>
      <c r="CD8" s="465"/>
      <c r="CE8" s="465"/>
      <c r="CF8" s="465"/>
      <c r="CG8" s="465"/>
      <c r="CH8" s="465"/>
      <c r="CI8" s="465"/>
      <c r="CJ8" s="465"/>
      <c r="CK8" s="465"/>
      <c r="CL8" s="465"/>
      <c r="CM8" s="465"/>
      <c r="CN8" s="465"/>
      <c r="CO8" s="465"/>
      <c r="CP8" s="465"/>
      <c r="CQ8" s="465"/>
      <c r="CR8" s="465"/>
      <c r="CS8" s="465"/>
      <c r="CT8" s="465"/>
      <c r="CU8" s="465"/>
      <c r="CV8" s="465"/>
      <c r="CW8" s="465"/>
      <c r="CX8" s="465"/>
      <c r="CY8" s="465"/>
      <c r="CZ8" s="465"/>
      <c r="DA8" s="465"/>
      <c r="DB8" s="465"/>
      <c r="DC8" s="465"/>
      <c r="DD8" s="465"/>
      <c r="DE8" s="465"/>
      <c r="DF8" s="465"/>
      <c r="DG8" s="465"/>
      <c r="DH8" s="465"/>
      <c r="DI8" s="465"/>
      <c r="DJ8" s="465"/>
      <c r="DK8" s="465"/>
      <c r="DL8" s="465"/>
      <c r="DM8" s="465"/>
      <c r="DN8" s="465"/>
      <c r="DO8" s="465"/>
      <c r="DP8" s="465"/>
      <c r="DQ8" s="465"/>
      <c r="DR8" s="465"/>
      <c r="DS8" s="465"/>
      <c r="DT8" s="465"/>
      <c r="DU8" s="465"/>
      <c r="DV8" s="465"/>
      <c r="DW8" s="465"/>
      <c r="DX8" s="465"/>
      <c r="DY8" s="465"/>
      <c r="DZ8" s="465"/>
      <c r="EA8" s="465"/>
      <c r="EB8" s="465"/>
      <c r="EC8" s="465"/>
      <c r="ED8" s="465"/>
      <c r="EE8" s="465"/>
      <c r="EF8" s="465"/>
      <c r="EG8" s="465"/>
      <c r="EH8" s="465"/>
      <c r="EI8" s="465"/>
      <c r="EJ8" s="465"/>
      <c r="EK8" s="465"/>
      <c r="EL8" s="465"/>
      <c r="EM8" s="465"/>
      <c r="EN8" s="465"/>
      <c r="EO8" s="465"/>
      <c r="EP8" s="465"/>
      <c r="EQ8" s="465"/>
      <c r="ER8" s="465"/>
      <c r="ES8" s="467"/>
    </row>
    <row r="9" ht="15.75" customHeight="1" spans="1:20" x14ac:dyDescent="0.25">
      <c r="A9" s="616" t="s">
        <v>33</v>
      </c>
      <c r="B9" s="617" t="s">
        <v>0</v>
      </c>
      <c r="C9" s="27" t="s">
        <v>0</v>
      </c>
      <c r="D9" s="188" t="s">
        <v>2272</v>
      </c>
      <c r="E9" s="22" t="s">
        <v>292</v>
      </c>
      <c r="F9" s="23" t="s">
        <v>2273</v>
      </c>
      <c r="G9" s="28" t="s">
        <v>0</v>
      </c>
      <c r="H9" s="266" t="s">
        <v>0</v>
      </c>
      <c r="I9" s="28" t="s">
        <v>0</v>
      </c>
      <c r="J9" s="266" t="s">
        <v>0</v>
      </c>
      <c r="K9" s="28" t="s">
        <v>0</v>
      </c>
      <c r="L9" s="266" t="s">
        <v>0</v>
      </c>
      <c r="M9" s="28" t="s">
        <v>0</v>
      </c>
      <c r="N9" s="266" t="s">
        <v>0</v>
      </c>
      <c r="O9" s="28" t="s">
        <v>0</v>
      </c>
      <c r="P9" s="266" t="s">
        <v>0</v>
      </c>
      <c r="Q9" s="28" t="s">
        <v>292</v>
      </c>
      <c r="R9" s="266" t="s">
        <v>0</v>
      </c>
      <c r="S9" s="266" t="s">
        <v>0</v>
      </c>
      <c r="T9" s="28" t="s">
        <v>292</v>
      </c>
    </row>
    <row r="10" ht="16.5" customHeight="1" spans="1:20" x14ac:dyDescent="0.25">
      <c r="A10" s="34" t="s">
        <v>0</v>
      </c>
      <c r="B10" s="193" t="s">
        <v>96</v>
      </c>
      <c r="C10" s="37" t="s">
        <v>0</v>
      </c>
      <c r="D10" s="37" t="s">
        <v>2274</v>
      </c>
      <c r="E10" s="37" t="s">
        <v>2275</v>
      </c>
      <c r="F10" s="37" t="s">
        <v>2276</v>
      </c>
      <c r="G10" s="37" t="s">
        <v>0</v>
      </c>
      <c r="H10" s="37" t="s">
        <v>0</v>
      </c>
      <c r="I10" s="37" t="s">
        <v>0</v>
      </c>
      <c r="J10" s="37" t="s">
        <v>2277</v>
      </c>
      <c r="K10" s="37" t="s">
        <v>0</v>
      </c>
      <c r="L10" s="37" t="s">
        <v>0</v>
      </c>
      <c r="M10" s="37" t="s">
        <v>0</v>
      </c>
      <c r="N10" s="37" t="s">
        <v>0</v>
      </c>
      <c r="O10" s="37" t="s">
        <v>2264</v>
      </c>
      <c r="P10" s="37" t="s">
        <v>0</v>
      </c>
      <c r="Q10" s="37" t="s">
        <v>292</v>
      </c>
      <c r="R10" s="37" t="s">
        <v>0</v>
      </c>
      <c r="S10" s="193" t="s">
        <v>73</v>
      </c>
      <c r="T10" s="38" t="s">
        <v>2275</v>
      </c>
    </row>
    <row r="11" spans="1:20"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row>
    <row r="12" ht="15.75" customHeight="1" spans="1:20"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ht="16.5" customHeight="1" spans="1:20" x14ac:dyDescent="0.25">
      <c r="A13" s="40" t="s">
        <v>200</v>
      </c>
      <c r="B13" s="41" t="s">
        <v>201</v>
      </c>
      <c r="C13" s="42"/>
      <c r="D13" s="42"/>
      <c r="E13" s="43"/>
      <c r="F13" s="41" t="s">
        <v>76</v>
      </c>
      <c r="G13" s="43"/>
      <c r="H13" s="44" t="s">
        <v>77</v>
      </c>
      <c r="I13" s="45"/>
      <c r="J13" t="s">
        <v>0</v>
      </c>
      <c r="K13" t="s">
        <v>0</v>
      </c>
      <c r="L13" t="s">
        <v>0</v>
      </c>
      <c r="M13" t="s">
        <v>0</v>
      </c>
      <c r="N13" t="s">
        <v>0</v>
      </c>
      <c r="O13" t="s">
        <v>0</v>
      </c>
      <c r="P13" t="s">
        <v>0</v>
      </c>
      <c r="Q13" t="s">
        <v>0</v>
      </c>
      <c r="R13" t="s">
        <v>0</v>
      </c>
      <c r="S13" t="s">
        <v>0</v>
      </c>
      <c r="T13" t="s">
        <v>0</v>
      </c>
    </row>
    <row r="14" ht="33.75" customHeight="1" spans="1:20" x14ac:dyDescent="0.25">
      <c r="A14" s="46" t="s">
        <v>208</v>
      </c>
      <c r="B14" s="127" t="s">
        <v>427</v>
      </c>
      <c r="C14" s="128"/>
      <c r="D14" s="128"/>
      <c r="E14" s="129"/>
      <c r="F14" s="127" t="s">
        <v>2171</v>
      </c>
      <c r="G14" s="51"/>
      <c r="H14" s="52">
        <v>2000</v>
      </c>
      <c r="I14" s="53"/>
      <c r="J14" t="s">
        <v>0</v>
      </c>
      <c r="K14" t="s">
        <v>0</v>
      </c>
      <c r="L14" t="s">
        <v>0</v>
      </c>
      <c r="M14" t="s">
        <v>0</v>
      </c>
      <c r="N14" t="s">
        <v>0</v>
      </c>
      <c r="O14" t="s">
        <v>0</v>
      </c>
      <c r="P14" t="s">
        <v>0</v>
      </c>
      <c r="Q14" t="s">
        <v>0</v>
      </c>
      <c r="R14" t="s">
        <v>0</v>
      </c>
      <c r="S14" t="s">
        <v>0</v>
      </c>
      <c r="T14" t="s">
        <v>0</v>
      </c>
    </row>
    <row r="15" ht="31.5" customHeight="1" spans="1:20" x14ac:dyDescent="0.25">
      <c r="A15" s="168" t="s">
        <v>208</v>
      </c>
      <c r="B15" s="169" t="s">
        <v>208</v>
      </c>
      <c r="C15" s="170"/>
      <c r="D15" s="170"/>
      <c r="E15" s="171"/>
      <c r="F15" s="169" t="s">
        <v>2173</v>
      </c>
      <c r="G15" s="255"/>
      <c r="H15" s="58">
        <v>800</v>
      </c>
      <c r="I15" s="59"/>
      <c r="J15" t="s">
        <v>0</v>
      </c>
      <c r="K15" t="s">
        <v>0</v>
      </c>
      <c r="L15" t="s">
        <v>0</v>
      </c>
      <c r="M15" t="s">
        <v>0</v>
      </c>
      <c r="N15" t="s">
        <v>0</v>
      </c>
      <c r="O15" t="s">
        <v>0</v>
      </c>
      <c r="P15" t="s">
        <v>0</v>
      </c>
      <c r="Q15" t="s">
        <v>0</v>
      </c>
      <c r="R15" t="s">
        <v>0</v>
      </c>
      <c r="S15" t="s">
        <v>0</v>
      </c>
      <c r="T15" t="s">
        <v>0</v>
      </c>
    </row>
    <row r="16" ht="15.75" customHeight="1" spans="1:20" x14ac:dyDescent="0.25">
      <c r="A16" s="60" t="s">
        <v>0</v>
      </c>
      <c r="B16" s="137"/>
      <c r="C16" s="138"/>
      <c r="D16" s="138"/>
      <c r="E16" s="139"/>
      <c r="F16" s="64"/>
      <c r="G16" s="65"/>
      <c r="H16" s="66"/>
      <c r="I16" s="67"/>
      <c r="J16" t="s">
        <v>0</v>
      </c>
      <c r="K16" t="s">
        <v>0</v>
      </c>
      <c r="L16" t="s">
        <v>0</v>
      </c>
      <c r="M16" t="s">
        <v>0</v>
      </c>
      <c r="N16" t="s">
        <v>0</v>
      </c>
      <c r="O16" t="s">
        <v>0</v>
      </c>
      <c r="P16" t="s">
        <v>0</v>
      </c>
      <c r="Q16" t="s">
        <v>0</v>
      </c>
      <c r="R16" t="s">
        <v>0</v>
      </c>
      <c r="S16" t="s">
        <v>0</v>
      </c>
      <c r="T16" t="s">
        <v>0</v>
      </c>
    </row>
    <row r="17" ht="15.75" customHeight="1" spans="1:20" x14ac:dyDescent="0.25">
      <c r="A17" s="93" t="s">
        <v>0</v>
      </c>
      <c r="B17" s="94"/>
      <c r="C17" s="95"/>
      <c r="D17" s="95"/>
      <c r="E17" s="96"/>
      <c r="F17" s="97" t="s">
        <v>96</v>
      </c>
      <c r="G17" s="98"/>
      <c r="H17" s="99">
        <f>SUM(H14:I16)</f>
        <v>2800</v>
      </c>
      <c r="I17" s="100"/>
      <c r="J17" t="s">
        <v>0</v>
      </c>
      <c r="K17" t="s">
        <v>0</v>
      </c>
      <c r="L17" t="s">
        <v>0</v>
      </c>
      <c r="M17" t="s">
        <v>0</v>
      </c>
      <c r="N17" t="s">
        <v>0</v>
      </c>
      <c r="O17" t="s">
        <v>0</v>
      </c>
      <c r="P17" t="s">
        <v>0</v>
      </c>
      <c r="Q17" t="s">
        <v>0</v>
      </c>
      <c r="R17" t="s">
        <v>0</v>
      </c>
      <c r="S17" t="s">
        <v>0</v>
      </c>
      <c r="T17" t="s">
        <v>0</v>
      </c>
    </row>
    <row r="18" spans="1:20" x14ac:dyDescent="0.25">
      <c r="A18" t="s">
        <v>0</v>
      </c>
      <c r="B18" t="s">
        <v>0</v>
      </c>
      <c r="C18" t="s">
        <v>0</v>
      </c>
      <c r="D18" t="s">
        <v>0</v>
      </c>
      <c r="E18" t="s">
        <v>0</v>
      </c>
      <c r="F18" t="s">
        <v>0</v>
      </c>
      <c r="G18" t="s">
        <v>0</v>
      </c>
      <c r="H18" t="s">
        <v>0</v>
      </c>
      <c r="I18" t="s">
        <v>0</v>
      </c>
      <c r="J18" t="s">
        <v>0</v>
      </c>
      <c r="K18" t="s">
        <v>0</v>
      </c>
      <c r="L18" t="s">
        <v>0</v>
      </c>
      <c r="M18" t="s">
        <v>0</v>
      </c>
      <c r="N18" t="s">
        <v>0</v>
      </c>
      <c r="O18" t="s">
        <v>0</v>
      </c>
      <c r="P18" t="s">
        <v>0</v>
      </c>
      <c r="Q18" t="s">
        <v>0</v>
      </c>
      <c r="R18" t="s">
        <v>0</v>
      </c>
      <c r="S18" t="s">
        <v>0</v>
      </c>
      <c r="T18" t="s">
        <v>0</v>
      </c>
    </row>
    <row r="19" ht="15.75" customHeight="1" spans="1:20" x14ac:dyDescent="0.25">
      <c r="A19" t="s">
        <v>0</v>
      </c>
      <c r="B19" t="s">
        <v>0</v>
      </c>
      <c r="C19" t="s">
        <v>0</v>
      </c>
      <c r="D19" t="s">
        <v>0</v>
      </c>
      <c r="E19" t="s">
        <v>0</v>
      </c>
      <c r="F19" t="s">
        <v>0</v>
      </c>
      <c r="G19" t="s">
        <v>0</v>
      </c>
      <c r="H19" t="s">
        <v>0</v>
      </c>
      <c r="I19" t="s">
        <v>0</v>
      </c>
      <c r="J19" t="s">
        <v>0</v>
      </c>
      <c r="K19" t="s">
        <v>0</v>
      </c>
      <c r="L19" t="s">
        <v>0</v>
      </c>
      <c r="M19" t="s">
        <v>0</v>
      </c>
      <c r="N19" t="s">
        <v>0</v>
      </c>
      <c r="O19" t="s">
        <v>0</v>
      </c>
      <c r="P19" t="s">
        <v>0</v>
      </c>
      <c r="Q19" t="s">
        <v>0</v>
      </c>
      <c r="R19" t="s">
        <v>0</v>
      </c>
      <c r="S19" t="s">
        <v>0</v>
      </c>
      <c r="T19" t="s">
        <v>0</v>
      </c>
    </row>
    <row r="20" ht="16.5" customHeight="1" spans="1:20" x14ac:dyDescent="0.25">
      <c r="A20" s="40" t="s">
        <v>74</v>
      </c>
      <c r="B20" s="41" t="s">
        <v>238</v>
      </c>
      <c r="C20" s="42"/>
      <c r="D20" s="42"/>
      <c r="E20" s="43"/>
      <c r="F20" s="41" t="s">
        <v>76</v>
      </c>
      <c r="G20" s="43"/>
      <c r="H20" s="44" t="s">
        <v>77</v>
      </c>
      <c r="I20" s="45"/>
      <c r="J20" t="s">
        <v>0</v>
      </c>
      <c r="K20" t="s">
        <v>0</v>
      </c>
      <c r="L20" t="s">
        <v>0</v>
      </c>
      <c r="M20" t="s">
        <v>0</v>
      </c>
      <c r="N20" t="s">
        <v>0</v>
      </c>
      <c r="O20" t="s">
        <v>0</v>
      </c>
      <c r="P20" t="s">
        <v>0</v>
      </c>
      <c r="Q20" t="s">
        <v>0</v>
      </c>
      <c r="R20" t="s">
        <v>0</v>
      </c>
      <c r="S20" t="s">
        <v>0</v>
      </c>
      <c r="T20" t="s">
        <v>0</v>
      </c>
    </row>
    <row r="21" ht="45" customHeight="1" spans="1:20" x14ac:dyDescent="0.25">
      <c r="A21" s="618" t="s">
        <v>2278</v>
      </c>
      <c r="B21" s="127" t="s">
        <v>2279</v>
      </c>
      <c r="C21" s="128"/>
      <c r="D21" s="128"/>
      <c r="E21" s="129"/>
      <c r="F21" s="50" t="s">
        <v>2280</v>
      </c>
      <c r="G21" s="51"/>
      <c r="H21" s="52">
        <v>92360</v>
      </c>
      <c r="I21" s="53"/>
      <c r="J21" t="s">
        <v>0</v>
      </c>
      <c r="K21" t="s">
        <v>0</v>
      </c>
      <c r="L21" t="s">
        <v>0</v>
      </c>
      <c r="M21" t="s">
        <v>0</v>
      </c>
      <c r="N21" t="s">
        <v>0</v>
      </c>
      <c r="O21" t="s">
        <v>0</v>
      </c>
      <c r="P21" t="s">
        <v>0</v>
      </c>
      <c r="Q21" t="s">
        <v>0</v>
      </c>
      <c r="R21" t="s">
        <v>0</v>
      </c>
      <c r="S21" t="s">
        <v>0</v>
      </c>
      <c r="T21" t="s">
        <v>0</v>
      </c>
    </row>
    <row r="22" ht="45" customHeight="1" spans="1:20" x14ac:dyDescent="0.25">
      <c r="A22" s="248" t="s">
        <v>2281</v>
      </c>
      <c r="B22" s="61" t="s">
        <v>2282</v>
      </c>
      <c r="C22" s="62"/>
      <c r="D22" s="62"/>
      <c r="E22" s="63"/>
      <c r="F22" s="64" t="s">
        <v>2283</v>
      </c>
      <c r="G22" s="65"/>
      <c r="H22" s="66">
        <v>4943</v>
      </c>
      <c r="I22" s="67"/>
      <c r="J22" t="s">
        <v>0</v>
      </c>
      <c r="K22" t="s">
        <v>0</v>
      </c>
      <c r="L22" t="s">
        <v>0</v>
      </c>
      <c r="M22" t="s">
        <v>0</v>
      </c>
      <c r="N22" t="s">
        <v>0</v>
      </c>
      <c r="O22" t="s">
        <v>0</v>
      </c>
      <c r="P22" t="s">
        <v>0</v>
      </c>
      <c r="Q22" t="s">
        <v>0</v>
      </c>
      <c r="R22" t="s">
        <v>0</v>
      </c>
      <c r="S22" t="s">
        <v>0</v>
      </c>
      <c r="T22" t="s">
        <v>0</v>
      </c>
    </row>
    <row r="23" spans="1:20" x14ac:dyDescent="0.25">
      <c r="A23" s="60" t="s">
        <v>0</v>
      </c>
      <c r="B23" s="137"/>
      <c r="C23" s="138"/>
      <c r="D23" s="138"/>
      <c r="E23" s="139"/>
      <c r="F23" s="64"/>
      <c r="G23" s="65"/>
      <c r="H23" s="141"/>
      <c r="I23" s="142"/>
      <c r="J23" t="s">
        <v>0</v>
      </c>
      <c r="K23" t="s">
        <v>0</v>
      </c>
      <c r="L23" t="s">
        <v>0</v>
      </c>
      <c r="M23" t="s">
        <v>0</v>
      </c>
      <c r="N23" t="s">
        <v>0</v>
      </c>
      <c r="O23" t="s">
        <v>0</v>
      </c>
      <c r="P23" t="s">
        <v>0</v>
      </c>
      <c r="Q23" t="s">
        <v>0</v>
      </c>
      <c r="R23" t="s">
        <v>0</v>
      </c>
      <c r="S23" t="s">
        <v>0</v>
      </c>
      <c r="T23" t="s">
        <v>0</v>
      </c>
    </row>
    <row r="24" spans="1:20" x14ac:dyDescent="0.25">
      <c r="A24" s="482" t="s">
        <v>0</v>
      </c>
      <c r="B24" s="619" t="s">
        <v>0</v>
      </c>
      <c r="C24" s="197"/>
      <c r="D24" s="197"/>
      <c r="E24" s="159"/>
      <c r="F24" s="470"/>
      <c r="G24" s="471"/>
      <c r="H24" s="620"/>
      <c r="I24" s="621"/>
      <c r="J24" t="s">
        <v>0</v>
      </c>
      <c r="K24" t="s">
        <v>0</v>
      </c>
      <c r="L24" t="s">
        <v>0</v>
      </c>
      <c r="M24" t="s">
        <v>0</v>
      </c>
      <c r="N24" t="s">
        <v>0</v>
      </c>
      <c r="O24" t="s">
        <v>0</v>
      </c>
      <c r="P24" t="s">
        <v>0</v>
      </c>
      <c r="Q24" t="s">
        <v>0</v>
      </c>
      <c r="R24" t="s">
        <v>0</v>
      </c>
      <c r="S24" t="s">
        <v>0</v>
      </c>
      <c r="T24" t="s">
        <v>0</v>
      </c>
    </row>
    <row r="25" spans="1:20" x14ac:dyDescent="0.25">
      <c r="A25" s="60" t="s">
        <v>0</v>
      </c>
      <c r="B25" s="137" t="s">
        <v>0</v>
      </c>
      <c r="C25" s="197"/>
      <c r="D25" s="197"/>
      <c r="E25" s="159"/>
      <c r="F25" s="470"/>
      <c r="G25" s="471"/>
      <c r="H25" s="472"/>
      <c r="I25" s="473"/>
      <c r="J25" t="s">
        <v>0</v>
      </c>
      <c r="K25" t="s">
        <v>0</v>
      </c>
      <c r="L25" t="s">
        <v>0</v>
      </c>
      <c r="M25" t="s">
        <v>0</v>
      </c>
      <c r="N25" t="s">
        <v>0</v>
      </c>
      <c r="O25" t="s">
        <v>0</v>
      </c>
      <c r="P25" t="s">
        <v>0</v>
      </c>
      <c r="Q25" t="s">
        <v>0</v>
      </c>
      <c r="R25" t="s">
        <v>0</v>
      </c>
      <c r="S25" t="s">
        <v>0</v>
      </c>
      <c r="T25" t="s">
        <v>0</v>
      </c>
    </row>
    <row r="26" ht="15.75" customHeight="1" spans="1:20" x14ac:dyDescent="0.25">
      <c r="A26" s="213" t="s">
        <v>0</v>
      </c>
      <c r="B26" s="396" t="s">
        <v>0</v>
      </c>
      <c r="C26" s="397"/>
      <c r="D26" s="397"/>
      <c r="E26" s="254"/>
      <c r="F26" s="622"/>
      <c r="G26" s="623"/>
      <c r="H26" s="624"/>
      <c r="I26" s="625"/>
      <c r="J26" t="s">
        <v>0</v>
      </c>
      <c r="K26" t="s">
        <v>0</v>
      </c>
      <c r="L26" t="s">
        <v>0</v>
      </c>
      <c r="M26" t="s">
        <v>0</v>
      </c>
      <c r="N26" t="s">
        <v>0</v>
      </c>
      <c r="O26" t="s">
        <v>0</v>
      </c>
      <c r="P26" t="s">
        <v>0</v>
      </c>
      <c r="Q26" t="s">
        <v>0</v>
      </c>
      <c r="R26" t="s">
        <v>0</v>
      </c>
      <c r="S26" t="s">
        <v>0</v>
      </c>
      <c r="T26" t="s">
        <v>0</v>
      </c>
    </row>
    <row r="27" ht="15.75" customHeight="1" spans="1:20" x14ac:dyDescent="0.25">
      <c r="A27" s="93" t="s">
        <v>0</v>
      </c>
      <c r="B27" s="94"/>
      <c r="C27" s="95"/>
      <c r="D27" s="95"/>
      <c r="E27" s="96"/>
      <c r="F27" s="97" t="s">
        <v>96</v>
      </c>
      <c r="G27" s="98"/>
      <c r="H27" s="99">
        <f>SUM(H21:I23)</f>
        <v>97303</v>
      </c>
      <c r="I27" s="100"/>
      <c r="J27" t="s">
        <v>0</v>
      </c>
      <c r="K27" t="s">
        <v>0</v>
      </c>
      <c r="L27" t="s">
        <v>0</v>
      </c>
      <c r="M27" t="s">
        <v>0</v>
      </c>
      <c r="N27" t="s">
        <v>0</v>
      </c>
      <c r="O27" t="s">
        <v>0</v>
      </c>
      <c r="P27" t="s">
        <v>0</v>
      </c>
      <c r="Q27" t="s">
        <v>0</v>
      </c>
      <c r="R27" t="s">
        <v>0</v>
      </c>
      <c r="S27" t="s">
        <v>0</v>
      </c>
      <c r="T27" t="s">
        <v>0</v>
      </c>
    </row>
  </sheetData>
  <mergeCells count="39">
    <mergeCell ref="B13:E13"/>
    <mergeCell ref="F13:G13"/>
    <mergeCell ref="H13:I13"/>
    <mergeCell ref="B14:E14"/>
    <mergeCell ref="F14:G14"/>
    <mergeCell ref="H14:I14"/>
    <mergeCell ref="B15:E15"/>
    <mergeCell ref="F15:G15"/>
    <mergeCell ref="H15:I15"/>
    <mergeCell ref="B16:E16"/>
    <mergeCell ref="F16:G16"/>
    <mergeCell ref="H16:I16"/>
    <mergeCell ref="B17:E17"/>
    <mergeCell ref="F17:G17"/>
    <mergeCell ref="H17:I17"/>
    <mergeCell ref="B20:E20"/>
    <mergeCell ref="F20:G20"/>
    <mergeCell ref="H20:I20"/>
    <mergeCell ref="B21:E21"/>
    <mergeCell ref="F21:G21"/>
    <mergeCell ref="H21:I21"/>
    <mergeCell ref="B22:E22"/>
    <mergeCell ref="F22:G22"/>
    <mergeCell ref="H22:I22"/>
    <mergeCell ref="B23:E23"/>
    <mergeCell ref="F23:G23"/>
    <mergeCell ref="H23:I23"/>
    <mergeCell ref="C24:E24"/>
    <mergeCell ref="F24:G24"/>
    <mergeCell ref="H24:I24"/>
    <mergeCell ref="C25:E25"/>
    <mergeCell ref="F25:G25"/>
    <mergeCell ref="H25:I25"/>
    <mergeCell ref="C26:E26"/>
    <mergeCell ref="F26:G26"/>
    <mergeCell ref="H26:I26"/>
    <mergeCell ref="B27:E27"/>
    <mergeCell ref="F27:G27"/>
    <mergeCell ref="H27:I2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0"/>
  <sheetViews>
    <sheetView workbookViewId="0" zoomScale="100" zoomScaleNormal="100">
      <selection activeCell="A25" sqref="A25"/>
    </sheetView>
  </sheetViews>
  <sheetFormatPr defaultRowHeight="15" outlineLevelRow="0" outlineLevelCol="0" x14ac:dyDescent="0.25"/>
  <cols>
    <col min="1" max="1" width="36.42578125" customWidth="1"/>
    <col min="2" max="2" width="18.7109375" hidden="1" customWidth="1"/>
    <col min="3" max="3" width="15.5703125" hidden="1" customWidth="1"/>
    <col min="4" max="4" width="21.140625" customWidth="1"/>
    <col min="5" max="5" width="27.42578125" customWidth="1"/>
    <col min="6" max="6" width="14.5703125" customWidth="1"/>
    <col min="7" max="7" width="10" customWidth="1"/>
    <col min="8" max="10" width="10.28515625" customWidth="1"/>
    <col min="11" max="11" width="9.42578125" customWidth="1"/>
    <col min="12" max="13" width="10.28515625" customWidth="1"/>
    <col min="14" max="14" width="9.28515625" customWidth="1"/>
    <col min="15" max="15" width="11.140625" customWidth="1"/>
    <col min="16" max="16" width="10.85546875" customWidth="1"/>
    <col min="17" max="17" width="11.5703125" customWidth="1"/>
    <col min="18" max="19" width="12.140625" customWidth="1"/>
    <col min="20" max="20" width="13.5703125" customWidth="1"/>
  </cols>
  <sheetData>
    <row r="1" ht="72.75" customHeight="1" spans="1:20" x14ac:dyDescent="0.25">
      <c r="A1" s="1" t="s">
        <v>0</v>
      </c>
      <c r="B1" s="261" t="s">
        <v>728</v>
      </c>
      <c r="C1" s="2" t="s">
        <v>255</v>
      </c>
      <c r="D1" s="3" t="s">
        <v>263</v>
      </c>
      <c r="E1" s="4" t="s">
        <v>921</v>
      </c>
      <c r="F1" s="5" t="s">
        <v>922</v>
      </c>
      <c r="G1" s="452" t="s">
        <v>5</v>
      </c>
      <c r="H1" s="453" t="s">
        <v>6</v>
      </c>
      <c r="I1" s="453" t="s">
        <v>7</v>
      </c>
      <c r="J1" s="453" t="s">
        <v>8</v>
      </c>
      <c r="K1" s="453" t="s">
        <v>9</v>
      </c>
      <c r="L1" s="453" t="s">
        <v>10</v>
      </c>
      <c r="M1" s="453" t="s">
        <v>11</v>
      </c>
      <c r="N1" s="453" t="s">
        <v>12</v>
      </c>
      <c r="O1" s="453" t="s">
        <v>13</v>
      </c>
      <c r="P1" s="453" t="s">
        <v>14</v>
      </c>
      <c r="Q1" s="453" t="s">
        <v>15</v>
      </c>
      <c r="R1" s="454" t="s">
        <v>16</v>
      </c>
      <c r="S1" s="9" t="s">
        <v>0</v>
      </c>
      <c r="T1" s="10" t="s">
        <v>17</v>
      </c>
    </row>
    <row r="2" ht="16.5" customHeight="1" spans="1:20" x14ac:dyDescent="0.25">
      <c r="A2" s="12" t="s">
        <v>2284</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05" t="s">
        <v>0</v>
      </c>
      <c r="T2" s="16" t="s">
        <v>0</v>
      </c>
    </row>
    <row r="3" ht="15.75" customHeight="1" spans="1:20" x14ac:dyDescent="0.25">
      <c r="A3" s="187" t="s">
        <v>19</v>
      </c>
      <c r="B3" s="263" t="s">
        <v>763</v>
      </c>
      <c r="C3" s="20" t="s">
        <v>0</v>
      </c>
      <c r="D3" s="21" t="s">
        <v>2285</v>
      </c>
      <c r="E3" s="22" t="s">
        <v>0</v>
      </c>
      <c r="F3" s="23" t="s">
        <v>2285</v>
      </c>
      <c r="G3" s="23" t="s">
        <v>0</v>
      </c>
      <c r="H3" s="23" t="s">
        <v>0</v>
      </c>
      <c r="I3" s="23" t="s">
        <v>0</v>
      </c>
      <c r="J3" s="23" t="s">
        <v>0</v>
      </c>
      <c r="K3" s="23" t="s">
        <v>0</v>
      </c>
      <c r="L3" s="23" t="s">
        <v>0</v>
      </c>
      <c r="M3" s="23" t="s">
        <v>0</v>
      </c>
      <c r="N3" s="23" t="s">
        <v>0</v>
      </c>
      <c r="O3" s="23" t="s">
        <v>0</v>
      </c>
      <c r="P3" s="23" t="s">
        <v>0</v>
      </c>
      <c r="Q3" s="23" t="s">
        <v>0</v>
      </c>
      <c r="R3" s="23" t="s">
        <v>0</v>
      </c>
      <c r="S3" s="110" t="s">
        <v>0</v>
      </c>
      <c r="T3" s="25" t="s">
        <v>0</v>
      </c>
    </row>
    <row r="4" ht="15.75" customHeight="1" spans="1:20" x14ac:dyDescent="0.25">
      <c r="A4" s="587" t="s">
        <v>1432</v>
      </c>
      <c r="B4" s="626" t="s">
        <v>0</v>
      </c>
      <c r="C4" s="32" t="s">
        <v>0</v>
      </c>
      <c r="D4" s="21" t="s">
        <v>2286</v>
      </c>
      <c r="E4" s="22" t="s">
        <v>2287</v>
      </c>
      <c r="F4" s="23" t="s">
        <v>2288</v>
      </c>
      <c r="G4" s="588" t="s">
        <v>0</v>
      </c>
      <c r="H4" s="588" t="s">
        <v>0</v>
      </c>
      <c r="I4" s="588" t="s">
        <v>0</v>
      </c>
      <c r="J4" s="588" t="s">
        <v>0</v>
      </c>
      <c r="K4" s="588" t="s">
        <v>0</v>
      </c>
      <c r="L4" s="588" t="s">
        <v>0</v>
      </c>
      <c r="M4" s="588" t="s">
        <v>0</v>
      </c>
      <c r="N4" s="588" t="s">
        <v>0</v>
      </c>
      <c r="O4" s="588" t="s">
        <v>0</v>
      </c>
      <c r="P4" s="588" t="s">
        <v>2287</v>
      </c>
      <c r="Q4" s="588" t="s">
        <v>0</v>
      </c>
      <c r="R4" s="23" t="s">
        <v>0</v>
      </c>
      <c r="S4" s="189" t="s">
        <v>0</v>
      </c>
      <c r="T4" s="28" t="s">
        <v>0</v>
      </c>
    </row>
    <row r="5" ht="31.5" customHeight="1" spans="1:20" x14ac:dyDescent="0.25">
      <c r="A5" s="627" t="s">
        <v>2289</v>
      </c>
      <c r="B5" s="460" t="s">
        <v>0</v>
      </c>
      <c r="C5" s="589" t="s">
        <v>0</v>
      </c>
      <c r="D5" s="188" t="s">
        <v>2290</v>
      </c>
      <c r="E5" s="22" t="s">
        <v>0</v>
      </c>
      <c r="F5" s="23" t="s">
        <v>2290</v>
      </c>
      <c r="G5" s="461" t="s">
        <v>0</v>
      </c>
      <c r="H5" s="461" t="s">
        <v>0</v>
      </c>
      <c r="I5" s="461" t="s">
        <v>0</v>
      </c>
      <c r="J5" s="461" t="s">
        <v>0</v>
      </c>
      <c r="K5" s="461" t="s">
        <v>0</v>
      </c>
      <c r="L5" s="461" t="s">
        <v>0</v>
      </c>
      <c r="M5" s="461" t="s">
        <v>0</v>
      </c>
      <c r="N5" s="461" t="s">
        <v>0</v>
      </c>
      <c r="O5" s="461" t="s">
        <v>0</v>
      </c>
      <c r="P5" s="461" t="s">
        <v>0</v>
      </c>
      <c r="Q5" s="461" t="s">
        <v>0</v>
      </c>
      <c r="R5" s="28" t="s">
        <v>0</v>
      </c>
      <c r="S5" s="463" t="s">
        <v>0</v>
      </c>
      <c r="T5" s="23" t="s">
        <v>0</v>
      </c>
    </row>
    <row r="6" ht="15.75" customHeight="1" spans="1:149" s="465" customFormat="1" x14ac:dyDescent="0.25">
      <c r="A6" s="466" t="s">
        <v>41</v>
      </c>
      <c r="B6" s="272" t="s">
        <v>0</v>
      </c>
      <c r="C6" s="27" t="s">
        <v>0</v>
      </c>
      <c r="D6" s="188" t="s">
        <v>317</v>
      </c>
      <c r="E6" s="22" t="s">
        <v>0</v>
      </c>
      <c r="F6" s="23" t="s">
        <v>317</v>
      </c>
      <c r="G6" s="111" t="s">
        <v>0</v>
      </c>
      <c r="H6" s="28" t="s">
        <v>0</v>
      </c>
      <c r="I6" s="111" t="s">
        <v>0</v>
      </c>
      <c r="J6" s="28" t="s">
        <v>0</v>
      </c>
      <c r="K6" s="111" t="s">
        <v>0</v>
      </c>
      <c r="L6" s="28" t="s">
        <v>0</v>
      </c>
      <c r="M6" s="111" t="s">
        <v>0</v>
      </c>
      <c r="N6" s="28" t="s">
        <v>0</v>
      </c>
      <c r="O6" s="111" t="s">
        <v>0</v>
      </c>
      <c r="P6" s="28" t="s">
        <v>0</v>
      </c>
      <c r="Q6" s="111" t="s">
        <v>0</v>
      </c>
      <c r="R6" s="28" t="s">
        <v>0</v>
      </c>
      <c r="S6" s="111" t="s">
        <v>0</v>
      </c>
      <c r="T6" s="23" t="s">
        <v>0</v>
      </c>
      <c r="U6" s="465"/>
      <c r="V6" s="465"/>
      <c r="W6" s="465"/>
      <c r="X6" s="465"/>
      <c r="Y6" s="465"/>
      <c r="Z6" s="465"/>
      <c r="AA6" s="465"/>
      <c r="AB6" s="465"/>
      <c r="AC6" s="465"/>
      <c r="AD6" s="465"/>
      <c r="AE6" s="465"/>
      <c r="AF6" s="465"/>
      <c r="AG6" s="465"/>
      <c r="AH6" s="465"/>
      <c r="AI6" s="465"/>
      <c r="AJ6" s="465"/>
      <c r="AK6" s="465"/>
      <c r="AL6" s="465"/>
      <c r="AM6" s="465"/>
      <c r="AN6" s="465"/>
      <c r="AO6" s="465"/>
      <c r="AP6" s="465"/>
      <c r="AQ6" s="465"/>
      <c r="AR6" s="465"/>
      <c r="AS6" s="465"/>
      <c r="AT6" s="465"/>
      <c r="AU6" s="465"/>
      <c r="AV6" s="465"/>
      <c r="AW6" s="465"/>
      <c r="AX6" s="465"/>
      <c r="AY6" s="465"/>
      <c r="AZ6" s="465"/>
      <c r="BA6" s="465"/>
      <c r="BB6" s="465"/>
      <c r="BC6" s="465"/>
      <c r="BD6" s="465"/>
      <c r="BE6" s="465"/>
      <c r="BF6" s="465"/>
      <c r="BG6" s="465"/>
      <c r="BH6" s="465"/>
      <c r="BI6" s="465"/>
      <c r="BJ6" s="465"/>
      <c r="BK6" s="465"/>
      <c r="BL6" s="465"/>
      <c r="BM6" s="465"/>
      <c r="BN6" s="465"/>
      <c r="BO6" s="465"/>
      <c r="BP6" s="465"/>
      <c r="BQ6" s="465"/>
      <c r="BR6" s="465"/>
      <c r="BS6" s="465"/>
      <c r="BT6" s="465"/>
      <c r="BU6" s="465"/>
      <c r="BV6" s="465"/>
      <c r="BW6" s="465"/>
      <c r="BX6" s="465"/>
      <c r="BY6" s="465"/>
      <c r="BZ6" s="465"/>
      <c r="CA6" s="465"/>
      <c r="CB6" s="465"/>
      <c r="CC6" s="465"/>
      <c r="CD6" s="465"/>
      <c r="CE6" s="465"/>
      <c r="CF6" s="465"/>
      <c r="CG6" s="465"/>
      <c r="CH6" s="465"/>
      <c r="CI6" s="465"/>
      <c r="CJ6" s="465"/>
      <c r="CK6" s="465"/>
      <c r="CL6" s="465"/>
      <c r="CM6" s="465"/>
      <c r="CN6" s="465"/>
      <c r="CO6" s="465"/>
      <c r="CP6" s="465"/>
      <c r="CQ6" s="465"/>
      <c r="CR6" s="465"/>
      <c r="CS6" s="465"/>
      <c r="CT6" s="465"/>
      <c r="CU6" s="465"/>
      <c r="CV6" s="465"/>
      <c r="CW6" s="465"/>
      <c r="CX6" s="465"/>
      <c r="CY6" s="465"/>
      <c r="CZ6" s="465"/>
      <c r="DA6" s="465"/>
      <c r="DB6" s="465"/>
      <c r="DC6" s="465"/>
      <c r="DD6" s="465"/>
      <c r="DE6" s="465"/>
      <c r="DF6" s="465"/>
      <c r="DG6" s="465"/>
      <c r="DH6" s="465"/>
      <c r="DI6" s="465"/>
      <c r="DJ6" s="465"/>
      <c r="DK6" s="465"/>
      <c r="DL6" s="465"/>
      <c r="DM6" s="465"/>
      <c r="DN6" s="465"/>
      <c r="DO6" s="465"/>
      <c r="DP6" s="465"/>
      <c r="DQ6" s="465"/>
      <c r="DR6" s="465"/>
      <c r="DS6" s="465"/>
      <c r="DT6" s="465"/>
      <c r="DU6" s="465"/>
      <c r="DV6" s="465"/>
      <c r="DW6" s="465"/>
      <c r="DX6" s="465"/>
      <c r="DY6" s="465"/>
      <c r="DZ6" s="465"/>
      <c r="EA6" s="465"/>
      <c r="EB6" s="465"/>
      <c r="EC6" s="465"/>
      <c r="ED6" s="465"/>
      <c r="EE6" s="465"/>
      <c r="EF6" s="465"/>
      <c r="EG6" s="465"/>
      <c r="EH6" s="465"/>
      <c r="EI6" s="465"/>
      <c r="EJ6" s="465"/>
      <c r="EK6" s="465"/>
      <c r="EL6" s="465"/>
      <c r="EM6" s="465"/>
      <c r="EN6" s="465"/>
      <c r="EO6" s="465"/>
      <c r="EP6" s="465"/>
      <c r="EQ6" s="465"/>
      <c r="ER6" s="465"/>
      <c r="ES6" s="467"/>
    </row>
    <row r="7" ht="15.75" customHeight="1" spans="1:149" s="465" customFormat="1" x14ac:dyDescent="0.25">
      <c r="A7" s="466" t="s">
        <v>114</v>
      </c>
      <c r="B7" s="272" t="s">
        <v>0</v>
      </c>
      <c r="C7" s="457" t="s">
        <v>0</v>
      </c>
      <c r="D7" s="188" t="s">
        <v>2291</v>
      </c>
      <c r="E7" s="22" t="s">
        <v>0</v>
      </c>
      <c r="F7" s="23" t="s">
        <v>2291</v>
      </c>
      <c r="G7" s="463" t="s">
        <v>0</v>
      </c>
      <c r="H7" s="28" t="s">
        <v>0</v>
      </c>
      <c r="I7" s="463" t="s">
        <v>0</v>
      </c>
      <c r="J7" s="28" t="s">
        <v>0</v>
      </c>
      <c r="K7" s="463" t="s">
        <v>0</v>
      </c>
      <c r="L7" s="28" t="s">
        <v>0</v>
      </c>
      <c r="M7" s="463" t="s">
        <v>0</v>
      </c>
      <c r="N7" s="28" t="s">
        <v>0</v>
      </c>
      <c r="O7" s="463" t="s">
        <v>0</v>
      </c>
      <c r="P7" s="28" t="s">
        <v>0</v>
      </c>
      <c r="Q7" s="463" t="s">
        <v>0</v>
      </c>
      <c r="R7" s="28" t="s">
        <v>0</v>
      </c>
      <c r="S7" s="463" t="s">
        <v>0</v>
      </c>
      <c r="T7" s="23" t="s">
        <v>0</v>
      </c>
      <c r="U7" s="465"/>
      <c r="V7" s="465"/>
      <c r="W7" s="465"/>
      <c r="X7" s="465"/>
      <c r="Y7" s="465"/>
      <c r="Z7" s="465"/>
      <c r="AA7" s="465"/>
      <c r="AB7" s="465"/>
      <c r="AC7" s="465"/>
      <c r="AD7" s="465"/>
      <c r="AE7" s="465"/>
      <c r="AF7" s="465"/>
      <c r="AG7" s="465"/>
      <c r="AH7" s="465"/>
      <c r="AI7" s="465"/>
      <c r="AJ7" s="465"/>
      <c r="AK7" s="465"/>
      <c r="AL7" s="465"/>
      <c r="AM7" s="465"/>
      <c r="AN7" s="465"/>
      <c r="AO7" s="465"/>
      <c r="AP7" s="465"/>
      <c r="AQ7" s="465"/>
      <c r="AR7" s="465"/>
      <c r="AS7" s="465"/>
      <c r="AT7" s="465"/>
      <c r="AU7" s="465"/>
      <c r="AV7" s="465"/>
      <c r="AW7" s="465"/>
      <c r="AX7" s="465"/>
      <c r="AY7" s="465"/>
      <c r="AZ7" s="465"/>
      <c r="BA7" s="465"/>
      <c r="BB7" s="465"/>
      <c r="BC7" s="465"/>
      <c r="BD7" s="465"/>
      <c r="BE7" s="465"/>
      <c r="BF7" s="465"/>
      <c r="BG7" s="465"/>
      <c r="BH7" s="465"/>
      <c r="BI7" s="465"/>
      <c r="BJ7" s="465"/>
      <c r="BK7" s="465"/>
      <c r="BL7" s="465"/>
      <c r="BM7" s="465"/>
      <c r="BN7" s="465"/>
      <c r="BO7" s="465"/>
      <c r="BP7" s="465"/>
      <c r="BQ7" s="465"/>
      <c r="BR7" s="465"/>
      <c r="BS7" s="465"/>
      <c r="BT7" s="465"/>
      <c r="BU7" s="465"/>
      <c r="BV7" s="465"/>
      <c r="BW7" s="465"/>
      <c r="BX7" s="465"/>
      <c r="BY7" s="465"/>
      <c r="BZ7" s="465"/>
      <c r="CA7" s="465"/>
      <c r="CB7" s="465"/>
      <c r="CC7" s="465"/>
      <c r="CD7" s="465"/>
      <c r="CE7" s="465"/>
      <c r="CF7" s="465"/>
      <c r="CG7" s="465"/>
      <c r="CH7" s="465"/>
      <c r="CI7" s="465"/>
      <c r="CJ7" s="465"/>
      <c r="CK7" s="465"/>
      <c r="CL7" s="465"/>
      <c r="CM7" s="465"/>
      <c r="CN7" s="465"/>
      <c r="CO7" s="465"/>
      <c r="CP7" s="465"/>
      <c r="CQ7" s="465"/>
      <c r="CR7" s="465"/>
      <c r="CS7" s="465"/>
      <c r="CT7" s="465"/>
      <c r="CU7" s="465"/>
      <c r="CV7" s="465"/>
      <c r="CW7" s="465"/>
      <c r="CX7" s="465"/>
      <c r="CY7" s="465"/>
      <c r="CZ7" s="465"/>
      <c r="DA7" s="465"/>
      <c r="DB7" s="465"/>
      <c r="DC7" s="465"/>
      <c r="DD7" s="465"/>
      <c r="DE7" s="465"/>
      <c r="DF7" s="465"/>
      <c r="DG7" s="465"/>
      <c r="DH7" s="465"/>
      <c r="DI7" s="465"/>
      <c r="DJ7" s="465"/>
      <c r="DK7" s="465"/>
      <c r="DL7" s="465"/>
      <c r="DM7" s="465"/>
      <c r="DN7" s="465"/>
      <c r="DO7" s="465"/>
      <c r="DP7" s="465"/>
      <c r="DQ7" s="465"/>
      <c r="DR7" s="465"/>
      <c r="DS7" s="465"/>
      <c r="DT7" s="465"/>
      <c r="DU7" s="465"/>
      <c r="DV7" s="465"/>
      <c r="DW7" s="465"/>
      <c r="DX7" s="465"/>
      <c r="DY7" s="465"/>
      <c r="DZ7" s="465"/>
      <c r="EA7" s="465"/>
      <c r="EB7" s="465"/>
      <c r="EC7" s="465"/>
      <c r="ED7" s="465"/>
      <c r="EE7" s="465"/>
      <c r="EF7" s="465"/>
      <c r="EG7" s="465"/>
      <c r="EH7" s="465"/>
      <c r="EI7" s="465"/>
      <c r="EJ7" s="465"/>
      <c r="EK7" s="465"/>
      <c r="EL7" s="465"/>
      <c r="EM7" s="465"/>
      <c r="EN7" s="465"/>
      <c r="EO7" s="465"/>
      <c r="EP7" s="465"/>
      <c r="EQ7" s="465"/>
      <c r="ER7" s="465"/>
      <c r="ES7" s="467"/>
    </row>
    <row r="8" ht="15.75" customHeight="1" spans="1:149" s="465" customFormat="1" x14ac:dyDescent="0.25">
      <c r="A8" s="466" t="s">
        <v>281</v>
      </c>
      <c r="B8" s="272" t="s">
        <v>0</v>
      </c>
      <c r="C8" s="457" t="s">
        <v>0</v>
      </c>
      <c r="D8" s="188" t="s">
        <v>2292</v>
      </c>
      <c r="E8" s="22" t="s">
        <v>0</v>
      </c>
      <c r="F8" s="23" t="s">
        <v>2292</v>
      </c>
      <c r="G8" s="463" t="s">
        <v>0</v>
      </c>
      <c r="H8" s="28" t="s">
        <v>0</v>
      </c>
      <c r="I8" s="463" t="s">
        <v>0</v>
      </c>
      <c r="J8" s="28" t="s">
        <v>0</v>
      </c>
      <c r="K8" s="463" t="s">
        <v>0</v>
      </c>
      <c r="L8" s="28" t="s">
        <v>0</v>
      </c>
      <c r="M8" s="463" t="s">
        <v>0</v>
      </c>
      <c r="N8" s="28" t="s">
        <v>0</v>
      </c>
      <c r="O8" s="463" t="s">
        <v>0</v>
      </c>
      <c r="P8" s="28" t="s">
        <v>0</v>
      </c>
      <c r="Q8" s="463" t="s">
        <v>0</v>
      </c>
      <c r="R8" s="28" t="s">
        <v>0</v>
      </c>
      <c r="S8" s="28" t="s">
        <v>0</v>
      </c>
      <c r="T8" s="23" t="s">
        <v>0</v>
      </c>
      <c r="U8" s="465"/>
      <c r="V8" s="465"/>
      <c r="W8" s="465"/>
      <c r="X8" s="465"/>
      <c r="Y8" s="465"/>
      <c r="Z8" s="465"/>
      <c r="AA8" s="465"/>
      <c r="AB8" s="465"/>
      <c r="AC8" s="465"/>
      <c r="AD8" s="465"/>
      <c r="AE8" s="465"/>
      <c r="AF8" s="465"/>
      <c r="AG8" s="465"/>
      <c r="AH8" s="465"/>
      <c r="AI8" s="465"/>
      <c r="AJ8" s="465"/>
      <c r="AK8" s="465"/>
      <c r="AL8" s="465"/>
      <c r="AM8" s="465"/>
      <c r="AN8" s="465"/>
      <c r="AO8" s="465"/>
      <c r="AP8" s="465"/>
      <c r="AQ8" s="465"/>
      <c r="AR8" s="465"/>
      <c r="AS8" s="465"/>
      <c r="AT8" s="465"/>
      <c r="AU8" s="465"/>
      <c r="AV8" s="465"/>
      <c r="AW8" s="465"/>
      <c r="AX8" s="465"/>
      <c r="AY8" s="465"/>
      <c r="AZ8" s="465"/>
      <c r="BA8" s="465"/>
      <c r="BB8" s="465"/>
      <c r="BC8" s="465"/>
      <c r="BD8" s="465"/>
      <c r="BE8" s="465"/>
      <c r="BF8" s="465"/>
      <c r="BG8" s="465"/>
      <c r="BH8" s="465"/>
      <c r="BI8" s="465"/>
      <c r="BJ8" s="465"/>
      <c r="BK8" s="465"/>
      <c r="BL8" s="465"/>
      <c r="BM8" s="465"/>
      <c r="BN8" s="465"/>
      <c r="BO8" s="465"/>
      <c r="BP8" s="465"/>
      <c r="BQ8" s="465"/>
      <c r="BR8" s="465"/>
      <c r="BS8" s="465"/>
      <c r="BT8" s="465"/>
      <c r="BU8" s="465"/>
      <c r="BV8" s="465"/>
      <c r="BW8" s="465"/>
      <c r="BX8" s="465"/>
      <c r="BY8" s="465"/>
      <c r="BZ8" s="465"/>
      <c r="CA8" s="465"/>
      <c r="CB8" s="465"/>
      <c r="CC8" s="465"/>
      <c r="CD8" s="465"/>
      <c r="CE8" s="465"/>
      <c r="CF8" s="465"/>
      <c r="CG8" s="465"/>
      <c r="CH8" s="465"/>
      <c r="CI8" s="465"/>
      <c r="CJ8" s="465"/>
      <c r="CK8" s="465"/>
      <c r="CL8" s="465"/>
      <c r="CM8" s="465"/>
      <c r="CN8" s="465"/>
      <c r="CO8" s="465"/>
      <c r="CP8" s="465"/>
      <c r="CQ8" s="465"/>
      <c r="CR8" s="465"/>
      <c r="CS8" s="465"/>
      <c r="CT8" s="465"/>
      <c r="CU8" s="465"/>
      <c r="CV8" s="465"/>
      <c r="CW8" s="465"/>
      <c r="CX8" s="465"/>
      <c r="CY8" s="465"/>
      <c r="CZ8" s="465"/>
      <c r="DA8" s="465"/>
      <c r="DB8" s="465"/>
      <c r="DC8" s="465"/>
      <c r="DD8" s="465"/>
      <c r="DE8" s="465"/>
      <c r="DF8" s="465"/>
      <c r="DG8" s="465"/>
      <c r="DH8" s="465"/>
      <c r="DI8" s="465"/>
      <c r="DJ8" s="465"/>
      <c r="DK8" s="465"/>
      <c r="DL8" s="465"/>
      <c r="DM8" s="465"/>
      <c r="DN8" s="465"/>
      <c r="DO8" s="465"/>
      <c r="DP8" s="465"/>
      <c r="DQ8" s="465"/>
      <c r="DR8" s="465"/>
      <c r="DS8" s="465"/>
      <c r="DT8" s="465"/>
      <c r="DU8" s="465"/>
      <c r="DV8" s="465"/>
      <c r="DW8" s="465"/>
      <c r="DX8" s="465"/>
      <c r="DY8" s="465"/>
      <c r="DZ8" s="465"/>
      <c r="EA8" s="465"/>
      <c r="EB8" s="465"/>
      <c r="EC8" s="465"/>
      <c r="ED8" s="465"/>
      <c r="EE8" s="465"/>
      <c r="EF8" s="465"/>
      <c r="EG8" s="465"/>
      <c r="EH8" s="465"/>
      <c r="EI8" s="465"/>
      <c r="EJ8" s="465"/>
      <c r="EK8" s="465"/>
      <c r="EL8" s="465"/>
      <c r="EM8" s="465"/>
      <c r="EN8" s="465"/>
      <c r="EO8" s="465"/>
      <c r="EP8" s="465"/>
      <c r="EQ8" s="465"/>
      <c r="ER8" s="465"/>
      <c r="ES8" s="467"/>
    </row>
    <row r="9" ht="15.75" customHeight="1" spans="1:20" x14ac:dyDescent="0.25">
      <c r="A9" s="616" t="s">
        <v>33</v>
      </c>
      <c r="B9" s="617" t="s">
        <v>0</v>
      </c>
      <c r="C9" s="27" t="s">
        <v>0</v>
      </c>
      <c r="D9" s="188" t="s">
        <v>2293</v>
      </c>
      <c r="E9" s="22" t="s">
        <v>0</v>
      </c>
      <c r="F9" s="23" t="s">
        <v>2293</v>
      </c>
      <c r="G9" s="28" t="s">
        <v>0</v>
      </c>
      <c r="H9" s="266" t="s">
        <v>0</v>
      </c>
      <c r="I9" s="28" t="s">
        <v>0</v>
      </c>
      <c r="J9" s="266" t="s">
        <v>0</v>
      </c>
      <c r="K9" s="28" t="s">
        <v>0</v>
      </c>
      <c r="L9" s="266" t="s">
        <v>0</v>
      </c>
      <c r="M9" s="28" t="s">
        <v>0</v>
      </c>
      <c r="N9" s="266" t="s">
        <v>0</v>
      </c>
      <c r="O9" s="28" t="s">
        <v>0</v>
      </c>
      <c r="P9" s="266" t="s">
        <v>0</v>
      </c>
      <c r="Q9" s="28" t="s">
        <v>0</v>
      </c>
      <c r="R9" s="266" t="s">
        <v>0</v>
      </c>
      <c r="S9" s="266" t="s">
        <v>0</v>
      </c>
      <c r="T9" s="28" t="s">
        <v>0</v>
      </c>
    </row>
    <row r="10" ht="15.75" customHeight="1" spans="1:20" x14ac:dyDescent="0.25">
      <c r="A10" s="468" t="s">
        <v>2294</v>
      </c>
      <c r="B10" s="469" t="s">
        <v>0</v>
      </c>
      <c r="C10" s="30" t="s">
        <v>0</v>
      </c>
      <c r="D10" s="190" t="s">
        <v>2295</v>
      </c>
      <c r="E10" s="22" t="s">
        <v>0</v>
      </c>
      <c r="F10" s="23" t="s">
        <v>2295</v>
      </c>
      <c r="G10" s="191" t="s">
        <v>0</v>
      </c>
      <c r="H10" s="191" t="s">
        <v>0</v>
      </c>
      <c r="I10" s="191" t="s">
        <v>0</v>
      </c>
      <c r="J10" s="191" t="s">
        <v>0</v>
      </c>
      <c r="K10" s="191" t="s">
        <v>0</v>
      </c>
      <c r="L10" s="191" t="s">
        <v>0</v>
      </c>
      <c r="M10" s="191" t="s">
        <v>0</v>
      </c>
      <c r="N10" s="191" t="s">
        <v>0</v>
      </c>
      <c r="O10" s="191" t="s">
        <v>0</v>
      </c>
      <c r="P10" s="191" t="s">
        <v>0</v>
      </c>
      <c r="Q10" s="191" t="s">
        <v>0</v>
      </c>
      <c r="R10" s="191" t="s">
        <v>0</v>
      </c>
      <c r="S10" s="191" t="s">
        <v>0</v>
      </c>
      <c r="T10" s="28" t="s">
        <v>0</v>
      </c>
    </row>
    <row r="11" ht="16.5" customHeight="1" spans="1:20" x14ac:dyDescent="0.25">
      <c r="A11" s="34" t="s">
        <v>0</v>
      </c>
      <c r="B11" s="193" t="s">
        <v>96</v>
      </c>
      <c r="C11" s="37" t="s">
        <v>0</v>
      </c>
      <c r="D11" s="37" t="s">
        <v>2296</v>
      </c>
      <c r="E11" s="37" t="s">
        <v>2296</v>
      </c>
      <c r="F11" s="37" t="s">
        <v>2297</v>
      </c>
      <c r="G11" s="37" t="s">
        <v>0</v>
      </c>
      <c r="H11" s="37" t="s">
        <v>0</v>
      </c>
      <c r="I11" s="37" t="s">
        <v>0</v>
      </c>
      <c r="J11" s="37" t="s">
        <v>0</v>
      </c>
      <c r="K11" s="37" t="s">
        <v>0</v>
      </c>
      <c r="L11" s="37" t="s">
        <v>0</v>
      </c>
      <c r="M11" s="37" t="s">
        <v>0</v>
      </c>
      <c r="N11" s="37" t="s">
        <v>0</v>
      </c>
      <c r="O11" s="37" t="s">
        <v>0</v>
      </c>
      <c r="P11" s="37" t="s">
        <v>2287</v>
      </c>
      <c r="Q11" s="37" t="s">
        <v>0</v>
      </c>
      <c r="R11" s="37" t="s">
        <v>0</v>
      </c>
      <c r="S11" s="193" t="s">
        <v>73</v>
      </c>
      <c r="T11" s="38" t="s">
        <v>2287</v>
      </c>
    </row>
    <row r="12" spans="1:20" x14ac:dyDescent="0.25">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ht="15.75" customHeight="1" spans="1:20" x14ac:dyDescent="0.25">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c r="T13" t="s">
        <v>0</v>
      </c>
    </row>
    <row r="14" ht="16.5" customHeight="1" spans="1:20" x14ac:dyDescent="0.25">
      <c r="A14" s="40" t="s">
        <v>200</v>
      </c>
      <c r="B14" s="41" t="s">
        <v>201</v>
      </c>
      <c r="C14" s="42"/>
      <c r="D14" s="42"/>
      <c r="E14" s="43"/>
      <c r="F14" s="41" t="s">
        <v>2298</v>
      </c>
      <c r="G14" s="43"/>
      <c r="H14" s="44" t="s">
        <v>77</v>
      </c>
      <c r="I14" s="45"/>
      <c r="J14" t="s">
        <v>0</v>
      </c>
      <c r="K14" t="s">
        <v>0</v>
      </c>
      <c r="L14" t="s">
        <v>0</v>
      </c>
      <c r="M14" t="s">
        <v>0</v>
      </c>
      <c r="N14" t="s">
        <v>0</v>
      </c>
      <c r="O14" t="s">
        <v>0</v>
      </c>
      <c r="P14" t="s">
        <v>0</v>
      </c>
      <c r="Q14" t="s">
        <v>0</v>
      </c>
      <c r="R14" t="s">
        <v>0</v>
      </c>
      <c r="S14" t="s">
        <v>0</v>
      </c>
      <c r="T14" t="s">
        <v>0</v>
      </c>
    </row>
    <row r="15" ht="46.5" customHeight="1" spans="1:20" x14ac:dyDescent="0.25">
      <c r="A15" s="46" t="s">
        <v>2299</v>
      </c>
      <c r="B15" s="127" t="s">
        <v>2300</v>
      </c>
      <c r="C15" s="128"/>
      <c r="D15" s="128"/>
      <c r="E15" s="129"/>
      <c r="F15" s="127" t="s">
        <v>2301</v>
      </c>
      <c r="G15" s="51"/>
      <c r="H15" s="52">
        <v>7002</v>
      </c>
      <c r="I15" s="53"/>
      <c r="J15" t="s">
        <v>0</v>
      </c>
      <c r="K15" t="s">
        <v>0</v>
      </c>
      <c r="L15" t="s">
        <v>0</v>
      </c>
      <c r="M15" t="s">
        <v>0</v>
      </c>
      <c r="N15" t="s">
        <v>0</v>
      </c>
      <c r="O15" t="s">
        <v>0</v>
      </c>
      <c r="P15" t="s">
        <v>0</v>
      </c>
      <c r="Q15" t="s">
        <v>0</v>
      </c>
      <c r="R15" t="s">
        <v>0</v>
      </c>
      <c r="S15" t="s">
        <v>0</v>
      </c>
      <c r="T15" t="s">
        <v>0</v>
      </c>
    </row>
    <row r="16" spans="1:20" x14ac:dyDescent="0.25">
      <c r="A16" s="168" t="s">
        <v>2302</v>
      </c>
      <c r="B16" s="169" t="s">
        <v>2303</v>
      </c>
      <c r="C16" s="170"/>
      <c r="D16" s="170"/>
      <c r="E16" s="171"/>
      <c r="F16" s="169" t="s">
        <v>2304</v>
      </c>
      <c r="G16" s="255"/>
      <c r="H16" s="58">
        <v>230</v>
      </c>
      <c r="I16" s="59"/>
      <c r="J16" t="s">
        <v>0</v>
      </c>
      <c r="K16" t="s">
        <v>0</v>
      </c>
      <c r="L16" t="s">
        <v>0</v>
      </c>
      <c r="M16" t="s">
        <v>0</v>
      </c>
      <c r="N16" t="s">
        <v>0</v>
      </c>
      <c r="O16" t="s">
        <v>0</v>
      </c>
      <c r="P16" t="s">
        <v>0</v>
      </c>
      <c r="Q16" t="s">
        <v>0</v>
      </c>
      <c r="R16" t="s">
        <v>0</v>
      </c>
      <c r="S16" t="s">
        <v>0</v>
      </c>
      <c r="T16" t="s">
        <v>0</v>
      </c>
    </row>
    <row r="17" spans="1:20" x14ac:dyDescent="0.25">
      <c r="A17" s="60" t="s">
        <v>1334</v>
      </c>
      <c r="B17" s="137" t="s">
        <v>2305</v>
      </c>
      <c r="C17" s="138"/>
      <c r="D17" s="138"/>
      <c r="E17" s="139"/>
      <c r="F17" s="55" t="s">
        <v>2306</v>
      </c>
      <c r="G17" s="65"/>
      <c r="H17" s="141">
        <v>24440</v>
      </c>
      <c r="I17" s="142"/>
      <c r="J17" t="s">
        <v>0</v>
      </c>
      <c r="K17" t="s">
        <v>0</v>
      </c>
      <c r="L17" t="s">
        <v>0</v>
      </c>
      <c r="M17" t="s">
        <v>0</v>
      </c>
      <c r="N17" t="s">
        <v>0</v>
      </c>
      <c r="O17" t="s">
        <v>0</v>
      </c>
      <c r="P17" t="s">
        <v>0</v>
      </c>
      <c r="Q17" t="s">
        <v>0</v>
      </c>
      <c r="R17" t="s">
        <v>0</v>
      </c>
      <c r="S17" t="s">
        <v>0</v>
      </c>
      <c r="T17" t="s">
        <v>0</v>
      </c>
    </row>
    <row r="18" spans="1:20" x14ac:dyDescent="0.25">
      <c r="A18" s="60" t="s">
        <v>0</v>
      </c>
      <c r="B18" s="137" t="s">
        <v>0</v>
      </c>
      <c r="C18" s="197"/>
      <c r="D18" s="197"/>
      <c r="E18" s="159"/>
      <c r="F18" s="158"/>
      <c r="G18" s="159"/>
      <c r="H18" s="158"/>
      <c r="I18" s="159"/>
      <c r="J18" t="s">
        <v>0</v>
      </c>
      <c r="K18" t="s">
        <v>0</v>
      </c>
      <c r="L18" t="s">
        <v>0</v>
      </c>
      <c r="M18" t="s">
        <v>0</v>
      </c>
      <c r="N18" t="s">
        <v>0</v>
      </c>
      <c r="O18" t="s">
        <v>0</v>
      </c>
      <c r="P18" t="s">
        <v>0</v>
      </c>
      <c r="Q18" t="s">
        <v>0</v>
      </c>
      <c r="R18" t="s">
        <v>0</v>
      </c>
      <c r="S18" t="s">
        <v>0</v>
      </c>
      <c r="T18" t="s">
        <v>0</v>
      </c>
    </row>
    <row r="19" ht="15.75" customHeight="1" spans="1:20" x14ac:dyDescent="0.25">
      <c r="A19" s="87" t="s">
        <v>0</v>
      </c>
      <c r="B19" s="375" t="s">
        <v>0</v>
      </c>
      <c r="C19" s="397"/>
      <c r="D19" s="397"/>
      <c r="E19" s="254"/>
      <c r="F19" s="253"/>
      <c r="G19" s="254"/>
      <c r="H19" s="253"/>
      <c r="I19" s="254"/>
      <c r="J19" t="s">
        <v>0</v>
      </c>
      <c r="K19" t="s">
        <v>0</v>
      </c>
      <c r="L19" t="s">
        <v>0</v>
      </c>
      <c r="M19" t="s">
        <v>0</v>
      </c>
      <c r="N19" t="s">
        <v>0</v>
      </c>
      <c r="O19" t="s">
        <v>0</v>
      </c>
      <c r="P19" t="s">
        <v>0</v>
      </c>
      <c r="Q19" t="s">
        <v>0</v>
      </c>
      <c r="R19" t="s">
        <v>0</v>
      </c>
      <c r="S19" t="s">
        <v>0</v>
      </c>
      <c r="T19" t="s">
        <v>0</v>
      </c>
    </row>
    <row r="20" ht="15.75" customHeight="1" spans="1:20" x14ac:dyDescent="0.25">
      <c r="A20" s="93" t="s">
        <v>0</v>
      </c>
      <c r="B20" s="94"/>
      <c r="C20" s="95"/>
      <c r="D20" s="95"/>
      <c r="E20" s="96"/>
      <c r="F20" s="97" t="s">
        <v>96</v>
      </c>
      <c r="G20" s="98"/>
      <c r="H20" s="99">
        <f>SUM(H15:I19)</f>
        <v>31672</v>
      </c>
      <c r="I20" s="100"/>
      <c r="J20" t="s">
        <v>0</v>
      </c>
      <c r="K20" t="s">
        <v>0</v>
      </c>
      <c r="L20" t="s">
        <v>0</v>
      </c>
      <c r="M20" t="s">
        <v>0</v>
      </c>
      <c r="N20" t="s">
        <v>0</v>
      </c>
      <c r="O20" t="s">
        <v>0</v>
      </c>
      <c r="P20" t="s">
        <v>0</v>
      </c>
      <c r="Q20" t="s">
        <v>0</v>
      </c>
      <c r="R20" t="s">
        <v>0</v>
      </c>
      <c r="S20" t="s">
        <v>0</v>
      </c>
      <c r="T20" t="s">
        <v>0</v>
      </c>
    </row>
  </sheetData>
  <mergeCells count="21">
    <mergeCell ref="B14:E14"/>
    <mergeCell ref="F14:G14"/>
    <mergeCell ref="H14:I14"/>
    <mergeCell ref="B15:E15"/>
    <mergeCell ref="F15:G15"/>
    <mergeCell ref="H15:I15"/>
    <mergeCell ref="B16:E16"/>
    <mergeCell ref="F16:G16"/>
    <mergeCell ref="H16:I16"/>
    <mergeCell ref="B17:E17"/>
    <mergeCell ref="F17:G17"/>
    <mergeCell ref="H17:I17"/>
    <mergeCell ref="C18:E18"/>
    <mergeCell ref="F18:G18"/>
    <mergeCell ref="H18:I18"/>
    <mergeCell ref="C19:E19"/>
    <mergeCell ref="F19:G19"/>
    <mergeCell ref="H19:I19"/>
    <mergeCell ref="B20:E20"/>
    <mergeCell ref="F20:G20"/>
    <mergeCell ref="H20:I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15"/>
  <sheetViews>
    <sheetView workbookViewId="0" zoomScale="100" zoomScaleNormal="100">
      <selection activeCell="M22" sqref="M22"/>
    </sheetView>
  </sheetViews>
  <sheetFormatPr defaultRowHeight="15" outlineLevelRow="0" outlineLevelCol="0" x14ac:dyDescent="0.25"/>
  <cols>
    <col min="1" max="1" width="32.42578125" customWidth="1"/>
    <col min="2" max="2" width="18.7109375" hidden="1" customWidth="1"/>
    <col min="3" max="3" width="16.7109375" hidden="1" customWidth="1"/>
    <col min="4" max="4" width="21" customWidth="1"/>
    <col min="5" max="5" width="19.140625" customWidth="1"/>
    <col min="6" max="6" width="20.7109375" customWidth="1"/>
    <col min="7" max="7" width="11.85546875" customWidth="1"/>
    <col min="8" max="10" width="10.28515625" customWidth="1"/>
    <col min="11" max="11" width="11.28515625" customWidth="1"/>
    <col min="12" max="13" width="10.28515625" customWidth="1"/>
    <col min="14" max="14" width="9.28515625" customWidth="1"/>
    <col min="15" max="15" width="11.42578125" customWidth="1"/>
    <col min="16" max="16" width="12.140625" customWidth="1"/>
    <col min="17" max="17" width="11.42578125" customWidth="1"/>
    <col min="18" max="18" width="13.5703125" customWidth="1"/>
    <col min="19" max="19" width="10.28515625" customWidth="1"/>
    <col min="20" max="20" width="14.5703125" customWidth="1"/>
  </cols>
  <sheetData>
    <row r="1" ht="72.75" customHeight="1" spans="1:20" x14ac:dyDescent="0.25">
      <c r="A1" s="1" t="s">
        <v>0</v>
      </c>
      <c r="B1" s="261" t="s">
        <v>728</v>
      </c>
      <c r="C1" s="2" t="s">
        <v>438</v>
      </c>
      <c r="D1" s="3" t="s">
        <v>1521</v>
      </c>
      <c r="E1" s="4" t="s">
        <v>921</v>
      </c>
      <c r="F1" s="5" t="s">
        <v>922</v>
      </c>
      <c r="G1" s="452" t="s">
        <v>5</v>
      </c>
      <c r="H1" s="453" t="s">
        <v>6</v>
      </c>
      <c r="I1" s="453" t="s">
        <v>7</v>
      </c>
      <c r="J1" s="453" t="s">
        <v>8</v>
      </c>
      <c r="K1" s="453" t="s">
        <v>9</v>
      </c>
      <c r="L1" s="453" t="s">
        <v>10</v>
      </c>
      <c r="M1" s="453" t="s">
        <v>11</v>
      </c>
      <c r="N1" s="453" t="s">
        <v>12</v>
      </c>
      <c r="O1" s="453" t="s">
        <v>13</v>
      </c>
      <c r="P1" s="453" t="s">
        <v>14</v>
      </c>
      <c r="Q1" s="453" t="s">
        <v>15</v>
      </c>
      <c r="R1" s="454" t="s">
        <v>16</v>
      </c>
      <c r="S1" s="9" t="s">
        <v>0</v>
      </c>
      <c r="T1" s="10" t="s">
        <v>17</v>
      </c>
    </row>
    <row r="2" ht="16.5" customHeight="1" spans="1:20" x14ac:dyDescent="0.25">
      <c r="A2" s="12" t="s">
        <v>2307</v>
      </c>
      <c r="B2" s="103" t="s">
        <v>0</v>
      </c>
      <c r="C2" s="13" t="s">
        <v>0</v>
      </c>
      <c r="D2" s="186" t="s">
        <v>0</v>
      </c>
      <c r="E2" s="14" t="s">
        <v>0</v>
      </c>
      <c r="F2" s="15" t="s">
        <v>0</v>
      </c>
      <c r="G2" s="105" t="s">
        <v>0</v>
      </c>
      <c r="H2" s="16" t="s">
        <v>0</v>
      </c>
      <c r="I2" s="17" t="s">
        <v>0</v>
      </c>
      <c r="J2" s="16" t="s">
        <v>0</v>
      </c>
      <c r="K2" s="17" t="s">
        <v>0</v>
      </c>
      <c r="L2" s="16" t="s">
        <v>0</v>
      </c>
      <c r="M2" s="17" t="s">
        <v>0</v>
      </c>
      <c r="N2" s="16" t="s">
        <v>0</v>
      </c>
      <c r="O2" s="17" t="s">
        <v>0</v>
      </c>
      <c r="P2" s="16" t="s">
        <v>0</v>
      </c>
      <c r="Q2" s="17" t="s">
        <v>0</v>
      </c>
      <c r="R2" s="16" t="s">
        <v>0</v>
      </c>
      <c r="S2" s="16" t="s">
        <v>0</v>
      </c>
      <c r="T2" s="16" t="s">
        <v>0</v>
      </c>
    </row>
    <row r="3" ht="15.75" customHeight="1" spans="1:20" x14ac:dyDescent="0.25">
      <c r="A3" s="187" t="s">
        <v>19</v>
      </c>
      <c r="B3" s="628" t="s">
        <v>763</v>
      </c>
      <c r="C3" s="20" t="s">
        <v>2308</v>
      </c>
      <c r="D3" s="629" t="s">
        <v>2308</v>
      </c>
      <c r="E3" s="22" t="s">
        <v>2308</v>
      </c>
      <c r="F3" s="23" t="s">
        <v>2308</v>
      </c>
      <c r="G3" s="23" t="s">
        <v>0</v>
      </c>
      <c r="H3" s="23" t="s">
        <v>0</v>
      </c>
      <c r="I3" s="23" t="s">
        <v>0</v>
      </c>
      <c r="J3" s="23" t="s">
        <v>0</v>
      </c>
      <c r="K3" s="23" t="s">
        <v>0</v>
      </c>
      <c r="L3" s="23" t="s">
        <v>0</v>
      </c>
      <c r="M3" s="23" t="s">
        <v>0</v>
      </c>
      <c r="N3" s="23" t="s">
        <v>0</v>
      </c>
      <c r="O3" s="23" t="s">
        <v>0</v>
      </c>
      <c r="P3" s="23" t="s">
        <v>0</v>
      </c>
      <c r="Q3" s="23" t="s">
        <v>0</v>
      </c>
      <c r="R3" s="23" t="s">
        <v>0</v>
      </c>
      <c r="S3" s="24" t="s">
        <v>0</v>
      </c>
      <c r="T3" s="33" t="s">
        <v>0</v>
      </c>
    </row>
    <row r="4" ht="15.75" customHeight="1" spans="1:20" x14ac:dyDescent="0.25">
      <c r="A4" s="462" t="s">
        <v>60</v>
      </c>
      <c r="B4" s="460" t="s">
        <v>0</v>
      </c>
      <c r="C4" s="457" t="s">
        <v>107</v>
      </c>
      <c r="D4" s="188" t="s">
        <v>107</v>
      </c>
      <c r="E4" s="112" t="s">
        <v>107</v>
      </c>
      <c r="F4" s="28" t="s">
        <v>107</v>
      </c>
      <c r="G4" s="461" t="s">
        <v>0</v>
      </c>
      <c r="H4" s="461" t="s">
        <v>0</v>
      </c>
      <c r="I4" s="461" t="s">
        <v>0</v>
      </c>
      <c r="J4" s="461" t="s">
        <v>0</v>
      </c>
      <c r="K4" s="461" t="s">
        <v>0</v>
      </c>
      <c r="L4" s="461" t="s">
        <v>0</v>
      </c>
      <c r="M4" s="461" t="s">
        <v>0</v>
      </c>
      <c r="N4" s="461" t="s">
        <v>0</v>
      </c>
      <c r="O4" s="461" t="s">
        <v>0</v>
      </c>
      <c r="P4" s="461" t="s">
        <v>0</v>
      </c>
      <c r="Q4" s="461" t="s">
        <v>0</v>
      </c>
      <c r="R4" s="28" t="s">
        <v>0</v>
      </c>
      <c r="S4" s="463" t="s">
        <v>0</v>
      </c>
      <c r="T4" s="28" t="s">
        <v>0</v>
      </c>
    </row>
    <row r="5" ht="15.75" customHeight="1" spans="1:149" s="465" customFormat="1" x14ac:dyDescent="0.25">
      <c r="A5" s="466" t="s">
        <v>2309</v>
      </c>
      <c r="B5" s="469" t="s">
        <v>0</v>
      </c>
      <c r="C5" s="27" t="s">
        <v>2310</v>
      </c>
      <c r="D5" s="188" t="s">
        <v>2310</v>
      </c>
      <c r="E5" s="112" t="s">
        <v>2310</v>
      </c>
      <c r="F5" s="28" t="s">
        <v>2310</v>
      </c>
      <c r="G5" s="28" t="s">
        <v>0</v>
      </c>
      <c r="H5" s="28" t="s">
        <v>0</v>
      </c>
      <c r="I5" s="111" t="s">
        <v>0</v>
      </c>
      <c r="J5" s="28" t="s">
        <v>0</v>
      </c>
      <c r="K5" s="111" t="s">
        <v>0</v>
      </c>
      <c r="L5" s="28" t="s">
        <v>0</v>
      </c>
      <c r="M5" s="111" t="s">
        <v>0</v>
      </c>
      <c r="N5" s="28" t="s">
        <v>0</v>
      </c>
      <c r="O5" s="111" t="s">
        <v>0</v>
      </c>
      <c r="P5" s="28" t="s">
        <v>0</v>
      </c>
      <c r="Q5" s="111" t="s">
        <v>0</v>
      </c>
      <c r="R5" s="28" t="s">
        <v>0</v>
      </c>
      <c r="S5" s="111" t="s">
        <v>0</v>
      </c>
      <c r="T5" s="28" t="s">
        <v>0</v>
      </c>
      <c r="U5" s="465"/>
      <c r="V5" s="465"/>
      <c r="W5" s="465"/>
      <c r="X5" s="465"/>
      <c r="Y5" s="465"/>
      <c r="Z5" s="465"/>
      <c r="AA5" s="465"/>
      <c r="AB5" s="465"/>
      <c r="AC5" s="465"/>
      <c r="AD5" s="465"/>
      <c r="AE5" s="465"/>
      <c r="AF5" s="465"/>
      <c r="AG5" s="465"/>
      <c r="AH5" s="465"/>
      <c r="AI5" s="465"/>
      <c r="AJ5" s="465"/>
      <c r="AK5" s="465"/>
      <c r="AL5" s="465"/>
      <c r="AM5" s="465"/>
      <c r="AN5" s="465"/>
      <c r="AO5" s="465"/>
      <c r="AP5" s="465"/>
      <c r="AQ5" s="465"/>
      <c r="AR5" s="465"/>
      <c r="AS5" s="465"/>
      <c r="AT5" s="465"/>
      <c r="AU5" s="465"/>
      <c r="AV5" s="465"/>
      <c r="AW5" s="465"/>
      <c r="AX5" s="465"/>
      <c r="AY5" s="465"/>
      <c r="AZ5" s="465"/>
      <c r="BA5" s="465"/>
      <c r="BB5" s="465"/>
      <c r="BC5" s="465"/>
      <c r="BD5" s="465"/>
      <c r="BE5" s="465"/>
      <c r="BF5" s="465"/>
      <c r="BG5" s="465"/>
      <c r="BH5" s="465"/>
      <c r="BI5" s="465"/>
      <c r="BJ5" s="465"/>
      <c r="BK5" s="465"/>
      <c r="BL5" s="465"/>
      <c r="BM5" s="465"/>
      <c r="BN5" s="465"/>
      <c r="BO5" s="465"/>
      <c r="BP5" s="465"/>
      <c r="BQ5" s="465"/>
      <c r="BR5" s="465"/>
      <c r="BS5" s="465"/>
      <c r="BT5" s="465"/>
      <c r="BU5" s="465"/>
      <c r="BV5" s="465"/>
      <c r="BW5" s="465"/>
      <c r="BX5" s="465"/>
      <c r="BY5" s="465"/>
      <c r="BZ5" s="465"/>
      <c r="CA5" s="465"/>
      <c r="CB5" s="465"/>
      <c r="CC5" s="465"/>
      <c r="CD5" s="465"/>
      <c r="CE5" s="465"/>
      <c r="CF5" s="465"/>
      <c r="CG5" s="465"/>
      <c r="CH5" s="465"/>
      <c r="CI5" s="465"/>
      <c r="CJ5" s="465"/>
      <c r="CK5" s="465"/>
      <c r="CL5" s="465"/>
      <c r="CM5" s="465"/>
      <c r="CN5" s="465"/>
      <c r="CO5" s="465"/>
      <c r="CP5" s="465"/>
      <c r="CQ5" s="465"/>
      <c r="CR5" s="465"/>
      <c r="CS5" s="465"/>
      <c r="CT5" s="465"/>
      <c r="CU5" s="465"/>
      <c r="CV5" s="465"/>
      <c r="CW5" s="465"/>
      <c r="CX5" s="465"/>
      <c r="CY5" s="465"/>
      <c r="CZ5" s="465"/>
      <c r="DA5" s="465"/>
      <c r="DB5" s="465"/>
      <c r="DC5" s="465"/>
      <c r="DD5" s="465"/>
      <c r="DE5" s="465"/>
      <c r="DF5" s="465"/>
      <c r="DG5" s="465"/>
      <c r="DH5" s="465"/>
      <c r="DI5" s="465"/>
      <c r="DJ5" s="465"/>
      <c r="DK5" s="465"/>
      <c r="DL5" s="465"/>
      <c r="DM5" s="465"/>
      <c r="DN5" s="465"/>
      <c r="DO5" s="465"/>
      <c r="DP5" s="465"/>
      <c r="DQ5" s="465"/>
      <c r="DR5" s="465"/>
      <c r="DS5" s="465"/>
      <c r="DT5" s="465"/>
      <c r="DU5" s="465"/>
      <c r="DV5" s="465"/>
      <c r="DW5" s="465"/>
      <c r="DX5" s="465"/>
      <c r="DY5" s="465"/>
      <c r="DZ5" s="465"/>
      <c r="EA5" s="465"/>
      <c r="EB5" s="465"/>
      <c r="EC5" s="465"/>
      <c r="ED5" s="465"/>
      <c r="EE5" s="465"/>
      <c r="EF5" s="465"/>
      <c r="EG5" s="465"/>
      <c r="EH5" s="465"/>
      <c r="EI5" s="465"/>
      <c r="EJ5" s="465"/>
      <c r="EK5" s="465"/>
      <c r="EL5" s="465"/>
      <c r="EM5" s="465"/>
      <c r="EN5" s="465"/>
      <c r="EO5" s="465"/>
      <c r="EP5" s="465"/>
      <c r="EQ5" s="465"/>
      <c r="ER5" s="465"/>
      <c r="ES5" s="467"/>
    </row>
    <row r="6" ht="16.5" customHeight="1" spans="1:20" x14ac:dyDescent="0.25">
      <c r="A6" s="34" t="s">
        <v>0</v>
      </c>
      <c r="B6" s="193" t="s">
        <v>96</v>
      </c>
      <c r="C6" s="117" t="s">
        <v>2311</v>
      </c>
      <c r="D6" s="117" t="s">
        <v>2311</v>
      </c>
      <c r="E6" s="37" t="s">
        <v>2311</v>
      </c>
      <c r="F6" s="37" t="s">
        <v>2311</v>
      </c>
      <c r="G6" s="37" t="s">
        <v>0</v>
      </c>
      <c r="H6" s="37" t="s">
        <v>0</v>
      </c>
      <c r="I6" s="37" t="s">
        <v>0</v>
      </c>
      <c r="J6" s="37" t="s">
        <v>0</v>
      </c>
      <c r="K6" s="37" t="s">
        <v>0</v>
      </c>
      <c r="L6" s="37" t="s">
        <v>0</v>
      </c>
      <c r="M6" s="37" t="s">
        <v>0</v>
      </c>
      <c r="N6" s="37" t="s">
        <v>0</v>
      </c>
      <c r="O6" s="37" t="s">
        <v>0</v>
      </c>
      <c r="P6" s="37" t="s">
        <v>0</v>
      </c>
      <c r="Q6" s="37" t="s">
        <v>0</v>
      </c>
      <c r="R6" s="37" t="s">
        <v>0</v>
      </c>
      <c r="S6" s="193" t="s">
        <v>73</v>
      </c>
      <c r="T6" s="38" t="s">
        <v>0</v>
      </c>
    </row>
    <row r="7" spans="1:20" x14ac:dyDescent="0.25">
      <c r="A7" t="s">
        <v>0</v>
      </c>
      <c r="B7" t="s">
        <v>0</v>
      </c>
      <c r="C7" t="s">
        <v>0</v>
      </c>
      <c r="D7" t="s">
        <v>0</v>
      </c>
      <c r="E7" t="s">
        <v>0</v>
      </c>
      <c r="F7" t="s">
        <v>0</v>
      </c>
      <c r="G7" t="s">
        <v>0</v>
      </c>
      <c r="H7" t="s">
        <v>0</v>
      </c>
      <c r="I7" t="s">
        <v>0</v>
      </c>
      <c r="J7" t="s">
        <v>0</v>
      </c>
      <c r="K7" t="s">
        <v>0</v>
      </c>
      <c r="L7" t="s">
        <v>0</v>
      </c>
      <c r="M7" t="s">
        <v>0</v>
      </c>
      <c r="N7" t="s">
        <v>0</v>
      </c>
      <c r="O7" t="s">
        <v>0</v>
      </c>
      <c r="P7" t="s">
        <v>0</v>
      </c>
      <c r="Q7" t="s">
        <v>0</v>
      </c>
      <c r="R7" t="s">
        <v>0</v>
      </c>
      <c r="S7" t="s">
        <v>0</v>
      </c>
      <c r="T7" t="s">
        <v>0</v>
      </c>
    </row>
    <row r="8" ht="15.75" customHeight="1" spans="1:20" x14ac:dyDescent="0.25">
      <c r="A8" t="s">
        <v>0</v>
      </c>
      <c r="B8" t="s">
        <v>0</v>
      </c>
      <c r="C8" t="s">
        <v>0</v>
      </c>
      <c r="D8" t="s">
        <v>0</v>
      </c>
      <c r="E8" t="s">
        <v>0</v>
      </c>
      <c r="F8" t="s">
        <v>0</v>
      </c>
      <c r="G8" t="s">
        <v>0</v>
      </c>
      <c r="H8" t="s">
        <v>0</v>
      </c>
      <c r="I8" t="s">
        <v>0</v>
      </c>
      <c r="J8" t="s">
        <v>0</v>
      </c>
      <c r="K8" t="s">
        <v>0</v>
      </c>
      <c r="L8" t="s">
        <v>0</v>
      </c>
      <c r="M8" t="s">
        <v>0</v>
      </c>
      <c r="N8" t="s">
        <v>0</v>
      </c>
      <c r="O8" t="s">
        <v>0</v>
      </c>
      <c r="P8" t="s">
        <v>0</v>
      </c>
      <c r="Q8" t="s">
        <v>0</v>
      </c>
      <c r="R8" t="s">
        <v>0</v>
      </c>
      <c r="S8" t="s">
        <v>0</v>
      </c>
      <c r="T8" t="s">
        <v>0</v>
      </c>
    </row>
    <row r="9" ht="16.5" customHeight="1" spans="1:20" x14ac:dyDescent="0.25">
      <c r="A9" s="40" t="s">
        <v>74</v>
      </c>
      <c r="B9" s="41" t="s">
        <v>75</v>
      </c>
      <c r="C9" s="42"/>
      <c r="D9" s="42"/>
      <c r="E9" s="43"/>
      <c r="F9" s="41" t="s">
        <v>76</v>
      </c>
      <c r="G9" s="43"/>
      <c r="H9" s="44" t="s">
        <v>77</v>
      </c>
      <c r="I9" s="45"/>
      <c r="J9" t="s">
        <v>0</v>
      </c>
      <c r="K9" t="s">
        <v>0</v>
      </c>
      <c r="L9" t="s">
        <v>0</v>
      </c>
      <c r="M9" t="s">
        <v>0</v>
      </c>
      <c r="N9" t="s">
        <v>0</v>
      </c>
      <c r="O9" t="s">
        <v>0</v>
      </c>
      <c r="P9" t="s">
        <v>0</v>
      </c>
      <c r="Q9" t="s">
        <v>0</v>
      </c>
      <c r="R9" t="s">
        <v>0</v>
      </c>
      <c r="S9" t="s">
        <v>0</v>
      </c>
      <c r="T9" t="s">
        <v>0</v>
      </c>
    </row>
    <row r="10" ht="15.75" customHeight="1" spans="1:20" x14ac:dyDescent="0.25">
      <c r="A10" s="194" t="s">
        <v>0</v>
      </c>
      <c r="B10" s="127"/>
      <c r="C10" s="128"/>
      <c r="D10" s="128"/>
      <c r="E10" s="129"/>
      <c r="F10" s="50"/>
      <c r="G10" s="51"/>
      <c r="H10" s="52"/>
      <c r="I10" s="53"/>
      <c r="J10" t="s">
        <v>0</v>
      </c>
      <c r="K10" t="s">
        <v>0</v>
      </c>
      <c r="L10" t="s">
        <v>0</v>
      </c>
      <c r="M10" t="s">
        <v>0</v>
      </c>
      <c r="N10" t="s">
        <v>0</v>
      </c>
      <c r="O10" t="s">
        <v>0</v>
      </c>
      <c r="P10" t="s">
        <v>0</v>
      </c>
      <c r="Q10" t="s">
        <v>0</v>
      </c>
      <c r="R10" t="s">
        <v>0</v>
      </c>
      <c r="S10" t="s">
        <v>0</v>
      </c>
      <c r="T10" t="s">
        <v>0</v>
      </c>
    </row>
    <row r="11" spans="1:20" x14ac:dyDescent="0.25">
      <c r="A11" s="554" t="s">
        <v>0</v>
      </c>
      <c r="B11" s="169"/>
      <c r="C11" s="170"/>
      <c r="D11" s="170"/>
      <c r="E11" s="171"/>
      <c r="F11" s="216"/>
      <c r="G11" s="255"/>
      <c r="H11" s="58"/>
      <c r="I11" s="59"/>
      <c r="J11" t="s">
        <v>0</v>
      </c>
      <c r="K11" t="s">
        <v>0</v>
      </c>
      <c r="L11" t="s">
        <v>0</v>
      </c>
      <c r="M11" t="s">
        <v>0</v>
      </c>
      <c r="N11" t="s">
        <v>0</v>
      </c>
      <c r="O11" t="s">
        <v>0</v>
      </c>
      <c r="P11" t="s">
        <v>0</v>
      </c>
      <c r="Q11" t="s">
        <v>0</v>
      </c>
      <c r="R11" t="s">
        <v>0</v>
      </c>
      <c r="S11" t="s">
        <v>0</v>
      </c>
      <c r="T11" t="s">
        <v>0</v>
      </c>
    </row>
    <row r="12" spans="1:20" x14ac:dyDescent="0.25">
      <c r="A12" s="196" t="s">
        <v>0</v>
      </c>
      <c r="B12" s="137"/>
      <c r="C12" s="138"/>
      <c r="D12" s="138"/>
      <c r="E12" s="139"/>
      <c r="F12" s="64"/>
      <c r="G12" s="65"/>
      <c r="H12" s="141"/>
      <c r="I12" s="142"/>
      <c r="J12" t="s">
        <v>0</v>
      </c>
      <c r="K12" t="s">
        <v>0</v>
      </c>
      <c r="L12" t="s">
        <v>0</v>
      </c>
      <c r="M12" t="s">
        <v>0</v>
      </c>
      <c r="N12" t="s">
        <v>0</v>
      </c>
      <c r="O12" t="s">
        <v>0</v>
      </c>
      <c r="P12" t="s">
        <v>0</v>
      </c>
      <c r="Q12" t="s">
        <v>0</v>
      </c>
      <c r="R12" t="s">
        <v>0</v>
      </c>
      <c r="S12" t="s">
        <v>0</v>
      </c>
      <c r="T12" t="s">
        <v>0</v>
      </c>
    </row>
    <row r="13" spans="1:20" x14ac:dyDescent="0.25">
      <c r="A13" s="60" t="s">
        <v>0</v>
      </c>
      <c r="B13" s="137" t="s">
        <v>0</v>
      </c>
      <c r="C13" s="197"/>
      <c r="D13" s="197"/>
      <c r="E13" s="159"/>
      <c r="F13" s="158"/>
      <c r="G13" s="159"/>
      <c r="H13" s="158"/>
      <c r="I13" s="159"/>
      <c r="J13" t="s">
        <v>0</v>
      </c>
      <c r="K13" t="s">
        <v>0</v>
      </c>
      <c r="L13" t="s">
        <v>0</v>
      </c>
      <c r="M13" t="s">
        <v>0</v>
      </c>
      <c r="N13" t="s">
        <v>0</v>
      </c>
      <c r="O13" t="s">
        <v>0</v>
      </c>
      <c r="P13" t="s">
        <v>0</v>
      </c>
      <c r="Q13" t="s">
        <v>0</v>
      </c>
      <c r="R13" t="s">
        <v>0</v>
      </c>
      <c r="S13" t="s">
        <v>0</v>
      </c>
      <c r="T13" t="s">
        <v>0</v>
      </c>
    </row>
    <row r="14" ht="15.75" customHeight="1" spans="1:20" x14ac:dyDescent="0.25">
      <c r="A14" s="87" t="s">
        <v>0</v>
      </c>
      <c r="B14" s="375" t="s">
        <v>0</v>
      </c>
      <c r="C14" s="397"/>
      <c r="D14" s="397"/>
      <c r="E14" s="254"/>
      <c r="F14" s="253"/>
      <c r="G14" s="254"/>
      <c r="H14" s="253"/>
      <c r="I14" s="254"/>
      <c r="J14" t="s">
        <v>0</v>
      </c>
      <c r="K14" t="s">
        <v>0</v>
      </c>
      <c r="L14" t="s">
        <v>0</v>
      </c>
      <c r="M14" t="s">
        <v>0</v>
      </c>
      <c r="N14" t="s">
        <v>0</v>
      </c>
      <c r="O14" t="s">
        <v>0</v>
      </c>
      <c r="P14" t="s">
        <v>0</v>
      </c>
      <c r="Q14" t="s">
        <v>0</v>
      </c>
      <c r="R14" t="s">
        <v>0</v>
      </c>
      <c r="S14" t="s">
        <v>0</v>
      </c>
      <c r="T14" t="s">
        <v>0</v>
      </c>
    </row>
    <row r="15" ht="15.75" customHeight="1" spans="1:20" x14ac:dyDescent="0.25">
      <c r="A15" s="93" t="s">
        <v>0</v>
      </c>
      <c r="B15" s="94"/>
      <c r="C15" s="95"/>
      <c r="D15" s="95"/>
      <c r="E15" s="96"/>
      <c r="F15" s="97" t="s">
        <v>96</v>
      </c>
      <c r="G15" s="98"/>
      <c r="H15" s="99">
        <f>SUM(H10:I14)</f>
        <v>0</v>
      </c>
      <c r="I15" s="100"/>
      <c r="J15" t="s">
        <v>0</v>
      </c>
      <c r="K15" t="s">
        <v>0</v>
      </c>
      <c r="L15" t="s">
        <v>0</v>
      </c>
      <c r="M15" t="s">
        <v>0</v>
      </c>
      <c r="N15" t="s">
        <v>0</v>
      </c>
      <c r="O15" t="s">
        <v>0</v>
      </c>
      <c r="P15" t="s">
        <v>0</v>
      </c>
      <c r="Q15" t="s">
        <v>0</v>
      </c>
      <c r="R15" t="s">
        <v>0</v>
      </c>
      <c r="S15" t="s">
        <v>0</v>
      </c>
      <c r="T15" t="s">
        <v>0</v>
      </c>
    </row>
  </sheetData>
  <mergeCells count="21">
    <mergeCell ref="B9:E9"/>
    <mergeCell ref="F9:G9"/>
    <mergeCell ref="H9:I9"/>
    <mergeCell ref="B10:E10"/>
    <mergeCell ref="F10:G10"/>
    <mergeCell ref="H10:I10"/>
    <mergeCell ref="B11:E11"/>
    <mergeCell ref="F11:G11"/>
    <mergeCell ref="H11:I11"/>
    <mergeCell ref="B12:E12"/>
    <mergeCell ref="F12:G12"/>
    <mergeCell ref="H12:I12"/>
    <mergeCell ref="C13:E13"/>
    <mergeCell ref="F13:G13"/>
    <mergeCell ref="H13:I13"/>
    <mergeCell ref="C14:E14"/>
    <mergeCell ref="F14:G14"/>
    <mergeCell ref="H14:I14"/>
    <mergeCell ref="B15:E15"/>
    <mergeCell ref="F15:G15"/>
    <mergeCell ref="H15:I1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
  <sheetViews>
    <sheetView workbookViewId="0" zoomScale="90" zoomScaleNormal="90">
      <selection activeCell="Q5" sqref="Q5"/>
    </sheetView>
  </sheetViews>
  <sheetFormatPr defaultRowHeight="15" outlineLevelRow="0" outlineLevelCol="0" x14ac:dyDescent="0.25"/>
  <cols>
    <col min="1" max="1" width="34" customWidth="1"/>
    <col min="2" max="2" width="18.7109375" hidden="1" customWidth="1"/>
    <col min="3" max="3" width="19.5703125" customWidth="1"/>
    <col min="4" max="4" width="16.140625" customWidth="1"/>
    <col min="5" max="5" width="23.140625" customWidth="1"/>
    <col min="6" max="6" width="21.85546875" customWidth="1"/>
    <col min="7" max="7" width="13.140625" customWidth="1"/>
    <col min="8" max="8" width="11.7109375" customWidth="1"/>
    <col min="9" max="9" width="11.28515625" customWidth="1"/>
    <col min="10" max="10" width="10.28515625" customWidth="1"/>
    <col min="11" max="12" width="11.28515625" customWidth="1"/>
    <col min="13" max="13" width="10.28515625" customWidth="1"/>
    <col min="14" max="14" width="9.28515625" customWidth="1"/>
    <col min="15" max="15" width="11.140625" customWidth="1"/>
    <col min="16" max="16" width="11.28515625" customWidth="1"/>
    <col min="17" max="17" width="10.28515625" customWidth="1"/>
    <col min="18" max="18" width="10.5703125" customWidth="1"/>
    <col min="19" max="19" width="11.28515625" customWidth="1"/>
    <col min="20" max="20" width="12.5703125" customWidth="1"/>
  </cols>
  <sheetData>
    <row r="1" ht="72.75" customHeight="1" spans="1:20" x14ac:dyDescent="0.25">
      <c r="A1" s="1" t="s">
        <v>0</v>
      </c>
      <c r="B1" s="261" t="s">
        <v>728</v>
      </c>
      <c r="C1" s="2" t="s">
        <v>255</v>
      </c>
      <c r="D1" s="3" t="s">
        <v>263</v>
      </c>
      <c r="E1" s="4" t="s">
        <v>921</v>
      </c>
      <c r="F1" s="5" t="s">
        <v>922</v>
      </c>
      <c r="G1" s="6" t="s">
        <v>5</v>
      </c>
      <c r="H1" s="7" t="s">
        <v>6</v>
      </c>
      <c r="I1" s="8" t="s">
        <v>7</v>
      </c>
      <c r="J1" s="7" t="s">
        <v>8</v>
      </c>
      <c r="K1" s="8" t="s">
        <v>9</v>
      </c>
      <c r="L1" s="7" t="s">
        <v>10</v>
      </c>
      <c r="M1" s="8" t="s">
        <v>11</v>
      </c>
      <c r="N1" s="7" t="s">
        <v>12</v>
      </c>
      <c r="O1" s="8" t="s">
        <v>13</v>
      </c>
      <c r="P1" s="7" t="s">
        <v>14</v>
      </c>
      <c r="Q1" s="8" t="s">
        <v>15</v>
      </c>
      <c r="R1" s="7" t="s">
        <v>16</v>
      </c>
      <c r="S1" s="9" t="s">
        <v>0</v>
      </c>
      <c r="T1" s="10" t="s">
        <v>17</v>
      </c>
    </row>
    <row r="2" ht="16.5" customHeight="1" spans="1:20" x14ac:dyDescent="0.25">
      <c r="A2" s="12" t="s">
        <v>1465</v>
      </c>
      <c r="B2" s="103" t="s">
        <v>0</v>
      </c>
      <c r="C2" s="13" t="s">
        <v>0</v>
      </c>
      <c r="D2" s="13" t="s">
        <v>0</v>
      </c>
      <c r="E2" s="14" t="s">
        <v>0</v>
      </c>
      <c r="F2" s="15" t="s">
        <v>0</v>
      </c>
      <c r="G2" s="105" t="s">
        <v>0</v>
      </c>
      <c r="H2" s="16" t="s">
        <v>0</v>
      </c>
      <c r="I2" s="17" t="s">
        <v>0</v>
      </c>
      <c r="J2" s="16" t="s">
        <v>0</v>
      </c>
      <c r="K2" s="17" t="s">
        <v>0</v>
      </c>
      <c r="L2" s="16" t="s">
        <v>0</v>
      </c>
      <c r="M2" s="16" t="s">
        <v>0</v>
      </c>
      <c r="N2" s="17" t="s">
        <v>0</v>
      </c>
      <c r="O2" s="16" t="s">
        <v>0</v>
      </c>
      <c r="P2" s="17" t="s">
        <v>0</v>
      </c>
      <c r="Q2" s="16" t="s">
        <v>0</v>
      </c>
      <c r="R2" s="18" t="s">
        <v>0</v>
      </c>
      <c r="S2" s="16" t="s">
        <v>0</v>
      </c>
      <c r="T2" s="16" t="s">
        <v>0</v>
      </c>
    </row>
    <row r="3" ht="15.75" customHeight="1" spans="1:20" x14ac:dyDescent="0.25">
      <c r="A3" s="187" t="s">
        <v>19</v>
      </c>
      <c r="B3" s="263" t="s">
        <v>763</v>
      </c>
      <c r="C3" s="20" t="s">
        <v>0</v>
      </c>
      <c r="D3" s="21" t="s">
        <v>0</v>
      </c>
      <c r="E3" s="22" t="s">
        <v>0</v>
      </c>
      <c r="F3" s="23" t="s">
        <v>0</v>
      </c>
      <c r="G3" s="23" t="s">
        <v>0</v>
      </c>
      <c r="H3" s="23" t="s">
        <v>0</v>
      </c>
      <c r="I3" s="23" t="s">
        <v>0</v>
      </c>
      <c r="J3" s="23" t="s">
        <v>0</v>
      </c>
      <c r="K3" s="23" t="s">
        <v>0</v>
      </c>
      <c r="L3" s="23" t="s">
        <v>0</v>
      </c>
      <c r="M3" s="23" t="s">
        <v>0</v>
      </c>
      <c r="N3" s="23" t="s">
        <v>0</v>
      </c>
      <c r="O3" s="23" t="s">
        <v>0</v>
      </c>
      <c r="P3" s="23" t="s">
        <v>0</v>
      </c>
      <c r="Q3" s="23" t="s">
        <v>0</v>
      </c>
      <c r="R3" s="23" t="s">
        <v>0</v>
      </c>
      <c r="S3" s="24" t="s">
        <v>0</v>
      </c>
      <c r="T3" s="24" t="s">
        <v>0</v>
      </c>
    </row>
    <row r="4" ht="15.75" customHeight="1" spans="1:20" x14ac:dyDescent="0.25">
      <c r="A4" s="187" t="s">
        <v>278</v>
      </c>
      <c r="B4" s="263" t="s">
        <v>0</v>
      </c>
      <c r="C4" s="20" t="s">
        <v>0</v>
      </c>
      <c r="D4" s="21" t="s">
        <v>0</v>
      </c>
      <c r="E4" s="22" t="s">
        <v>1466</v>
      </c>
      <c r="F4" s="23" t="s">
        <v>1467</v>
      </c>
      <c r="G4" s="23" t="s">
        <v>0</v>
      </c>
      <c r="H4" s="23" t="s">
        <v>0</v>
      </c>
      <c r="I4" s="23" t="s">
        <v>0</v>
      </c>
      <c r="J4" s="23" t="s">
        <v>0</v>
      </c>
      <c r="K4" s="23" t="s">
        <v>1468</v>
      </c>
      <c r="L4" s="23" t="s">
        <v>1469</v>
      </c>
      <c r="M4" s="23" t="s">
        <v>1470</v>
      </c>
      <c r="N4" s="23" t="s">
        <v>1471</v>
      </c>
      <c r="O4" s="23" t="s">
        <v>1470</v>
      </c>
      <c r="P4" s="23" t="s">
        <v>1472</v>
      </c>
      <c r="Q4" s="23" t="s">
        <v>1175</v>
      </c>
      <c r="R4" s="23" t="s">
        <v>0</v>
      </c>
      <c r="S4" s="24" t="s">
        <v>0</v>
      </c>
      <c r="T4" s="24" t="s">
        <v>1466</v>
      </c>
    </row>
    <row r="5" ht="15.75" customHeight="1" spans="1:20" x14ac:dyDescent="0.25">
      <c r="A5" s="19" t="s">
        <v>123</v>
      </c>
      <c r="B5" s="268" t="s">
        <v>0</v>
      </c>
      <c r="C5" s="27" t="s">
        <v>0</v>
      </c>
      <c r="D5" s="188" t="s">
        <v>0</v>
      </c>
      <c r="E5" s="22" t="s">
        <v>1473</v>
      </c>
      <c r="F5" s="23" t="s">
        <v>1474</v>
      </c>
      <c r="G5" s="28" t="s">
        <v>0</v>
      </c>
      <c r="H5" s="28" t="s">
        <v>0</v>
      </c>
      <c r="I5" s="28" t="s">
        <v>0</v>
      </c>
      <c r="J5" s="28" t="s">
        <v>0</v>
      </c>
      <c r="K5" s="28" t="s">
        <v>1475</v>
      </c>
      <c r="L5" s="28" t="s">
        <v>1475</v>
      </c>
      <c r="M5" s="28" t="s">
        <v>0</v>
      </c>
      <c r="N5" s="28" t="s">
        <v>0</v>
      </c>
      <c r="O5" s="28" t="s">
        <v>0</v>
      </c>
      <c r="P5" s="28" t="s">
        <v>0</v>
      </c>
      <c r="Q5" s="28" t="s">
        <v>0</v>
      </c>
      <c r="R5" s="28" t="s">
        <v>0</v>
      </c>
      <c r="S5" s="24" t="s">
        <v>0</v>
      </c>
      <c r="T5" s="24" t="s">
        <v>1473</v>
      </c>
    </row>
    <row r="6" ht="15.75" customHeight="1" spans="1:20" x14ac:dyDescent="0.25">
      <c r="A6" s="19" t="s">
        <v>1432</v>
      </c>
      <c r="B6" s="268" t="s">
        <v>0</v>
      </c>
      <c r="C6" s="27" t="s">
        <v>0</v>
      </c>
      <c r="D6" s="188" t="s">
        <v>0</v>
      </c>
      <c r="E6" s="22" t="s">
        <v>0</v>
      </c>
      <c r="F6" s="23" t="s">
        <v>0</v>
      </c>
      <c r="G6" s="28" t="s">
        <v>0</v>
      </c>
      <c r="H6" s="28" t="s">
        <v>0</v>
      </c>
      <c r="I6" s="28" t="s">
        <v>0</v>
      </c>
      <c r="J6" s="28" t="s">
        <v>0</v>
      </c>
      <c r="K6" s="28" t="s">
        <v>0</v>
      </c>
      <c r="L6" s="28" t="s">
        <v>0</v>
      </c>
      <c r="M6" s="28" t="s">
        <v>0</v>
      </c>
      <c r="N6" s="28" t="s">
        <v>0</v>
      </c>
      <c r="O6" s="28" t="s">
        <v>0</v>
      </c>
      <c r="P6" s="28" t="s">
        <v>0</v>
      </c>
      <c r="Q6" s="28" t="s">
        <v>0</v>
      </c>
      <c r="R6" s="28" t="s">
        <v>0</v>
      </c>
      <c r="S6" s="28" t="s">
        <v>0</v>
      </c>
      <c r="T6" s="24" t="s">
        <v>0</v>
      </c>
    </row>
    <row r="7" ht="15.75" customHeight="1" spans="1:20" x14ac:dyDescent="0.25">
      <c r="A7" s="19" t="s">
        <v>143</v>
      </c>
      <c r="B7" s="268" t="s">
        <v>0</v>
      </c>
      <c r="C7" s="27" t="s">
        <v>0</v>
      </c>
      <c r="D7" s="188" t="s">
        <v>0</v>
      </c>
      <c r="E7" s="22" t="s">
        <v>0</v>
      </c>
      <c r="F7" s="23" t="s">
        <v>0</v>
      </c>
      <c r="G7" s="28" t="s">
        <v>0</v>
      </c>
      <c r="H7" s="28" t="s">
        <v>0</v>
      </c>
      <c r="I7" s="28" t="s">
        <v>0</v>
      </c>
      <c r="J7" s="28" t="s">
        <v>0</v>
      </c>
      <c r="K7" s="28" t="s">
        <v>0</v>
      </c>
      <c r="L7" s="28" t="s">
        <v>0</v>
      </c>
      <c r="M7" s="28" t="s">
        <v>0</v>
      </c>
      <c r="N7" s="28" t="s">
        <v>0</v>
      </c>
      <c r="O7" s="28" t="s">
        <v>0</v>
      </c>
      <c r="P7" s="28" t="s">
        <v>0</v>
      </c>
      <c r="Q7" s="28" t="s">
        <v>0</v>
      </c>
      <c r="R7" s="28" t="s">
        <v>0</v>
      </c>
      <c r="S7" s="28" t="s">
        <v>0</v>
      </c>
      <c r="T7" s="24" t="s">
        <v>0</v>
      </c>
    </row>
    <row r="8" ht="31.5" customHeight="1" spans="1:20" x14ac:dyDescent="0.25">
      <c r="A8" s="31" t="s">
        <v>1436</v>
      </c>
      <c r="B8" s="272" t="s">
        <v>780</v>
      </c>
      <c r="C8" s="27" t="s">
        <v>0</v>
      </c>
      <c r="D8" s="188" t="s">
        <v>0</v>
      </c>
      <c r="E8" s="22" t="s">
        <v>0</v>
      </c>
      <c r="F8" s="23" t="s">
        <v>0</v>
      </c>
      <c r="G8" s="28" t="s">
        <v>0</v>
      </c>
      <c r="H8" s="28" t="s">
        <v>0</v>
      </c>
      <c r="I8" s="28" t="s">
        <v>0</v>
      </c>
      <c r="J8" s="28" t="s">
        <v>0</v>
      </c>
      <c r="K8" s="28" t="s">
        <v>0</v>
      </c>
      <c r="L8" s="28" t="s">
        <v>0</v>
      </c>
      <c r="M8" s="28" t="s">
        <v>0</v>
      </c>
      <c r="N8" s="28" t="s">
        <v>0</v>
      </c>
      <c r="O8" s="28" t="s">
        <v>0</v>
      </c>
      <c r="P8" s="28" t="s">
        <v>0</v>
      </c>
      <c r="Q8" s="28" t="s">
        <v>0</v>
      </c>
      <c r="R8" s="28" t="s">
        <v>0</v>
      </c>
      <c r="S8" s="33" t="s">
        <v>0</v>
      </c>
      <c r="T8" s="24" t="s">
        <v>0</v>
      </c>
    </row>
    <row r="9" ht="47.25" customHeight="1" spans="1:20" x14ac:dyDescent="0.25">
      <c r="A9" s="31" t="s">
        <v>1437</v>
      </c>
      <c r="B9" s="469" t="s">
        <v>0</v>
      </c>
      <c r="C9" s="30" t="s">
        <v>0</v>
      </c>
      <c r="D9" s="190" t="s">
        <v>0</v>
      </c>
      <c r="E9" s="22" t="s">
        <v>0</v>
      </c>
      <c r="F9" s="23" t="s">
        <v>0</v>
      </c>
      <c r="G9" s="191" t="s">
        <v>0</v>
      </c>
      <c r="H9" s="191" t="s">
        <v>0</v>
      </c>
      <c r="I9" s="191" t="s">
        <v>0</v>
      </c>
      <c r="J9" s="191" t="s">
        <v>0</v>
      </c>
      <c r="K9" s="191" t="s">
        <v>0</v>
      </c>
      <c r="L9" s="191" t="s">
        <v>0</v>
      </c>
      <c r="M9" s="191" t="s">
        <v>0</v>
      </c>
      <c r="N9" s="191" t="s">
        <v>0</v>
      </c>
      <c r="O9" s="191" t="s">
        <v>0</v>
      </c>
      <c r="P9" s="191" t="s">
        <v>0</v>
      </c>
      <c r="Q9" s="191" t="s">
        <v>0</v>
      </c>
      <c r="R9" s="191" t="s">
        <v>0</v>
      </c>
      <c r="S9" s="28" t="s">
        <v>0</v>
      </c>
      <c r="T9" s="24" t="s">
        <v>0</v>
      </c>
    </row>
    <row r="10" ht="16.5" customHeight="1" spans="1:20" x14ac:dyDescent="0.25">
      <c r="A10" s="34" t="s">
        <v>0</v>
      </c>
      <c r="B10" s="193" t="s">
        <v>96</v>
      </c>
      <c r="C10" s="37" t="s">
        <v>0</v>
      </c>
      <c r="D10" s="37" t="s">
        <v>0</v>
      </c>
      <c r="E10" s="37" t="s">
        <v>1476</v>
      </c>
      <c r="F10" s="37" t="s">
        <v>1477</v>
      </c>
      <c r="G10" s="37" t="s">
        <v>0</v>
      </c>
      <c r="H10" s="37" t="s">
        <v>0</v>
      </c>
      <c r="I10" s="37" t="s">
        <v>0</v>
      </c>
      <c r="J10" s="37" t="s">
        <v>0</v>
      </c>
      <c r="K10" s="37" t="s">
        <v>1478</v>
      </c>
      <c r="L10" s="37" t="s">
        <v>1475</v>
      </c>
      <c r="M10" s="37" t="s">
        <v>0</v>
      </c>
      <c r="N10" s="37" t="s">
        <v>0</v>
      </c>
      <c r="O10" s="37" t="s">
        <v>0</v>
      </c>
      <c r="P10" s="37" t="s">
        <v>0</v>
      </c>
      <c r="Q10" s="37" t="s">
        <v>0</v>
      </c>
      <c r="R10" s="37" t="s">
        <v>0</v>
      </c>
      <c r="S10" s="117" t="s">
        <v>73</v>
      </c>
      <c r="T10" s="119" t="s">
        <v>1476</v>
      </c>
    </row>
    <row r="11" spans="1:20" x14ac:dyDescent="0.25">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row>
    <row r="12" ht="18" customHeight="1" spans="1:20" x14ac:dyDescent="0.25">
      <c r="A12" s="39" t="s">
        <v>0</v>
      </c>
      <c r="B12" s="204" t="s">
        <v>0</v>
      </c>
      <c r="C12" s="204"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row>
    <row r="13" ht="16.5" customHeight="1" spans="1:20" x14ac:dyDescent="0.25">
      <c r="A13" s="40" t="s">
        <v>74</v>
      </c>
      <c r="B13" s="41" t="s">
        <v>238</v>
      </c>
      <c r="C13" s="42"/>
      <c r="D13" s="42"/>
      <c r="E13" s="43"/>
      <c r="F13" s="41" t="s">
        <v>76</v>
      </c>
      <c r="G13" s="42"/>
      <c r="H13" s="43"/>
      <c r="I13" s="222" t="s">
        <v>77</v>
      </c>
      <c r="J13" s="394"/>
      <c r="K13" s="223"/>
      <c r="L13" t="s">
        <v>0</v>
      </c>
      <c r="M13" t="s">
        <v>0</v>
      </c>
      <c r="N13" t="s">
        <v>0</v>
      </c>
      <c r="O13" t="s">
        <v>0</v>
      </c>
      <c r="P13" t="s">
        <v>0</v>
      </c>
      <c r="Q13" t="s">
        <v>0</v>
      </c>
      <c r="R13" t="s">
        <v>0</v>
      </c>
      <c r="S13" t="s">
        <v>0</v>
      </c>
      <c r="T13" t="s">
        <v>0</v>
      </c>
    </row>
    <row r="14" ht="28.5" customHeight="1" spans="1:20" x14ac:dyDescent="0.25">
      <c r="A14" s="168" t="s">
        <v>996</v>
      </c>
      <c r="B14" s="169" t="s">
        <v>1479</v>
      </c>
      <c r="C14" s="170"/>
      <c r="D14" s="170"/>
      <c r="E14" s="171"/>
      <c r="F14" s="216" t="s">
        <v>1354</v>
      </c>
      <c r="G14" s="206"/>
      <c r="H14" s="255"/>
      <c r="I14" s="395">
        <v>1000</v>
      </c>
      <c r="J14" s="395"/>
      <c r="K14" s="250"/>
      <c r="L14" t="s">
        <v>0</v>
      </c>
      <c r="M14" t="s">
        <v>0</v>
      </c>
      <c r="N14" t="s">
        <v>0</v>
      </c>
      <c r="O14" t="s">
        <v>0</v>
      </c>
      <c r="P14" t="s">
        <v>0</v>
      </c>
      <c r="Q14" t="s">
        <v>0</v>
      </c>
      <c r="R14" t="s">
        <v>0</v>
      </c>
      <c r="S14" t="s">
        <v>0</v>
      </c>
      <c r="T14" t="s">
        <v>0</v>
      </c>
    </row>
    <row r="15" ht="29.25" customHeight="1" spans="1:20" x14ac:dyDescent="0.25">
      <c r="A15" s="60" t="s">
        <v>996</v>
      </c>
      <c r="B15" s="137" t="s">
        <v>0</v>
      </c>
      <c r="C15" s="148" t="s">
        <v>1480</v>
      </c>
      <c r="D15" s="148"/>
      <c r="E15" s="149"/>
      <c r="F15" s="68" t="s">
        <v>1481</v>
      </c>
      <c r="G15" s="69"/>
      <c r="H15" s="70"/>
      <c r="I15" s="71">
        <v>2150</v>
      </c>
      <c r="J15" s="209"/>
      <c r="K15" s="72"/>
      <c r="L15" t="s">
        <v>0</v>
      </c>
      <c r="M15" t="s">
        <v>0</v>
      </c>
      <c r="N15" t="s">
        <v>0</v>
      </c>
      <c r="O15" t="s">
        <v>0</v>
      </c>
      <c r="P15" t="s">
        <v>0</v>
      </c>
      <c r="Q15" t="s">
        <v>0</v>
      </c>
      <c r="R15" t="s">
        <v>0</v>
      </c>
      <c r="S15" t="s">
        <v>0</v>
      </c>
      <c r="T15" t="s">
        <v>0</v>
      </c>
    </row>
    <row r="16" ht="34.5" customHeight="1" spans="1:20" x14ac:dyDescent="0.25">
      <c r="A16" s="60" t="s">
        <v>996</v>
      </c>
      <c r="B16" s="137" t="s">
        <v>0</v>
      </c>
      <c r="C16" s="148" t="s">
        <v>1482</v>
      </c>
      <c r="D16" s="148"/>
      <c r="E16" s="149"/>
      <c r="F16" s="68" t="s">
        <v>1356</v>
      </c>
      <c r="G16" s="69"/>
      <c r="H16" s="70"/>
      <c r="I16" s="71">
        <v>1150</v>
      </c>
      <c r="J16" s="209"/>
      <c r="K16" s="72"/>
      <c r="L16" t="s">
        <v>0</v>
      </c>
      <c r="M16" t="s">
        <v>0</v>
      </c>
      <c r="N16" t="s">
        <v>0</v>
      </c>
      <c r="O16" t="s">
        <v>0</v>
      </c>
      <c r="P16" t="s">
        <v>0</v>
      </c>
      <c r="Q16" t="s">
        <v>0</v>
      </c>
      <c r="R16" t="s">
        <v>0</v>
      </c>
      <c r="S16" t="s">
        <v>0</v>
      </c>
      <c r="T16" t="s">
        <v>0</v>
      </c>
    </row>
    <row r="17" ht="45" customHeight="1" spans="1:20" x14ac:dyDescent="0.25">
      <c r="A17" s="60" t="s">
        <v>996</v>
      </c>
      <c r="B17" s="137" t="s">
        <v>0</v>
      </c>
      <c r="C17" s="148" t="s">
        <v>1483</v>
      </c>
      <c r="D17" s="148"/>
      <c r="E17" s="149"/>
      <c r="F17" s="68" t="s">
        <v>1484</v>
      </c>
      <c r="G17" s="69"/>
      <c r="H17" s="70"/>
      <c r="I17" s="71">
        <v>1150</v>
      </c>
      <c r="J17" s="209"/>
      <c r="K17" s="72"/>
      <c r="L17" t="s">
        <v>0</v>
      </c>
      <c r="M17" t="s">
        <v>0</v>
      </c>
      <c r="N17" t="s">
        <v>0</v>
      </c>
      <c r="O17" t="s">
        <v>0</v>
      </c>
      <c r="P17" t="s">
        <v>0</v>
      </c>
      <c r="Q17" t="s">
        <v>0</v>
      </c>
      <c r="R17" t="s">
        <v>0</v>
      </c>
      <c r="S17" t="s">
        <v>0</v>
      </c>
      <c r="T17" t="s">
        <v>0</v>
      </c>
    </row>
    <row r="18" ht="30" customHeight="1" spans="1:20" x14ac:dyDescent="0.25">
      <c r="A18" s="60" t="s">
        <v>1485</v>
      </c>
      <c r="B18" s="137" t="s">
        <v>0</v>
      </c>
      <c r="C18" s="76" t="s">
        <v>79</v>
      </c>
      <c r="D18" s="76"/>
      <c r="E18" s="77"/>
      <c r="F18" s="68" t="s">
        <v>80</v>
      </c>
      <c r="G18" s="69"/>
      <c r="H18" s="70"/>
      <c r="I18" s="71">
        <v>14700</v>
      </c>
      <c r="J18" s="209"/>
      <c r="K18" s="72"/>
      <c r="L18" t="s">
        <v>0</v>
      </c>
      <c r="M18" t="s">
        <v>0</v>
      </c>
      <c r="N18" t="s">
        <v>0</v>
      </c>
      <c r="O18" t="s">
        <v>0</v>
      </c>
      <c r="P18" t="s">
        <v>0</v>
      </c>
      <c r="Q18" t="s">
        <v>0</v>
      </c>
      <c r="R18" t="s">
        <v>0</v>
      </c>
      <c r="S18" t="s">
        <v>0</v>
      </c>
      <c r="T18" t="s">
        <v>0</v>
      </c>
    </row>
    <row r="19" ht="50.25" customHeight="1" spans="1:20" x14ac:dyDescent="0.25">
      <c r="A19" s="60" t="s">
        <v>996</v>
      </c>
      <c r="B19" s="396" t="s">
        <v>0</v>
      </c>
      <c r="C19" s="76" t="s">
        <v>1486</v>
      </c>
      <c r="D19" s="76"/>
      <c r="E19" s="77"/>
      <c r="F19" s="68" t="s">
        <v>1487</v>
      </c>
      <c r="G19" s="69"/>
      <c r="H19" s="70"/>
      <c r="I19" s="71">
        <v>1150</v>
      </c>
      <c r="J19" s="209"/>
      <c r="K19" s="72"/>
      <c r="L19" t="s">
        <v>0</v>
      </c>
      <c r="M19" t="s">
        <v>0</v>
      </c>
      <c r="N19" t="s">
        <v>0</v>
      </c>
      <c r="O19" t="s">
        <v>0</v>
      </c>
      <c r="P19" t="s">
        <v>0</v>
      </c>
      <c r="Q19" t="s">
        <v>0</v>
      </c>
      <c r="R19" t="s">
        <v>0</v>
      </c>
      <c r="S19" t="s">
        <v>0</v>
      </c>
      <c r="T19" t="s">
        <v>0</v>
      </c>
    </row>
    <row r="20" ht="51.75" customHeight="1" spans="1:20" x14ac:dyDescent="0.25">
      <c r="A20" s="60" t="s">
        <v>996</v>
      </c>
      <c r="B20" s="396" t="s">
        <v>0</v>
      </c>
      <c r="C20" s="76" t="s">
        <v>1488</v>
      </c>
      <c r="D20" s="76"/>
      <c r="E20" s="77"/>
      <c r="F20" s="68" t="s">
        <v>873</v>
      </c>
      <c r="G20" s="69"/>
      <c r="H20" s="70"/>
      <c r="I20" s="71">
        <v>1150</v>
      </c>
      <c r="J20" s="209"/>
      <c r="K20" s="72"/>
      <c r="L20" t="s">
        <v>0</v>
      </c>
      <c r="M20" t="s">
        <v>0</v>
      </c>
      <c r="N20" t="s">
        <v>0</v>
      </c>
      <c r="O20" t="s">
        <v>0</v>
      </c>
      <c r="P20" t="s">
        <v>0</v>
      </c>
      <c r="Q20" t="s">
        <v>0</v>
      </c>
      <c r="R20" t="s">
        <v>0</v>
      </c>
      <c r="S20" t="s">
        <v>0</v>
      </c>
      <c r="T20" t="s">
        <v>0</v>
      </c>
    </row>
    <row r="21" ht="51.75" customHeight="1" spans="1:20" x14ac:dyDescent="0.25">
      <c r="A21" s="482" t="s">
        <v>996</v>
      </c>
      <c r="B21" s="396" t="s">
        <v>0</v>
      </c>
      <c r="C21" s="76" t="s">
        <v>1489</v>
      </c>
      <c r="D21" s="76"/>
      <c r="E21" s="77"/>
      <c r="F21" s="68" t="s">
        <v>1490</v>
      </c>
      <c r="G21" s="69"/>
      <c r="H21" s="70"/>
      <c r="I21" s="71">
        <v>5750</v>
      </c>
      <c r="J21" s="209"/>
      <c r="K21" s="72"/>
      <c r="L21" t="s">
        <v>0</v>
      </c>
      <c r="M21" t="s">
        <v>0</v>
      </c>
      <c r="N21" t="s">
        <v>0</v>
      </c>
      <c r="O21" t="s">
        <v>0</v>
      </c>
      <c r="P21" t="s">
        <v>0</v>
      </c>
      <c r="Q21" t="s">
        <v>0</v>
      </c>
      <c r="R21" t="s">
        <v>0</v>
      </c>
      <c r="S21" t="s">
        <v>0</v>
      </c>
      <c r="T21" t="s">
        <v>0</v>
      </c>
    </row>
    <row r="22" ht="34.5" customHeight="1" spans="1:20" x14ac:dyDescent="0.25">
      <c r="A22" s="482" t="s">
        <v>996</v>
      </c>
      <c r="B22" s="396" t="s">
        <v>0</v>
      </c>
      <c r="C22" s="76" t="s">
        <v>1491</v>
      </c>
      <c r="D22" s="76"/>
      <c r="E22" s="77"/>
      <c r="F22" s="68" t="s">
        <v>1492</v>
      </c>
      <c r="G22" s="69"/>
      <c r="H22" s="70"/>
      <c r="I22" s="71">
        <v>2300</v>
      </c>
      <c r="J22" s="209"/>
      <c r="K22" s="72"/>
      <c r="L22" t="s">
        <v>0</v>
      </c>
      <c r="M22" t="s">
        <v>0</v>
      </c>
      <c r="N22" t="s">
        <v>0</v>
      </c>
      <c r="O22" t="s">
        <v>0</v>
      </c>
      <c r="P22" t="s">
        <v>0</v>
      </c>
      <c r="Q22" t="s">
        <v>0</v>
      </c>
      <c r="R22" t="s">
        <v>0</v>
      </c>
      <c r="S22" t="s">
        <v>0</v>
      </c>
      <c r="T22" t="s">
        <v>0</v>
      </c>
    </row>
    <row r="23" ht="69.75" customHeight="1" spans="1:20" x14ac:dyDescent="0.25">
      <c r="A23" s="482" t="s">
        <v>996</v>
      </c>
      <c r="B23" s="396" t="s">
        <v>0</v>
      </c>
      <c r="C23" s="76" t="s">
        <v>1493</v>
      </c>
      <c r="D23" s="76"/>
      <c r="E23" s="77"/>
      <c r="F23" s="68" t="s">
        <v>1494</v>
      </c>
      <c r="G23" s="69"/>
      <c r="H23" s="70"/>
      <c r="I23" s="71">
        <v>31550</v>
      </c>
      <c r="J23" s="209"/>
      <c r="K23" s="72"/>
      <c r="L23" t="s">
        <v>0</v>
      </c>
      <c r="M23" t="s">
        <v>0</v>
      </c>
      <c r="N23" t="s">
        <v>0</v>
      </c>
      <c r="O23" t="s">
        <v>0</v>
      </c>
      <c r="P23" t="s">
        <v>0</v>
      </c>
      <c r="Q23" t="s">
        <v>0</v>
      </c>
      <c r="R23" t="s">
        <v>0</v>
      </c>
      <c r="S23" t="s">
        <v>0</v>
      </c>
      <c r="T23" t="s">
        <v>0</v>
      </c>
    </row>
    <row r="24" ht="72.75" customHeight="1" spans="1:20" x14ac:dyDescent="0.25">
      <c r="A24" s="482" t="s">
        <v>996</v>
      </c>
      <c r="B24" s="396" t="s">
        <v>0</v>
      </c>
      <c r="C24" s="76" t="s">
        <v>1495</v>
      </c>
      <c r="D24" s="76"/>
      <c r="E24" s="77"/>
      <c r="F24" s="68" t="s">
        <v>1496</v>
      </c>
      <c r="G24" s="69"/>
      <c r="H24" s="70"/>
      <c r="I24" s="71">
        <v>2300</v>
      </c>
      <c r="J24" s="209"/>
      <c r="K24" s="72"/>
      <c r="L24" t="s">
        <v>0</v>
      </c>
      <c r="M24" t="s">
        <v>0</v>
      </c>
      <c r="N24" t="s">
        <v>0</v>
      </c>
      <c r="O24" t="s">
        <v>0</v>
      </c>
      <c r="P24" t="s">
        <v>0</v>
      </c>
      <c r="Q24" t="s">
        <v>0</v>
      </c>
      <c r="R24" t="s">
        <v>0</v>
      </c>
      <c r="S24" t="s">
        <v>0</v>
      </c>
      <c r="T24" t="s">
        <v>0</v>
      </c>
    </row>
    <row r="25" ht="45" customHeight="1" spans="1:20" x14ac:dyDescent="0.25">
      <c r="A25" s="482" t="s">
        <v>1497</v>
      </c>
      <c r="B25" s="396" t="s">
        <v>0</v>
      </c>
      <c r="C25" s="76" t="s">
        <v>1498</v>
      </c>
      <c r="D25" s="76"/>
      <c r="E25" s="77"/>
      <c r="F25" s="68" t="s">
        <v>1499</v>
      </c>
      <c r="G25" s="69"/>
      <c r="H25" s="70"/>
      <c r="I25" s="71">
        <v>1150</v>
      </c>
      <c r="J25" s="209"/>
      <c r="K25" s="72"/>
      <c r="L25" t="s">
        <v>0</v>
      </c>
      <c r="M25" t="s">
        <v>0</v>
      </c>
      <c r="N25" t="s">
        <v>0</v>
      </c>
      <c r="O25" t="s">
        <v>0</v>
      </c>
      <c r="P25" t="s">
        <v>0</v>
      </c>
      <c r="Q25" t="s">
        <v>0</v>
      </c>
      <c r="R25" t="s">
        <v>0</v>
      </c>
      <c r="S25" t="s">
        <v>0</v>
      </c>
      <c r="T25" t="s">
        <v>0</v>
      </c>
    </row>
    <row r="26" ht="48.75" customHeight="1" spans="1:20" x14ac:dyDescent="0.25">
      <c r="A26" s="482" t="s">
        <v>1497</v>
      </c>
      <c r="B26" s="396" t="s">
        <v>0</v>
      </c>
      <c r="C26" s="76" t="s">
        <v>1500</v>
      </c>
      <c r="D26" s="76"/>
      <c r="E26" s="77"/>
      <c r="F26" s="68" t="s">
        <v>1260</v>
      </c>
      <c r="G26" s="69"/>
      <c r="H26" s="70"/>
      <c r="I26" s="71">
        <v>1150</v>
      </c>
      <c r="J26" s="209"/>
      <c r="K26" s="72"/>
      <c r="L26" t="s">
        <v>0</v>
      </c>
      <c r="M26" t="s">
        <v>0</v>
      </c>
      <c r="N26" t="s">
        <v>0</v>
      </c>
      <c r="O26" t="s">
        <v>0</v>
      </c>
      <c r="P26" t="s">
        <v>0</v>
      </c>
      <c r="Q26" t="s">
        <v>0</v>
      </c>
      <c r="R26" t="s">
        <v>0</v>
      </c>
      <c r="S26" t="s">
        <v>0</v>
      </c>
      <c r="T26" t="s">
        <v>0</v>
      </c>
    </row>
    <row r="27" ht="45" customHeight="1" spans="1:20" x14ac:dyDescent="0.25">
      <c r="A27" s="482" t="s">
        <v>1497</v>
      </c>
      <c r="B27" s="396" t="s">
        <v>0</v>
      </c>
      <c r="C27" s="76" t="s">
        <v>1501</v>
      </c>
      <c r="D27" s="76"/>
      <c r="E27" s="77"/>
      <c r="F27" s="68" t="s">
        <v>1502</v>
      </c>
      <c r="G27" s="69"/>
      <c r="H27" s="70"/>
      <c r="I27" s="71">
        <v>1150</v>
      </c>
      <c r="J27" s="209"/>
      <c r="K27" s="72"/>
      <c r="L27" t="s">
        <v>0</v>
      </c>
      <c r="M27" t="s">
        <v>0</v>
      </c>
      <c r="N27" t="s">
        <v>0</v>
      </c>
      <c r="O27" t="s">
        <v>0</v>
      </c>
      <c r="P27" t="s">
        <v>0</v>
      </c>
      <c r="Q27" t="s">
        <v>0</v>
      </c>
      <c r="R27" t="s">
        <v>0</v>
      </c>
      <c r="S27" t="s">
        <v>0</v>
      </c>
      <c r="T27" t="s">
        <v>0</v>
      </c>
    </row>
    <row r="28" ht="45" customHeight="1" spans="1:20" x14ac:dyDescent="0.25">
      <c r="A28" s="482" t="s">
        <v>1497</v>
      </c>
      <c r="B28" s="396" t="s">
        <v>0</v>
      </c>
      <c r="C28" s="76" t="s">
        <v>1503</v>
      </c>
      <c r="D28" s="76"/>
      <c r="E28" s="77"/>
      <c r="F28" s="68" t="s">
        <v>1006</v>
      </c>
      <c r="G28" s="69"/>
      <c r="H28" s="70"/>
      <c r="I28" s="71">
        <v>1150</v>
      </c>
      <c r="J28" s="209"/>
      <c r="K28" s="72"/>
      <c r="L28" t="s">
        <v>0</v>
      </c>
      <c r="M28" t="s">
        <v>0</v>
      </c>
      <c r="N28" t="s">
        <v>0</v>
      </c>
      <c r="O28" t="s">
        <v>0</v>
      </c>
      <c r="P28" t="s">
        <v>0</v>
      </c>
      <c r="Q28" t="s">
        <v>0</v>
      </c>
      <c r="R28" t="s">
        <v>0</v>
      </c>
      <c r="S28" t="s">
        <v>0</v>
      </c>
      <c r="T28" t="s">
        <v>0</v>
      </c>
    </row>
    <row r="29" ht="60.75" customHeight="1" spans="1:20" x14ac:dyDescent="0.25">
      <c r="A29" s="482" t="s">
        <v>1504</v>
      </c>
      <c r="B29" s="396" t="s">
        <v>0</v>
      </c>
      <c r="C29" s="76" t="s">
        <v>1493</v>
      </c>
      <c r="D29" s="76"/>
      <c r="E29" s="77"/>
      <c r="F29" s="68" t="s">
        <v>1361</v>
      </c>
      <c r="G29" s="69"/>
      <c r="H29" s="70"/>
      <c r="I29" s="71">
        <v>30415</v>
      </c>
      <c r="J29" s="209"/>
      <c r="K29" s="72"/>
      <c r="L29" t="s">
        <v>0</v>
      </c>
      <c r="M29" t="s">
        <v>0</v>
      </c>
      <c r="N29" t="s">
        <v>0</v>
      </c>
      <c r="O29" t="s">
        <v>0</v>
      </c>
      <c r="P29" t="s">
        <v>0</v>
      </c>
      <c r="Q29" t="s">
        <v>0</v>
      </c>
      <c r="R29" t="s">
        <v>0</v>
      </c>
      <c r="S29" t="s">
        <v>0</v>
      </c>
      <c r="T29" t="s">
        <v>0</v>
      </c>
    </row>
    <row r="30" ht="57.75" customHeight="1" spans="1:20" x14ac:dyDescent="0.25">
      <c r="A30" s="482" t="s">
        <v>1497</v>
      </c>
      <c r="B30" s="396" t="s">
        <v>0</v>
      </c>
      <c r="C30" s="76" t="s">
        <v>1505</v>
      </c>
      <c r="D30" s="76"/>
      <c r="E30" s="77"/>
      <c r="F30" s="68" t="s">
        <v>1506</v>
      </c>
      <c r="G30" s="69"/>
      <c r="H30" s="70"/>
      <c r="I30" s="71">
        <v>1000</v>
      </c>
      <c r="J30" s="209"/>
      <c r="K30" s="72"/>
      <c r="L30" t="s">
        <v>0</v>
      </c>
      <c r="M30" t="s">
        <v>0</v>
      </c>
      <c r="N30" t="s">
        <v>0</v>
      </c>
      <c r="O30" t="s">
        <v>0</v>
      </c>
      <c r="P30" t="s">
        <v>0</v>
      </c>
      <c r="Q30" t="s">
        <v>0</v>
      </c>
      <c r="R30" t="s">
        <v>0</v>
      </c>
      <c r="S30" t="s">
        <v>0</v>
      </c>
      <c r="T30" t="s">
        <v>0</v>
      </c>
    </row>
    <row r="31" ht="61.5" customHeight="1" spans="1:20" x14ac:dyDescent="0.25">
      <c r="A31" s="482" t="s">
        <v>1497</v>
      </c>
      <c r="B31" s="396" t="s">
        <v>0</v>
      </c>
      <c r="C31" s="76" t="s">
        <v>1507</v>
      </c>
      <c r="D31" s="76"/>
      <c r="E31" s="77"/>
      <c r="F31" s="68" t="s">
        <v>1508</v>
      </c>
      <c r="G31" s="69"/>
      <c r="H31" s="70"/>
      <c r="I31" s="71">
        <v>2000</v>
      </c>
      <c r="J31" s="209"/>
      <c r="K31" s="72"/>
      <c r="L31" t="s">
        <v>0</v>
      </c>
      <c r="M31" t="s">
        <v>0</v>
      </c>
      <c r="N31" t="s">
        <v>0</v>
      </c>
      <c r="O31" t="s">
        <v>0</v>
      </c>
      <c r="P31" t="s">
        <v>0</v>
      </c>
      <c r="Q31" t="s">
        <v>0</v>
      </c>
      <c r="R31" t="s">
        <v>0</v>
      </c>
      <c r="S31" t="s">
        <v>0</v>
      </c>
      <c r="T31" t="s">
        <v>0</v>
      </c>
    </row>
    <row r="32" ht="63" customHeight="1" spans="1:20" s="80" customFormat="1" x14ac:dyDescent="0.25">
      <c r="A32" s="168" t="s">
        <v>1497</v>
      </c>
      <c r="B32" s="481" t="s">
        <v>0</v>
      </c>
      <c r="C32" s="134" t="s">
        <v>1509</v>
      </c>
      <c r="D32" s="134"/>
      <c r="E32" s="84"/>
      <c r="F32" s="172" t="s">
        <v>1510</v>
      </c>
      <c r="G32" s="82"/>
      <c r="H32" s="83"/>
      <c r="I32" s="85">
        <v>4600</v>
      </c>
      <c r="J32" s="355"/>
      <c r="K32" s="86"/>
      <c r="L32" s="80" t="s">
        <v>0</v>
      </c>
      <c r="M32" s="80" t="s">
        <v>0</v>
      </c>
      <c r="N32" s="80" t="s">
        <v>0</v>
      </c>
      <c r="O32" s="80" t="s">
        <v>0</v>
      </c>
      <c r="P32" s="80" t="s">
        <v>0</v>
      </c>
      <c r="Q32" s="80" t="s">
        <v>0</v>
      </c>
      <c r="R32" s="80" t="s">
        <v>0</v>
      </c>
      <c r="S32" s="80" t="s">
        <v>0</v>
      </c>
      <c r="T32" s="80" t="s">
        <v>0</v>
      </c>
    </row>
    <row r="33" ht="46.5" customHeight="1" spans="1:20" s="80" customFormat="1" x14ac:dyDescent="0.25">
      <c r="A33" s="168" t="s">
        <v>1497</v>
      </c>
      <c r="B33" s="481" t="s">
        <v>0</v>
      </c>
      <c r="C33" s="134" t="s">
        <v>1511</v>
      </c>
      <c r="D33" s="134"/>
      <c r="E33" s="84"/>
      <c r="F33" s="172" t="s">
        <v>1512</v>
      </c>
      <c r="G33" s="82"/>
      <c r="H33" s="83"/>
      <c r="I33" s="85">
        <v>3450</v>
      </c>
      <c r="J33" s="355"/>
      <c r="K33" s="86"/>
      <c r="L33" s="80" t="s">
        <v>0</v>
      </c>
      <c r="M33" s="80" t="s">
        <v>0</v>
      </c>
      <c r="N33" s="80" t="s">
        <v>0</v>
      </c>
      <c r="O33" s="80" t="s">
        <v>0</v>
      </c>
      <c r="P33" s="80" t="s">
        <v>0</v>
      </c>
      <c r="Q33" s="80" t="s">
        <v>0</v>
      </c>
      <c r="R33" s="80" t="s">
        <v>0</v>
      </c>
      <c r="S33" s="80" t="s">
        <v>0</v>
      </c>
      <c r="T33" s="80" t="s">
        <v>0</v>
      </c>
    </row>
    <row r="34" ht="54" customHeight="1" spans="1:20" s="80" customFormat="1" x14ac:dyDescent="0.25">
      <c r="A34" s="168" t="s">
        <v>1497</v>
      </c>
      <c r="B34" s="481" t="s">
        <v>0</v>
      </c>
      <c r="C34" s="134" t="s">
        <v>1513</v>
      </c>
      <c r="D34" s="134"/>
      <c r="E34" s="84"/>
      <c r="F34" s="172" t="s">
        <v>1514</v>
      </c>
      <c r="G34" s="82"/>
      <c r="H34" s="83"/>
      <c r="I34" s="85">
        <v>2100</v>
      </c>
      <c r="J34" s="355"/>
      <c r="K34" s="86"/>
      <c r="L34" s="80" t="s">
        <v>0</v>
      </c>
      <c r="M34" s="80" t="s">
        <v>0</v>
      </c>
      <c r="N34" s="80" t="s">
        <v>0</v>
      </c>
      <c r="O34" s="80" t="s">
        <v>0</v>
      </c>
      <c r="P34" s="80" t="s">
        <v>0</v>
      </c>
      <c r="Q34" s="80" t="s">
        <v>0</v>
      </c>
      <c r="R34" s="80" t="s">
        <v>0</v>
      </c>
      <c r="S34" s="80" t="s">
        <v>0</v>
      </c>
      <c r="T34" s="80" t="s">
        <v>0</v>
      </c>
    </row>
    <row r="35" ht="31.5" customHeight="1" spans="1:20" s="80" customFormat="1" x14ac:dyDescent="0.25">
      <c r="A35" s="248" t="s">
        <v>1497</v>
      </c>
      <c r="B35" s="483" t="s">
        <v>0</v>
      </c>
      <c r="C35" s="134" t="s">
        <v>1515</v>
      </c>
      <c r="D35" s="134"/>
      <c r="E35" s="84"/>
      <c r="F35" s="81" t="s">
        <v>1516</v>
      </c>
      <c r="G35" s="134"/>
      <c r="H35" s="84"/>
      <c r="I35" s="152">
        <v>3450</v>
      </c>
      <c r="J35" s="484"/>
      <c r="K35" s="485"/>
      <c r="L35" s="80" t="s">
        <v>0</v>
      </c>
      <c r="M35" s="80" t="s">
        <v>0</v>
      </c>
      <c r="N35" s="80" t="s">
        <v>0</v>
      </c>
      <c r="O35" s="80" t="s">
        <v>0</v>
      </c>
      <c r="P35" s="80" t="s">
        <v>0</v>
      </c>
      <c r="Q35" s="80" t="s">
        <v>0</v>
      </c>
      <c r="R35" s="80" t="s">
        <v>0</v>
      </c>
      <c r="S35" s="80" t="s">
        <v>0</v>
      </c>
      <c r="T35" s="80" t="s">
        <v>0</v>
      </c>
    </row>
    <row r="36" ht="36" customHeight="1" spans="1:20" x14ac:dyDescent="0.25">
      <c r="A36" s="482" t="s">
        <v>1497</v>
      </c>
      <c r="B36" s="396" t="s">
        <v>0</v>
      </c>
      <c r="C36" s="134" t="s">
        <v>1515</v>
      </c>
      <c r="D36" s="134"/>
      <c r="E36" s="84"/>
      <c r="F36" s="68" t="s">
        <v>1517</v>
      </c>
      <c r="G36" s="69"/>
      <c r="H36" s="70"/>
      <c r="I36" s="71">
        <v>1150</v>
      </c>
      <c r="J36" s="209"/>
      <c r="K36" s="72"/>
      <c r="L36" t="s">
        <v>0</v>
      </c>
      <c r="M36" t="s">
        <v>0</v>
      </c>
      <c r="N36" t="s">
        <v>0</v>
      </c>
      <c r="O36" t="s">
        <v>0</v>
      </c>
      <c r="P36" t="s">
        <v>0</v>
      </c>
      <c r="Q36" t="s">
        <v>0</v>
      </c>
      <c r="R36" t="s">
        <v>0</v>
      </c>
      <c r="S36" t="s">
        <v>0</v>
      </c>
      <c r="T36" t="s">
        <v>0</v>
      </c>
    </row>
    <row r="37" ht="37.5" customHeight="1" spans="1:20" x14ac:dyDescent="0.25">
      <c r="A37" s="482" t="s">
        <v>1497</v>
      </c>
      <c r="B37" s="396" t="s">
        <v>0</v>
      </c>
      <c r="C37" s="76" t="s">
        <v>1518</v>
      </c>
      <c r="D37" s="76"/>
      <c r="E37" s="77"/>
      <c r="F37" s="68" t="s">
        <v>1519</v>
      </c>
      <c r="G37" s="69"/>
      <c r="H37" s="70"/>
      <c r="I37" s="71">
        <v>1000</v>
      </c>
      <c r="J37" s="209"/>
      <c r="K37" s="72"/>
      <c r="L37" t="s">
        <v>0</v>
      </c>
      <c r="M37" t="s">
        <v>0</v>
      </c>
      <c r="N37" t="s">
        <v>0</v>
      </c>
      <c r="O37" t="s">
        <v>0</v>
      </c>
      <c r="P37" t="s">
        <v>0</v>
      </c>
      <c r="Q37" t="s">
        <v>0</v>
      </c>
      <c r="R37" t="s">
        <v>0</v>
      </c>
      <c r="S37" t="s">
        <v>0</v>
      </c>
      <c r="T37" t="s">
        <v>0</v>
      </c>
    </row>
    <row r="38" ht="57" customHeight="1" spans="1:20" x14ac:dyDescent="0.25">
      <c r="A38" s="482" t="s">
        <v>1497</v>
      </c>
      <c r="B38" s="396" t="s">
        <v>0</v>
      </c>
      <c r="C38" s="134" t="s">
        <v>1513</v>
      </c>
      <c r="D38" s="134"/>
      <c r="E38" s="84"/>
      <c r="F38" s="68" t="s">
        <v>1520</v>
      </c>
      <c r="G38" s="69"/>
      <c r="H38" s="70"/>
      <c r="I38" s="71">
        <v>3450</v>
      </c>
      <c r="J38" s="209"/>
      <c r="K38" s="72"/>
      <c r="L38" t="s">
        <v>0</v>
      </c>
      <c r="M38" t="s">
        <v>0</v>
      </c>
      <c r="N38" t="s">
        <v>0</v>
      </c>
      <c r="O38" t="s">
        <v>0</v>
      </c>
      <c r="P38" t="s">
        <v>0</v>
      </c>
      <c r="Q38" t="s">
        <v>0</v>
      </c>
      <c r="R38" t="s">
        <v>0</v>
      </c>
      <c r="S38" t="s">
        <v>0</v>
      </c>
      <c r="T38" t="s">
        <v>0</v>
      </c>
    </row>
    <row r="39" ht="18" customHeight="1" spans="1:20" x14ac:dyDescent="0.25">
      <c r="A39" s="482" t="s">
        <v>0</v>
      </c>
      <c r="B39" s="396" t="s">
        <v>0</v>
      </c>
      <c r="C39" s="373"/>
      <c r="D39" s="373"/>
      <c r="E39" s="374"/>
      <c r="F39" s="158"/>
      <c r="G39" s="197"/>
      <c r="H39" s="159"/>
      <c r="I39" s="71"/>
      <c r="J39" s="209"/>
      <c r="K39" s="72"/>
      <c r="L39" t="s">
        <v>0</v>
      </c>
      <c r="M39" t="s">
        <v>0</v>
      </c>
      <c r="N39" t="s">
        <v>0</v>
      </c>
      <c r="O39" t="s">
        <v>0</v>
      </c>
      <c r="P39" t="s">
        <v>0</v>
      </c>
      <c r="Q39" t="s">
        <v>0</v>
      </c>
      <c r="R39" t="s">
        <v>0</v>
      </c>
      <c r="S39" t="s">
        <v>0</v>
      </c>
      <c r="T39" t="s">
        <v>0</v>
      </c>
    </row>
    <row r="40" ht="18" customHeight="1" spans="1:20" x14ac:dyDescent="0.25">
      <c r="A40" s="482" t="s">
        <v>0</v>
      </c>
      <c r="B40" s="396" t="s">
        <v>0</v>
      </c>
      <c r="C40" s="373"/>
      <c r="D40" s="373"/>
      <c r="E40" s="374"/>
      <c r="F40" s="158"/>
      <c r="G40" s="197"/>
      <c r="H40" s="159"/>
      <c r="I40" s="71"/>
      <c r="J40" s="209"/>
      <c r="K40" s="72"/>
      <c r="L40" t="s">
        <v>0</v>
      </c>
      <c r="M40" t="s">
        <v>0</v>
      </c>
      <c r="N40" t="s">
        <v>0</v>
      </c>
      <c r="O40" t="s">
        <v>0</v>
      </c>
      <c r="P40" t="s">
        <v>0</v>
      </c>
      <c r="Q40" t="s">
        <v>0</v>
      </c>
      <c r="R40" t="s">
        <v>0</v>
      </c>
      <c r="S40" t="s">
        <v>0</v>
      </c>
      <c r="T40" t="s">
        <v>0</v>
      </c>
    </row>
    <row r="41" ht="16.5" customHeight="1" spans="1:20" x14ac:dyDescent="0.25">
      <c r="A41" s="60" t="s">
        <v>0</v>
      </c>
      <c r="B41" s="396" t="s">
        <v>0</v>
      </c>
      <c r="C41" s="76"/>
      <c r="D41" s="76"/>
      <c r="E41" s="77"/>
      <c r="F41" s="68"/>
      <c r="G41" s="69"/>
      <c r="H41" s="70"/>
      <c r="I41" s="71"/>
      <c r="J41" s="209"/>
      <c r="K41" s="72"/>
      <c r="L41" t="s">
        <v>0</v>
      </c>
      <c r="M41" t="s">
        <v>0</v>
      </c>
      <c r="N41" t="s">
        <v>0</v>
      </c>
      <c r="O41" t="s">
        <v>0</v>
      </c>
      <c r="P41" t="s">
        <v>0</v>
      </c>
      <c r="Q41" t="s">
        <v>0</v>
      </c>
      <c r="R41" t="s">
        <v>0</v>
      </c>
      <c r="S41" t="s">
        <v>0</v>
      </c>
      <c r="T41" t="s">
        <v>0</v>
      </c>
    </row>
    <row r="42" ht="16.5" customHeight="1" spans="1:20" x14ac:dyDescent="0.25">
      <c r="A42" s="60" t="s">
        <v>0</v>
      </c>
      <c r="B42" s="396" t="s">
        <v>0</v>
      </c>
      <c r="C42" s="76" t="s">
        <v>0</v>
      </c>
      <c r="D42" s="76" t="s">
        <v>0</v>
      </c>
      <c r="E42" s="77" t="s">
        <v>0</v>
      </c>
      <c r="F42" s="68" t="s">
        <v>0</v>
      </c>
      <c r="G42" s="69" t="s">
        <v>0</v>
      </c>
      <c r="H42" s="70" t="s">
        <v>0</v>
      </c>
      <c r="I42" s="71" t="s">
        <v>0</v>
      </c>
      <c r="J42" s="209" t="s">
        <v>0</v>
      </c>
      <c r="K42" s="72" t="s">
        <v>0</v>
      </c>
      <c r="L42" t="s">
        <v>0</v>
      </c>
      <c r="M42" t="s">
        <v>0</v>
      </c>
      <c r="N42" t="s">
        <v>0</v>
      </c>
      <c r="O42" t="s">
        <v>0</v>
      </c>
      <c r="P42" t="s">
        <v>0</v>
      </c>
      <c r="Q42" t="s">
        <v>0</v>
      </c>
      <c r="R42" t="s">
        <v>0</v>
      </c>
      <c r="S42" t="s">
        <v>0</v>
      </c>
      <c r="T42" t="s">
        <v>0</v>
      </c>
    </row>
    <row r="43" ht="16.5" customHeight="1" spans="1:20" x14ac:dyDescent="0.25">
      <c r="A43" s="60" t="s">
        <v>0</v>
      </c>
      <c r="B43" s="396" t="s">
        <v>0</v>
      </c>
      <c r="C43" s="76" t="s">
        <v>0</v>
      </c>
      <c r="D43" s="76" t="s">
        <v>0</v>
      </c>
      <c r="E43" s="77" t="s">
        <v>0</v>
      </c>
      <c r="F43" s="68" t="s">
        <v>0</v>
      </c>
      <c r="G43" s="69" t="s">
        <v>0</v>
      </c>
      <c r="H43" s="70" t="s">
        <v>0</v>
      </c>
      <c r="I43" s="71" t="s">
        <v>0</v>
      </c>
      <c r="J43" s="209" t="s">
        <v>0</v>
      </c>
      <c r="K43" s="72" t="s">
        <v>0</v>
      </c>
      <c r="L43" t="s">
        <v>0</v>
      </c>
      <c r="M43" t="s">
        <v>0</v>
      </c>
      <c r="N43" t="s">
        <v>0</v>
      </c>
      <c r="O43" t="s">
        <v>0</v>
      </c>
      <c r="P43" t="s">
        <v>0</v>
      </c>
      <c r="Q43" t="s">
        <v>0</v>
      </c>
      <c r="R43" t="s">
        <v>0</v>
      </c>
      <c r="S43" t="s">
        <v>0</v>
      </c>
      <c r="T43" t="s">
        <v>0</v>
      </c>
    </row>
    <row r="44" ht="16.5" customHeight="1" spans="1:20" x14ac:dyDescent="0.25">
      <c r="A44" s="60" t="s">
        <v>0</v>
      </c>
      <c r="B44" s="396" t="s">
        <v>0</v>
      </c>
      <c r="C44" s="76" t="s">
        <v>0</v>
      </c>
      <c r="D44" s="76" t="s">
        <v>0</v>
      </c>
      <c r="E44" s="77" t="s">
        <v>0</v>
      </c>
      <c r="F44" s="68" t="s">
        <v>0</v>
      </c>
      <c r="G44" s="69" t="s">
        <v>0</v>
      </c>
      <c r="H44" s="70" t="s">
        <v>0</v>
      </c>
      <c r="I44" s="71" t="s">
        <v>0</v>
      </c>
      <c r="J44" s="209" t="s">
        <v>0</v>
      </c>
      <c r="K44" s="72" t="s">
        <v>0</v>
      </c>
      <c r="L44" t="s">
        <v>0</v>
      </c>
      <c r="M44" t="s">
        <v>0</v>
      </c>
      <c r="N44" t="s">
        <v>0</v>
      </c>
      <c r="O44" t="s">
        <v>0</v>
      </c>
      <c r="P44" t="s">
        <v>0</v>
      </c>
      <c r="Q44" t="s">
        <v>0</v>
      </c>
      <c r="R44" t="s">
        <v>0</v>
      </c>
      <c r="S44" t="s">
        <v>0</v>
      </c>
      <c r="T44" t="s">
        <v>0</v>
      </c>
    </row>
    <row r="45" ht="16.5" customHeight="1" spans="1:20" x14ac:dyDescent="0.25">
      <c r="A45" s="60" t="s">
        <v>0</v>
      </c>
      <c r="B45" s="396" t="s">
        <v>0</v>
      </c>
      <c r="C45" s="76" t="s">
        <v>0</v>
      </c>
      <c r="D45" s="76" t="s">
        <v>0</v>
      </c>
      <c r="E45" s="77" t="s">
        <v>0</v>
      </c>
      <c r="F45" s="68" t="s">
        <v>0</v>
      </c>
      <c r="G45" s="69" t="s">
        <v>0</v>
      </c>
      <c r="H45" s="70" t="s">
        <v>0</v>
      </c>
      <c r="I45" s="71" t="s">
        <v>0</v>
      </c>
      <c r="J45" s="209" t="s">
        <v>0</v>
      </c>
      <c r="K45" s="72" t="s">
        <v>0</v>
      </c>
      <c r="L45" t="s">
        <v>0</v>
      </c>
      <c r="M45" t="s">
        <v>0</v>
      </c>
      <c r="N45" t="s">
        <v>0</v>
      </c>
      <c r="O45" t="s">
        <v>0</v>
      </c>
      <c r="P45" t="s">
        <v>0</v>
      </c>
      <c r="Q45" t="s">
        <v>0</v>
      </c>
      <c r="R45" t="s">
        <v>0</v>
      </c>
      <c r="S45" t="s">
        <v>0</v>
      </c>
      <c r="T45" t="s">
        <v>0</v>
      </c>
    </row>
    <row r="46" ht="17.25" customHeight="1" spans="1:20" x14ac:dyDescent="0.25">
      <c r="A46" s="60" t="s">
        <v>0</v>
      </c>
      <c r="B46" s="396" t="s">
        <v>0</v>
      </c>
      <c r="C46" s="76"/>
      <c r="D46" s="76"/>
      <c r="E46" s="77"/>
      <c r="F46" s="68"/>
      <c r="G46" s="69"/>
      <c r="H46" s="70"/>
      <c r="I46" s="71"/>
      <c r="J46" s="209"/>
      <c r="K46" s="72"/>
      <c r="L46" t="s">
        <v>0</v>
      </c>
      <c r="M46" t="s">
        <v>0</v>
      </c>
      <c r="N46" t="s">
        <v>0</v>
      </c>
      <c r="O46" t="s">
        <v>0</v>
      </c>
      <c r="P46" t="s">
        <v>0</v>
      </c>
      <c r="Q46" t="s">
        <v>0</v>
      </c>
      <c r="R46" t="s">
        <v>0</v>
      </c>
      <c r="S46" t="s">
        <v>0</v>
      </c>
      <c r="T46" t="s">
        <v>0</v>
      </c>
    </row>
    <row r="47" ht="15.75" customHeight="1" spans="1:20" x14ac:dyDescent="0.25">
      <c r="A47" s="213" t="s">
        <v>0</v>
      </c>
      <c r="B47" s="396" t="s">
        <v>0</v>
      </c>
      <c r="C47" s="89"/>
      <c r="D47" s="89"/>
      <c r="E47" s="90"/>
      <c r="F47" s="88"/>
      <c r="G47" s="89"/>
      <c r="H47" s="90"/>
      <c r="I47" s="253"/>
      <c r="J47" s="397"/>
      <c r="K47" s="254"/>
      <c r="L47" t="s">
        <v>0</v>
      </c>
      <c r="M47" t="s">
        <v>0</v>
      </c>
      <c r="N47" t="s">
        <v>0</v>
      </c>
      <c r="O47" t="s">
        <v>0</v>
      </c>
      <c r="P47" t="s">
        <v>0</v>
      </c>
      <c r="Q47" t="s">
        <v>0</v>
      </c>
      <c r="R47" t="s">
        <v>0</v>
      </c>
      <c r="S47" t="s">
        <v>0</v>
      </c>
      <c r="T47" t="s">
        <v>0</v>
      </c>
    </row>
    <row r="48" ht="15.75" customHeight="1" spans="1:20" x14ac:dyDescent="0.25">
      <c r="A48" s="93" t="s">
        <v>0</v>
      </c>
      <c r="B48" s="328" t="s">
        <v>0</v>
      </c>
      <c r="C48" s="486"/>
      <c r="D48" s="486"/>
      <c r="E48" s="487"/>
      <c r="F48" s="97" t="s">
        <v>96</v>
      </c>
      <c r="G48" s="98"/>
      <c r="H48" s="233"/>
      <c r="I48" s="331">
        <f>SUM(I14:K47)</f>
        <v>121565</v>
      </c>
      <c r="J48" s="98"/>
      <c r="K48" s="233"/>
      <c r="L48" t="s">
        <v>0</v>
      </c>
      <c r="M48" t="s">
        <v>0</v>
      </c>
      <c r="N48" t="s">
        <v>0</v>
      </c>
      <c r="O48" t="s">
        <v>0</v>
      </c>
      <c r="P48" t="s">
        <v>0</v>
      </c>
      <c r="Q48" t="s">
        <v>0</v>
      </c>
      <c r="R48" t="s">
        <v>0</v>
      </c>
      <c r="S48" t="s">
        <v>0</v>
      </c>
      <c r="T48" t="s">
        <v>0</v>
      </c>
    </row>
    <row r="52" spans="4:7" x14ac:dyDescent="0.25">
      <c r="D52" s="409"/>
      <c r="E52" s="409"/>
      <c r="F52" s="409"/>
      <c r="G52" s="409"/>
    </row>
  </sheetData>
  <mergeCells count="96">
    <mergeCell ref="B13:E13"/>
    <mergeCell ref="F13:H13"/>
    <mergeCell ref="I13:K13"/>
    <mergeCell ref="B14:E14"/>
    <mergeCell ref="F14:H14"/>
    <mergeCell ref="I14:K14"/>
    <mergeCell ref="C15:E15"/>
    <mergeCell ref="F15:H15"/>
    <mergeCell ref="I15:K15"/>
    <mergeCell ref="C16:E16"/>
    <mergeCell ref="F16:H16"/>
    <mergeCell ref="I16:K16"/>
    <mergeCell ref="C17:E17"/>
    <mergeCell ref="F17:H17"/>
    <mergeCell ref="I17:K17"/>
    <mergeCell ref="C18:E18"/>
    <mergeCell ref="F18:H18"/>
    <mergeCell ref="I18:K18"/>
    <mergeCell ref="C19:E19"/>
    <mergeCell ref="F19:H19"/>
    <mergeCell ref="I19:K19"/>
    <mergeCell ref="C20:E20"/>
    <mergeCell ref="F20:H20"/>
    <mergeCell ref="I20:K20"/>
    <mergeCell ref="C21:E21"/>
    <mergeCell ref="F21:H21"/>
    <mergeCell ref="I21:K21"/>
    <mergeCell ref="C22:E22"/>
    <mergeCell ref="F22:H22"/>
    <mergeCell ref="I22:K22"/>
    <mergeCell ref="C23:E23"/>
    <mergeCell ref="F23:H23"/>
    <mergeCell ref="I23:K23"/>
    <mergeCell ref="C24:E24"/>
    <mergeCell ref="F24:H24"/>
    <mergeCell ref="I24:K24"/>
    <mergeCell ref="C25:E25"/>
    <mergeCell ref="F25:H25"/>
    <mergeCell ref="I25:K25"/>
    <mergeCell ref="C26:E26"/>
    <mergeCell ref="F26:H26"/>
    <mergeCell ref="I26:K26"/>
    <mergeCell ref="C27:E27"/>
    <mergeCell ref="F27:H27"/>
    <mergeCell ref="I27:K27"/>
    <mergeCell ref="C28:E28"/>
    <mergeCell ref="F28:H28"/>
    <mergeCell ref="I28:K28"/>
    <mergeCell ref="C29:E29"/>
    <mergeCell ref="F29:H29"/>
    <mergeCell ref="I29:K29"/>
    <mergeCell ref="C30:E30"/>
    <mergeCell ref="F30:H30"/>
    <mergeCell ref="I30:K30"/>
    <mergeCell ref="C31:E31"/>
    <mergeCell ref="F31:H31"/>
    <mergeCell ref="I31:K31"/>
    <mergeCell ref="C32:E32"/>
    <mergeCell ref="F32:H32"/>
    <mergeCell ref="I32:K32"/>
    <mergeCell ref="C33:E33"/>
    <mergeCell ref="F33:H33"/>
    <mergeCell ref="I33:K33"/>
    <mergeCell ref="C34:E34"/>
    <mergeCell ref="F34:H34"/>
    <mergeCell ref="I34:K34"/>
    <mergeCell ref="C35:E35"/>
    <mergeCell ref="F35:H35"/>
    <mergeCell ref="I35:K35"/>
    <mergeCell ref="C36:E36"/>
    <mergeCell ref="F36:H36"/>
    <mergeCell ref="I36:K36"/>
    <mergeCell ref="C37:E37"/>
    <mergeCell ref="F37:H37"/>
    <mergeCell ref="I37:K37"/>
    <mergeCell ref="C38:E38"/>
    <mergeCell ref="F38:H38"/>
    <mergeCell ref="I38:K38"/>
    <mergeCell ref="C39:E39"/>
    <mergeCell ref="F39:H39"/>
    <mergeCell ref="I39:K39"/>
    <mergeCell ref="C40:E40"/>
    <mergeCell ref="F40:H40"/>
    <mergeCell ref="I40:K40"/>
    <mergeCell ref="C41:E41"/>
    <mergeCell ref="F41:H41"/>
    <mergeCell ref="I41:K41"/>
    <mergeCell ref="C46:E46"/>
    <mergeCell ref="F46:H46"/>
    <mergeCell ref="I46:K46"/>
    <mergeCell ref="C47:E47"/>
    <mergeCell ref="F47:H47"/>
    <mergeCell ref="I47:K47"/>
    <mergeCell ref="C48:E48"/>
    <mergeCell ref="F48:H48"/>
    <mergeCell ref="I48:K48"/>
  </mergeCells>
  <pageMargins left="0.7" right="0.7" top="0.75" bottom="0.75" header="0.3" footer="0.3"/>
  <pageSetup paperSize="256" orientation="portrait" horizontalDpi="4294967293" verticalDpi="0"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Campus Director</vt:lpstr>
      <vt:lpstr>Admin</vt:lpstr>
      <vt:lpstr>BM Department</vt:lpstr>
      <vt:lpstr>CS Department</vt:lpstr>
      <vt:lpstr>Industrial Tech Dept.</vt:lpstr>
      <vt:lpstr>Engineering Dept.</vt:lpstr>
      <vt:lpstr>Teacher Education Dept.</vt:lpstr>
      <vt:lpstr>ICT Office</vt:lpstr>
      <vt:lpstr> Extension Services</vt:lpstr>
      <vt:lpstr>Quality Assurance</vt:lpstr>
      <vt:lpstr>Accounting Office</vt:lpstr>
      <vt:lpstr>Research</vt:lpstr>
      <vt:lpstr>Medical Dental</vt:lpstr>
      <vt:lpstr>Cashier and Disbursing Office</vt:lpstr>
      <vt:lpstr>Budget Office</vt:lpstr>
      <vt:lpstr>Records</vt:lpstr>
      <vt:lpstr>BAC Procurement</vt:lpstr>
      <vt:lpstr>Human Resource Dev't. Office</vt:lpstr>
      <vt:lpstr> PMO Supply Office</vt:lpstr>
      <vt:lpstr>Registrar</vt:lpstr>
      <vt:lpstr>MESO</vt:lpstr>
      <vt:lpstr>IPDO</vt:lpstr>
      <vt:lpstr> IGP Production</vt:lpstr>
      <vt:lpstr>Sports Dev't Office</vt:lpstr>
      <vt:lpstr>Culture and the Arts</vt:lpstr>
      <vt:lpstr>SCUAA</vt:lpstr>
      <vt:lpstr>Library</vt:lpstr>
      <vt:lpstr>NSTP</vt:lpstr>
      <vt:lpstr>SASO</vt:lpstr>
      <vt:lpstr>Guidance</vt:lpstr>
      <vt:lpstr>SSG</vt:lpstr>
      <vt:lpstr>SPO</vt:lpstr>
      <vt:lpstr>GAD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2025-10-08T05:55:19Z</cp:lastPrinted>
  <dcterms:created xsi:type="dcterms:W3CDTF">2024-09-19T00:29:47Z</dcterms:created>
  <dcterms:modified xsi:type="dcterms:W3CDTF">2025-12-04T08:59:21Z</dcterms:modified>
</cp:coreProperties>
</file>